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5" windowWidth="16605" windowHeight="8895" tabRatio="310" activeTab="1"/>
  </bookViews>
  <sheets>
    <sheet name="Chinese" sheetId="1" r:id="rId1"/>
    <sheet name="English" sheetId="2" r:id="rId2"/>
  </sheets>
  <definedNames>
    <definedName name="_xlnm.Print_Area" localSheetId="0">Chinese!$A$1:$K$39</definedName>
    <definedName name="_xlnm.Print_Area" localSheetId="1">English!$A$1:$K$39</definedName>
  </definedNames>
  <calcPr calcId="125725"/>
</workbook>
</file>

<file path=xl/calcChain.xml><?xml version="1.0" encoding="utf-8"?>
<calcChain xmlns="http://schemas.openxmlformats.org/spreadsheetml/2006/main">
  <c r="K9" i="2"/>
  <c r="K10"/>
  <c r="K11"/>
  <c r="K12"/>
  <c r="K13"/>
  <c r="K14"/>
  <c r="K15"/>
  <c r="K19"/>
  <c r="K20"/>
  <c r="K21"/>
  <c r="K22"/>
  <c r="K23"/>
  <c r="K24"/>
  <c r="K9" i="1"/>
  <c r="K10"/>
  <c r="K16"/>
  <c r="G5"/>
  <c r="K11"/>
  <c r="K12"/>
  <c r="K13"/>
  <c r="K14"/>
  <c r="K15"/>
  <c r="K19"/>
  <c r="K20"/>
  <c r="K21"/>
  <c r="K22"/>
  <c r="K23"/>
  <c r="K24"/>
  <c r="K25"/>
  <c r="K25" i="2" l="1"/>
  <c r="K16"/>
  <c r="G5" l="1"/>
</calcChain>
</file>

<file path=xl/sharedStrings.xml><?xml version="1.0" encoding="utf-8"?>
<sst xmlns="http://schemas.openxmlformats.org/spreadsheetml/2006/main" count="125" uniqueCount="117">
  <si>
    <t>填表日期</t>
    <phoneticPr fontId="3" type="noConversion"/>
  </si>
  <si>
    <t>被评估者姓名</t>
    <phoneticPr fontId="3" type="noConversion"/>
  </si>
  <si>
    <t>部 门</t>
    <phoneticPr fontId="3" type="noConversion"/>
  </si>
  <si>
    <t>职 位</t>
    <phoneticPr fontId="3" type="noConversion"/>
  </si>
  <si>
    <t>入职时间</t>
    <phoneticPr fontId="3" type="noConversion"/>
  </si>
  <si>
    <t>评估者姓名</t>
    <phoneticPr fontId="3" type="noConversion"/>
  </si>
  <si>
    <t>部 门</t>
    <phoneticPr fontId="3" type="noConversion"/>
  </si>
  <si>
    <t>职 位</t>
    <phoneticPr fontId="3" type="noConversion"/>
  </si>
  <si>
    <t>评估周期</t>
    <phoneticPr fontId="3" type="noConversion"/>
  </si>
  <si>
    <t>评估总分</t>
    <phoneticPr fontId="3" type="noConversion"/>
  </si>
  <si>
    <t>标准编号</t>
  </si>
  <si>
    <t>绩效考核对照得分情况</t>
    <phoneticPr fontId="3" type="noConversion"/>
  </si>
  <si>
    <t>权重</t>
    <phoneticPr fontId="3" type="noConversion"/>
  </si>
  <si>
    <t>主管对照工作目标和衡量标准 评价实际完成情况</t>
    <phoneticPr fontId="3" type="noConversion"/>
  </si>
  <si>
    <t>员工自评分   （1-100分）</t>
    <phoneticPr fontId="3" type="noConversion"/>
  </si>
  <si>
    <t>主管评估得分（1-100分）</t>
    <phoneticPr fontId="3" type="noConversion"/>
  </si>
  <si>
    <t>最终得分    （评估分*权重）</t>
    <phoneticPr fontId="3" type="noConversion"/>
  </si>
  <si>
    <t>工作内容考核小计：</t>
    <phoneticPr fontId="3" type="noConversion"/>
  </si>
  <si>
    <t>工作能力考核要素 （30%）</t>
    <phoneticPr fontId="3" type="noConversion"/>
  </si>
  <si>
    <t>权重</t>
    <phoneticPr fontId="3" type="noConversion"/>
  </si>
  <si>
    <t>评估者简要点评</t>
    <phoneticPr fontId="3" type="noConversion"/>
  </si>
  <si>
    <t>员工自评分   （1-100分）</t>
    <phoneticPr fontId="3" type="noConversion"/>
  </si>
  <si>
    <t>主管评估得分（1-100分）</t>
    <phoneticPr fontId="3" type="noConversion"/>
  </si>
  <si>
    <t>最终得分    （评估分*权重）</t>
    <phoneticPr fontId="3" type="noConversion"/>
  </si>
  <si>
    <t>具备团队合作精神，能以大局为重，与同事良好配合,彼此体谅,不参与小团体。</t>
    <phoneticPr fontId="3" type="noConversion"/>
  </si>
  <si>
    <t>能有效与同事,上下级沟通，准确传递信息,不会因为沟通不畅影响或延缓工作。</t>
    <phoneticPr fontId="3" type="noConversion"/>
  </si>
  <si>
    <t>敢于创新，能主动面对问题，解决问题。</t>
    <phoneticPr fontId="3" type="noConversion"/>
  </si>
  <si>
    <t>经理人员：能有效地领导团队制定完成工作计划。</t>
    <phoneticPr fontId="3" type="noConversion"/>
  </si>
  <si>
    <t>经理人员：能招聘优秀人才,并培养在职员工,使其在技术和职业上能有所成长。</t>
    <phoneticPr fontId="3" type="noConversion"/>
  </si>
  <si>
    <t>工作能力考核小计：</t>
    <phoneticPr fontId="3" type="noConversion"/>
  </si>
  <si>
    <t>被评估者自我总结                 （简述上一阶段工作中取得成绩和存在问题）</t>
    <phoneticPr fontId="3" type="noConversion"/>
  </si>
  <si>
    <t>评估者综合  评估总结</t>
    <phoneticPr fontId="3" type="noConversion"/>
  </si>
  <si>
    <t>总结主要优点</t>
  </si>
  <si>
    <t>确定改进及发展需求</t>
    <phoneticPr fontId="3" type="noConversion"/>
  </si>
  <si>
    <t>标准编号</t>
    <phoneticPr fontId="3" type="noConversion"/>
  </si>
  <si>
    <t>工作考核具体目标和考核标准</t>
  </si>
  <si>
    <t>被评估者签名及日期</t>
    <phoneticPr fontId="3" type="noConversion"/>
  </si>
  <si>
    <t>评估者签名及日期</t>
    <phoneticPr fontId="3" type="noConversion"/>
  </si>
  <si>
    <t>总监评语及签名确认</t>
  </si>
  <si>
    <t>Employee</t>
    <phoneticPr fontId="3" type="noConversion"/>
  </si>
  <si>
    <t>Reviewer</t>
    <phoneticPr fontId="3" type="noConversion"/>
  </si>
  <si>
    <t>Review Cycle</t>
    <phoneticPr fontId="3" type="noConversion"/>
  </si>
  <si>
    <t>Department</t>
    <phoneticPr fontId="3" type="noConversion"/>
  </si>
  <si>
    <t>Position</t>
    <phoneticPr fontId="3" type="noConversion"/>
  </si>
  <si>
    <t>Join Date</t>
    <phoneticPr fontId="3" type="noConversion"/>
  </si>
  <si>
    <t>Date</t>
    <phoneticPr fontId="3" type="noConversion"/>
  </si>
  <si>
    <t>Categories</t>
    <phoneticPr fontId="3" type="noConversion"/>
  </si>
  <si>
    <t>Weight</t>
  </si>
  <si>
    <t>Total Score</t>
    <phoneticPr fontId="3" type="noConversion"/>
  </si>
  <si>
    <t xml:space="preserve">Performance Review Comparison </t>
    <phoneticPr fontId="3" type="noConversion"/>
  </si>
  <si>
    <t>Subtotal Score (Weight*Score)</t>
    <phoneticPr fontId="3" type="noConversion"/>
  </si>
  <si>
    <r>
      <t xml:space="preserve">Employee self assessment  </t>
    </r>
    <r>
      <rPr>
        <sz val="9"/>
        <rFont val="宋体"/>
        <charset val="134"/>
      </rPr>
      <t>（</t>
    </r>
    <r>
      <rPr>
        <sz val="9"/>
        <rFont val="Arial"/>
        <family val="2"/>
      </rPr>
      <t>1-100</t>
    </r>
    <r>
      <rPr>
        <sz val="9"/>
        <rFont val="宋体"/>
        <charset val="134"/>
      </rPr>
      <t>）</t>
    </r>
    <phoneticPr fontId="3" type="noConversion"/>
  </si>
  <si>
    <t>Job Performance Total Score:</t>
    <phoneticPr fontId="3" type="noConversion"/>
  </si>
  <si>
    <t>Categories</t>
    <phoneticPr fontId="3" type="noConversion"/>
  </si>
  <si>
    <t>Employee's Strength Evaluation      (30%)</t>
    <phoneticPr fontId="3" type="noConversion"/>
  </si>
  <si>
    <t>Weight</t>
    <phoneticPr fontId="3" type="noConversion"/>
  </si>
  <si>
    <t>Comments</t>
    <phoneticPr fontId="3" type="noConversion"/>
  </si>
  <si>
    <r>
      <t xml:space="preserve">Employee self assessment  </t>
    </r>
    <r>
      <rPr>
        <sz val="9"/>
        <rFont val="宋体"/>
        <charset val="134"/>
      </rPr>
      <t>（</t>
    </r>
    <r>
      <rPr>
        <sz val="9"/>
        <rFont val="Arial"/>
        <family val="2"/>
      </rPr>
      <t>1-100</t>
    </r>
    <r>
      <rPr>
        <sz val="9"/>
        <rFont val="宋体"/>
        <charset val="134"/>
      </rPr>
      <t>）</t>
    </r>
    <phoneticPr fontId="3" type="noConversion"/>
  </si>
  <si>
    <r>
      <t xml:space="preserve">Score by Reviewer   </t>
    </r>
    <r>
      <rPr>
        <sz val="9"/>
        <rFont val="宋体"/>
        <charset val="134"/>
      </rPr>
      <t>（</t>
    </r>
    <r>
      <rPr>
        <sz val="9"/>
        <rFont val="Arial"/>
        <family val="2"/>
      </rPr>
      <t>1-100</t>
    </r>
    <r>
      <rPr>
        <sz val="9"/>
        <rFont val="宋体"/>
        <charset val="134"/>
      </rPr>
      <t>）</t>
    </r>
    <phoneticPr fontId="3" type="noConversion"/>
  </si>
  <si>
    <t>Subtotal Score (Weight*Score)</t>
    <phoneticPr fontId="3" type="noConversion"/>
  </si>
  <si>
    <t xml:space="preserve">Effective Communication with superiors and subordinates. </t>
    <phoneticPr fontId="3" type="noConversion"/>
  </si>
  <si>
    <t>Employee's Strength Total Score:</t>
    <phoneticPr fontId="3" type="noConversion"/>
  </si>
  <si>
    <t>Employee's Statement</t>
    <phoneticPr fontId="3" type="noConversion"/>
  </si>
  <si>
    <t>Reviewer's Summary</t>
    <phoneticPr fontId="3" type="noConversion"/>
  </si>
  <si>
    <t>Employee's strength</t>
    <phoneticPr fontId="3" type="noConversion"/>
  </si>
  <si>
    <t>Identify improvements and development</t>
    <phoneticPr fontId="3" type="noConversion"/>
  </si>
  <si>
    <t>Categories</t>
    <phoneticPr fontId="3" type="noConversion"/>
  </si>
  <si>
    <t>Specific Goals and Objectives</t>
    <phoneticPr fontId="3" type="noConversion"/>
  </si>
  <si>
    <t>Weight</t>
    <phoneticPr fontId="3" type="noConversion"/>
  </si>
  <si>
    <t>Emplyee Signature &amp; Date</t>
    <phoneticPr fontId="3" type="noConversion"/>
  </si>
  <si>
    <t>Reviewer Signature &amp; Date</t>
    <phoneticPr fontId="3" type="noConversion"/>
  </si>
  <si>
    <t>Director's Approval and Signature</t>
    <phoneticPr fontId="3" type="noConversion"/>
  </si>
  <si>
    <r>
      <t xml:space="preserve">Score by Reviewer       </t>
    </r>
    <r>
      <rPr>
        <sz val="9"/>
        <rFont val="宋体"/>
        <charset val="134"/>
      </rPr>
      <t>（</t>
    </r>
    <r>
      <rPr>
        <sz val="9"/>
        <rFont val="Arial"/>
        <family val="2"/>
      </rPr>
      <t>1-100</t>
    </r>
    <r>
      <rPr>
        <sz val="9"/>
        <rFont val="宋体"/>
        <charset val="134"/>
      </rPr>
      <t>）</t>
    </r>
    <phoneticPr fontId="3" type="noConversion"/>
  </si>
  <si>
    <t>Team spirit, getting along with co-workers. Resolving confilict in a positive and constructive manner.</t>
    <phoneticPr fontId="3" type="noConversion"/>
  </si>
  <si>
    <t>Have discinpline, and in full compliance with company employee code of conduct. Actively paticipate company activities. Demostrate proud ownership of company.</t>
    <phoneticPr fontId="3" type="noConversion"/>
  </si>
  <si>
    <t>Creativity, can do altitude, and willing to take up challenge.</t>
    <phoneticPr fontId="3" type="noConversion"/>
  </si>
  <si>
    <r>
      <t xml:space="preserve">Managers: </t>
    </r>
    <r>
      <rPr>
        <sz val="9"/>
        <rFont val="Arial"/>
        <family val="2"/>
      </rPr>
      <t>Lead the team to get work done effectively and efficiently.</t>
    </r>
    <phoneticPr fontId="3" type="noConversion"/>
  </si>
  <si>
    <r>
      <t xml:space="preserve">Managers: </t>
    </r>
    <r>
      <rPr>
        <sz val="9"/>
        <rFont val="Arial"/>
        <family val="2"/>
      </rPr>
      <t>Demonstrate leadship in team building, can recruit effectively, &amp; mentor and train new employees.</t>
    </r>
    <phoneticPr fontId="3" type="noConversion"/>
  </si>
  <si>
    <t>员工年度考核表</t>
    <phoneticPr fontId="3" type="noConversion"/>
  </si>
  <si>
    <t xml:space="preserve">                Employee Performance Appraisal Form</t>
    <phoneticPr fontId="3" type="noConversion"/>
  </si>
  <si>
    <t>年       月     日</t>
    <phoneticPr fontId="3" type="noConversion"/>
  </si>
  <si>
    <t>MM   /   DD  /  YYYY</t>
    <phoneticPr fontId="3" type="noConversion"/>
  </si>
  <si>
    <r>
      <t xml:space="preserve">Work Summary 
by </t>
    </r>
    <r>
      <rPr>
        <b/>
        <sz val="9"/>
        <rFont val="Arial"/>
        <family val="2"/>
      </rPr>
      <t>Employee</t>
    </r>
    <phoneticPr fontId="3" type="noConversion"/>
  </si>
  <si>
    <r>
      <t xml:space="preserve">Actual results (goals completed as established) by </t>
    </r>
    <r>
      <rPr>
        <b/>
        <sz val="9"/>
        <rFont val="Arial"/>
        <family val="2"/>
      </rPr>
      <t>Reviewer</t>
    </r>
    <phoneticPr fontId="3" type="noConversion"/>
  </si>
  <si>
    <t>被评估者
自我陈述工作完成情况</t>
    <phoneticPr fontId="3" type="noConversion"/>
  </si>
  <si>
    <t>纪律性强，自觉遵守公司各项制度，不无故迟到早退或旷工；积极参加公司各项活动，关心公司发展并积极提出合理化建议。</t>
    <phoneticPr fontId="3" type="noConversion"/>
  </si>
  <si>
    <r>
      <t xml:space="preserve">2017 </t>
    </r>
    <r>
      <rPr>
        <sz val="9"/>
        <rFont val="宋体"/>
        <charset val="134"/>
      </rPr>
      <t>（</t>
    </r>
    <r>
      <rPr>
        <sz val="9"/>
        <rFont val="Arial"/>
        <family val="2"/>
      </rPr>
      <t>1H</t>
    </r>
    <r>
      <rPr>
        <sz val="9"/>
        <rFont val="宋体"/>
        <charset val="134"/>
      </rPr>
      <t>）</t>
    </r>
    <phoneticPr fontId="3" type="noConversion"/>
  </si>
  <si>
    <r>
      <t xml:space="preserve">Job Performance Evaluation </t>
    </r>
    <r>
      <rPr>
        <sz val="9"/>
        <rFont val="宋体"/>
        <charset val="134"/>
      </rPr>
      <t>（</t>
    </r>
    <r>
      <rPr>
        <sz val="9"/>
        <rFont val="Arial"/>
        <family val="2"/>
      </rPr>
      <t>70%</t>
    </r>
    <r>
      <rPr>
        <sz val="9"/>
        <rFont val="宋体"/>
        <charset val="134"/>
      </rPr>
      <t xml:space="preserve">）
</t>
    </r>
    <r>
      <rPr>
        <sz val="9"/>
        <rFont val="Arial"/>
        <family val="2"/>
      </rPr>
      <t>(Compare with the targets after 2016 2H Review)</t>
    </r>
    <phoneticPr fontId="3" type="noConversion"/>
  </si>
  <si>
    <r>
      <t>Goals for Next review Cycle</t>
    </r>
    <r>
      <rPr>
        <sz val="9"/>
        <color indexed="8"/>
        <rFont val="宋体"/>
        <charset val="134"/>
      </rPr>
      <t>（</t>
    </r>
    <r>
      <rPr>
        <sz val="9"/>
        <color indexed="8"/>
        <rFont val="Arial"/>
        <family val="2"/>
      </rPr>
      <t>From</t>
    </r>
    <r>
      <rPr>
        <sz val="9"/>
        <color indexed="8"/>
        <rFont val="宋体"/>
        <charset val="134"/>
      </rPr>
      <t>：　</t>
    </r>
    <r>
      <rPr>
        <sz val="9"/>
        <color indexed="8"/>
        <rFont val="Arial"/>
        <family val="2"/>
      </rPr>
      <t>7/1/2017            To          12/31/2017)</t>
    </r>
    <phoneticPr fontId="3" type="noConversion"/>
  </si>
  <si>
    <r>
      <t>2017</t>
    </r>
    <r>
      <rPr>
        <sz val="10"/>
        <rFont val="宋体"/>
        <charset val="134"/>
      </rPr>
      <t xml:space="preserve"> （</t>
    </r>
    <r>
      <rPr>
        <sz val="10"/>
        <rFont val="宋体"/>
        <charset val="134"/>
      </rPr>
      <t>1</t>
    </r>
    <r>
      <rPr>
        <sz val="10"/>
        <rFont val="宋体"/>
        <charset val="134"/>
      </rPr>
      <t>H）</t>
    </r>
    <phoneticPr fontId="3" type="noConversion"/>
  </si>
  <si>
    <r>
      <t>工作内容考核要素 （70%）           （包含但不局限于2016年2</t>
    </r>
    <r>
      <rPr>
        <sz val="10"/>
        <rFont val="宋体"/>
        <charset val="134"/>
      </rPr>
      <t>H调整后的</t>
    </r>
    <r>
      <rPr>
        <sz val="10"/>
        <rFont val="宋体"/>
        <charset val="134"/>
      </rPr>
      <t>工作目标）</t>
    </r>
    <phoneticPr fontId="3" type="noConversion"/>
  </si>
  <si>
    <r>
      <t>下一阶段工作考核目标（时间：　</t>
    </r>
    <r>
      <rPr>
        <u/>
        <sz val="10"/>
        <color indexed="8"/>
        <rFont val="宋体"/>
        <charset val="134"/>
      </rPr>
      <t xml:space="preserve">    2017年7月1日         </t>
    </r>
    <r>
      <rPr>
        <sz val="10"/>
        <color indexed="8"/>
        <rFont val="宋体"/>
        <charset val="134"/>
      </rPr>
      <t xml:space="preserve">　至  </t>
    </r>
    <r>
      <rPr>
        <u/>
        <sz val="10"/>
        <color indexed="8"/>
        <rFont val="宋体"/>
        <charset val="134"/>
      </rPr>
      <t xml:space="preserve">   2017年12月31日          </t>
    </r>
    <r>
      <rPr>
        <sz val="10"/>
        <color indexed="8"/>
        <rFont val="宋体"/>
        <charset val="134"/>
      </rPr>
      <t xml:space="preserve"> )</t>
    </r>
    <phoneticPr fontId="3" type="noConversion"/>
  </si>
  <si>
    <t>Mengyuan Zhang</t>
    <phoneticPr fontId="3" type="noConversion"/>
  </si>
  <si>
    <t>Assistant test engineer</t>
    <phoneticPr fontId="3" type="noConversion"/>
  </si>
  <si>
    <t>06/28/2016</t>
    <phoneticPr fontId="3" type="noConversion"/>
  </si>
  <si>
    <t xml:space="preserve"> AP27 debug and mass production</t>
    <phoneticPr fontId="3" type="noConversion"/>
  </si>
  <si>
    <t>AP76 CP test and new version debug</t>
    <phoneticPr fontId="3" type="noConversion"/>
  </si>
  <si>
    <t>Assist team members to finish the test work</t>
    <phoneticPr fontId="3" type="noConversion"/>
  </si>
  <si>
    <t>Familiar with the factory operation process</t>
    <phoneticPr fontId="3" type="noConversion"/>
  </si>
  <si>
    <r>
      <t>assist  DE to finish the redesign and dubug task,complete the experiment group and engineering group tests</t>
    </r>
    <r>
      <rPr>
        <sz val="9"/>
        <rFont val="宋体"/>
        <charset val="134"/>
      </rPr>
      <t>，</t>
    </r>
    <r>
      <rPr>
        <sz val="9"/>
        <rFont val="Arial"/>
        <family val="2"/>
      </rPr>
      <t>finish customers' demand and prepare to mass production</t>
    </r>
    <phoneticPr fontId="3" type="noConversion"/>
  </si>
  <si>
    <r>
      <t>finish the CP test and current version debug works,communicate with DE in time to solve problems</t>
    </r>
    <r>
      <rPr>
        <sz val="9"/>
        <rFont val="宋体"/>
        <charset val="134"/>
      </rPr>
      <t/>
    </r>
    <phoneticPr fontId="3" type="noConversion"/>
  </si>
  <si>
    <r>
      <t xml:space="preserve">familiar with the  operation process of CP factory and FT factory </t>
    </r>
    <r>
      <rPr>
        <sz val="9"/>
        <rFont val="宋体"/>
        <charset val="134"/>
      </rPr>
      <t/>
    </r>
    <phoneticPr fontId="3" type="noConversion"/>
  </si>
  <si>
    <t>help others to finish test work in the busy time</t>
    <phoneticPr fontId="3" type="noConversion"/>
  </si>
  <si>
    <t>complete the P3 of AP27</t>
    <phoneticPr fontId="3" type="noConversion"/>
  </si>
  <si>
    <t>Macky</t>
    <phoneticPr fontId="3" type="noConversion"/>
  </si>
  <si>
    <t>Test</t>
    <phoneticPr fontId="3" type="noConversion"/>
  </si>
  <si>
    <t>TE-Manager</t>
    <phoneticPr fontId="3" type="noConversion"/>
  </si>
  <si>
    <r>
      <t xml:space="preserve">         During the past six months,I think I learn a lot of things.First,compared to the first half year when i need collegues to help me with everything,now i am able to work independently like product preliminary debugging;encountered with problems during product debugging ,i've learnd to think independently,analyze source and try my best to solve it.Second,    two travel experience let me to know more about the industry, understand the whole process of the products, from the design and debugging to the whole process of production, and realize the difference between the actual test and lab debug,so i should improve my temporary response ability, accumulate experience, and to keep up, find countermeasures in time, save the time.Finally, I also realized that my own shortcomings. Once encounter problems in the process of debugging ,i'll always be panic, no clear thinking,also  too dependent on others' help,which  lead to low productivity, so in future  I want to improve the ability of independent thinking,be more  good at summarizing, and enhance the ability of independent debugging
   </t>
    </r>
    <r>
      <rPr>
        <sz val="9"/>
        <rFont val="宋体"/>
        <charset val="134"/>
      </rPr>
      <t/>
    </r>
    <phoneticPr fontId="3" type="noConversion"/>
  </si>
  <si>
    <t>done</t>
    <phoneticPr fontId="3" type="noConversion"/>
  </si>
  <si>
    <t>Need to work independently with a  positive attitude</t>
    <phoneticPr fontId="3" type="noConversion"/>
  </si>
  <si>
    <t>Need a more positive working attitude</t>
  </si>
  <si>
    <t>Need to strengthen communication skills</t>
  </si>
  <si>
    <t>Need to improve creativity</t>
  </si>
  <si>
    <t xml:space="preserve">
Strong learning ability</t>
    <phoneticPr fontId="3" type="noConversion"/>
  </si>
  <si>
    <t>Discipline needs to be observed</t>
    <phoneticPr fontId="3" type="noConversion"/>
  </si>
  <si>
    <t>take over at least a new project and complete the preliminary debugging</t>
    <phoneticPr fontId="3" type="noConversion"/>
  </si>
  <si>
    <t xml:space="preserve">complete the AP76 new version debugging </t>
    <phoneticPr fontId="3" type="noConversion"/>
  </si>
</sst>
</file>

<file path=xl/styles.xml><?xml version="1.0" encoding="utf-8"?>
<styleSheet xmlns="http://schemas.openxmlformats.org/spreadsheetml/2006/main">
  <numFmts count="1">
    <numFmt numFmtId="176" formatCode="0.00_);[Red]\(0.00\)"/>
  </numFmts>
  <fonts count="15">
    <font>
      <sz val="12"/>
      <name val="宋体"/>
      <charset val="134"/>
    </font>
    <font>
      <sz val="12"/>
      <name val="宋体"/>
      <charset val="134"/>
    </font>
    <font>
      <sz val="10"/>
      <name val="宋体"/>
      <charset val="134"/>
    </font>
    <font>
      <sz val="9"/>
      <name val="宋体"/>
      <charset val="134"/>
    </font>
    <font>
      <sz val="10"/>
      <color indexed="8"/>
      <name val="宋体"/>
      <charset val="134"/>
    </font>
    <font>
      <u/>
      <sz val="10"/>
      <color indexed="8"/>
      <name val="宋体"/>
      <charset val="134"/>
    </font>
    <font>
      <sz val="9"/>
      <name val="Arial"/>
      <family val="2"/>
    </font>
    <font>
      <sz val="9"/>
      <color indexed="8"/>
      <name val="Arial"/>
      <family val="2"/>
    </font>
    <font>
      <sz val="9"/>
      <color indexed="8"/>
      <name val="宋体"/>
      <charset val="134"/>
    </font>
    <font>
      <b/>
      <sz val="9"/>
      <name val="Arial"/>
      <family val="2"/>
    </font>
    <font>
      <b/>
      <sz val="10"/>
      <name val="Arial"/>
      <family val="2"/>
    </font>
    <font>
      <sz val="9"/>
      <name val="宋体"/>
      <charset val="134"/>
    </font>
    <font>
      <sz val="10"/>
      <name val="宋体"/>
      <charset val="134"/>
    </font>
    <font>
      <sz val="9"/>
      <name val="宋体"/>
      <charset val="134"/>
    </font>
    <font>
      <sz val="10"/>
      <name val="宋体"/>
      <charset val="134"/>
    </font>
  </fonts>
  <fills count="3">
    <fill>
      <patternFill patternType="none"/>
    </fill>
    <fill>
      <patternFill patternType="gray125"/>
    </fill>
    <fill>
      <patternFill patternType="solid">
        <fgColor indexed="13"/>
        <bgColor indexed="64"/>
      </patternFill>
    </fill>
  </fills>
  <borders count="5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thin">
        <color indexed="64"/>
      </right>
      <top style="double">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s>
  <cellStyleXfs count="3">
    <xf numFmtId="0" fontId="0" fillId="0" borderId="0">
      <alignment vertical="center"/>
    </xf>
    <xf numFmtId="0" fontId="1" fillId="0" borderId="0"/>
    <xf numFmtId="0" fontId="1" fillId="0" borderId="0"/>
  </cellStyleXfs>
  <cellXfs count="209">
    <xf numFmtId="0" fontId="0" fillId="0" borderId="0" xfId="0">
      <alignment vertical="center"/>
    </xf>
    <xf numFmtId="0" fontId="2" fillId="0" borderId="0" xfId="0" applyFont="1" applyFill="1" applyBorder="1" applyAlignment="1">
      <alignment horizontal="center" vertical="center" wrapText="1"/>
    </xf>
    <xf numFmtId="176" fontId="2" fillId="0" borderId="1" xfId="1" applyNumberFormat="1" applyFont="1" applyFill="1" applyBorder="1" applyAlignment="1">
      <alignment horizontal="center" vertical="center" wrapText="1"/>
    </xf>
    <xf numFmtId="176" fontId="2" fillId="0" borderId="2" xfId="1"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76" fontId="2" fillId="0" borderId="3" xfId="1"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176" fontId="2" fillId="0" borderId="5" xfId="1" applyNumberFormat="1" applyFont="1" applyFill="1" applyBorder="1" applyAlignment="1">
      <alignment horizontal="center" vertical="center" wrapText="1"/>
    </xf>
    <xf numFmtId="176" fontId="2" fillId="0" borderId="6" xfId="1" applyNumberFormat="1" applyFont="1" applyFill="1" applyBorder="1" applyAlignment="1">
      <alignment horizontal="center" vertical="center" wrapText="1"/>
    </xf>
    <xf numFmtId="176" fontId="2" fillId="0" borderId="7" xfId="1" applyNumberFormat="1"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2" fillId="0" borderId="0" xfId="2" applyFont="1" applyFill="1" applyBorder="1" applyAlignment="1">
      <alignment horizontal="center" vertical="center" wrapText="1"/>
    </xf>
    <xf numFmtId="0" fontId="4" fillId="0" borderId="6" xfId="0" applyFont="1" applyFill="1" applyBorder="1" applyAlignment="1">
      <alignment horizontal="center" vertical="center" wrapText="1"/>
    </xf>
    <xf numFmtId="9" fontId="2" fillId="0" borderId="5" xfId="0" applyNumberFormat="1" applyFont="1" applyFill="1" applyBorder="1" applyAlignment="1">
      <alignment horizontal="center" vertical="center" wrapText="1"/>
    </xf>
    <xf numFmtId="0" fontId="6" fillId="0" borderId="0" xfId="0" applyFont="1" applyFill="1" applyBorder="1" applyAlignment="1">
      <alignment horizontal="center" vertical="center" wrapText="1"/>
    </xf>
    <xf numFmtId="176" fontId="6" fillId="0" borderId="1" xfId="1" applyNumberFormat="1" applyFont="1" applyFill="1" applyBorder="1" applyAlignment="1">
      <alignment horizontal="center" vertical="center" wrapText="1"/>
    </xf>
    <xf numFmtId="176" fontId="6" fillId="0" borderId="2" xfId="1"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176" fontId="6" fillId="0" borderId="3" xfId="1"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176" fontId="6" fillId="0" borderId="5" xfId="1" applyNumberFormat="1" applyFont="1" applyFill="1" applyBorder="1" applyAlignment="1">
      <alignment horizontal="center" vertical="center" wrapText="1"/>
    </xf>
    <xf numFmtId="176" fontId="6" fillId="0" borderId="7" xfId="1" applyNumberFormat="1"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5" xfId="0" applyFont="1" applyFill="1" applyBorder="1" applyAlignment="1">
      <alignment horizontal="center" vertical="center" wrapText="1"/>
    </xf>
    <xf numFmtId="9" fontId="6" fillId="0" borderId="5" xfId="0" applyNumberFormat="1"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6" fillId="0" borderId="0" xfId="2" applyFont="1" applyFill="1" applyBorder="1" applyAlignment="1">
      <alignment horizontal="center" vertical="center" wrapText="1"/>
    </xf>
    <xf numFmtId="0" fontId="7" fillId="0" borderId="6"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0" borderId="42"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2" fillId="0" borderId="50"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2" fillId="0" borderId="5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22" xfId="0" applyFont="1" applyFill="1" applyBorder="1" applyAlignment="1">
      <alignment horizontal="center" vertical="center" wrapText="1"/>
    </xf>
    <xf numFmtId="9" fontId="4" fillId="0" borderId="4" xfId="0" applyNumberFormat="1"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52" xfId="0" applyFont="1" applyFill="1" applyBorder="1" applyAlignment="1">
      <alignment horizontal="center" vertical="center" wrapText="1"/>
    </xf>
    <xf numFmtId="0" fontId="4" fillId="0" borderId="33" xfId="0" applyFont="1" applyFill="1" applyBorder="1" applyAlignment="1">
      <alignment horizontal="center" vertical="center" wrapText="1"/>
    </xf>
    <xf numFmtId="0" fontId="4" fillId="0" borderId="32" xfId="0" applyFont="1" applyFill="1" applyBorder="1" applyAlignment="1">
      <alignment horizontal="center" vertical="center" wrapText="1"/>
    </xf>
    <xf numFmtId="0" fontId="4" fillId="0" borderId="48"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49"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38" xfId="0" applyFont="1" applyFill="1" applyBorder="1" applyAlignment="1">
      <alignment horizontal="center" vertical="center" wrapText="1"/>
    </xf>
    <xf numFmtId="0" fontId="4" fillId="0" borderId="39" xfId="0" applyFont="1" applyFill="1" applyBorder="1" applyAlignment="1">
      <alignment horizontal="center" vertical="center" wrapText="1"/>
    </xf>
    <xf numFmtId="0" fontId="4" fillId="0" borderId="40"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38" xfId="0" applyFont="1" applyFill="1" applyBorder="1" applyAlignment="1">
      <alignment horizontal="center" vertical="center" wrapText="1"/>
    </xf>
    <xf numFmtId="0" fontId="2" fillId="0" borderId="39" xfId="0" applyFont="1" applyFill="1" applyBorder="1" applyAlignment="1">
      <alignment horizontal="center" vertical="center" wrapText="1"/>
    </xf>
    <xf numFmtId="0" fontId="2" fillId="0" borderId="40" xfId="0" applyFont="1" applyFill="1" applyBorder="1" applyAlignment="1">
      <alignment horizontal="center" vertical="center" wrapText="1"/>
    </xf>
    <xf numFmtId="0" fontId="4" fillId="0" borderId="46"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34" xfId="0" applyFont="1" applyFill="1" applyBorder="1" applyAlignment="1">
      <alignment horizontal="left" vertical="center" wrapText="1"/>
    </xf>
    <xf numFmtId="0" fontId="4" fillId="0" borderId="47"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20" xfId="0" applyFont="1" applyFill="1" applyBorder="1" applyAlignment="1">
      <alignment horizontal="left" vertical="center" wrapText="1"/>
    </xf>
    <xf numFmtId="0" fontId="2" fillId="0" borderId="21"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4" fillId="0" borderId="42" xfId="0" applyFont="1" applyFill="1" applyBorder="1" applyAlignment="1">
      <alignment horizontal="right" vertical="center" wrapText="1"/>
    </xf>
    <xf numFmtId="0" fontId="4" fillId="0" borderId="43" xfId="0" applyFont="1" applyFill="1" applyBorder="1" applyAlignment="1">
      <alignment horizontal="right" vertical="center" wrapText="1"/>
    </xf>
    <xf numFmtId="0" fontId="4" fillId="0" borderId="44" xfId="0" applyFont="1" applyFill="1" applyBorder="1" applyAlignment="1">
      <alignment horizontal="right" vertical="center" wrapText="1"/>
    </xf>
    <xf numFmtId="0" fontId="14"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45"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4" fillId="0" borderId="37" xfId="0" applyFont="1" applyFill="1" applyBorder="1" applyAlignment="1">
      <alignment horizontal="right" vertical="center" wrapText="1"/>
    </xf>
    <xf numFmtId="0" fontId="4" fillId="0" borderId="24" xfId="0" applyFont="1" applyFill="1" applyBorder="1" applyAlignment="1">
      <alignment horizontal="right" vertical="center" wrapText="1"/>
    </xf>
    <xf numFmtId="0" fontId="4" fillId="0" borderId="25" xfId="0" applyFont="1" applyFill="1" applyBorder="1" applyAlignment="1">
      <alignment horizontal="right" vertical="center" wrapText="1"/>
    </xf>
    <xf numFmtId="0" fontId="2" fillId="0" borderId="10" xfId="0" applyFont="1" applyFill="1" applyBorder="1" applyAlignment="1">
      <alignment horizontal="center" vertical="center" wrapText="1"/>
    </xf>
    <xf numFmtId="0" fontId="2" fillId="0" borderId="34"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2" fillId="0" borderId="41"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31"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176" fontId="2" fillId="0" borderId="34" xfId="1" applyNumberFormat="1" applyFont="1" applyFill="1" applyBorder="1" applyAlignment="1">
      <alignment horizontal="center" vertical="center" wrapText="1"/>
    </xf>
    <xf numFmtId="176" fontId="2" fillId="0" borderId="35" xfId="1" applyNumberFormat="1" applyFont="1" applyFill="1" applyBorder="1" applyAlignment="1">
      <alignment horizontal="center" vertical="center" wrapText="1"/>
    </xf>
    <xf numFmtId="176" fontId="2" fillId="0" borderId="36" xfId="1" applyNumberFormat="1" applyFont="1" applyFill="1" applyBorder="1" applyAlignment="1">
      <alignment horizontal="center" vertical="center" wrapText="1"/>
    </xf>
    <xf numFmtId="176" fontId="2" fillId="0" borderId="4" xfId="1" applyNumberFormat="1" applyFont="1" applyFill="1" applyBorder="1" applyAlignment="1">
      <alignment horizontal="center" vertical="center" wrapText="1"/>
    </xf>
    <xf numFmtId="176" fontId="2" fillId="0" borderId="20" xfId="1"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2" fillId="0" borderId="25" xfId="0" applyFont="1" applyFill="1" applyBorder="1" applyAlignment="1">
      <alignment horizontal="center" vertical="center" wrapText="1"/>
    </xf>
    <xf numFmtId="176" fontId="2" fillId="0" borderId="23" xfId="1" applyNumberFormat="1" applyFont="1" applyFill="1" applyBorder="1" applyAlignment="1">
      <alignment horizontal="center" vertical="center" wrapText="1"/>
    </xf>
    <xf numFmtId="176" fontId="2" fillId="0" borderId="24" xfId="1" applyNumberFormat="1" applyFont="1" applyFill="1" applyBorder="1" applyAlignment="1">
      <alignment horizontal="center" vertical="center" wrapText="1"/>
    </xf>
    <xf numFmtId="176" fontId="2" fillId="0" borderId="26" xfId="1" applyNumberFormat="1" applyFont="1" applyFill="1" applyBorder="1" applyAlignment="1">
      <alignment horizontal="center" vertical="center" wrapText="1"/>
    </xf>
    <xf numFmtId="176" fontId="2" fillId="0" borderId="27" xfId="1" applyNumberFormat="1" applyFont="1" applyFill="1" applyBorder="1" applyAlignment="1">
      <alignment horizontal="center" vertical="center" wrapText="1"/>
    </xf>
    <xf numFmtId="176" fontId="2" fillId="0" borderId="28" xfId="1" applyNumberFormat="1" applyFont="1" applyFill="1" applyBorder="1" applyAlignment="1">
      <alignment horizontal="center" vertical="center" wrapText="1"/>
    </xf>
    <xf numFmtId="176" fontId="2" fillId="0" borderId="29" xfId="1"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6" xfId="0" applyFont="1" applyFill="1" applyBorder="1" applyAlignment="1">
      <alignment horizontal="right" vertical="center" wrapText="1"/>
    </xf>
    <xf numFmtId="0" fontId="2" fillId="0" borderId="18" xfId="0" applyFont="1" applyFill="1" applyBorder="1" applyAlignment="1">
      <alignment horizontal="center" vertical="center" wrapText="1"/>
    </xf>
    <xf numFmtId="176" fontId="2" fillId="0" borderId="17" xfId="1" applyNumberFormat="1" applyFont="1" applyFill="1" applyBorder="1" applyAlignment="1">
      <alignment horizontal="center" vertical="center" wrapText="1"/>
    </xf>
    <xf numFmtId="176" fontId="2" fillId="0" borderId="18" xfId="1" applyNumberFormat="1" applyFont="1" applyFill="1" applyBorder="1" applyAlignment="1">
      <alignment horizontal="center" vertical="center" wrapText="1"/>
    </xf>
    <xf numFmtId="0" fontId="2" fillId="0" borderId="19"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20" xfId="0" applyFont="1" applyFill="1" applyBorder="1" applyAlignment="1">
      <alignment horizontal="center" vertical="center" wrapText="1"/>
    </xf>
    <xf numFmtId="176" fontId="6" fillId="0" borderId="4" xfId="1" applyNumberFormat="1" applyFont="1" applyFill="1" applyBorder="1" applyAlignment="1">
      <alignment horizontal="center" vertical="center" wrapText="1"/>
    </xf>
    <xf numFmtId="176" fontId="6" fillId="0" borderId="20" xfId="1" applyNumberFormat="1"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22" xfId="0" applyFont="1" applyFill="1" applyBorder="1" applyAlignment="1">
      <alignment horizontal="center" vertical="center" wrapText="1"/>
    </xf>
    <xf numFmtId="176" fontId="6" fillId="0" borderId="23" xfId="1" applyNumberFormat="1" applyFont="1" applyFill="1" applyBorder="1" applyAlignment="1">
      <alignment horizontal="center" vertical="center" wrapText="1"/>
    </xf>
    <xf numFmtId="176" fontId="6" fillId="0" borderId="24" xfId="1" applyNumberFormat="1" applyFont="1" applyFill="1" applyBorder="1" applyAlignment="1">
      <alignment horizontal="center" vertical="center" wrapText="1"/>
    </xf>
    <xf numFmtId="176" fontId="6" fillId="0" borderId="26" xfId="1"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176" fontId="6" fillId="0" borderId="17" xfId="1" applyNumberFormat="1" applyFont="1" applyFill="1" applyBorder="1" applyAlignment="1">
      <alignment horizontal="center" vertical="center" wrapText="1"/>
    </xf>
    <xf numFmtId="176" fontId="6" fillId="0" borderId="18" xfId="1" applyNumberFormat="1" applyFont="1" applyFill="1" applyBorder="1" applyAlignment="1">
      <alignment horizontal="center" vertical="center" wrapText="1"/>
    </xf>
    <xf numFmtId="0" fontId="6" fillId="0" borderId="19" xfId="0" applyFont="1" applyFill="1" applyBorder="1" applyAlignment="1">
      <alignment horizontal="center" vertical="center" wrapText="1"/>
    </xf>
    <xf numFmtId="176" fontId="6" fillId="0" borderId="27" xfId="1" applyNumberFormat="1" applyFont="1" applyFill="1" applyBorder="1" applyAlignment="1">
      <alignment horizontal="center" vertical="center" wrapText="1"/>
    </xf>
    <xf numFmtId="176" fontId="6" fillId="0" borderId="28" xfId="1" applyNumberFormat="1" applyFont="1" applyFill="1" applyBorder="1" applyAlignment="1">
      <alignment horizontal="center" vertical="center" wrapText="1"/>
    </xf>
    <xf numFmtId="176" fontId="6" fillId="0" borderId="29" xfId="1" applyNumberFormat="1"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30"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32" xfId="0" applyFont="1" applyFill="1" applyBorder="1" applyAlignment="1">
      <alignment horizontal="center" vertical="center" wrapText="1"/>
    </xf>
    <xf numFmtId="0" fontId="6" fillId="0" borderId="33" xfId="0" applyFont="1" applyFill="1" applyBorder="1" applyAlignment="1">
      <alignment horizontal="center" vertical="center" wrapText="1"/>
    </xf>
    <xf numFmtId="176" fontId="6" fillId="0" borderId="34" xfId="1" applyNumberFormat="1" applyFont="1" applyFill="1" applyBorder="1" applyAlignment="1">
      <alignment horizontal="center" vertical="center" wrapText="1"/>
    </xf>
    <xf numFmtId="176" fontId="6" fillId="0" borderId="35" xfId="1" applyNumberFormat="1" applyFont="1" applyFill="1" applyBorder="1" applyAlignment="1">
      <alignment horizontal="center" vertical="center" wrapText="1"/>
    </xf>
    <xf numFmtId="176" fontId="6" fillId="0" borderId="36" xfId="1" applyNumberFormat="1" applyFont="1" applyFill="1" applyBorder="1" applyAlignment="1">
      <alignment horizontal="center" vertical="center" wrapText="1"/>
    </xf>
    <xf numFmtId="0" fontId="6" fillId="0" borderId="5"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7" fillId="0" borderId="37" xfId="0" applyFont="1" applyFill="1" applyBorder="1" applyAlignment="1">
      <alignment horizontal="right" vertical="center" wrapText="1"/>
    </xf>
    <xf numFmtId="0" fontId="7" fillId="0" borderId="24" xfId="0" applyFont="1" applyFill="1" applyBorder="1" applyAlignment="1">
      <alignment horizontal="right" vertical="center" wrapText="1"/>
    </xf>
    <xf numFmtId="0" fontId="7" fillId="0" borderId="25" xfId="0" applyFont="1" applyFill="1" applyBorder="1" applyAlignment="1">
      <alignment horizontal="right" vertical="center" wrapText="1"/>
    </xf>
    <xf numFmtId="0" fontId="6" fillId="0" borderId="4" xfId="0" applyFont="1" applyFill="1" applyBorder="1" applyAlignment="1">
      <alignment horizontal="left" vertical="center" wrapText="1"/>
    </xf>
    <xf numFmtId="0" fontId="6" fillId="0" borderId="20" xfId="0" applyFont="1" applyFill="1" applyBorder="1" applyAlignment="1">
      <alignment horizontal="left" vertical="center" wrapText="1"/>
    </xf>
    <xf numFmtId="0" fontId="7" fillId="0" borderId="38" xfId="0" applyFont="1" applyFill="1" applyBorder="1" applyAlignment="1">
      <alignment horizontal="center" vertical="center" wrapText="1"/>
    </xf>
    <xf numFmtId="0" fontId="7" fillId="0" borderId="39" xfId="0" applyFont="1" applyFill="1" applyBorder="1" applyAlignment="1">
      <alignment horizontal="center" vertical="center" wrapText="1"/>
    </xf>
    <xf numFmtId="0" fontId="7" fillId="0" borderId="40"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41"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7" fillId="0" borderId="42" xfId="0" applyFont="1" applyFill="1" applyBorder="1" applyAlignment="1">
      <alignment horizontal="right" vertical="center" wrapText="1"/>
    </xf>
    <xf numFmtId="0" fontId="7" fillId="0" borderId="43" xfId="0" applyFont="1" applyFill="1" applyBorder="1" applyAlignment="1">
      <alignment horizontal="right" vertical="center" wrapText="1"/>
    </xf>
    <xf numFmtId="0" fontId="7" fillId="0" borderId="44" xfId="0" applyFont="1" applyFill="1" applyBorder="1" applyAlignment="1">
      <alignment horizontal="right" vertical="center" wrapText="1"/>
    </xf>
    <xf numFmtId="0" fontId="7" fillId="0" borderId="46"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34" xfId="0" applyFont="1" applyFill="1" applyBorder="1" applyAlignment="1">
      <alignment horizontal="left" vertical="center" wrapText="1"/>
    </xf>
    <xf numFmtId="0" fontId="7" fillId="0" borderId="47" xfId="0" applyFont="1" applyFill="1" applyBorder="1" applyAlignment="1">
      <alignment horizontal="left" vertical="center" wrapText="1"/>
    </xf>
    <xf numFmtId="0" fontId="7" fillId="0" borderId="5"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22" xfId="0"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38" xfId="0" applyFont="1" applyFill="1" applyBorder="1" applyAlignment="1">
      <alignment horizontal="center" vertical="center" wrapText="1"/>
    </xf>
    <xf numFmtId="0" fontId="6" fillId="0" borderId="39" xfId="0" applyFont="1" applyFill="1" applyBorder="1" applyAlignment="1">
      <alignment horizontal="center" vertical="center" wrapText="1"/>
    </xf>
    <xf numFmtId="0" fontId="6" fillId="0" borderId="40"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23" xfId="0" applyFont="1" applyFill="1" applyBorder="1" applyAlignment="1">
      <alignment horizontal="center" vertical="center" wrapText="1"/>
    </xf>
    <xf numFmtId="0" fontId="7" fillId="0" borderId="26" xfId="0" applyFont="1" applyFill="1" applyBorder="1" applyAlignment="1">
      <alignment horizontal="center" vertical="center" wrapText="1"/>
    </xf>
    <xf numFmtId="0" fontId="6" fillId="0" borderId="42" xfId="0" applyFont="1" applyFill="1" applyBorder="1" applyAlignment="1">
      <alignment horizontal="center" vertical="center" wrapText="1"/>
    </xf>
    <xf numFmtId="0" fontId="6" fillId="0" borderId="44" xfId="0" applyFont="1" applyFill="1" applyBorder="1" applyAlignment="1">
      <alignment horizontal="center" vertical="center" wrapText="1"/>
    </xf>
    <xf numFmtId="0" fontId="6" fillId="0" borderId="50" xfId="0" applyFont="1" applyFill="1" applyBorder="1" applyAlignment="1">
      <alignment horizontal="center" vertical="center" wrapText="1"/>
    </xf>
    <xf numFmtId="0" fontId="6" fillId="0" borderId="43" xfId="0" applyFont="1" applyFill="1" applyBorder="1" applyAlignment="1">
      <alignment horizontal="center" vertical="center" wrapText="1"/>
    </xf>
    <xf numFmtId="0" fontId="6" fillId="0" borderId="51" xfId="0" applyFont="1" applyFill="1" applyBorder="1" applyAlignment="1">
      <alignment horizontal="center" vertical="center" wrapText="1"/>
    </xf>
    <xf numFmtId="176" fontId="6" fillId="0" borderId="37" xfId="1" applyNumberFormat="1" applyFont="1" applyFill="1" applyBorder="1" applyAlignment="1">
      <alignment horizontal="center" vertical="center" wrapText="1"/>
    </xf>
    <xf numFmtId="176" fontId="6" fillId="0" borderId="25" xfId="1" applyNumberFormat="1" applyFont="1" applyFill="1" applyBorder="1" applyAlignment="1">
      <alignment horizontal="center" vertical="center" wrapText="1"/>
    </xf>
    <xf numFmtId="0" fontId="6" fillId="0" borderId="23"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7" fillId="0" borderId="52" xfId="0" applyFont="1" applyFill="1" applyBorder="1" applyAlignment="1">
      <alignment horizontal="center" vertical="center" wrapText="1"/>
    </xf>
    <xf numFmtId="0" fontId="7" fillId="0" borderId="33" xfId="0" applyFont="1" applyFill="1" applyBorder="1" applyAlignment="1">
      <alignment horizontal="center" vertical="center" wrapText="1"/>
    </xf>
    <xf numFmtId="0" fontId="7" fillId="0" borderId="32" xfId="0" applyFont="1" applyFill="1" applyBorder="1" applyAlignment="1">
      <alignment horizontal="center" vertical="center" wrapText="1"/>
    </xf>
    <xf numFmtId="0" fontId="7" fillId="0" borderId="48" xfId="0" applyFont="1" applyFill="1" applyBorder="1" applyAlignment="1">
      <alignment horizontal="center" vertical="center" wrapText="1"/>
    </xf>
    <xf numFmtId="0" fontId="7" fillId="0" borderId="49" xfId="0" applyFont="1" applyFill="1" applyBorder="1" applyAlignment="1">
      <alignment horizontal="center" vertical="center" wrapText="1"/>
    </xf>
    <xf numFmtId="0" fontId="6" fillId="0" borderId="17" xfId="0" applyFont="1" applyFill="1" applyBorder="1" applyAlignment="1">
      <alignment horizontal="left" vertical="center" wrapText="1"/>
    </xf>
    <xf numFmtId="0" fontId="0" fillId="0" borderId="53" xfId="0" applyBorder="1" applyAlignment="1">
      <alignment horizontal="left" vertical="center"/>
    </xf>
    <xf numFmtId="0" fontId="0" fillId="0" borderId="19" xfId="0" applyBorder="1" applyAlignment="1">
      <alignment horizontal="left" vertical="center"/>
    </xf>
  </cellXfs>
  <cellStyles count="3">
    <cellStyle name="常规" xfId="0" builtinId="0"/>
    <cellStyle name="常规 2 2" xfId="1"/>
    <cellStyle name="常规 2 3"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47625</xdr:rowOff>
    </xdr:from>
    <xdr:to>
      <xdr:col>3</xdr:col>
      <xdr:colOff>504825</xdr:colOff>
      <xdr:row>0</xdr:row>
      <xdr:rowOff>219075</xdr:rowOff>
    </xdr:to>
    <xdr:sp macro="" textlink="">
      <xdr:nvSpPr>
        <xdr:cNvPr id="1025" name="WordArt 1"/>
        <xdr:cNvSpPr>
          <a:spLocks noChangeArrowheads="1" noChangeShapeType="1" noTextEdit="1"/>
        </xdr:cNvSpPr>
      </xdr:nvSpPr>
      <xdr:spPr bwMode="auto">
        <a:xfrm>
          <a:off x="152400" y="47625"/>
          <a:ext cx="3600450" cy="171450"/>
        </a:xfrm>
        <a:prstGeom prst="rect">
          <a:avLst/>
        </a:prstGeom>
      </xdr:spPr>
      <xdr:txBody>
        <a:bodyPr wrap="none" fromWordArt="1">
          <a:prstTxWarp prst="textPlain">
            <a:avLst>
              <a:gd name="adj" fmla="val 50000"/>
            </a:avLst>
          </a:prstTxWarp>
        </a:body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zh-CN" sz="1200" b="1" i="1" kern="10" spc="0">
              <a:ln w="9525">
                <a:noFill/>
                <a:round/>
                <a:headEnd/>
                <a:tailEnd/>
              </a:ln>
              <a:solidFill>
                <a:srgbClr val="336699"/>
              </a:solidFill>
              <a:effectLst/>
              <a:latin typeface="Arial"/>
              <a:cs typeface="Arial"/>
            </a:rPr>
            <a:t>Please submit it to your manager before 2017-6-30.</a:t>
          </a:r>
          <a:endParaRPr lang="zh-CN" altLang="en-US" sz="1200" b="1" i="1" kern="10" spc="0">
            <a:ln w="9525">
              <a:noFill/>
              <a:round/>
              <a:headEnd/>
              <a:tailEnd/>
            </a:ln>
            <a:solidFill>
              <a:srgbClr val="336699"/>
            </a:solidFill>
            <a:effectLst/>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38100</xdr:rowOff>
    </xdr:from>
    <xdr:to>
      <xdr:col>4</xdr:col>
      <xdr:colOff>76200</xdr:colOff>
      <xdr:row>0</xdr:row>
      <xdr:rowOff>202096</xdr:rowOff>
    </xdr:to>
    <xdr:sp macro="" textlink="">
      <xdr:nvSpPr>
        <xdr:cNvPr id="4" name="WordArt 1"/>
        <xdr:cNvSpPr>
          <a:spLocks noChangeArrowheads="1" noChangeShapeType="1" noTextEdit="1"/>
        </xdr:cNvSpPr>
      </xdr:nvSpPr>
      <xdr:spPr bwMode="auto">
        <a:xfrm>
          <a:off x="76200" y="38100"/>
          <a:ext cx="3600450" cy="171450"/>
        </a:xfrm>
        <a:prstGeom prst="rect">
          <a:avLst/>
        </a:prstGeom>
      </xdr:spPr>
      <xdr:txBody>
        <a:bodyPr wrap="none" fromWordArt="1">
          <a:prstTxWarp prst="textPlain">
            <a:avLst>
              <a:gd name="adj" fmla="val 50000"/>
            </a:avLst>
          </a:prstTxWarp>
        </a:bodyPr>
        <a:lstStyle/>
        <a:p>
          <a:pPr algn="ctr" rtl="0"/>
          <a:r>
            <a:rPr lang="en-US" altLang="zh-CN" sz="1200" b="1" i="1" kern="10" spc="0">
              <a:ln w="9525">
                <a:noFill/>
                <a:round/>
                <a:headEnd/>
                <a:tailEnd/>
              </a:ln>
              <a:solidFill>
                <a:srgbClr val="336699"/>
              </a:solidFill>
              <a:effectLst/>
              <a:latin typeface="Arial"/>
              <a:cs typeface="Arial"/>
            </a:rPr>
            <a:t>Please submit it to your manager before 2017-6-30.</a:t>
          </a:r>
          <a:endParaRPr lang="zh-CN" altLang="en-US" sz="1200" b="1" i="1" kern="10" spc="0">
            <a:ln w="9525">
              <a:noFill/>
              <a:round/>
              <a:headEnd/>
              <a:tailEnd/>
            </a:ln>
            <a:solidFill>
              <a:srgbClr val="336699"/>
            </a:solidFill>
            <a:effectLst/>
            <a:latin typeface="Arial"/>
            <a:cs typeface="Arial"/>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Q39"/>
  <sheetViews>
    <sheetView workbookViewId="0">
      <pane xSplit="1" ySplit="4" topLeftCell="B35" activePane="bottomRight" state="frozen"/>
      <selection pane="topRight" activeCell="B1" sqref="B1"/>
      <selection pane="bottomLeft" activeCell="A5" sqref="A5"/>
      <selection pane="bottomRight" activeCell="I14" sqref="I14"/>
    </sheetView>
  </sheetViews>
  <sheetFormatPr defaultRowHeight="12"/>
  <cols>
    <col min="1" max="1" width="11" style="1" customWidth="1"/>
    <col min="2" max="2" width="22.5" style="1" bestFit="1" customWidth="1"/>
    <col min="3" max="3" width="9.125" style="1" customWidth="1"/>
    <col min="4" max="4" width="8" style="1" customWidth="1"/>
    <col min="5" max="5" width="16.5" style="1" customWidth="1"/>
    <col min="6" max="6" width="7.875" style="1" customWidth="1"/>
    <col min="7" max="7" width="7" style="1" customWidth="1"/>
    <col min="8" max="8" width="15.875" style="1" customWidth="1"/>
    <col min="9" max="9" width="13" style="1" customWidth="1"/>
    <col min="10" max="10" width="11.5" style="1" customWidth="1"/>
    <col min="11" max="11" width="13.125" style="1" customWidth="1"/>
    <col min="12" max="16384" width="9" style="1"/>
  </cols>
  <sheetData>
    <row r="1" spans="1:11" ht="18" customHeight="1">
      <c r="A1" s="122" t="s">
        <v>78</v>
      </c>
      <c r="B1" s="122"/>
      <c r="C1" s="122"/>
      <c r="D1" s="122"/>
      <c r="E1" s="122"/>
      <c r="F1" s="122"/>
      <c r="G1" s="122"/>
      <c r="H1" s="122"/>
      <c r="I1" s="122"/>
      <c r="J1" s="122"/>
      <c r="K1" s="122"/>
    </row>
    <row r="2" spans="1:11" ht="14.25" customHeight="1" thickBot="1">
      <c r="A2" s="122"/>
      <c r="B2" s="122"/>
      <c r="C2" s="122"/>
      <c r="D2" s="122"/>
      <c r="E2" s="122"/>
      <c r="F2" s="122"/>
      <c r="G2" s="122"/>
      <c r="H2" s="122"/>
      <c r="I2" s="1" t="s">
        <v>0</v>
      </c>
      <c r="J2" s="123" t="s">
        <v>80</v>
      </c>
      <c r="K2" s="123"/>
    </row>
    <row r="3" spans="1:11" ht="18.75" customHeight="1">
      <c r="A3" s="2" t="s">
        <v>1</v>
      </c>
      <c r="B3" s="90"/>
      <c r="C3" s="124"/>
      <c r="D3" s="3" t="s">
        <v>2</v>
      </c>
      <c r="E3" s="125"/>
      <c r="F3" s="126"/>
      <c r="G3" s="3" t="s">
        <v>3</v>
      </c>
      <c r="H3" s="4"/>
      <c r="I3" s="4" t="s">
        <v>4</v>
      </c>
      <c r="J3" s="90"/>
      <c r="K3" s="127"/>
    </row>
    <row r="4" spans="1:11" ht="18.75" customHeight="1">
      <c r="A4" s="5" t="s">
        <v>5</v>
      </c>
      <c r="B4" s="72"/>
      <c r="C4" s="84"/>
      <c r="D4" s="7" t="s">
        <v>6</v>
      </c>
      <c r="E4" s="110"/>
      <c r="F4" s="111"/>
      <c r="G4" s="7" t="s">
        <v>7</v>
      </c>
      <c r="H4" s="72"/>
      <c r="I4" s="83"/>
      <c r="J4" s="83"/>
      <c r="K4" s="112"/>
    </row>
    <row r="5" spans="1:11" ht="18.75" customHeight="1" thickBot="1">
      <c r="A5" s="8" t="s">
        <v>8</v>
      </c>
      <c r="B5" s="113" t="s">
        <v>89</v>
      </c>
      <c r="C5" s="114"/>
      <c r="D5" s="114"/>
      <c r="E5" s="115"/>
      <c r="F5" s="9" t="s">
        <v>9</v>
      </c>
      <c r="G5" s="116">
        <f>$K$16*0.7+$K$25*0.3</f>
        <v>0</v>
      </c>
      <c r="H5" s="117"/>
      <c r="I5" s="117"/>
      <c r="J5" s="117"/>
      <c r="K5" s="118"/>
    </row>
    <row r="6" spans="1:11" ht="6" customHeight="1" thickTop="1" thickBot="1">
      <c r="A6" s="119"/>
      <c r="B6" s="120"/>
      <c r="C6" s="120"/>
      <c r="D6" s="120"/>
      <c r="E6" s="120"/>
      <c r="F6" s="120"/>
      <c r="G6" s="120"/>
      <c r="H6" s="120"/>
      <c r="I6" s="120"/>
      <c r="J6" s="120"/>
      <c r="K6" s="121"/>
    </row>
    <row r="7" spans="1:11" ht="20.25" customHeight="1" thickTop="1">
      <c r="A7" s="101" t="s">
        <v>10</v>
      </c>
      <c r="B7" s="103" t="s">
        <v>90</v>
      </c>
      <c r="C7" s="104"/>
      <c r="D7" s="107" t="s">
        <v>11</v>
      </c>
      <c r="E7" s="108"/>
      <c r="F7" s="108"/>
      <c r="G7" s="108"/>
      <c r="H7" s="108"/>
      <c r="I7" s="108"/>
      <c r="J7" s="108"/>
      <c r="K7" s="109"/>
    </row>
    <row r="8" spans="1:11" ht="33" customHeight="1">
      <c r="A8" s="102"/>
      <c r="B8" s="105"/>
      <c r="C8" s="106"/>
      <c r="D8" s="11" t="s">
        <v>12</v>
      </c>
      <c r="E8" s="72" t="s">
        <v>84</v>
      </c>
      <c r="F8" s="84"/>
      <c r="G8" s="105" t="s">
        <v>13</v>
      </c>
      <c r="H8" s="106"/>
      <c r="I8" s="12" t="s">
        <v>14</v>
      </c>
      <c r="J8" s="13" t="s">
        <v>15</v>
      </c>
      <c r="K8" s="14" t="s">
        <v>16</v>
      </c>
    </row>
    <row r="9" spans="1:11" ht="20.25" customHeight="1">
      <c r="A9" s="15">
        <v>1</v>
      </c>
      <c r="B9" s="72"/>
      <c r="C9" s="84"/>
      <c r="D9" s="22">
        <v>0.4</v>
      </c>
      <c r="E9" s="71"/>
      <c r="F9" s="71"/>
      <c r="G9" s="72"/>
      <c r="H9" s="84"/>
      <c r="I9" s="13"/>
      <c r="J9" s="6"/>
      <c r="K9" s="47">
        <f t="shared" ref="K9:K15" si="0">J9*D9</f>
        <v>0</v>
      </c>
    </row>
    <row r="10" spans="1:11" ht="20.25" customHeight="1">
      <c r="A10" s="15">
        <v>2</v>
      </c>
      <c r="B10" s="72"/>
      <c r="C10" s="84"/>
      <c r="D10" s="22">
        <v>0.3</v>
      </c>
      <c r="E10" s="100"/>
      <c r="F10" s="71"/>
      <c r="G10" s="72"/>
      <c r="H10" s="84"/>
      <c r="I10" s="13"/>
      <c r="J10" s="6"/>
      <c r="K10" s="47">
        <f t="shared" si="0"/>
        <v>0</v>
      </c>
    </row>
    <row r="11" spans="1:11" ht="20.25" customHeight="1">
      <c r="A11" s="15">
        <v>3</v>
      </c>
      <c r="B11" s="72"/>
      <c r="C11" s="84"/>
      <c r="D11" s="22">
        <v>0.1</v>
      </c>
      <c r="E11" s="100"/>
      <c r="F11" s="71"/>
      <c r="G11" s="72"/>
      <c r="H11" s="84"/>
      <c r="I11" s="13"/>
      <c r="J11" s="6"/>
      <c r="K11" s="47">
        <f t="shared" si="0"/>
        <v>0</v>
      </c>
    </row>
    <row r="12" spans="1:11" ht="20.25" customHeight="1">
      <c r="A12" s="15">
        <v>4</v>
      </c>
      <c r="B12" s="72"/>
      <c r="C12" s="84"/>
      <c r="D12" s="22">
        <v>0.1</v>
      </c>
      <c r="E12" s="100"/>
      <c r="F12" s="71"/>
      <c r="G12" s="72"/>
      <c r="H12" s="84"/>
      <c r="I12" s="13"/>
      <c r="J12" s="6"/>
      <c r="K12" s="47">
        <f t="shared" si="0"/>
        <v>0</v>
      </c>
    </row>
    <row r="13" spans="1:11" ht="20.25" customHeight="1">
      <c r="A13" s="15">
        <v>5</v>
      </c>
      <c r="B13" s="72"/>
      <c r="C13" s="84"/>
      <c r="D13" s="22">
        <v>0.1</v>
      </c>
      <c r="E13" s="100"/>
      <c r="F13" s="71"/>
      <c r="G13" s="72"/>
      <c r="H13" s="84"/>
      <c r="I13" s="13"/>
      <c r="J13" s="6"/>
      <c r="K13" s="47">
        <f t="shared" si="0"/>
        <v>0</v>
      </c>
    </row>
    <row r="14" spans="1:11" ht="20.25" customHeight="1">
      <c r="A14" s="15">
        <v>6</v>
      </c>
      <c r="B14" s="72"/>
      <c r="C14" s="84"/>
      <c r="D14" s="22">
        <v>0</v>
      </c>
      <c r="E14" s="71"/>
      <c r="F14" s="71"/>
      <c r="G14" s="72"/>
      <c r="H14" s="84"/>
      <c r="I14" s="13"/>
      <c r="J14" s="6"/>
      <c r="K14" s="47">
        <f t="shared" si="0"/>
        <v>0</v>
      </c>
    </row>
    <row r="15" spans="1:11" ht="20.25" customHeight="1">
      <c r="A15" s="15">
        <v>7</v>
      </c>
      <c r="B15" s="72"/>
      <c r="C15" s="84"/>
      <c r="D15" s="22">
        <v>0</v>
      </c>
      <c r="E15" s="71"/>
      <c r="F15" s="71"/>
      <c r="G15" s="72"/>
      <c r="H15" s="84"/>
      <c r="I15" s="13"/>
      <c r="J15" s="6"/>
      <c r="K15" s="47">
        <f t="shared" si="0"/>
        <v>0</v>
      </c>
    </row>
    <row r="16" spans="1:11" ht="17.25" customHeight="1" thickBot="1">
      <c r="A16" s="93" t="s">
        <v>17</v>
      </c>
      <c r="B16" s="94"/>
      <c r="C16" s="94"/>
      <c r="D16" s="94"/>
      <c r="E16" s="94"/>
      <c r="F16" s="94"/>
      <c r="G16" s="94"/>
      <c r="H16" s="94"/>
      <c r="I16" s="94"/>
      <c r="J16" s="95"/>
      <c r="K16" s="48">
        <f>SUM($K$9:$K$15)</f>
        <v>0</v>
      </c>
    </row>
    <row r="17" spans="1:17" ht="13.5" thickTop="1" thickBot="1">
      <c r="A17" s="67"/>
      <c r="B17" s="68"/>
      <c r="C17" s="68"/>
      <c r="D17" s="68"/>
      <c r="E17" s="68"/>
      <c r="F17" s="68"/>
      <c r="G17" s="68"/>
      <c r="H17" s="68"/>
      <c r="I17" s="68"/>
      <c r="J17" s="68"/>
      <c r="K17" s="69"/>
    </row>
    <row r="18" spans="1:17" ht="24.75" thickTop="1">
      <c r="A18" s="10" t="s">
        <v>10</v>
      </c>
      <c r="B18" s="96" t="s">
        <v>18</v>
      </c>
      <c r="C18" s="96"/>
      <c r="D18" s="12" t="s">
        <v>19</v>
      </c>
      <c r="E18" s="97" t="s">
        <v>20</v>
      </c>
      <c r="F18" s="98"/>
      <c r="G18" s="98"/>
      <c r="H18" s="99"/>
      <c r="I18" s="12" t="s">
        <v>21</v>
      </c>
      <c r="J18" s="16" t="s">
        <v>22</v>
      </c>
      <c r="K18" s="14" t="s">
        <v>23</v>
      </c>
    </row>
    <row r="19" spans="1:17" ht="30" customHeight="1">
      <c r="A19" s="15">
        <v>1</v>
      </c>
      <c r="B19" s="92" t="s">
        <v>24</v>
      </c>
      <c r="C19" s="92"/>
      <c r="D19" s="22">
        <v>0.3</v>
      </c>
      <c r="E19" s="72"/>
      <c r="F19" s="83"/>
      <c r="G19" s="83"/>
      <c r="H19" s="84"/>
      <c r="I19" s="13">
        <v>90</v>
      </c>
      <c r="J19" s="6"/>
      <c r="K19" s="47">
        <f t="shared" ref="K19:K24" si="1">J19*D19</f>
        <v>0</v>
      </c>
    </row>
    <row r="20" spans="1:17" ht="30" customHeight="1">
      <c r="A20" s="15">
        <v>2</v>
      </c>
      <c r="B20" s="92" t="s">
        <v>25</v>
      </c>
      <c r="C20" s="92"/>
      <c r="D20" s="22">
        <v>0.3</v>
      </c>
      <c r="E20" s="72"/>
      <c r="F20" s="83"/>
      <c r="G20" s="83"/>
      <c r="H20" s="84"/>
      <c r="I20" s="13">
        <v>85</v>
      </c>
      <c r="J20" s="6"/>
      <c r="K20" s="47">
        <f t="shared" si="1"/>
        <v>0</v>
      </c>
    </row>
    <row r="21" spans="1:17" ht="30" customHeight="1">
      <c r="A21" s="15">
        <v>3</v>
      </c>
      <c r="B21" s="81" t="s">
        <v>26</v>
      </c>
      <c r="C21" s="82"/>
      <c r="D21" s="22">
        <v>0.2</v>
      </c>
      <c r="E21" s="72"/>
      <c r="F21" s="83"/>
      <c r="G21" s="83"/>
      <c r="H21" s="84"/>
      <c r="I21" s="13">
        <v>85</v>
      </c>
      <c r="J21" s="6"/>
      <c r="K21" s="47">
        <f t="shared" si="1"/>
        <v>0</v>
      </c>
    </row>
    <row r="22" spans="1:17" ht="42" customHeight="1">
      <c r="A22" s="15">
        <v>4</v>
      </c>
      <c r="B22" s="81" t="s">
        <v>85</v>
      </c>
      <c r="C22" s="82"/>
      <c r="D22" s="22">
        <v>0.2</v>
      </c>
      <c r="E22" s="72"/>
      <c r="F22" s="83"/>
      <c r="G22" s="83"/>
      <c r="H22" s="84"/>
      <c r="I22" s="13">
        <v>90</v>
      </c>
      <c r="J22" s="6"/>
      <c r="K22" s="47">
        <f t="shared" si="1"/>
        <v>0</v>
      </c>
    </row>
    <row r="23" spans="1:17" ht="30" customHeight="1">
      <c r="A23" s="15">
        <v>5</v>
      </c>
      <c r="B23" s="81" t="s">
        <v>27</v>
      </c>
      <c r="C23" s="82"/>
      <c r="D23" s="22"/>
      <c r="E23" s="72"/>
      <c r="F23" s="83"/>
      <c r="G23" s="83"/>
      <c r="H23" s="84"/>
      <c r="I23" s="13"/>
      <c r="J23" s="6"/>
      <c r="K23" s="47">
        <f t="shared" si="1"/>
        <v>0</v>
      </c>
    </row>
    <row r="24" spans="1:17" ht="30" customHeight="1">
      <c r="A24" s="15">
        <v>6</v>
      </c>
      <c r="B24" s="81" t="s">
        <v>28</v>
      </c>
      <c r="C24" s="82"/>
      <c r="D24" s="22"/>
      <c r="E24" s="72"/>
      <c r="F24" s="83"/>
      <c r="G24" s="83"/>
      <c r="H24" s="84"/>
      <c r="I24" s="13"/>
      <c r="J24" s="6"/>
      <c r="K24" s="47">
        <f t="shared" si="1"/>
        <v>0</v>
      </c>
    </row>
    <row r="25" spans="1:17" ht="18" customHeight="1" thickBot="1">
      <c r="A25" s="85" t="s">
        <v>29</v>
      </c>
      <c r="B25" s="86"/>
      <c r="C25" s="86"/>
      <c r="D25" s="86"/>
      <c r="E25" s="86"/>
      <c r="F25" s="86"/>
      <c r="G25" s="86"/>
      <c r="H25" s="86"/>
      <c r="I25" s="86"/>
      <c r="J25" s="87"/>
      <c r="K25" s="49">
        <f>SUM($K$19:$K$24)</f>
        <v>0</v>
      </c>
    </row>
    <row r="26" spans="1:17" ht="150" customHeight="1">
      <c r="A26" s="17" t="s">
        <v>30</v>
      </c>
      <c r="B26" s="88"/>
      <c r="C26" s="89"/>
      <c r="D26" s="89"/>
      <c r="E26" s="89"/>
      <c r="F26" s="89"/>
      <c r="G26" s="89"/>
      <c r="H26" s="89"/>
      <c r="I26" s="89"/>
      <c r="J26" s="90"/>
      <c r="K26" s="91"/>
    </row>
    <row r="27" spans="1:17" ht="58.5" customHeight="1">
      <c r="A27" s="70" t="s">
        <v>31</v>
      </c>
      <c r="B27" s="13" t="s">
        <v>32</v>
      </c>
      <c r="C27" s="71"/>
      <c r="D27" s="71"/>
      <c r="E27" s="71"/>
      <c r="F27" s="71"/>
      <c r="G27" s="71"/>
      <c r="H27" s="71"/>
      <c r="I27" s="71"/>
      <c r="J27" s="72"/>
      <c r="K27" s="73"/>
    </row>
    <row r="28" spans="1:17" ht="54" customHeight="1" thickBot="1">
      <c r="A28" s="70"/>
      <c r="B28" s="13" t="s">
        <v>33</v>
      </c>
      <c r="C28" s="71"/>
      <c r="D28" s="71"/>
      <c r="E28" s="71"/>
      <c r="F28" s="71"/>
      <c r="G28" s="71"/>
      <c r="H28" s="71"/>
      <c r="I28" s="71"/>
      <c r="J28" s="72"/>
      <c r="K28" s="73"/>
    </row>
    <row r="29" spans="1:17" ht="8.25" customHeight="1" thickTop="1" thickBot="1">
      <c r="A29" s="74"/>
      <c r="B29" s="75"/>
      <c r="C29" s="75"/>
      <c r="D29" s="75"/>
      <c r="E29" s="75"/>
      <c r="F29" s="75"/>
      <c r="G29" s="75"/>
      <c r="H29" s="75"/>
      <c r="I29" s="75"/>
      <c r="J29" s="75"/>
      <c r="K29" s="76"/>
    </row>
    <row r="30" spans="1:17" ht="20.25" customHeight="1" thickTop="1">
      <c r="A30" s="77" t="s">
        <v>91</v>
      </c>
      <c r="B30" s="78"/>
      <c r="C30" s="78"/>
      <c r="D30" s="78"/>
      <c r="E30" s="78"/>
      <c r="F30" s="78"/>
      <c r="G30" s="78"/>
      <c r="H30" s="78"/>
      <c r="I30" s="78"/>
      <c r="J30" s="79"/>
      <c r="K30" s="80"/>
      <c r="L30" s="18"/>
      <c r="M30" s="19"/>
      <c r="N30" s="19"/>
      <c r="O30" s="19"/>
      <c r="P30" s="19"/>
      <c r="Q30" s="19"/>
    </row>
    <row r="31" spans="1:17" s="19" customFormat="1" ht="23.25" customHeight="1">
      <c r="A31" s="15" t="s">
        <v>34</v>
      </c>
      <c r="B31" s="64" t="s">
        <v>35</v>
      </c>
      <c r="C31" s="64"/>
      <c r="D31" s="64"/>
      <c r="E31" s="64"/>
      <c r="F31" s="64"/>
      <c r="G31" s="64"/>
      <c r="H31" s="64"/>
      <c r="I31" s="64"/>
      <c r="J31" s="55" t="s">
        <v>12</v>
      </c>
      <c r="K31" s="56"/>
    </row>
    <row r="32" spans="1:17" s="19" customFormat="1" ht="23.25" customHeight="1">
      <c r="A32" s="15">
        <v>1</v>
      </c>
      <c r="B32" s="64"/>
      <c r="C32" s="64"/>
      <c r="D32" s="64"/>
      <c r="E32" s="64"/>
      <c r="F32" s="64"/>
      <c r="G32" s="64"/>
      <c r="H32" s="64"/>
      <c r="I32" s="64"/>
      <c r="J32" s="57"/>
      <c r="K32" s="56"/>
      <c r="N32" s="20"/>
    </row>
    <row r="33" spans="1:14" s="19" customFormat="1" ht="23.25" customHeight="1">
      <c r="A33" s="15">
        <v>2</v>
      </c>
      <c r="B33" s="64"/>
      <c r="C33" s="64"/>
      <c r="D33" s="64"/>
      <c r="E33" s="64"/>
      <c r="F33" s="64"/>
      <c r="G33" s="64"/>
      <c r="H33" s="64"/>
      <c r="I33" s="64"/>
      <c r="J33" s="57"/>
      <c r="K33" s="56"/>
      <c r="N33" s="20"/>
    </row>
    <row r="34" spans="1:14" s="19" customFormat="1" ht="23.25" customHeight="1">
      <c r="A34" s="15">
        <v>3</v>
      </c>
      <c r="B34" s="64"/>
      <c r="C34" s="64"/>
      <c r="D34" s="64"/>
      <c r="E34" s="64"/>
      <c r="F34" s="64"/>
      <c r="G34" s="64"/>
      <c r="H34" s="64"/>
      <c r="I34" s="64"/>
      <c r="J34" s="57"/>
      <c r="K34" s="56"/>
      <c r="N34" s="20"/>
    </row>
    <row r="35" spans="1:14" s="19" customFormat="1" ht="23.25" customHeight="1">
      <c r="A35" s="15">
        <v>4</v>
      </c>
      <c r="B35" s="64"/>
      <c r="C35" s="64"/>
      <c r="D35" s="64"/>
      <c r="E35" s="64"/>
      <c r="F35" s="64"/>
      <c r="G35" s="64"/>
      <c r="H35" s="64"/>
      <c r="I35" s="64"/>
      <c r="J35" s="55"/>
      <c r="K35" s="56"/>
      <c r="N35" s="20"/>
    </row>
    <row r="36" spans="1:14" s="19" customFormat="1" ht="23.25" customHeight="1" thickBot="1">
      <c r="A36" s="21">
        <v>5</v>
      </c>
      <c r="B36" s="66"/>
      <c r="C36" s="66"/>
      <c r="D36" s="66"/>
      <c r="E36" s="66"/>
      <c r="F36" s="66"/>
      <c r="G36" s="66"/>
      <c r="H36" s="66"/>
      <c r="I36" s="66"/>
      <c r="J36" s="58"/>
      <c r="K36" s="59"/>
      <c r="N36" s="20"/>
    </row>
    <row r="37" spans="1:14" s="19" customFormat="1" ht="6" customHeight="1" thickTop="1" thickBot="1">
      <c r="A37" s="67"/>
      <c r="B37" s="68"/>
      <c r="C37" s="68"/>
      <c r="D37" s="68"/>
      <c r="E37" s="68"/>
      <c r="F37" s="68"/>
      <c r="G37" s="68"/>
      <c r="H37" s="68"/>
      <c r="I37" s="68"/>
      <c r="J37" s="68"/>
      <c r="K37" s="69"/>
      <c r="N37" s="20"/>
    </row>
    <row r="38" spans="1:14" ht="42.75" customHeight="1" thickTop="1">
      <c r="A38" s="60" t="s">
        <v>36</v>
      </c>
      <c r="B38" s="61"/>
      <c r="C38" s="62"/>
      <c r="D38" s="63"/>
      <c r="E38" s="63"/>
      <c r="F38" s="61"/>
      <c r="G38" s="62" t="s">
        <v>37</v>
      </c>
      <c r="H38" s="61"/>
      <c r="I38" s="62"/>
      <c r="J38" s="63"/>
      <c r="K38" s="65"/>
      <c r="M38" s="19"/>
      <c r="N38" s="19"/>
    </row>
    <row r="39" spans="1:14" ht="67.5" customHeight="1" thickBot="1">
      <c r="A39" s="50" t="s">
        <v>38</v>
      </c>
      <c r="B39" s="51"/>
      <c r="C39" s="52"/>
      <c r="D39" s="53"/>
      <c r="E39" s="53"/>
      <c r="F39" s="53"/>
      <c r="G39" s="53"/>
      <c r="H39" s="53"/>
      <c r="I39" s="53"/>
      <c r="J39" s="53"/>
      <c r="K39" s="54"/>
    </row>
  </sheetData>
  <mergeCells count="80">
    <mergeCell ref="A1:K1"/>
    <mergeCell ref="A2:H2"/>
    <mergeCell ref="J2:K2"/>
    <mergeCell ref="B3:C3"/>
    <mergeCell ref="E3:F3"/>
    <mergeCell ref="J3:K3"/>
    <mergeCell ref="B4:C4"/>
    <mergeCell ref="E4:F4"/>
    <mergeCell ref="H4:K4"/>
    <mergeCell ref="B5:E5"/>
    <mergeCell ref="G5:K5"/>
    <mergeCell ref="A6:K6"/>
    <mergeCell ref="A7:A8"/>
    <mergeCell ref="B7:C8"/>
    <mergeCell ref="D7:K7"/>
    <mergeCell ref="G8:H8"/>
    <mergeCell ref="E8:F8"/>
    <mergeCell ref="B9:C9"/>
    <mergeCell ref="E9:F9"/>
    <mergeCell ref="G9:H9"/>
    <mergeCell ref="B10:C10"/>
    <mergeCell ref="E10:F10"/>
    <mergeCell ref="G10:H10"/>
    <mergeCell ref="B11:C11"/>
    <mergeCell ref="E11:F11"/>
    <mergeCell ref="G11:H11"/>
    <mergeCell ref="B12:C12"/>
    <mergeCell ref="E12:F12"/>
    <mergeCell ref="G12:H12"/>
    <mergeCell ref="B13:C13"/>
    <mergeCell ref="E13:F13"/>
    <mergeCell ref="G13:H13"/>
    <mergeCell ref="B14:C14"/>
    <mergeCell ref="E14:F14"/>
    <mergeCell ref="G14:H14"/>
    <mergeCell ref="B15:C15"/>
    <mergeCell ref="E15:F15"/>
    <mergeCell ref="G15:H15"/>
    <mergeCell ref="A16:J16"/>
    <mergeCell ref="A17:K17"/>
    <mergeCell ref="B18:C18"/>
    <mergeCell ref="E18:H18"/>
    <mergeCell ref="B19:C19"/>
    <mergeCell ref="E19:H19"/>
    <mergeCell ref="B20:C20"/>
    <mergeCell ref="E20:H20"/>
    <mergeCell ref="B21:C21"/>
    <mergeCell ref="E21:H21"/>
    <mergeCell ref="B22:C22"/>
    <mergeCell ref="E22:H22"/>
    <mergeCell ref="B23:C23"/>
    <mergeCell ref="E23:H23"/>
    <mergeCell ref="B24:C24"/>
    <mergeCell ref="E24:H24"/>
    <mergeCell ref="A25:J25"/>
    <mergeCell ref="B26:K26"/>
    <mergeCell ref="A27:A28"/>
    <mergeCell ref="C27:K27"/>
    <mergeCell ref="C28:K28"/>
    <mergeCell ref="A29:K29"/>
    <mergeCell ref="A30:K30"/>
    <mergeCell ref="B31:I31"/>
    <mergeCell ref="B32:I32"/>
    <mergeCell ref="B33:I33"/>
    <mergeCell ref="G38:H38"/>
    <mergeCell ref="I38:K38"/>
    <mergeCell ref="B34:I34"/>
    <mergeCell ref="B35:I35"/>
    <mergeCell ref="B36:I36"/>
    <mergeCell ref="A37:K37"/>
    <mergeCell ref="A39:B39"/>
    <mergeCell ref="C39:K39"/>
    <mergeCell ref="J31:K31"/>
    <mergeCell ref="J32:K32"/>
    <mergeCell ref="J33:K33"/>
    <mergeCell ref="J34:K34"/>
    <mergeCell ref="J35:K35"/>
    <mergeCell ref="J36:K36"/>
    <mergeCell ref="A38:B38"/>
    <mergeCell ref="C38:F38"/>
  </mergeCells>
  <phoneticPr fontId="3" type="noConversion"/>
  <pageMargins left="0.18" right="0.18" top="0.12" bottom="0.16" header="0.1" footer="0.1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dimension ref="A1:Q39"/>
  <sheetViews>
    <sheetView tabSelected="1" workbookViewId="0">
      <pane ySplit="5" topLeftCell="A9" activePane="bottomLeft" state="frozen"/>
      <selection pane="bottomLeft" activeCell="I10" sqref="I10"/>
    </sheetView>
  </sheetViews>
  <sheetFormatPr defaultRowHeight="12"/>
  <cols>
    <col min="1" max="1" width="9.375" style="23" customWidth="1"/>
    <col min="2" max="2" width="20.875" style="23" customWidth="1"/>
    <col min="3" max="3" width="7.375" style="23" customWidth="1"/>
    <col min="4" max="4" width="9.625" style="23" customWidth="1"/>
    <col min="5" max="5" width="15.375" style="23" customWidth="1"/>
    <col min="6" max="6" width="9.875" style="23" customWidth="1"/>
    <col min="7" max="7" width="7.875" style="23" customWidth="1"/>
    <col min="8" max="8" width="14.875" style="23" customWidth="1"/>
    <col min="9" max="9" width="10.625" style="23" customWidth="1"/>
    <col min="10" max="10" width="9.75" style="23" customWidth="1"/>
    <col min="11" max="11" width="11.875" style="23" customWidth="1"/>
    <col min="12" max="16384" width="9" style="23"/>
  </cols>
  <sheetData>
    <row r="1" spans="1:11" ht="21" customHeight="1">
      <c r="A1" s="137" t="s">
        <v>79</v>
      </c>
      <c r="B1" s="137"/>
      <c r="C1" s="137"/>
      <c r="D1" s="137"/>
      <c r="E1" s="137"/>
      <c r="F1" s="137"/>
      <c r="G1" s="137"/>
      <c r="H1" s="137"/>
      <c r="I1" s="137"/>
      <c r="J1" s="137"/>
      <c r="K1" s="137"/>
    </row>
    <row r="2" spans="1:11" ht="12.75" customHeight="1" thickBot="1">
      <c r="A2" s="138"/>
      <c r="B2" s="138"/>
      <c r="C2" s="138"/>
      <c r="D2" s="138"/>
      <c r="E2" s="138"/>
      <c r="F2" s="138"/>
      <c r="G2" s="138"/>
      <c r="H2" s="138"/>
      <c r="I2" s="23" t="s">
        <v>45</v>
      </c>
      <c r="J2" s="139" t="s">
        <v>81</v>
      </c>
      <c r="K2" s="139"/>
    </row>
    <row r="3" spans="1:11" ht="34.5" customHeight="1">
      <c r="A3" s="24" t="s">
        <v>39</v>
      </c>
      <c r="B3" s="140" t="s">
        <v>92</v>
      </c>
      <c r="C3" s="141"/>
      <c r="D3" s="25" t="s">
        <v>42</v>
      </c>
      <c r="E3" s="142" t="s">
        <v>105</v>
      </c>
      <c r="F3" s="143"/>
      <c r="G3" s="25" t="s">
        <v>43</v>
      </c>
      <c r="H3" s="26" t="s">
        <v>93</v>
      </c>
      <c r="I3" s="26" t="s">
        <v>44</v>
      </c>
      <c r="J3" s="140" t="s">
        <v>94</v>
      </c>
      <c r="K3" s="144"/>
    </row>
    <row r="4" spans="1:11" ht="18.75" customHeight="1">
      <c r="A4" s="27" t="s">
        <v>40</v>
      </c>
      <c r="B4" s="128" t="s">
        <v>104</v>
      </c>
      <c r="C4" s="129"/>
      <c r="D4" s="29" t="s">
        <v>42</v>
      </c>
      <c r="E4" s="130" t="s">
        <v>105</v>
      </c>
      <c r="F4" s="131"/>
      <c r="G4" s="29" t="s">
        <v>43</v>
      </c>
      <c r="H4" s="128" t="s">
        <v>106</v>
      </c>
      <c r="I4" s="132"/>
      <c r="J4" s="132"/>
      <c r="K4" s="133"/>
    </row>
    <row r="5" spans="1:11" ht="16.5" customHeight="1" thickBot="1">
      <c r="A5" s="196" t="s">
        <v>41</v>
      </c>
      <c r="B5" s="197"/>
      <c r="C5" s="198" t="s">
        <v>86</v>
      </c>
      <c r="D5" s="199"/>
      <c r="E5" s="200"/>
      <c r="F5" s="30" t="s">
        <v>48</v>
      </c>
      <c r="G5" s="134">
        <f>$K$16*0.7+$K$25*0.3</f>
        <v>82.039999999999992</v>
      </c>
      <c r="H5" s="135"/>
      <c r="I5" s="135"/>
      <c r="J5" s="135"/>
      <c r="K5" s="136"/>
    </row>
    <row r="6" spans="1:11" ht="11.25" customHeight="1" thickTop="1" thickBot="1">
      <c r="A6" s="145"/>
      <c r="B6" s="146"/>
      <c r="C6" s="146"/>
      <c r="D6" s="146"/>
      <c r="E6" s="146"/>
      <c r="F6" s="146"/>
      <c r="G6" s="146"/>
      <c r="H6" s="146"/>
      <c r="I6" s="146"/>
      <c r="J6" s="146"/>
      <c r="K6" s="147"/>
    </row>
    <row r="7" spans="1:11" ht="16.5" customHeight="1" thickTop="1">
      <c r="A7" s="148" t="s">
        <v>46</v>
      </c>
      <c r="B7" s="150" t="s">
        <v>87</v>
      </c>
      <c r="C7" s="151"/>
      <c r="D7" s="154" t="s">
        <v>49</v>
      </c>
      <c r="E7" s="155"/>
      <c r="F7" s="155"/>
      <c r="G7" s="155"/>
      <c r="H7" s="155"/>
      <c r="I7" s="155"/>
      <c r="J7" s="155"/>
      <c r="K7" s="156"/>
    </row>
    <row r="8" spans="1:11" ht="35.25" customHeight="1">
      <c r="A8" s="149"/>
      <c r="B8" s="152"/>
      <c r="C8" s="153"/>
      <c r="D8" s="32" t="s">
        <v>47</v>
      </c>
      <c r="E8" s="152" t="s">
        <v>82</v>
      </c>
      <c r="F8" s="153"/>
      <c r="G8" s="152" t="s">
        <v>83</v>
      </c>
      <c r="H8" s="153"/>
      <c r="I8" s="33" t="s">
        <v>51</v>
      </c>
      <c r="J8" s="33" t="s">
        <v>72</v>
      </c>
      <c r="K8" s="35" t="s">
        <v>50</v>
      </c>
    </row>
    <row r="9" spans="1:11" ht="72" customHeight="1">
      <c r="A9" s="36">
        <v>1</v>
      </c>
      <c r="B9" s="128" t="s">
        <v>95</v>
      </c>
      <c r="C9" s="129"/>
      <c r="D9" s="38">
        <v>0.4</v>
      </c>
      <c r="E9" s="157" t="s">
        <v>99</v>
      </c>
      <c r="F9" s="157"/>
      <c r="G9" s="128" t="s">
        <v>108</v>
      </c>
      <c r="H9" s="129"/>
      <c r="I9" s="37">
        <v>90</v>
      </c>
      <c r="J9" s="28">
        <v>82</v>
      </c>
      <c r="K9" s="39">
        <f>J9*D9</f>
        <v>32.800000000000004</v>
      </c>
    </row>
    <row r="10" spans="1:11" ht="50.25" customHeight="1">
      <c r="A10" s="36">
        <v>2</v>
      </c>
      <c r="B10" s="128" t="s">
        <v>96</v>
      </c>
      <c r="C10" s="129"/>
      <c r="D10" s="38">
        <v>0.3</v>
      </c>
      <c r="E10" s="157" t="s">
        <v>100</v>
      </c>
      <c r="F10" s="157"/>
      <c r="G10" s="128" t="s">
        <v>108</v>
      </c>
      <c r="H10" s="129"/>
      <c r="I10" s="37">
        <v>90</v>
      </c>
      <c r="J10" s="28">
        <v>82</v>
      </c>
      <c r="K10" s="39">
        <f t="shared" ref="K10:K15" si="0">J10*D10</f>
        <v>24.599999999999998</v>
      </c>
    </row>
    <row r="11" spans="1:11" ht="27" customHeight="1">
      <c r="A11" s="36">
        <v>3</v>
      </c>
      <c r="B11" s="162" t="s">
        <v>97</v>
      </c>
      <c r="C11" s="163"/>
      <c r="D11" s="38">
        <v>0.2</v>
      </c>
      <c r="E11" s="162" t="s">
        <v>102</v>
      </c>
      <c r="F11" s="163"/>
      <c r="G11" s="128" t="s">
        <v>108</v>
      </c>
      <c r="H11" s="129"/>
      <c r="I11" s="37">
        <v>85</v>
      </c>
      <c r="J11" s="28">
        <v>85</v>
      </c>
      <c r="K11" s="39">
        <f t="shared" si="0"/>
        <v>17</v>
      </c>
    </row>
    <row r="12" spans="1:11" ht="27" customHeight="1">
      <c r="A12" s="36">
        <v>4</v>
      </c>
      <c r="B12" s="162" t="s">
        <v>98</v>
      </c>
      <c r="C12" s="163"/>
      <c r="D12" s="38">
        <v>0.1</v>
      </c>
      <c r="E12" s="157" t="s">
        <v>101</v>
      </c>
      <c r="F12" s="157"/>
      <c r="G12" s="128" t="s">
        <v>108</v>
      </c>
      <c r="H12" s="129"/>
      <c r="I12" s="37">
        <v>85</v>
      </c>
      <c r="J12" s="28">
        <v>80</v>
      </c>
      <c r="K12" s="39">
        <f t="shared" si="0"/>
        <v>8</v>
      </c>
    </row>
    <row r="13" spans="1:11" ht="27" customHeight="1">
      <c r="A13" s="36">
        <v>5</v>
      </c>
      <c r="B13" s="128"/>
      <c r="C13" s="129"/>
      <c r="D13" s="38"/>
      <c r="E13" s="157"/>
      <c r="F13" s="157"/>
      <c r="G13" s="128"/>
      <c r="H13" s="129"/>
      <c r="I13" s="37"/>
      <c r="J13" s="28"/>
      <c r="K13" s="39">
        <f t="shared" si="0"/>
        <v>0</v>
      </c>
    </row>
    <row r="14" spans="1:11" ht="20.25" customHeight="1">
      <c r="A14" s="36">
        <v>6</v>
      </c>
      <c r="B14" s="128"/>
      <c r="C14" s="129"/>
      <c r="D14" s="38">
        <v>0</v>
      </c>
      <c r="E14" s="158"/>
      <c r="F14" s="158"/>
      <c r="G14" s="128"/>
      <c r="H14" s="129"/>
      <c r="I14" s="37"/>
      <c r="J14" s="28"/>
      <c r="K14" s="39">
        <f t="shared" si="0"/>
        <v>0</v>
      </c>
    </row>
    <row r="15" spans="1:11" ht="20.25" customHeight="1">
      <c r="A15" s="36">
        <v>7</v>
      </c>
      <c r="B15" s="128"/>
      <c r="C15" s="129"/>
      <c r="D15" s="38">
        <v>0</v>
      </c>
      <c r="E15" s="158"/>
      <c r="F15" s="158"/>
      <c r="G15" s="128"/>
      <c r="H15" s="129"/>
      <c r="I15" s="37"/>
      <c r="J15" s="28"/>
      <c r="K15" s="39">
        <f t="shared" si="0"/>
        <v>0</v>
      </c>
    </row>
    <row r="16" spans="1:11" ht="14.25" customHeight="1" thickBot="1">
      <c r="A16" s="159" t="s">
        <v>52</v>
      </c>
      <c r="B16" s="160"/>
      <c r="C16" s="160"/>
      <c r="D16" s="160"/>
      <c r="E16" s="160"/>
      <c r="F16" s="160"/>
      <c r="G16" s="160"/>
      <c r="H16" s="160"/>
      <c r="I16" s="160"/>
      <c r="J16" s="161"/>
      <c r="K16" s="40">
        <f>SUM($K$9:$K$15)</f>
        <v>82.4</v>
      </c>
    </row>
    <row r="17" spans="1:17" ht="6.75" customHeight="1" thickTop="1" thickBot="1">
      <c r="A17" s="164"/>
      <c r="B17" s="165"/>
      <c r="C17" s="165"/>
      <c r="D17" s="165"/>
      <c r="E17" s="165"/>
      <c r="F17" s="165"/>
      <c r="G17" s="165"/>
      <c r="H17" s="165"/>
      <c r="I17" s="165"/>
      <c r="J17" s="165"/>
      <c r="K17" s="166"/>
    </row>
    <row r="18" spans="1:17" ht="34.5" customHeight="1" thickTop="1">
      <c r="A18" s="31" t="s">
        <v>53</v>
      </c>
      <c r="B18" s="167" t="s">
        <v>54</v>
      </c>
      <c r="C18" s="167"/>
      <c r="D18" s="33" t="s">
        <v>55</v>
      </c>
      <c r="E18" s="168" t="s">
        <v>56</v>
      </c>
      <c r="F18" s="169"/>
      <c r="G18" s="169"/>
      <c r="H18" s="170"/>
      <c r="I18" s="33" t="s">
        <v>57</v>
      </c>
      <c r="J18" s="34" t="s">
        <v>58</v>
      </c>
      <c r="K18" s="35" t="s">
        <v>59</v>
      </c>
    </row>
    <row r="19" spans="1:17" ht="34.5" customHeight="1">
      <c r="A19" s="36">
        <v>1</v>
      </c>
      <c r="B19" s="162" t="s">
        <v>73</v>
      </c>
      <c r="C19" s="163"/>
      <c r="D19" s="38">
        <v>0.3</v>
      </c>
      <c r="E19" s="128" t="s">
        <v>110</v>
      </c>
      <c r="F19" s="132"/>
      <c r="G19" s="132"/>
      <c r="H19" s="129"/>
      <c r="I19" s="37">
        <v>90</v>
      </c>
      <c r="J19" s="28">
        <v>82</v>
      </c>
      <c r="K19" s="39">
        <f t="shared" ref="K19:K24" si="1">J19*D19</f>
        <v>24.599999999999998</v>
      </c>
    </row>
    <row r="20" spans="1:17" ht="24.75" customHeight="1">
      <c r="A20" s="36">
        <v>2</v>
      </c>
      <c r="B20" s="162" t="s">
        <v>60</v>
      </c>
      <c r="C20" s="163"/>
      <c r="D20" s="38">
        <v>0.3</v>
      </c>
      <c r="E20" s="128" t="s">
        <v>111</v>
      </c>
      <c r="F20" s="132"/>
      <c r="G20" s="132"/>
      <c r="H20" s="129"/>
      <c r="I20" s="37">
        <v>85</v>
      </c>
      <c r="J20" s="28">
        <v>82</v>
      </c>
      <c r="K20" s="39">
        <f t="shared" si="1"/>
        <v>24.599999999999998</v>
      </c>
    </row>
    <row r="21" spans="1:17" ht="25.5" customHeight="1">
      <c r="A21" s="36">
        <v>3</v>
      </c>
      <c r="B21" s="162" t="s">
        <v>75</v>
      </c>
      <c r="C21" s="163"/>
      <c r="D21" s="38">
        <v>0.2</v>
      </c>
      <c r="E21" s="128" t="s">
        <v>112</v>
      </c>
      <c r="F21" s="132"/>
      <c r="G21" s="132"/>
      <c r="H21" s="129"/>
      <c r="I21" s="37">
        <v>85</v>
      </c>
      <c r="J21" s="28">
        <v>80</v>
      </c>
      <c r="K21" s="39">
        <f t="shared" si="1"/>
        <v>16</v>
      </c>
    </row>
    <row r="22" spans="1:17" ht="59.25" customHeight="1">
      <c r="A22" s="36">
        <v>4</v>
      </c>
      <c r="B22" s="162" t="s">
        <v>74</v>
      </c>
      <c r="C22" s="163"/>
      <c r="D22" s="38">
        <v>0.2</v>
      </c>
      <c r="E22" s="128" t="s">
        <v>114</v>
      </c>
      <c r="F22" s="132"/>
      <c r="G22" s="132"/>
      <c r="H22" s="129"/>
      <c r="I22" s="37">
        <v>90</v>
      </c>
      <c r="J22" s="28">
        <v>80</v>
      </c>
      <c r="K22" s="39">
        <f t="shared" si="1"/>
        <v>16</v>
      </c>
    </row>
    <row r="23" spans="1:17" ht="24.75" customHeight="1">
      <c r="A23" s="36">
        <v>5</v>
      </c>
      <c r="B23" s="171" t="s">
        <v>76</v>
      </c>
      <c r="C23" s="163"/>
      <c r="D23" s="38"/>
      <c r="E23" s="128"/>
      <c r="F23" s="132"/>
      <c r="G23" s="132"/>
      <c r="H23" s="129"/>
      <c r="I23" s="37"/>
      <c r="J23" s="28"/>
      <c r="K23" s="39">
        <f t="shared" si="1"/>
        <v>0</v>
      </c>
    </row>
    <row r="24" spans="1:17" ht="35.25" customHeight="1">
      <c r="A24" s="36">
        <v>6</v>
      </c>
      <c r="B24" s="171" t="s">
        <v>77</v>
      </c>
      <c r="C24" s="163"/>
      <c r="D24" s="38"/>
      <c r="E24" s="128"/>
      <c r="F24" s="132"/>
      <c r="G24" s="132"/>
      <c r="H24" s="129"/>
      <c r="I24" s="37"/>
      <c r="J24" s="28"/>
      <c r="K24" s="39">
        <f t="shared" si="1"/>
        <v>0</v>
      </c>
    </row>
    <row r="25" spans="1:17" ht="13.5" customHeight="1" thickBot="1">
      <c r="A25" s="172" t="s">
        <v>61</v>
      </c>
      <c r="B25" s="173"/>
      <c r="C25" s="173"/>
      <c r="D25" s="173"/>
      <c r="E25" s="173"/>
      <c r="F25" s="173"/>
      <c r="G25" s="173"/>
      <c r="H25" s="173"/>
      <c r="I25" s="173"/>
      <c r="J25" s="174"/>
      <c r="K25" s="41">
        <f>SUM($K$19:$K$24)</f>
        <v>81.199999999999989</v>
      </c>
    </row>
    <row r="26" spans="1:17" ht="150" customHeight="1">
      <c r="A26" s="42" t="s">
        <v>62</v>
      </c>
      <c r="B26" s="206" t="s">
        <v>107</v>
      </c>
      <c r="C26" s="207"/>
      <c r="D26" s="207"/>
      <c r="E26" s="207"/>
      <c r="F26" s="207"/>
      <c r="G26" s="207"/>
      <c r="H26" s="207"/>
      <c r="I26" s="207"/>
      <c r="J26" s="207"/>
      <c r="K26" s="208"/>
    </row>
    <row r="27" spans="1:17" ht="58.5" customHeight="1">
      <c r="A27" s="183" t="s">
        <v>63</v>
      </c>
      <c r="B27" s="37" t="s">
        <v>64</v>
      </c>
      <c r="C27" s="158" t="s">
        <v>113</v>
      </c>
      <c r="D27" s="158"/>
      <c r="E27" s="158"/>
      <c r="F27" s="158"/>
      <c r="G27" s="158"/>
      <c r="H27" s="158"/>
      <c r="I27" s="158"/>
      <c r="J27" s="128"/>
      <c r="K27" s="184"/>
    </row>
    <row r="28" spans="1:17" ht="54" customHeight="1" thickBot="1">
      <c r="A28" s="183"/>
      <c r="B28" s="37" t="s">
        <v>65</v>
      </c>
      <c r="C28" s="158" t="s">
        <v>109</v>
      </c>
      <c r="D28" s="158"/>
      <c r="E28" s="158"/>
      <c r="F28" s="158"/>
      <c r="G28" s="158"/>
      <c r="H28" s="158"/>
      <c r="I28" s="158"/>
      <c r="J28" s="128"/>
      <c r="K28" s="184"/>
    </row>
    <row r="29" spans="1:17" ht="8.25" customHeight="1" thickTop="1" thickBot="1">
      <c r="A29" s="185"/>
      <c r="B29" s="186"/>
      <c r="C29" s="186"/>
      <c r="D29" s="186"/>
      <c r="E29" s="186"/>
      <c r="F29" s="186"/>
      <c r="G29" s="186"/>
      <c r="H29" s="186"/>
      <c r="I29" s="186"/>
      <c r="J29" s="186"/>
      <c r="K29" s="187"/>
    </row>
    <row r="30" spans="1:17" ht="20.25" customHeight="1" thickTop="1">
      <c r="A30" s="175" t="s">
        <v>88</v>
      </c>
      <c r="B30" s="176"/>
      <c r="C30" s="176"/>
      <c r="D30" s="176"/>
      <c r="E30" s="176"/>
      <c r="F30" s="176"/>
      <c r="G30" s="176"/>
      <c r="H30" s="176"/>
      <c r="I30" s="176"/>
      <c r="J30" s="177"/>
      <c r="K30" s="178"/>
      <c r="L30" s="43"/>
      <c r="M30" s="44"/>
      <c r="N30" s="44"/>
      <c r="O30" s="44"/>
      <c r="P30" s="44"/>
      <c r="Q30" s="44"/>
    </row>
    <row r="31" spans="1:17" s="44" customFormat="1" ht="23.25" customHeight="1">
      <c r="A31" s="36" t="s">
        <v>66</v>
      </c>
      <c r="B31" s="179" t="s">
        <v>67</v>
      </c>
      <c r="C31" s="179"/>
      <c r="D31" s="179"/>
      <c r="E31" s="179"/>
      <c r="F31" s="179"/>
      <c r="G31" s="179"/>
      <c r="H31" s="179"/>
      <c r="I31" s="179"/>
      <c r="J31" s="180" t="s">
        <v>68</v>
      </c>
      <c r="K31" s="181"/>
    </row>
    <row r="32" spans="1:17" s="44" customFormat="1" ht="23.25" customHeight="1">
      <c r="A32" s="36">
        <v>1</v>
      </c>
      <c r="B32" s="179" t="s">
        <v>103</v>
      </c>
      <c r="C32" s="179"/>
      <c r="D32" s="179"/>
      <c r="E32" s="179"/>
      <c r="F32" s="179"/>
      <c r="G32" s="179"/>
      <c r="H32" s="179"/>
      <c r="I32" s="179"/>
      <c r="J32" s="182">
        <v>0.4</v>
      </c>
      <c r="K32" s="181"/>
      <c r="N32" s="45"/>
    </row>
    <row r="33" spans="1:14" s="44" customFormat="1" ht="23.25" customHeight="1">
      <c r="A33" s="36">
        <v>2</v>
      </c>
      <c r="B33" s="179" t="s">
        <v>116</v>
      </c>
      <c r="C33" s="179"/>
      <c r="D33" s="179"/>
      <c r="E33" s="179"/>
      <c r="F33" s="179"/>
      <c r="G33" s="179"/>
      <c r="H33" s="179"/>
      <c r="I33" s="179"/>
      <c r="J33" s="182">
        <v>0.3</v>
      </c>
      <c r="K33" s="181"/>
      <c r="N33" s="45"/>
    </row>
    <row r="34" spans="1:14" s="44" customFormat="1" ht="23.25" customHeight="1">
      <c r="A34" s="36">
        <v>3</v>
      </c>
      <c r="B34" s="179" t="s">
        <v>115</v>
      </c>
      <c r="C34" s="179"/>
      <c r="D34" s="179"/>
      <c r="E34" s="179"/>
      <c r="F34" s="179"/>
      <c r="G34" s="179"/>
      <c r="H34" s="179"/>
      <c r="I34" s="179"/>
      <c r="J34" s="182">
        <v>0.3</v>
      </c>
      <c r="K34" s="181"/>
      <c r="N34" s="45"/>
    </row>
    <row r="35" spans="1:14" s="44" customFormat="1" ht="23.25" customHeight="1">
      <c r="A35" s="36">
        <v>4</v>
      </c>
      <c r="B35" s="179"/>
      <c r="C35" s="179"/>
      <c r="D35" s="179"/>
      <c r="E35" s="179"/>
      <c r="F35" s="179"/>
      <c r="G35" s="179"/>
      <c r="H35" s="179"/>
      <c r="I35" s="179"/>
      <c r="J35" s="180"/>
      <c r="K35" s="181"/>
      <c r="N35" s="45"/>
    </row>
    <row r="36" spans="1:14" s="44" customFormat="1" ht="23.25" customHeight="1" thickBot="1">
      <c r="A36" s="46">
        <v>5</v>
      </c>
      <c r="B36" s="188"/>
      <c r="C36" s="188"/>
      <c r="D36" s="188"/>
      <c r="E36" s="188"/>
      <c r="F36" s="188"/>
      <c r="G36" s="188"/>
      <c r="H36" s="188"/>
      <c r="I36" s="188"/>
      <c r="J36" s="189"/>
      <c r="K36" s="190"/>
      <c r="N36" s="45"/>
    </row>
    <row r="37" spans="1:14" s="44" customFormat="1" ht="6" customHeight="1" thickTop="1" thickBot="1">
      <c r="A37" s="164"/>
      <c r="B37" s="165"/>
      <c r="C37" s="165"/>
      <c r="D37" s="165"/>
      <c r="E37" s="165"/>
      <c r="F37" s="165"/>
      <c r="G37" s="165"/>
      <c r="H37" s="165"/>
      <c r="I37" s="165"/>
      <c r="J37" s="165"/>
      <c r="K37" s="166"/>
      <c r="N37" s="45"/>
    </row>
    <row r="38" spans="1:14" ht="42.75" customHeight="1" thickTop="1">
      <c r="A38" s="201" t="s">
        <v>69</v>
      </c>
      <c r="B38" s="202"/>
      <c r="C38" s="203"/>
      <c r="D38" s="204"/>
      <c r="E38" s="204"/>
      <c r="F38" s="202"/>
      <c r="G38" s="203" t="s">
        <v>70</v>
      </c>
      <c r="H38" s="202"/>
      <c r="I38" s="203"/>
      <c r="J38" s="204"/>
      <c r="K38" s="205"/>
      <c r="M38" s="44"/>
      <c r="N38" s="44"/>
    </row>
    <row r="39" spans="1:14" ht="67.5" customHeight="1" thickBot="1">
      <c r="A39" s="191" t="s">
        <v>71</v>
      </c>
      <c r="B39" s="192"/>
      <c r="C39" s="193"/>
      <c r="D39" s="194"/>
      <c r="E39" s="194"/>
      <c r="F39" s="194"/>
      <c r="G39" s="194"/>
      <c r="H39" s="194"/>
      <c r="I39" s="194"/>
      <c r="J39" s="194"/>
      <c r="K39" s="195"/>
    </row>
  </sheetData>
  <mergeCells count="81">
    <mergeCell ref="A39:B39"/>
    <mergeCell ref="C39:K39"/>
    <mergeCell ref="A5:B5"/>
    <mergeCell ref="C5:E5"/>
    <mergeCell ref="A37:K37"/>
    <mergeCell ref="A38:B38"/>
    <mergeCell ref="C38:F38"/>
    <mergeCell ref="G38:H38"/>
    <mergeCell ref="I38:K38"/>
    <mergeCell ref="B35:I35"/>
    <mergeCell ref="E19:H19"/>
    <mergeCell ref="E20:H20"/>
    <mergeCell ref="E21:H21"/>
    <mergeCell ref="E22:H22"/>
    <mergeCell ref="J35:K35"/>
    <mergeCell ref="B36:I36"/>
    <mergeCell ref="J36:K36"/>
    <mergeCell ref="B33:I33"/>
    <mergeCell ref="J33:K33"/>
    <mergeCell ref="B34:I34"/>
    <mergeCell ref="J34:K34"/>
    <mergeCell ref="A30:K30"/>
    <mergeCell ref="B31:I31"/>
    <mergeCell ref="J31:K31"/>
    <mergeCell ref="B32:I32"/>
    <mergeCell ref="J32:K32"/>
    <mergeCell ref="A27:A28"/>
    <mergeCell ref="C27:K27"/>
    <mergeCell ref="C28:K28"/>
    <mergeCell ref="A29:K29"/>
    <mergeCell ref="B24:C24"/>
    <mergeCell ref="E24:H24"/>
    <mergeCell ref="A25:J25"/>
    <mergeCell ref="B26:K26"/>
    <mergeCell ref="B22:C22"/>
    <mergeCell ref="B23:C23"/>
    <mergeCell ref="E23:H23"/>
    <mergeCell ref="B20:C20"/>
    <mergeCell ref="B21:C21"/>
    <mergeCell ref="A17:K17"/>
    <mergeCell ref="B18:C18"/>
    <mergeCell ref="E18:H18"/>
    <mergeCell ref="B19:C19"/>
    <mergeCell ref="B15:C15"/>
    <mergeCell ref="E15:F15"/>
    <mergeCell ref="G15:H15"/>
    <mergeCell ref="A16:J16"/>
    <mergeCell ref="B13:C13"/>
    <mergeCell ref="E13:F13"/>
    <mergeCell ref="G13:H13"/>
    <mergeCell ref="B14:C14"/>
    <mergeCell ref="E14:F14"/>
    <mergeCell ref="G14:H14"/>
    <mergeCell ref="B11:C11"/>
    <mergeCell ref="E11:F11"/>
    <mergeCell ref="G11:H11"/>
    <mergeCell ref="B12:C12"/>
    <mergeCell ref="E12:F12"/>
    <mergeCell ref="G12:H12"/>
    <mergeCell ref="B9:C9"/>
    <mergeCell ref="E9:F9"/>
    <mergeCell ref="G9:H9"/>
    <mergeCell ref="B10:C10"/>
    <mergeCell ref="E10:F10"/>
    <mergeCell ref="G10:H10"/>
    <mergeCell ref="A6:K6"/>
    <mergeCell ref="A7:A8"/>
    <mergeCell ref="B7:C8"/>
    <mergeCell ref="D7:K7"/>
    <mergeCell ref="E8:F8"/>
    <mergeCell ref="G8:H8"/>
    <mergeCell ref="B4:C4"/>
    <mergeCell ref="E4:F4"/>
    <mergeCell ref="H4:K4"/>
    <mergeCell ref="G5:K5"/>
    <mergeCell ref="A1:K1"/>
    <mergeCell ref="A2:H2"/>
    <mergeCell ref="J2:K2"/>
    <mergeCell ref="B3:C3"/>
    <mergeCell ref="E3:F3"/>
    <mergeCell ref="J3:K3"/>
  </mergeCells>
  <phoneticPr fontId="3" type="noConversion"/>
  <pageMargins left="0.22" right="0.19" top="0.11" bottom="0.16" header="0.13" footer="0.16"/>
  <pageSetup paperSize="9" orientation="landscape"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Chinese</vt:lpstr>
      <vt:lpstr>English</vt:lpstr>
      <vt:lpstr>Chinese!Print_Area</vt:lpstr>
      <vt:lpstr>English!Print_Area</vt:lpstr>
    </vt:vector>
  </TitlesOfParts>
  <Company>WWW.YlmF.CoM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雨林木风</dc:creator>
  <cp:lastModifiedBy>SilergyTE</cp:lastModifiedBy>
  <cp:lastPrinted>2014-12-04T09:00:15Z</cp:lastPrinted>
  <dcterms:created xsi:type="dcterms:W3CDTF">2010-12-07T02:01:12Z</dcterms:created>
  <dcterms:modified xsi:type="dcterms:W3CDTF">2017-07-02T15:07:19Z</dcterms:modified>
</cp:coreProperties>
</file>
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0" yWindow="3645" windowWidth="25320" windowHeight="6435"/>
  </bookViews>
  <sheets>
    <sheet name="Sheet1" sheetId="1" r:id="rId1"/>
  </sheets>
  <definedNames>
    <definedName name="_xlnm._FilterDatabase" localSheetId="0" hidden="1">Sheet1!$A$1:$O$1712</definedName>
  </definedNames>
  <calcPr calcId="144525"/>
</workbook>
</file>

<file path=xl/calcChain.xml><?xml version="1.0" encoding="utf-8"?>
<calcChain xmlns="http://schemas.openxmlformats.org/spreadsheetml/2006/main">
  <c r="G1712" i="1" l="1"/>
  <c r="G1711" i="1"/>
  <c r="G1698" i="1" l="1"/>
  <c r="G1697" i="1"/>
  <c r="G1696" i="1"/>
  <c r="G1695" i="1"/>
  <c r="G1694" i="1"/>
  <c r="G1693" i="1"/>
  <c r="G1691" i="1"/>
  <c r="G1692" i="1"/>
  <c r="G1690" i="1"/>
  <c r="G1689" i="1"/>
  <c r="G1688" i="1"/>
  <c r="G1687" i="1"/>
  <c r="G1686" i="1"/>
  <c r="G1685" i="1"/>
  <c r="G1684" i="1" l="1"/>
  <c r="G1683" i="1"/>
  <c r="G1682" i="1" l="1"/>
  <c r="G1679" i="1" l="1"/>
  <c r="G1678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81" i="1"/>
  <c r="G1656" i="1"/>
  <c r="G1650" i="1" l="1"/>
  <c r="G1649" i="1" l="1"/>
  <c r="G1648" i="1"/>
  <c r="G1647" i="1"/>
  <c r="G1646" i="1"/>
  <c r="G1645" i="1"/>
  <c r="G1644" i="1"/>
  <c r="G1643" i="1"/>
  <c r="G1642" i="1"/>
  <c r="G1624" i="1" l="1"/>
  <c r="G1623" i="1"/>
  <c r="G1622" i="1" l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6" i="1" l="1"/>
  <c r="G1598" i="1"/>
  <c r="G1597" i="1"/>
  <c r="G1595" i="1"/>
  <c r="G1594" i="1"/>
  <c r="G1593" i="1"/>
  <c r="G1589" i="1"/>
  <c r="G1588" i="1"/>
  <c r="G1587" i="1"/>
  <c r="G1586" i="1"/>
  <c r="G1585" i="1"/>
  <c r="G1584" i="1"/>
  <c r="G1583" i="1"/>
  <c r="G1582" i="1"/>
  <c r="G1581" i="1"/>
  <c r="G1580" i="1"/>
  <c r="G1578" i="1"/>
  <c r="G1577" i="1"/>
  <c r="G1576" i="1"/>
  <c r="G1575" i="1"/>
  <c r="G1574" i="1"/>
  <c r="G1573" i="1"/>
  <c r="G1571" i="1"/>
  <c r="G1570" i="1"/>
  <c r="G1569" i="1"/>
  <c r="G1568" i="1"/>
  <c r="G1567" i="1"/>
  <c r="G1566" i="1"/>
  <c r="G1565" i="1"/>
  <c r="G1564" i="1"/>
  <c r="G1550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784" i="1"/>
  <c r="G1528" i="1"/>
  <c r="G1527" i="1"/>
  <c r="G1526" i="1"/>
  <c r="G1525" i="1"/>
  <c r="G1522" i="1"/>
  <c r="G1521" i="1"/>
  <c r="G1520" i="1"/>
  <c r="G1519" i="1"/>
  <c r="G1518" i="1"/>
  <c r="G1517" i="1"/>
  <c r="G1516" i="1"/>
  <c r="G1524" i="1"/>
  <c r="G1523" i="1"/>
  <c r="G1503" i="1"/>
  <c r="G1502" i="1"/>
  <c r="G1501" i="1"/>
  <c r="G1500" i="1"/>
  <c r="G1499" i="1"/>
  <c r="G1498" i="1"/>
  <c r="G1497" i="1"/>
  <c r="G1496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2" i="1"/>
  <c r="G1461" i="1"/>
  <c r="G1460" i="1"/>
  <c r="G1459" i="1"/>
  <c r="G1458" i="1"/>
  <c r="G1049" i="1"/>
  <c r="G1445" i="1"/>
  <c r="G1432" i="1"/>
  <c r="G1444" i="1"/>
  <c r="G1443" i="1"/>
  <c r="G1442" i="1"/>
  <c r="G1437" i="1"/>
  <c r="G1436" i="1"/>
  <c r="G1435" i="1"/>
  <c r="G1434" i="1"/>
  <c r="G1433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5" i="1"/>
  <c r="G1384" i="1"/>
  <c r="G1383" i="1"/>
  <c r="G1382" i="1"/>
  <c r="G1381" i="1"/>
  <c r="G1380" i="1"/>
  <c r="G1379" i="1"/>
  <c r="G1360" i="1"/>
  <c r="G1359" i="1"/>
  <c r="G1358" i="1"/>
  <c r="G1357" i="1"/>
  <c r="G1356" i="1"/>
  <c r="G1353" i="1"/>
  <c r="G1352" i="1"/>
  <c r="G1351" i="1"/>
  <c r="G1350" i="1"/>
  <c r="G1349" i="1"/>
  <c r="G1348" i="1"/>
  <c r="G1345" i="1"/>
  <c r="G1344" i="1"/>
  <c r="G1343" i="1"/>
  <c r="G1342" i="1"/>
  <c r="G1341" i="1"/>
  <c r="G1340" i="1"/>
  <c r="G1339" i="1"/>
  <c r="G1338" i="1"/>
  <c r="G1337" i="1"/>
  <c r="G1336" i="1"/>
  <c r="G1335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2" i="1"/>
  <c r="G1251" i="1"/>
  <c r="G1250" i="1"/>
  <c r="G1249" i="1"/>
  <c r="G1248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0" i="1"/>
  <c r="G1219" i="1"/>
  <c r="G1218" i="1"/>
  <c r="G1217" i="1"/>
  <c r="G1216" i="1"/>
  <c r="G1215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3" i="1"/>
  <c r="G1192" i="1"/>
  <c r="G1191" i="1"/>
  <c r="G1190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4" i="1"/>
  <c r="G1083" i="1"/>
  <c r="G1082" i="1"/>
  <c r="G1081" i="1"/>
  <c r="G1080" i="1"/>
  <c r="G1079" i="1"/>
  <c r="G1078" i="1"/>
  <c r="G1077" i="1"/>
  <c r="G1076" i="1"/>
  <c r="G1075" i="1"/>
  <c r="G107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1" i="1"/>
  <c r="G1030" i="1"/>
  <c r="G1029" i="1"/>
  <c r="G1028" i="1"/>
  <c r="G1027" i="1"/>
  <c r="G1026" i="1"/>
  <c r="G1025" i="1"/>
  <c r="G1023" i="1"/>
  <c r="G1022" i="1"/>
  <c r="G1021" i="1"/>
  <c r="G1020" i="1"/>
  <c r="G1018" i="1"/>
  <c r="G1017" i="1"/>
  <c r="G1016" i="1"/>
  <c r="G1015" i="1"/>
  <c r="G1014" i="1"/>
  <c r="G1013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3" i="1"/>
  <c r="G952" i="1"/>
  <c r="G951" i="1"/>
  <c r="G950" i="1"/>
  <c r="G949" i="1"/>
  <c r="G948" i="1"/>
  <c r="G946" i="1"/>
  <c r="G945" i="1"/>
  <c r="G944" i="1"/>
  <c r="G943" i="1"/>
  <c r="G942" i="1"/>
  <c r="G941" i="1"/>
  <c r="G939" i="1"/>
  <c r="G936" i="1"/>
  <c r="G935" i="1"/>
  <c r="G934" i="1"/>
  <c r="G933" i="1"/>
  <c r="G932" i="1"/>
  <c r="G931" i="1"/>
  <c r="G930" i="1"/>
  <c r="G929" i="1"/>
  <c r="G928" i="1"/>
  <c r="G927" i="1"/>
  <c r="G926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79" i="1"/>
  <c r="G878" i="1"/>
  <c r="G877" i="1"/>
  <c r="G876" i="1"/>
  <c r="G875" i="1"/>
  <c r="G865" i="1"/>
  <c r="G864" i="1"/>
  <c r="G860" i="1"/>
  <c r="G859" i="1"/>
  <c r="G858" i="1"/>
  <c r="G857" i="1"/>
  <c r="G856" i="1"/>
  <c r="G855" i="1"/>
  <c r="G854" i="1"/>
  <c r="G852" i="1"/>
  <c r="G850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2" i="1"/>
  <c r="G816" i="1"/>
  <c r="G809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89" i="1"/>
  <c r="G788" i="1"/>
  <c r="G787" i="1"/>
  <c r="G786" i="1"/>
  <c r="G785" i="1"/>
  <c r="G783" i="1"/>
  <c r="G782" i="1"/>
  <c r="G781" i="1"/>
  <c r="G780" i="1"/>
  <c r="G779" i="1"/>
  <c r="G775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5" i="1"/>
  <c r="G754" i="1"/>
  <c r="G753" i="1"/>
  <c r="G752" i="1"/>
  <c r="G748" i="1"/>
  <c r="G747" i="1"/>
  <c r="G746" i="1"/>
  <c r="G745" i="1"/>
  <c r="G744" i="1"/>
  <c r="G743" i="1"/>
  <c r="G742" i="1"/>
  <c r="G740" i="1"/>
  <c r="G739" i="1"/>
  <c r="G738" i="1"/>
  <c r="G737" i="1"/>
  <c r="G736" i="1"/>
  <c r="G735" i="1"/>
  <c r="G727" i="1"/>
  <c r="G726" i="1"/>
  <c r="G725" i="1"/>
  <c r="G724" i="1"/>
  <c r="G723" i="1"/>
  <c r="G722" i="1"/>
  <c r="G721" i="1"/>
  <c r="G720" i="1"/>
  <c r="G719" i="1"/>
  <c r="G712" i="1"/>
  <c r="G711" i="1"/>
  <c r="G710" i="1"/>
  <c r="G709" i="1"/>
  <c r="G708" i="1"/>
  <c r="G707" i="1"/>
  <c r="G706" i="1"/>
  <c r="G705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2" i="1"/>
  <c r="G591" i="1"/>
  <c r="G590" i="1"/>
  <c r="G589" i="1"/>
  <c r="G588" i="1"/>
  <c r="G587" i="1"/>
  <c r="G584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51" i="1"/>
  <c r="G544" i="1"/>
  <c r="G543" i="1"/>
  <c r="G542" i="1"/>
  <c r="G541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77" i="1"/>
  <c r="G470" i="1"/>
  <c r="G469" i="1"/>
  <c r="G468" i="1"/>
  <c r="G467" i="1"/>
  <c r="G466" i="1"/>
  <c r="G443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79" i="1"/>
  <c r="G378" i="1"/>
  <c r="G377" i="1"/>
  <c r="G366" i="1"/>
  <c r="G365" i="1"/>
  <c r="G364" i="1"/>
  <c r="G363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23" i="1"/>
  <c r="G322" i="1"/>
  <c r="G321" i="1"/>
  <c r="G320" i="1"/>
  <c r="G319" i="1"/>
  <c r="G318" i="1"/>
  <c r="G317" i="1"/>
  <c r="G316" i="1"/>
  <c r="G315" i="1"/>
  <c r="G314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49" i="1"/>
  <c r="G246" i="1"/>
  <c r="G245" i="1"/>
  <c r="G240" i="1"/>
  <c r="G237" i="1"/>
  <c r="G236" i="1"/>
  <c r="G235" i="1"/>
  <c r="G226" i="1"/>
  <c r="G225" i="1"/>
  <c r="G224" i="1"/>
  <c r="G223" i="1"/>
  <c r="G219" i="1"/>
  <c r="G218" i="1"/>
  <c r="G217" i="1"/>
  <c r="G216" i="1"/>
  <c r="G215" i="1"/>
  <c r="G214" i="1"/>
  <c r="G213" i="1"/>
  <c r="G212" i="1"/>
  <c r="G211" i="1"/>
  <c r="G210" i="1"/>
  <c r="G207" i="1"/>
  <c r="G206" i="1"/>
  <c r="G205" i="1"/>
  <c r="G204" i="1"/>
  <c r="G203" i="1"/>
  <c r="G202" i="1"/>
  <c r="G201" i="1"/>
  <c r="G193" i="1"/>
  <c r="G192" i="1"/>
  <c r="G191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35" i="1"/>
  <c r="G134" i="1"/>
  <c r="G131" i="1"/>
  <c r="G130" i="1"/>
  <c r="G129" i="1"/>
  <c r="G128" i="1"/>
  <c r="G121" i="1"/>
  <c r="G120" i="1"/>
  <c r="G119" i="1"/>
  <c r="G115" i="1"/>
  <c r="G114" i="1"/>
  <c r="G113" i="1"/>
  <c r="G112" i="1"/>
  <c r="G111" i="1"/>
  <c r="G110" i="1"/>
  <c r="G109" i="1"/>
  <c r="G108" i="1"/>
  <c r="G107" i="1"/>
  <c r="G106" i="1"/>
  <c r="G105" i="1"/>
  <c r="G103" i="1"/>
  <c r="G102" i="1"/>
  <c r="G98" i="1"/>
  <c r="G97" i="1"/>
  <c r="G95" i="1"/>
  <c r="G94" i="1"/>
  <c r="G93" i="1"/>
  <c r="G91" i="1"/>
  <c r="G90" i="1"/>
  <c r="G89" i="1"/>
  <c r="G88" i="1"/>
  <c r="G87" i="1"/>
  <c r="G86" i="1"/>
  <c r="G85" i="1"/>
  <c r="G83" i="1"/>
  <c r="G82" i="1"/>
  <c r="G81" i="1"/>
  <c r="G80" i="1"/>
  <c r="G78" i="1"/>
  <c r="G77" i="1"/>
  <c r="G76" i="1"/>
  <c r="G75" i="1"/>
  <c r="G74" i="1"/>
  <c r="G73" i="1"/>
  <c r="G72" i="1"/>
  <c r="G71" i="1"/>
  <c r="G69" i="1"/>
  <c r="G65" i="1"/>
  <c r="G64" i="1"/>
  <c r="G63" i="1"/>
  <c r="G62" i="1"/>
  <c r="G61" i="1"/>
  <c r="G60" i="1"/>
  <c r="G57" i="1"/>
  <c r="G54" i="1"/>
  <c r="G53" i="1"/>
  <c r="G52" i="1"/>
  <c r="G51" i="1"/>
  <c r="G50" i="1"/>
  <c r="G49" i="1"/>
  <c r="G48" i="1"/>
  <c r="G47" i="1"/>
  <c r="G46" i="1"/>
  <c r="G44" i="1"/>
  <c r="G43" i="1"/>
  <c r="G42" i="1"/>
  <c r="G41" i="1"/>
  <c r="G40" i="1"/>
  <c r="G37" i="1"/>
  <c r="G34" i="1"/>
  <c r="G33" i="1"/>
  <c r="G32" i="1"/>
  <c r="G30" i="1"/>
  <c r="G29" i="1"/>
  <c r="G28" i="1"/>
  <c r="G27" i="1"/>
  <c r="G25" i="1"/>
  <c r="G24" i="1"/>
  <c r="G22" i="1"/>
  <c r="G17" i="1"/>
  <c r="G16" i="1"/>
  <c r="G12" i="1"/>
  <c r="G11" i="1"/>
  <c r="G8" i="1"/>
  <c r="G6" i="1"/>
  <c r="G2" i="1"/>
</calcChain>
</file>

<file path=xl/comments1.xml><?xml version="1.0" encoding="utf-8"?>
<comments xmlns="http://schemas.openxmlformats.org/spreadsheetml/2006/main">
  <authors>
    <author>wenwen_bao</author>
  </authors>
  <commentList>
    <comment ref="O221" authorId="0">
      <text>
        <r>
          <rPr>
            <b/>
            <sz val="9"/>
            <color indexed="81"/>
            <rFont val="宋体"/>
            <family val="3"/>
            <charset val="134"/>
          </rPr>
          <t>由于</t>
        </r>
        <r>
          <rPr>
            <b/>
            <sz val="9"/>
            <color indexed="81"/>
            <rFont val="Tahoma"/>
            <family val="2"/>
          </rPr>
          <t>FLRGK1#~5#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18#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19#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22#~25#</t>
        </r>
        <r>
          <rPr>
            <b/>
            <sz val="9"/>
            <color indexed="81"/>
            <rFont val="宋体"/>
            <family val="3"/>
            <charset val="134"/>
          </rPr>
          <t>芯片背面局部黄斑沾污，替换成</t>
        </r>
        <r>
          <rPr>
            <b/>
            <sz val="9"/>
            <color indexed="81"/>
            <rFont val="Tahoma"/>
            <family val="2"/>
          </rPr>
          <t xml:space="preserve">FLR2P(21#-25#)  FN4H7(24#-25#) 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73" authorId="0">
      <text>
        <r>
          <rPr>
            <b/>
            <sz val="9"/>
            <color indexed="81"/>
            <rFont val="Tahoma"/>
            <family val="2"/>
          </rPr>
          <t>wafer</t>
        </r>
        <r>
          <rPr>
            <b/>
            <sz val="9"/>
            <color indexed="81"/>
            <rFont val="宋体"/>
            <family val="3"/>
            <charset val="134"/>
          </rPr>
          <t>批次</t>
        </r>
        <r>
          <rPr>
            <b/>
            <sz val="9"/>
            <color indexed="81"/>
            <rFont val="Tahoma"/>
            <family val="2"/>
          </rPr>
          <t>FS4TR</t>
        </r>
        <r>
          <rPr>
            <b/>
            <sz val="9"/>
            <color indexed="81"/>
            <rFont val="宋体"/>
            <family val="3"/>
            <charset val="134"/>
          </rPr>
          <t>，换成另外一批</t>
        </r>
        <r>
          <rPr>
            <b/>
            <sz val="9"/>
            <color indexed="81"/>
            <rFont val="Tahoma"/>
            <family val="2"/>
          </rPr>
          <t>FL4P6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<sst xmlns="http://schemas.openxmlformats.org/spreadsheetml/2006/main" count="17925" uniqueCount="8630">
  <si>
    <t>PartNumber</t>
    <phoneticPr fontId="4" type="noConversion"/>
  </si>
  <si>
    <t>notice</t>
  </si>
  <si>
    <t>waferhistory</t>
  </si>
  <si>
    <t>waferver.</t>
    <phoneticPr fontId="4" type="noConversion"/>
  </si>
  <si>
    <t>Site</t>
  </si>
  <si>
    <t>OrderNO#</t>
  </si>
  <si>
    <t>Qty.(K)</t>
  </si>
  <si>
    <t>IssuedDate</t>
  </si>
  <si>
    <t>Packagetype</t>
  </si>
  <si>
    <t>TopMark</t>
  </si>
  <si>
    <t>wafersite</t>
  </si>
  <si>
    <t>wafer（pcs）</t>
  </si>
  <si>
    <t>Wafer Lot#</t>
  </si>
  <si>
    <t>Wafer ID</t>
    <phoneticPr fontId="4" type="noConversion"/>
  </si>
  <si>
    <t>A/TLot#</t>
    <phoneticPr fontId="4" type="noConversion"/>
  </si>
  <si>
    <t>SYK871FCC</t>
  </si>
  <si>
    <t>B07J0</t>
  </si>
  <si>
    <t>JCET</t>
  </si>
  <si>
    <t>HF01121</t>
  </si>
  <si>
    <r>
      <rPr>
        <sz val="10"/>
        <rFont val="Arial"/>
        <family val="2"/>
        <charset val="134"/>
      </rP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</si>
  <si>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AEP4NA</t>
  </si>
  <si>
    <t>HJTC</t>
  </si>
  <si>
    <t>N8LGJ.02</t>
  </si>
  <si>
    <t>21#~22#</t>
  </si>
  <si>
    <t>N8LGJ.02-1</t>
  </si>
  <si>
    <t>SY58294FAC</t>
  </si>
  <si>
    <t>E02TM0+A3X01A</t>
  </si>
  <si>
    <t>HF01149</t>
  </si>
  <si>
    <r>
      <rPr>
        <sz val="10"/>
        <color indexed="8"/>
        <rFont val="Arial"/>
        <family val="2"/>
        <charset val="134"/>
      </rPr>
      <t>S08(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</si>
  <si>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AHC4NA</t>
  </si>
  <si>
    <t>1+2</t>
  </si>
  <si>
    <r>
      <rPr>
        <sz val="10"/>
        <rFont val="Arial"/>
        <family val="2"/>
        <charset val="134"/>
      </rPr>
      <t>N9JJL.01+(SJ023300+SJ006400(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))</t>
    </r>
  </si>
  <si>
    <r>
      <rPr>
        <sz val="10"/>
        <rFont val="Arial"/>
        <family val="2"/>
        <charset val="134"/>
      </rPr>
      <t>24#+(24#~25#+</t>
    </r>
    <r>
      <rPr>
        <sz val="10"/>
        <rFont val="宋体"/>
        <family val="3"/>
        <charset val="134"/>
      </rPr>
      <t>任意</t>
    </r>
    <r>
      <rPr>
        <sz val="10"/>
        <rFont val="Arial"/>
        <family val="2"/>
        <charset val="134"/>
      </rPr>
      <t>)</t>
    </r>
  </si>
  <si>
    <t>N9JJL.01;(SJ023300+SJ006400)</t>
  </si>
  <si>
    <t>SYK594AFAC</t>
  </si>
  <si>
    <t>E02TD0+A2X01A</t>
  </si>
  <si>
    <t>HF01342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</si>
  <si>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</si>
  <si>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AMJ4QA</t>
  </si>
  <si>
    <t>ASMC</t>
  </si>
  <si>
    <t>3+8</t>
  </si>
  <si>
    <t>N9JP3+SJ075300</t>
  </si>
  <si>
    <t>23#-25+14#-21#</t>
  </si>
  <si>
    <t>N9JP3;SJ075300</t>
  </si>
  <si>
    <t>SYT706FAC</t>
  </si>
  <si>
    <t>Marcom需要</t>
  </si>
  <si>
    <t>E24D0+U2X14A</t>
  </si>
  <si>
    <t>HF01370</t>
  </si>
  <si>
    <t>AVN4QA</t>
  </si>
  <si>
    <t>5+17</t>
  </si>
  <si>
    <t>N9NR9+FW2TK</t>
  </si>
  <si>
    <t>19#-23#+1#-17#</t>
  </si>
  <si>
    <t>N9NR9;FW2TK</t>
  </si>
  <si>
    <t>SY8204FCC</t>
  </si>
  <si>
    <t>A10A2</t>
  </si>
  <si>
    <t>HF01462</t>
  </si>
  <si>
    <t>AHI4SA</t>
  </si>
  <si>
    <t>N9Q8N</t>
  </si>
  <si>
    <t>16#-25#</t>
  </si>
  <si>
    <t>N9Q8N-1</t>
  </si>
  <si>
    <t>SY58595AFAC</t>
  </si>
  <si>
    <t>E02TJ0+A2X07A</t>
  </si>
  <si>
    <t>HF01472</t>
  </si>
  <si>
    <t>AQX4SA</t>
  </si>
  <si>
    <t>5+19</t>
  </si>
  <si>
    <t>N9ATW+SJ076300</t>
  </si>
  <si>
    <t>10#~14#+1#~6#,8#~13#,15#~21#</t>
  </si>
  <si>
    <t>SJ076300;N9ATW</t>
  </si>
  <si>
    <t>HF01600</t>
  </si>
  <si>
    <t>AHI4TA</t>
  </si>
  <si>
    <t>N9RRN</t>
  </si>
  <si>
    <t>N9RRN-2</t>
  </si>
  <si>
    <t>SY58202FAC</t>
  </si>
  <si>
    <t>E02G1+A1X02A</t>
  </si>
  <si>
    <t>HF01711</t>
  </si>
  <si>
    <t>AIG4UC</t>
  </si>
  <si>
    <t>AMC</t>
  </si>
  <si>
    <t>10+20</t>
  </si>
  <si>
    <t xml:space="preserve">N9YK1.01+SJ044100 </t>
  </si>
  <si>
    <t>1#-10#+1#~20#</t>
  </si>
  <si>
    <t>N9YK1.01;SJ044100</t>
  </si>
  <si>
    <t>SY58202AFAC</t>
  </si>
  <si>
    <t>E02GA0+A1X02A</t>
  </si>
  <si>
    <t>HF01734</t>
  </si>
  <si>
    <t>ANL4UA</t>
  </si>
  <si>
    <t>3+6</t>
  </si>
  <si>
    <t>N9RCG+(SJ044100+SJ044000)</t>
  </si>
  <si>
    <t>19#-21#+(21#~25#+25#)</t>
  </si>
  <si>
    <t>N9RCG;(SJ044100+SJ044000)</t>
  </si>
  <si>
    <t>YG272FAC</t>
  </si>
  <si>
    <t>E02B3</t>
  </si>
  <si>
    <t>HF01782</t>
  </si>
  <si>
    <t>YG2724VA</t>
  </si>
  <si>
    <t>N9YJW.02</t>
  </si>
  <si>
    <t>7#-8#</t>
  </si>
  <si>
    <t>N9YJW.02-1</t>
  </si>
  <si>
    <t>SYC813FCC</t>
  </si>
  <si>
    <t>A46A0</t>
  </si>
  <si>
    <t>HF01859</t>
  </si>
  <si>
    <t>AIV4VA</t>
  </si>
  <si>
    <t>N9QN4.01</t>
  </si>
  <si>
    <t>1#-13#</t>
  </si>
  <si>
    <t>SYPH294AFAC</t>
  </si>
  <si>
    <t>E02TD0+A3X01A</t>
  </si>
  <si>
    <t>HF01875</t>
  </si>
  <si>
    <t>AMM4WA</t>
  </si>
  <si>
    <t>4+11</t>
  </si>
  <si>
    <t xml:space="preserve">N9KF5+SJ037400 </t>
  </si>
  <si>
    <t>19#-22#+1#~11#</t>
  </si>
  <si>
    <t>N9KF5;SJ037400</t>
  </si>
  <si>
    <t>SY58105AFAC</t>
  </si>
  <si>
    <t>E02GC0+A2X07A</t>
    <phoneticPr fontId="4" type="noConversion"/>
  </si>
  <si>
    <t>HF01878</t>
  </si>
  <si>
    <t>AQG4WA</t>
  </si>
  <si>
    <t>1+3</t>
  </si>
  <si>
    <t>N9QPM+SJ065600</t>
  </si>
  <si>
    <t>22#+22#-24#</t>
  </si>
  <si>
    <t>SJ065600;N9QPM</t>
  </si>
  <si>
    <t>SYR313FAC</t>
  </si>
  <si>
    <t>E51G0+A2X01B</t>
  </si>
  <si>
    <t>HF01927</t>
  </si>
  <si>
    <t>ATK4WB</t>
  </si>
  <si>
    <t>4+13</t>
  </si>
  <si>
    <t>N9SYM+SJ083102</t>
  </si>
  <si>
    <t>8#-11#+1-4,7,9,17-19,21-23,25#</t>
  </si>
  <si>
    <t>SJ083102;N9SYM</t>
  </si>
  <si>
    <t>SY8104ADC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</si>
  <si>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</si>
  <si>
    <t>A38A3</t>
  </si>
  <si>
    <t>HF01981</t>
    <phoneticPr fontId="4" type="noConversion"/>
  </si>
  <si>
    <t>TSOT23-6</t>
  </si>
  <si>
    <t>JR4WJ</t>
  </si>
  <si>
    <t>HTJC</t>
  </si>
  <si>
    <t>NA2A1</t>
  </si>
  <si>
    <t>13#~25#</t>
  </si>
  <si>
    <t>NA2A1-1</t>
  </si>
  <si>
    <t>SY8204FCC</t>
    <phoneticPr fontId="4" type="noConversion"/>
  </si>
  <si>
    <t>JCET</t>
    <phoneticPr fontId="4" type="noConversion"/>
  </si>
  <si>
    <t>HF02081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</si>
  <si>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</si>
  <si>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AHI4XA</t>
    <phoneticPr fontId="4" type="noConversion"/>
  </si>
  <si>
    <t>HJTC</t>
    <phoneticPr fontId="4" type="noConversion"/>
  </si>
  <si>
    <t>NA1HT</t>
    <phoneticPr fontId="4" type="noConversion"/>
  </si>
  <si>
    <t>1#-9#</t>
  </si>
  <si>
    <t>NA1HT</t>
  </si>
  <si>
    <t>SY58294AFAC</t>
    <phoneticPr fontId="4" type="noConversion"/>
  </si>
  <si>
    <t>HF02158</t>
    <phoneticPr fontId="4" type="noConversion"/>
  </si>
  <si>
    <t>AMM4YA</t>
    <phoneticPr fontId="4" type="noConversion"/>
  </si>
  <si>
    <t>ASMC</t>
    <phoneticPr fontId="4" type="noConversion"/>
  </si>
  <si>
    <t>9+25</t>
    <phoneticPr fontId="4" type="noConversion"/>
  </si>
  <si>
    <t xml:space="preserve">N9KF4+SJ028400 </t>
    <phoneticPr fontId="4" type="noConversion"/>
  </si>
  <si>
    <t>1#-9#+1#~25#</t>
    <phoneticPr fontId="4" type="noConversion"/>
  </si>
  <si>
    <t>N9KF4;SJ028400</t>
  </si>
  <si>
    <t>SY58102AFAC</t>
    <phoneticPr fontId="4" type="noConversion"/>
  </si>
  <si>
    <t>E02GA0+A2X02A</t>
    <phoneticPr fontId="4" type="noConversion"/>
  </si>
  <si>
    <t>HF02163</t>
    <phoneticPr fontId="4" type="noConversion"/>
  </si>
  <si>
    <t>ANN4YA</t>
    <phoneticPr fontId="4" type="noConversion"/>
  </si>
  <si>
    <t>8+16</t>
    <phoneticPr fontId="4" type="noConversion"/>
  </si>
  <si>
    <t xml:space="preserve">NA12K.01+SJ045900 </t>
    <phoneticPr fontId="4" type="noConversion"/>
  </si>
  <si>
    <t>1#-8#+1#~4#,8#~19#</t>
    <phoneticPr fontId="4" type="noConversion"/>
  </si>
  <si>
    <t>NA12K.01;SJ045900</t>
  </si>
  <si>
    <t>SYT705FAC</t>
    <phoneticPr fontId="4" type="noConversion"/>
  </si>
  <si>
    <t>E24D0+U2X10A</t>
  </si>
  <si>
    <t>JCET</t>
    <phoneticPr fontId="4" type="noConversion"/>
  </si>
  <si>
    <t>HF02165</t>
    <phoneticPr fontId="4" type="noConversion"/>
  </si>
  <si>
    <t>AVM4YA</t>
    <phoneticPr fontId="4" type="noConversion"/>
  </si>
  <si>
    <t>8+23</t>
    <phoneticPr fontId="4" type="noConversion"/>
  </si>
  <si>
    <t>N9YSS+FL7R2</t>
    <phoneticPr fontId="4" type="noConversion"/>
  </si>
  <si>
    <t>1#-8#+1#-5#,7#~24#</t>
    <phoneticPr fontId="4" type="noConversion"/>
  </si>
  <si>
    <t>FL7R2;N9YSS</t>
  </si>
  <si>
    <t>SY50282FAC</t>
    <phoneticPr fontId="4" type="noConversion"/>
  </si>
  <si>
    <t>E34B2+U3X10A</t>
  </si>
  <si>
    <t>HF02204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</si>
  <si>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</si>
  <si>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ASZ4YB</t>
    <phoneticPr fontId="4" type="noConversion"/>
  </si>
  <si>
    <t>UMC</t>
    <phoneticPr fontId="4" type="noConversion"/>
  </si>
  <si>
    <t>2+5</t>
    <phoneticPr fontId="4" type="noConversion"/>
  </si>
  <si>
    <t>NA4L7+F4T0S</t>
    <phoneticPr fontId="4" type="noConversion"/>
  </si>
  <si>
    <t>19#-20#+6#-11#</t>
    <phoneticPr fontId="4" type="noConversion"/>
  </si>
  <si>
    <t>F4T0S;NA4L7</t>
  </si>
  <si>
    <r>
      <t>需</t>
    </r>
    <r>
      <rPr>
        <sz val="10"/>
        <rFont val="Arial"/>
        <family val="2"/>
        <charset val="134"/>
      </rPr>
      <t>Bumping</t>
    </r>
  </si>
  <si>
    <t>HF02256</t>
    <phoneticPr fontId="4" type="noConversion"/>
  </si>
  <si>
    <t>TSOT23-6</t>
    <phoneticPr fontId="4" type="noConversion"/>
  </si>
  <si>
    <t>JR4ZA</t>
    <phoneticPr fontId="4" type="noConversion"/>
  </si>
  <si>
    <t>HTJC</t>
    <phoneticPr fontId="4" type="noConversion"/>
  </si>
  <si>
    <t>NA6CN</t>
    <phoneticPr fontId="4" type="noConversion"/>
  </si>
  <si>
    <t>1#~12#</t>
  </si>
  <si>
    <t>NA6CN-1</t>
    <phoneticPr fontId="4" type="noConversion"/>
  </si>
  <si>
    <t>SY58182FAC</t>
    <phoneticPr fontId="4" type="noConversion"/>
  </si>
  <si>
    <t>E34J0+U8X10A</t>
  </si>
  <si>
    <t>HG00089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</si>
  <si>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</si>
  <si>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AWM5BA</t>
    <phoneticPr fontId="4" type="noConversion"/>
  </si>
  <si>
    <t>NA8A4+(FRL99+FLK4K)</t>
    <phoneticPr fontId="4" type="noConversion"/>
  </si>
  <si>
    <t>11#-18#+(18#-22#,24#~25#+9#-24#)</t>
    <phoneticPr fontId="4" type="noConversion"/>
  </si>
  <si>
    <t>(FRL99+FLK4K);NA8A4</t>
  </si>
  <si>
    <t>SY5801AFAC</t>
    <phoneticPr fontId="4" type="noConversion"/>
  </si>
  <si>
    <t>E02M1</t>
  </si>
  <si>
    <t>HG00100</t>
    <phoneticPr fontId="4" type="noConversion"/>
  </si>
  <si>
    <t>SO8</t>
  </si>
  <si>
    <t>AGD5BA</t>
    <phoneticPr fontId="4" type="noConversion"/>
  </si>
  <si>
    <t>N7NAF</t>
    <phoneticPr fontId="4" type="noConversion"/>
  </si>
  <si>
    <t>24#</t>
  </si>
  <si>
    <t>N7NAF</t>
  </si>
  <si>
    <t>SY5859BFHC</t>
    <phoneticPr fontId="4" type="noConversion"/>
  </si>
  <si>
    <t>E50A0</t>
    <phoneticPr fontId="4" type="noConversion"/>
  </si>
  <si>
    <t>HG00105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</si>
  <si>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</si>
  <si>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AVA5BA</t>
    <phoneticPr fontId="4" type="noConversion"/>
  </si>
  <si>
    <t>NA858</t>
    <phoneticPr fontId="4" type="noConversion"/>
  </si>
  <si>
    <t>4#</t>
  </si>
  <si>
    <t>NA858</t>
  </si>
  <si>
    <t>SY50101FAC</t>
    <phoneticPr fontId="4" type="noConversion"/>
  </si>
  <si>
    <t>E02CD0+A2X04A</t>
  </si>
  <si>
    <t>HG00134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</si>
  <si>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</si>
  <si>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AMD5BB</t>
    <phoneticPr fontId="4" type="noConversion"/>
  </si>
  <si>
    <t>4+5</t>
    <phoneticPr fontId="4" type="noConversion"/>
  </si>
  <si>
    <t xml:space="preserve">N9H4M+SJ042600 </t>
    <phoneticPr fontId="4" type="noConversion"/>
  </si>
  <si>
    <t>5#-8#+1#~5#</t>
    <phoneticPr fontId="4" type="noConversion"/>
  </si>
  <si>
    <t>N9H4M;SJ042600</t>
  </si>
  <si>
    <t>SY8060DCC</t>
    <phoneticPr fontId="4" type="noConversion"/>
  </si>
  <si>
    <t>D</t>
    <phoneticPr fontId="4" type="noConversion"/>
  </si>
  <si>
    <t>A11A1</t>
  </si>
  <si>
    <t>HG00178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</si>
  <si>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</si>
  <si>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LX5CB</t>
    <phoneticPr fontId="4" type="noConversion"/>
  </si>
  <si>
    <t>HJTC</t>
    <phoneticPr fontId="4" type="noConversion"/>
  </si>
  <si>
    <t>NA9WM</t>
    <phoneticPr fontId="4" type="noConversion"/>
  </si>
  <si>
    <t>1#-5#</t>
  </si>
  <si>
    <t>NA9WM</t>
  </si>
  <si>
    <t>SY8204FCC</t>
    <phoneticPr fontId="4" type="noConversion"/>
  </si>
  <si>
    <t>HG00202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</si>
  <si>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</si>
  <si>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AHI5CA</t>
    <phoneticPr fontId="4" type="noConversion"/>
  </si>
  <si>
    <t>NA560</t>
    <phoneticPr fontId="4" type="noConversion"/>
  </si>
  <si>
    <t>11#-25#</t>
  </si>
  <si>
    <t>NA560-1</t>
  </si>
  <si>
    <t>A10A2</t>
    <phoneticPr fontId="4" type="noConversion"/>
  </si>
  <si>
    <t>HG00205</t>
    <phoneticPr fontId="4" type="noConversion"/>
  </si>
  <si>
    <t>AHI5CD</t>
    <phoneticPr fontId="4" type="noConversion"/>
  </si>
  <si>
    <t>NA617</t>
    <phoneticPr fontId="4" type="noConversion"/>
  </si>
  <si>
    <t>1#-12#</t>
  </si>
  <si>
    <t>NA617</t>
  </si>
  <si>
    <t>SY5210FAC</t>
    <phoneticPr fontId="4" type="noConversion"/>
  </si>
  <si>
    <t>D10A0</t>
  </si>
  <si>
    <t>HG00213</t>
    <phoneticPr fontId="4" type="noConversion"/>
  </si>
  <si>
    <t>ALN5CA</t>
    <phoneticPr fontId="4" type="noConversion"/>
  </si>
  <si>
    <t>N9QL3.02</t>
    <phoneticPr fontId="4" type="noConversion"/>
  </si>
  <si>
    <t>3#-4#</t>
  </si>
  <si>
    <t>N9QL3.02</t>
  </si>
  <si>
    <t>SY58481FAC</t>
    <phoneticPr fontId="4" type="noConversion"/>
  </si>
  <si>
    <t>E25CA0+U3X13A+L2D01B</t>
    <phoneticPr fontId="4" type="noConversion"/>
  </si>
  <si>
    <t>HG00249</t>
    <phoneticPr fontId="4" type="noConversion"/>
  </si>
  <si>
    <t>AVJ5CA</t>
    <phoneticPr fontId="4" type="noConversion"/>
  </si>
  <si>
    <t>ASMC</t>
    <phoneticPr fontId="4" type="noConversion"/>
  </si>
  <si>
    <t>5+15+30</t>
    <phoneticPr fontId="4" type="noConversion"/>
  </si>
  <si>
    <t>NA4YW.02+F32L6+(WF4B108.1+WF4B107.1)</t>
    <phoneticPr fontId="4" type="noConversion"/>
  </si>
  <si>
    <t>10#~14#+1#-15#+(1#-13#,15#-24#+8#-14#)</t>
    <phoneticPr fontId="4" type="noConversion"/>
  </si>
  <si>
    <t>F32L6;(WF4B108.1+WF4B107.1);NA4YW.02</t>
  </si>
  <si>
    <t>SY8675FCC</t>
    <phoneticPr fontId="4" type="noConversion"/>
  </si>
  <si>
    <t>I25A2</t>
    <phoneticPr fontId="4" type="noConversion"/>
  </si>
  <si>
    <t>HG00250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</si>
  <si>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</si>
  <si>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AUC5CA</t>
    <phoneticPr fontId="4" type="noConversion"/>
  </si>
  <si>
    <t>N9PH5.08</t>
    <phoneticPr fontId="4" type="noConversion"/>
  </si>
  <si>
    <t>2#</t>
    <phoneticPr fontId="4" type="noConversion"/>
  </si>
  <si>
    <t>N9PH5.08-1</t>
  </si>
  <si>
    <t>SY8077AAC</t>
    <phoneticPr fontId="4" type="noConversion"/>
  </si>
  <si>
    <t>A51A0</t>
    <phoneticPr fontId="4" type="noConversion"/>
  </si>
  <si>
    <t>JCET</t>
    <phoneticPr fontId="4" type="noConversion"/>
  </si>
  <si>
    <t>HG00261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</si>
  <si>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</si>
  <si>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TR5DD</t>
    <phoneticPr fontId="4" type="noConversion"/>
  </si>
  <si>
    <t>HJTC</t>
    <phoneticPr fontId="4" type="noConversion"/>
  </si>
  <si>
    <t>NACCG</t>
    <phoneticPr fontId="4" type="noConversion"/>
  </si>
  <si>
    <t>13#~25#</t>
    <phoneticPr fontId="4" type="noConversion"/>
  </si>
  <si>
    <t>NACCG-1</t>
  </si>
  <si>
    <t>SY8816DFC</t>
    <phoneticPr fontId="4" type="noConversion"/>
  </si>
  <si>
    <t>需bumping</t>
  </si>
  <si>
    <t>A33A1</t>
  </si>
  <si>
    <t>HG00263</t>
    <phoneticPr fontId="4" type="noConversion"/>
  </si>
  <si>
    <t>DFN2*2-8L</t>
  </si>
  <si>
    <t>VW5DA</t>
    <phoneticPr fontId="4" type="noConversion"/>
  </si>
  <si>
    <t>NAC6K</t>
    <phoneticPr fontId="4" type="noConversion"/>
  </si>
  <si>
    <t>7#-16#</t>
  </si>
  <si>
    <t>NAC6K</t>
  </si>
  <si>
    <t>SY58292ZFAC</t>
    <phoneticPr fontId="4" type="noConversion"/>
  </si>
  <si>
    <t>E10Q2+A3X04A</t>
  </si>
  <si>
    <t>HG00265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</si>
  <si>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</si>
  <si>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AZP5DA</t>
    <phoneticPr fontId="4" type="noConversion"/>
  </si>
  <si>
    <t>ASMC</t>
    <phoneticPr fontId="4" type="noConversion"/>
  </si>
  <si>
    <t>2+4</t>
    <phoneticPr fontId="4" type="noConversion"/>
  </si>
  <si>
    <t>NA9RC.01+SJ035900</t>
    <phoneticPr fontId="4" type="noConversion"/>
  </si>
  <si>
    <t>1#-2#+8#~11#</t>
    <phoneticPr fontId="4" type="noConversion"/>
  </si>
  <si>
    <t>NA9RC.01;SJ035900</t>
  </si>
  <si>
    <t>SY58120BAAC</t>
    <phoneticPr fontId="4" type="noConversion"/>
  </si>
  <si>
    <t>E24E1+U2X10A</t>
  </si>
  <si>
    <t>HG00276</t>
    <phoneticPr fontId="4" type="noConversion"/>
  </si>
  <si>
    <t>Gq5DA</t>
    <phoneticPr fontId="4" type="noConversion"/>
  </si>
  <si>
    <t>UMC</t>
    <phoneticPr fontId="4" type="noConversion"/>
  </si>
  <si>
    <t>8+22</t>
    <phoneticPr fontId="4" type="noConversion"/>
  </si>
  <si>
    <t>NA5M2.01+F3W9M</t>
    <phoneticPr fontId="4" type="noConversion"/>
  </si>
  <si>
    <t>14#-21#+1#-22#</t>
    <phoneticPr fontId="4" type="noConversion"/>
  </si>
  <si>
    <t>F3W9M;NA5M2.01</t>
  </si>
  <si>
    <t>SY8120BABC</t>
    <phoneticPr fontId="4" type="noConversion"/>
  </si>
  <si>
    <t>A36A2</t>
  </si>
  <si>
    <t>HG00292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</si>
  <si>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</si>
  <si>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NB5DD</t>
    <phoneticPr fontId="4" type="noConversion"/>
  </si>
  <si>
    <t>HTJC</t>
    <phoneticPr fontId="4" type="noConversion"/>
  </si>
  <si>
    <t>NACM2</t>
    <phoneticPr fontId="4" type="noConversion"/>
  </si>
  <si>
    <t>NACM2</t>
  </si>
  <si>
    <t>SY50136FAC</t>
    <phoneticPr fontId="4" type="noConversion"/>
  </si>
  <si>
    <t>E51L0+U2X16A</t>
    <phoneticPr fontId="4" type="noConversion"/>
  </si>
  <si>
    <t>HG00294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</si>
  <si>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</si>
  <si>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AUX5DA</t>
    <phoneticPr fontId="4" type="noConversion"/>
  </si>
  <si>
    <t>2+19</t>
    <phoneticPr fontId="4" type="noConversion"/>
  </si>
  <si>
    <t>N9YA8.07+F9S9C</t>
    <phoneticPr fontId="4" type="noConversion"/>
  </si>
  <si>
    <t>19#-20#+1#-19#</t>
    <phoneticPr fontId="4" type="noConversion"/>
  </si>
  <si>
    <t>F9S9C;N9YA8.07</t>
  </si>
  <si>
    <t>SY58281NAAC</t>
    <phoneticPr fontId="4" type="noConversion"/>
  </si>
  <si>
    <t>E35B0+U3X13A</t>
    <phoneticPr fontId="4" type="noConversion"/>
  </si>
  <si>
    <t>HG00300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</si>
  <si>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</si>
  <si>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Hv5EA</t>
    <phoneticPr fontId="4" type="noConversion"/>
  </si>
  <si>
    <t>UMC</t>
  </si>
  <si>
    <t>3+9</t>
    <phoneticPr fontId="4" type="noConversion"/>
  </si>
  <si>
    <t>NAA92.03+F32L6</t>
    <phoneticPr fontId="4" type="noConversion"/>
  </si>
  <si>
    <t>6#~8#+17#-25#</t>
    <phoneticPr fontId="4" type="noConversion"/>
  </si>
  <si>
    <t>F32L6;NAA92.03</t>
  </si>
  <si>
    <t>SY8002AABC</t>
    <phoneticPr fontId="4" type="noConversion"/>
  </si>
  <si>
    <t>A25C1</t>
  </si>
  <si>
    <t>HG00304</t>
    <phoneticPr fontId="4" type="noConversion"/>
  </si>
  <si>
    <t>KG5EA</t>
    <phoneticPr fontId="4" type="noConversion"/>
  </si>
  <si>
    <t>NA5SJ</t>
    <phoneticPr fontId="4" type="noConversion"/>
  </si>
  <si>
    <t>1#-25#</t>
  </si>
  <si>
    <t>NA5SJ</t>
  </si>
  <si>
    <t>SY8079AAC</t>
    <phoneticPr fontId="4" type="noConversion"/>
  </si>
  <si>
    <t>A52G0</t>
  </si>
  <si>
    <t>HG00309</t>
    <phoneticPr fontId="4" type="noConversion"/>
  </si>
  <si>
    <t>UH5EA</t>
    <phoneticPr fontId="4" type="noConversion"/>
  </si>
  <si>
    <t>NACHY</t>
    <phoneticPr fontId="4" type="noConversion"/>
  </si>
  <si>
    <t>9#-15#</t>
  </si>
  <si>
    <t>NACHY</t>
  </si>
  <si>
    <t>A52G0</t>
    <phoneticPr fontId="4" type="noConversion"/>
  </si>
  <si>
    <t>HG00310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</si>
  <si>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</si>
  <si>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t>UH5EB</t>
    <phoneticPr fontId="4" type="noConversion"/>
  </si>
  <si>
    <t>NACHY+01</t>
  </si>
  <si>
    <t>SY8868QMC</t>
    <phoneticPr fontId="4" type="noConversion"/>
  </si>
  <si>
    <t>A42B3</t>
  </si>
  <si>
    <t>HG00318</t>
    <phoneticPr fontId="4" type="noConversion"/>
  </si>
  <si>
    <t>QFN2x2-10</t>
    <phoneticPr fontId="4" type="noConversion"/>
  </si>
  <si>
    <t>KT5ED</t>
    <phoneticPr fontId="4" type="noConversion"/>
  </si>
  <si>
    <t>NAGKS</t>
    <phoneticPr fontId="4" type="noConversion"/>
  </si>
  <si>
    <t>NAGKS-1</t>
  </si>
  <si>
    <t>SY8121BABC</t>
    <phoneticPr fontId="4" type="noConversion"/>
  </si>
  <si>
    <t>A21D0</t>
  </si>
  <si>
    <t>HG00342</t>
    <phoneticPr fontId="4" type="noConversion"/>
  </si>
  <si>
    <t>TV5EL</t>
    <phoneticPr fontId="4" type="noConversion"/>
  </si>
  <si>
    <t>NACW4</t>
    <phoneticPr fontId="4" type="noConversion"/>
  </si>
  <si>
    <t>13#-25#</t>
    <phoneticPr fontId="4" type="noConversion"/>
  </si>
  <si>
    <t>NACW4+01</t>
  </si>
  <si>
    <t>SYPH83FAC</t>
    <phoneticPr fontId="4" type="noConversion"/>
  </si>
  <si>
    <t>E34G1+A3X04B</t>
  </si>
  <si>
    <t>HG00356</t>
    <phoneticPr fontId="4" type="noConversion"/>
  </si>
  <si>
    <t>AQK5EH</t>
    <phoneticPr fontId="4" type="noConversion"/>
  </si>
  <si>
    <t>4+9</t>
    <phoneticPr fontId="4" type="noConversion"/>
  </si>
  <si>
    <t>NACN8+(SJ063600+SJ067500)</t>
    <phoneticPr fontId="4" type="noConversion"/>
  </si>
  <si>
    <t>15#-18#+ (23#~25#+20#-25#)</t>
    <phoneticPr fontId="4" type="noConversion"/>
  </si>
  <si>
    <t>(SJ063600+SJ067500);NACN8</t>
  </si>
  <si>
    <t>SYPL31BFAC</t>
  </si>
  <si>
    <t>E02R3</t>
  </si>
  <si>
    <t>HG00364</t>
    <phoneticPr fontId="4" type="noConversion"/>
  </si>
  <si>
    <t>AGB5EC</t>
    <phoneticPr fontId="4" type="noConversion"/>
  </si>
  <si>
    <t>NA9JF</t>
    <phoneticPr fontId="4" type="noConversion"/>
  </si>
  <si>
    <t>24#~25#</t>
    <phoneticPr fontId="4" type="noConversion"/>
  </si>
  <si>
    <t>NA9JF-4</t>
  </si>
  <si>
    <t>SY5003ABC</t>
    <phoneticPr fontId="4" type="noConversion"/>
  </si>
  <si>
    <t>E02HD0</t>
  </si>
  <si>
    <t>HG00365</t>
    <phoneticPr fontId="4" type="noConversion"/>
  </si>
  <si>
    <t>RZ5EA</t>
    <phoneticPr fontId="4" type="noConversion"/>
  </si>
  <si>
    <t xml:space="preserve">N8H6G.01 </t>
    <phoneticPr fontId="4" type="noConversion"/>
  </si>
  <si>
    <t>10#</t>
  </si>
  <si>
    <t>N8H6G.01 +01</t>
  </si>
  <si>
    <t>SYG225ABC</t>
    <phoneticPr fontId="4" type="noConversion"/>
  </si>
  <si>
    <t>E02Q1</t>
  </si>
  <si>
    <t>HG00369</t>
    <phoneticPr fontId="4" type="noConversion"/>
  </si>
  <si>
    <t>MH5EA</t>
    <phoneticPr fontId="4" type="noConversion"/>
  </si>
  <si>
    <t>NA669</t>
    <phoneticPr fontId="4" type="noConversion"/>
  </si>
  <si>
    <t>1#-2#</t>
  </si>
  <si>
    <t>NA669</t>
  </si>
  <si>
    <t>SY8061ADEC</t>
    <phoneticPr fontId="4" type="noConversion"/>
  </si>
  <si>
    <t>A11B1</t>
  </si>
  <si>
    <t>HG00387</t>
    <phoneticPr fontId="4" type="noConversion"/>
  </si>
  <si>
    <t>DFN2*2-6</t>
    <phoneticPr fontId="4" type="noConversion"/>
  </si>
  <si>
    <t>Es5EA</t>
    <phoneticPr fontId="4" type="noConversion"/>
  </si>
  <si>
    <t>NA9WM.01</t>
  </si>
  <si>
    <t>21#</t>
  </si>
  <si>
    <t>SY8061BDEC</t>
    <phoneticPr fontId="4" type="noConversion"/>
  </si>
  <si>
    <t>A11F1</t>
  </si>
  <si>
    <t>HG00388</t>
    <phoneticPr fontId="4" type="noConversion"/>
  </si>
  <si>
    <t>NW5EA</t>
    <phoneticPr fontId="4" type="noConversion"/>
  </si>
  <si>
    <t>NAGW7.01</t>
  </si>
  <si>
    <t>24#</t>
    <phoneticPr fontId="4" type="noConversion"/>
  </si>
  <si>
    <t>A51A0</t>
  </si>
  <si>
    <t>HG00393</t>
    <phoneticPr fontId="4" type="noConversion"/>
  </si>
  <si>
    <t>TR5EA</t>
    <phoneticPr fontId="4" type="noConversion"/>
  </si>
  <si>
    <t>NAFFA</t>
  </si>
  <si>
    <t>1#-10#</t>
  </si>
  <si>
    <t>HG00404</t>
    <phoneticPr fontId="4" type="noConversion"/>
  </si>
  <si>
    <t>NB5EB</t>
    <phoneticPr fontId="4" type="noConversion"/>
  </si>
  <si>
    <t>NACM3</t>
  </si>
  <si>
    <t>NACM3+01</t>
  </si>
  <si>
    <t>SY8105ADC</t>
    <phoneticPr fontId="4" type="noConversion"/>
  </si>
  <si>
    <t>需Bumping</t>
  </si>
  <si>
    <t>A38B0</t>
  </si>
  <si>
    <t>HG00405</t>
    <phoneticPr fontId="4" type="noConversion"/>
  </si>
  <si>
    <t>TSOT23-6</t>
    <phoneticPr fontId="4" type="noConversion"/>
  </si>
  <si>
    <t>NY5EA</t>
    <phoneticPr fontId="4" type="noConversion"/>
  </si>
  <si>
    <t>NAF7M</t>
  </si>
  <si>
    <t>SY8089AAC</t>
    <phoneticPr fontId="4" type="noConversion"/>
  </si>
  <si>
    <t>A25A1</t>
  </si>
  <si>
    <t>HG00419</t>
    <phoneticPr fontId="4" type="noConversion"/>
  </si>
  <si>
    <t>JX5FA</t>
    <phoneticPr fontId="4" type="noConversion"/>
  </si>
  <si>
    <t>NAAR2.05</t>
    <phoneticPr fontId="4" type="noConversion"/>
  </si>
  <si>
    <t>#2,3,9,10,18,19</t>
  </si>
  <si>
    <t>NAAR2.05</t>
  </si>
  <si>
    <t>SY58181NAAC</t>
    <phoneticPr fontId="4" type="noConversion"/>
  </si>
  <si>
    <t>E35B0+U8X13A</t>
  </si>
  <si>
    <t>HG00434</t>
    <phoneticPr fontId="4" type="noConversion"/>
  </si>
  <si>
    <t>He5FE</t>
    <phoneticPr fontId="4" type="noConversion"/>
  </si>
  <si>
    <t>7+23</t>
    <phoneticPr fontId="4" type="noConversion"/>
  </si>
  <si>
    <t>NAHH2+FTMLK</t>
    <phoneticPr fontId="4" type="noConversion"/>
  </si>
  <si>
    <t>15#-21#+1#-23#</t>
    <phoneticPr fontId="4" type="noConversion"/>
  </si>
  <si>
    <t>FTMLK;NAHH2</t>
  </si>
  <si>
    <t>HG00436</t>
    <phoneticPr fontId="4" type="noConversion"/>
  </si>
  <si>
    <t>He5FG</t>
    <phoneticPr fontId="4" type="noConversion"/>
  </si>
  <si>
    <t>1+3</t>
    <phoneticPr fontId="4" type="noConversion"/>
  </si>
  <si>
    <t>NAHH2+(FTMLK+FSPM4)</t>
    <phoneticPr fontId="4" type="noConversion"/>
  </si>
  <si>
    <t>23#+((24#-25#+25#)</t>
    <phoneticPr fontId="4" type="noConversion"/>
  </si>
  <si>
    <t>(FTMLK+FSPM4);NAHH2</t>
  </si>
  <si>
    <t>SY5869ABC</t>
    <phoneticPr fontId="4" type="noConversion"/>
  </si>
  <si>
    <t>E06A0</t>
    <phoneticPr fontId="4" type="noConversion"/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</si>
  <si>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4" type="noConversion"/>
  </si>
  <si>
    <t>AG00022</t>
    <phoneticPr fontId="4" type="noConversion"/>
  </si>
  <si>
    <t>Dr5FH</t>
    <phoneticPr fontId="4" type="noConversion"/>
  </si>
  <si>
    <t>NAHHC</t>
    <phoneticPr fontId="4" type="noConversion"/>
  </si>
  <si>
    <t>NAHHC</t>
  </si>
  <si>
    <t>SY58282NFAC</t>
    <phoneticPr fontId="4" type="noConversion"/>
  </si>
  <si>
    <t>E35B0+U3X13A</t>
  </si>
  <si>
    <t>HG00445</t>
    <phoneticPr fontId="4" type="noConversion"/>
  </si>
  <si>
    <t>AYR5FH</t>
    <phoneticPr fontId="4" type="noConversion"/>
  </si>
  <si>
    <t>(NAHH3+NAHH4)+F6R7S</t>
    <phoneticPr fontId="4" type="noConversion"/>
  </si>
  <si>
    <t>(21#-25#+1#-2#)+1#-23#</t>
    <phoneticPr fontId="4" type="noConversion"/>
  </si>
  <si>
    <t>F6R7S;(NAHH3+NAHH4)</t>
  </si>
  <si>
    <t>SY58596AFAC</t>
  </si>
  <si>
    <t>E02TJ0+A2X06B</t>
  </si>
  <si>
    <t>HG00448</t>
    <phoneticPr fontId="4" type="noConversion"/>
  </si>
  <si>
    <t>AQU5FB</t>
    <phoneticPr fontId="4" type="noConversion"/>
  </si>
  <si>
    <t>5+26</t>
    <phoneticPr fontId="4" type="noConversion"/>
  </si>
  <si>
    <t>NAA2Q+(SJ089000+SJ088800)</t>
    <phoneticPr fontId="4" type="noConversion"/>
  </si>
  <si>
    <t>6#-10#+(1#-25#+2#)</t>
    <phoneticPr fontId="4" type="noConversion"/>
  </si>
  <si>
    <t>(SJ089000+SJ088800);NAA2Q</t>
  </si>
  <si>
    <t>SY8079AAC</t>
  </si>
  <si>
    <t>AG00024</t>
    <phoneticPr fontId="4" type="noConversion"/>
  </si>
  <si>
    <t>UH5FC</t>
    <phoneticPr fontId="4" type="noConversion"/>
  </si>
  <si>
    <t>NAHP7</t>
  </si>
  <si>
    <t>AG00025</t>
    <phoneticPr fontId="4" type="noConversion"/>
  </si>
  <si>
    <t>UH5FD</t>
    <phoneticPr fontId="4" type="noConversion"/>
  </si>
  <si>
    <t>13#-25#</t>
  </si>
  <si>
    <t>NAHP7+01</t>
  </si>
  <si>
    <t>SYH407AAC</t>
  </si>
  <si>
    <t>AG00029</t>
    <phoneticPr fontId="4" type="noConversion"/>
  </si>
  <si>
    <t>TR5FB</t>
    <phoneticPr fontId="4" type="noConversion"/>
  </si>
  <si>
    <t>NAFFA</t>
    <phoneticPr fontId="4" type="noConversion"/>
  </si>
  <si>
    <t>23#-25#</t>
  </si>
  <si>
    <t>NAFFA+02</t>
  </si>
  <si>
    <t>AG00030</t>
    <phoneticPr fontId="4" type="noConversion"/>
  </si>
  <si>
    <t>NB5FA</t>
    <phoneticPr fontId="4" type="noConversion"/>
  </si>
  <si>
    <t>NACM4</t>
    <phoneticPr fontId="4" type="noConversion"/>
  </si>
  <si>
    <t>1#-13#</t>
    <phoneticPr fontId="4" type="noConversion"/>
  </si>
  <si>
    <t>NACM4</t>
  </si>
  <si>
    <t>SY7066QMC</t>
  </si>
  <si>
    <t>B23A2</t>
  </si>
  <si>
    <t>HG00460</t>
    <phoneticPr fontId="4" type="noConversion"/>
  </si>
  <si>
    <t>QFN2*2-10</t>
    <phoneticPr fontId="4" type="noConversion"/>
  </si>
  <si>
    <t>MG5FA</t>
    <phoneticPr fontId="4" type="noConversion"/>
  </si>
  <si>
    <t>NA657</t>
    <phoneticPr fontId="4" type="noConversion"/>
  </si>
  <si>
    <t>14#-25</t>
  </si>
  <si>
    <t>NA657-1</t>
  </si>
  <si>
    <t>SY8743FCC</t>
    <phoneticPr fontId="4" type="noConversion"/>
  </si>
  <si>
    <t>B61F0</t>
    <phoneticPr fontId="4" type="noConversion"/>
  </si>
  <si>
    <t>HG00474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</si>
  <si>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</si>
  <si>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ARJ5GA</t>
    <phoneticPr fontId="4" type="noConversion"/>
  </si>
  <si>
    <t>NA2QP.01</t>
    <phoneticPr fontId="4" type="noConversion"/>
  </si>
  <si>
    <t>16#-20#</t>
  </si>
  <si>
    <t>NA2QP.01</t>
  </si>
  <si>
    <t>SY58200FAC</t>
    <phoneticPr fontId="4" type="noConversion"/>
  </si>
  <si>
    <t>E02G1+A1X03A</t>
  </si>
  <si>
    <t>HG00476</t>
    <phoneticPr fontId="4" type="noConversion"/>
  </si>
  <si>
    <t>ALJ5GA</t>
    <phoneticPr fontId="4" type="noConversion"/>
  </si>
  <si>
    <t>15+16</t>
    <phoneticPr fontId="4" type="noConversion"/>
  </si>
  <si>
    <t>NA65K+SJ076600</t>
    <phoneticPr fontId="4" type="noConversion"/>
  </si>
  <si>
    <t>1#-15#+10#-25#</t>
    <phoneticPr fontId="4" type="noConversion"/>
  </si>
  <si>
    <t>NA65K;SJ076600</t>
  </si>
  <si>
    <t>SYPH82FAC</t>
    <phoneticPr fontId="4" type="noConversion"/>
  </si>
  <si>
    <t>E34G1+A3X03A</t>
    <phoneticPr fontId="4" type="noConversion"/>
  </si>
  <si>
    <t>HG00478</t>
    <phoneticPr fontId="4" type="noConversion"/>
  </si>
  <si>
    <t>ARC5GA</t>
    <phoneticPr fontId="4" type="noConversion"/>
  </si>
  <si>
    <t>6+11</t>
    <phoneticPr fontId="4" type="noConversion"/>
  </si>
  <si>
    <t>NACN6+SJ087800</t>
    <phoneticPr fontId="4" type="noConversion"/>
  </si>
  <si>
    <t>11#-16#+10#-20#</t>
    <phoneticPr fontId="4" type="noConversion"/>
  </si>
  <si>
    <t>SJ087800;NACN6</t>
  </si>
  <si>
    <t>SY58106AFAC</t>
    <phoneticPr fontId="4" type="noConversion"/>
  </si>
  <si>
    <t>E02GC0+A2X06B</t>
    <phoneticPr fontId="4" type="noConversion"/>
  </si>
  <si>
    <t>HG00480</t>
    <phoneticPr fontId="4" type="noConversion"/>
  </si>
  <si>
    <t>AQT5GA</t>
    <phoneticPr fontId="4" type="noConversion"/>
  </si>
  <si>
    <t>5+25</t>
  </si>
  <si>
    <t>N9RCH+(SJ088800+SJ088900)</t>
    <phoneticPr fontId="4" type="noConversion"/>
  </si>
  <si>
    <t>1#-5#+(25#+1#~4#,6#~25#)</t>
    <phoneticPr fontId="4" type="noConversion"/>
  </si>
  <si>
    <t>(SJ088800+SJ088900);N9RCH</t>
  </si>
  <si>
    <t>SY8203DBC</t>
    <phoneticPr fontId="4" type="noConversion"/>
  </si>
  <si>
    <t>HG00499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</si>
  <si>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</si>
  <si>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LS5GA</t>
    <phoneticPr fontId="4" type="noConversion"/>
  </si>
  <si>
    <t>NAFF9</t>
  </si>
  <si>
    <t>14#-19#</t>
  </si>
  <si>
    <t>SY58280AAC</t>
    <phoneticPr fontId="4" type="noConversion"/>
  </si>
  <si>
    <t>E25F0+U3X13A</t>
  </si>
  <si>
    <t>AG00036</t>
    <phoneticPr fontId="4" type="noConversion"/>
  </si>
  <si>
    <t>Fr5GA</t>
    <phoneticPr fontId="4" type="noConversion"/>
  </si>
  <si>
    <t>NA4YW.06+FLCNF</t>
    <phoneticPr fontId="4" type="noConversion"/>
  </si>
  <si>
    <t>4#+22#-24#</t>
    <phoneticPr fontId="4" type="noConversion"/>
  </si>
  <si>
    <t>FLCNF;NA4YW.06</t>
  </si>
  <si>
    <t>SY5810ABC</t>
    <phoneticPr fontId="4" type="noConversion"/>
  </si>
  <si>
    <t>E02F1</t>
  </si>
  <si>
    <t>AG00037</t>
    <phoneticPr fontId="4" type="noConversion"/>
  </si>
  <si>
    <t>GZ5GA</t>
    <phoneticPr fontId="4" type="noConversion"/>
  </si>
  <si>
    <t>NA65J</t>
  </si>
  <si>
    <t>1#-7#</t>
  </si>
  <si>
    <t>SY5824AABC</t>
    <phoneticPr fontId="4" type="noConversion"/>
  </si>
  <si>
    <t>E02QB0</t>
  </si>
  <si>
    <t>AG00039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</si>
  <si>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</si>
  <si>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TC5GA</t>
    <phoneticPr fontId="4" type="noConversion"/>
  </si>
  <si>
    <t>NA12G.01</t>
  </si>
  <si>
    <t>SY5820ABC</t>
    <phoneticPr fontId="4" type="noConversion"/>
  </si>
  <si>
    <t>E02FE0</t>
  </si>
  <si>
    <t>AG00041</t>
    <phoneticPr fontId="4" type="noConversion"/>
  </si>
  <si>
    <t>TB5GB</t>
    <phoneticPr fontId="4" type="noConversion"/>
  </si>
  <si>
    <t>NA65J.01</t>
  </si>
  <si>
    <t>16#-19#</t>
  </si>
  <si>
    <t>AG00054</t>
    <phoneticPr fontId="4" type="noConversion"/>
  </si>
  <si>
    <t>NB5GE</t>
    <phoneticPr fontId="4" type="noConversion"/>
  </si>
  <si>
    <t>NAJYN</t>
  </si>
  <si>
    <t>SY8290ABC</t>
    <phoneticPr fontId="4" type="noConversion"/>
  </si>
  <si>
    <t>A71A0</t>
  </si>
  <si>
    <t>AG00059</t>
    <phoneticPr fontId="4" type="noConversion"/>
  </si>
  <si>
    <t>TE5GA</t>
    <phoneticPr fontId="4" type="noConversion"/>
  </si>
  <si>
    <t>N9FSF</t>
  </si>
  <si>
    <t>4#-8#</t>
  </si>
  <si>
    <t>SY5839ABC</t>
    <phoneticPr fontId="4" type="noConversion"/>
  </si>
  <si>
    <t>E10G4</t>
  </si>
  <si>
    <t>AG00060</t>
    <phoneticPr fontId="4" type="noConversion"/>
  </si>
  <si>
    <t>ZT5GA</t>
    <phoneticPr fontId="4" type="noConversion"/>
  </si>
  <si>
    <t>NA36C.02</t>
  </si>
  <si>
    <t>1#-4#</t>
  </si>
  <si>
    <t>SY5002ABC</t>
    <phoneticPr fontId="4" type="noConversion"/>
  </si>
  <si>
    <t>E02CA1</t>
  </si>
  <si>
    <t>AG00061</t>
    <phoneticPr fontId="4" type="noConversion"/>
  </si>
  <si>
    <t>KP5GA</t>
    <phoneticPr fontId="4" type="noConversion"/>
  </si>
  <si>
    <t>N9C3W</t>
  </si>
  <si>
    <t>24#~25#</t>
  </si>
  <si>
    <t>SY5810DABC</t>
    <phoneticPr fontId="4" type="noConversion"/>
  </si>
  <si>
    <t>E02UA0</t>
  </si>
  <si>
    <t>AG00062</t>
    <phoneticPr fontId="4" type="noConversion"/>
  </si>
  <si>
    <t>PC5GA</t>
    <phoneticPr fontId="4" type="noConversion"/>
  </si>
  <si>
    <t>N7NAF.08</t>
  </si>
  <si>
    <t>12#~14#</t>
  </si>
  <si>
    <t>AG00064</t>
    <phoneticPr fontId="4" type="noConversion"/>
  </si>
  <si>
    <t>Gq5GA</t>
    <phoneticPr fontId="4" type="noConversion"/>
  </si>
  <si>
    <t>4+11</t>
    <phoneticPr fontId="4" type="noConversion"/>
  </si>
  <si>
    <t>NA5M2.02+F0AYW</t>
    <phoneticPr fontId="4" type="noConversion"/>
  </si>
  <si>
    <t>3#-6#+15#-25#</t>
    <phoneticPr fontId="4" type="noConversion"/>
  </si>
  <si>
    <t>F0AYW;NA5M2.02</t>
  </si>
  <si>
    <t>SY8881DQC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</si>
  <si>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</si>
  <si>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A11D0</t>
  </si>
  <si>
    <t>HG00519</t>
    <phoneticPr fontId="4" type="noConversion"/>
  </si>
  <si>
    <t>DFN1.5×1.5-6</t>
    <phoneticPr fontId="4" type="noConversion"/>
  </si>
  <si>
    <t>MN5GC</t>
    <phoneticPr fontId="4" type="noConversion"/>
  </si>
  <si>
    <t>NAKMF</t>
  </si>
  <si>
    <t>14#-25#</t>
  </si>
  <si>
    <t>NAKMF-2</t>
  </si>
  <si>
    <t>SY8724QIC</t>
    <phoneticPr fontId="4" type="noConversion"/>
  </si>
  <si>
    <t>B18Q1+B18S0</t>
  </si>
  <si>
    <t>HG00530</t>
    <phoneticPr fontId="4" type="noConversion"/>
  </si>
  <si>
    <t>QFN4*4-16L</t>
    <phoneticPr fontId="4" type="noConversion"/>
  </si>
  <si>
    <t>AKT5GA</t>
    <phoneticPr fontId="4" type="noConversion"/>
  </si>
  <si>
    <t>2+2</t>
    <phoneticPr fontId="4" type="noConversion"/>
  </si>
  <si>
    <t>NAF3A+NAF3A.01</t>
    <phoneticPr fontId="4" type="noConversion"/>
  </si>
  <si>
    <t>23#-24#+11#-12#</t>
    <phoneticPr fontId="4" type="noConversion"/>
  </si>
  <si>
    <t>NAF3A;NAF3A.01-1</t>
  </si>
  <si>
    <t>HG00537</t>
    <phoneticPr fontId="4" type="noConversion"/>
  </si>
  <si>
    <t>AHI5GA</t>
    <phoneticPr fontId="4" type="noConversion"/>
  </si>
  <si>
    <t>NAJYH</t>
  </si>
  <si>
    <t>SY8213FCC</t>
    <phoneticPr fontId="4" type="noConversion"/>
  </si>
  <si>
    <t>A10C0</t>
  </si>
  <si>
    <t>HG00538</t>
    <phoneticPr fontId="4" type="noConversion"/>
  </si>
  <si>
    <t>AJY5GA</t>
    <phoneticPr fontId="4" type="noConversion"/>
  </si>
  <si>
    <t>NAJYL</t>
  </si>
  <si>
    <t>SY58282FAC</t>
    <phoneticPr fontId="4" type="noConversion"/>
  </si>
  <si>
    <t>E34G1+A3X03A</t>
    <phoneticPr fontId="4" type="noConversion"/>
  </si>
  <si>
    <t>HG00543</t>
    <phoneticPr fontId="4" type="noConversion"/>
  </si>
  <si>
    <t>ARC5GF</t>
    <phoneticPr fontId="4" type="noConversion"/>
  </si>
  <si>
    <t>7+13</t>
    <phoneticPr fontId="4" type="noConversion"/>
  </si>
  <si>
    <t>NACN9+SJ088100</t>
    <phoneticPr fontId="4" type="noConversion"/>
  </si>
  <si>
    <t>15#-21#+12#-24#</t>
    <phoneticPr fontId="4" type="noConversion"/>
  </si>
  <si>
    <t>SJ088100;NACN9</t>
  </si>
  <si>
    <t>SY5830ABC</t>
    <phoneticPr fontId="4" type="noConversion"/>
  </si>
  <si>
    <t>E19E0</t>
    <phoneticPr fontId="4" type="noConversion"/>
  </si>
  <si>
    <t>HG00557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</si>
  <si>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</si>
  <si>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XO5GK</t>
    <phoneticPr fontId="4" type="noConversion"/>
  </si>
  <si>
    <t>NAM79</t>
    <phoneticPr fontId="4" type="noConversion"/>
  </si>
  <si>
    <t>5#~6#</t>
  </si>
  <si>
    <t>NAM79+01</t>
  </si>
  <si>
    <t>SY7208CABC</t>
    <phoneticPr fontId="4" type="noConversion"/>
  </si>
  <si>
    <t>B27P0</t>
  </si>
  <si>
    <t>HG00559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</si>
  <si>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</si>
  <si>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JU5GA</t>
    <phoneticPr fontId="4" type="noConversion"/>
  </si>
  <si>
    <t>NA4L4</t>
  </si>
  <si>
    <t>SY8868QMC</t>
    <phoneticPr fontId="4" type="noConversion"/>
  </si>
  <si>
    <t>HG00561</t>
    <phoneticPr fontId="4" type="noConversion"/>
  </si>
  <si>
    <t>QFN2x2-10</t>
    <phoneticPr fontId="4" type="noConversion"/>
  </si>
  <si>
    <t>KT5GA</t>
    <phoneticPr fontId="4" type="noConversion"/>
  </si>
  <si>
    <t>NAL0A</t>
  </si>
  <si>
    <t>1#~12#</t>
    <phoneticPr fontId="4" type="noConversion"/>
  </si>
  <si>
    <t>SY7066QMC</t>
    <phoneticPr fontId="4" type="noConversion"/>
  </si>
  <si>
    <r>
      <t>需</t>
    </r>
    <r>
      <rPr>
        <sz val="10"/>
        <rFont val="Arial"/>
        <family val="2"/>
        <charset val="134"/>
      </rPr>
      <t>Bumping</t>
    </r>
    <phoneticPr fontId="4" type="noConversion"/>
  </si>
  <si>
    <t xml:space="preserve"> </t>
    <phoneticPr fontId="4" type="noConversion"/>
  </si>
  <si>
    <t>HG00564</t>
    <phoneticPr fontId="4" type="noConversion"/>
  </si>
  <si>
    <t>QFN2*2-10</t>
    <phoneticPr fontId="4" type="noConversion"/>
  </si>
  <si>
    <t>MG5GB</t>
    <phoneticPr fontId="4" type="noConversion"/>
  </si>
  <si>
    <t>NA87F</t>
  </si>
  <si>
    <t>NA87F-1</t>
  </si>
  <si>
    <t>HG00565</t>
    <phoneticPr fontId="4" type="noConversion"/>
  </si>
  <si>
    <t>MG5GC</t>
    <phoneticPr fontId="4" type="noConversion"/>
  </si>
  <si>
    <t>NA9R5</t>
  </si>
  <si>
    <t>SY7065QMC</t>
    <phoneticPr fontId="4" type="noConversion"/>
  </si>
  <si>
    <t>B23C0</t>
  </si>
  <si>
    <t>HG00568</t>
    <phoneticPr fontId="4" type="noConversion"/>
  </si>
  <si>
    <t>RC5GB</t>
    <phoneticPr fontId="4" type="noConversion"/>
  </si>
  <si>
    <t>NA563</t>
  </si>
  <si>
    <t>15#-25#</t>
  </si>
  <si>
    <t>NA563-1</t>
  </si>
  <si>
    <t>SY7063QMC</t>
    <phoneticPr fontId="4" type="noConversion"/>
  </si>
  <si>
    <t>B23D0</t>
    <phoneticPr fontId="4" type="noConversion"/>
  </si>
  <si>
    <t>HG00569</t>
    <phoneticPr fontId="4" type="noConversion"/>
  </si>
  <si>
    <t>UJ5GA</t>
    <phoneticPr fontId="4" type="noConversion"/>
  </si>
  <si>
    <t>N90P2.02</t>
  </si>
  <si>
    <t>3,9,12,18,23</t>
  </si>
  <si>
    <t>SY58105AFAC</t>
    <phoneticPr fontId="4" type="noConversion"/>
  </si>
  <si>
    <t>E02GC0+A2X07A</t>
  </si>
  <si>
    <t>HG00574</t>
    <phoneticPr fontId="4" type="noConversion"/>
  </si>
  <si>
    <t>AQG5GA</t>
    <phoneticPr fontId="4" type="noConversion"/>
  </si>
  <si>
    <t>3+11</t>
    <phoneticPr fontId="4" type="noConversion"/>
  </si>
  <si>
    <t>N9QPM+SJ076400</t>
    <phoneticPr fontId="4" type="noConversion"/>
  </si>
  <si>
    <t>23#-25#+1#-11#</t>
    <phoneticPr fontId="4" type="noConversion"/>
  </si>
  <si>
    <t>SJ076400;N9QPM</t>
  </si>
  <si>
    <t>SY5003ABC</t>
    <phoneticPr fontId="4" type="noConversion"/>
  </si>
  <si>
    <t>HG00582</t>
    <phoneticPr fontId="4" type="noConversion"/>
  </si>
  <si>
    <t>RZ5GA</t>
    <phoneticPr fontId="4" type="noConversion"/>
  </si>
  <si>
    <t>NAK3L</t>
  </si>
  <si>
    <t>21#-25#</t>
  </si>
  <si>
    <t>SYH407AAC</t>
    <phoneticPr fontId="4" type="noConversion"/>
  </si>
  <si>
    <t>HG00588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</si>
  <si>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</si>
  <si>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TR5GF</t>
    <phoneticPr fontId="4" type="noConversion"/>
  </si>
  <si>
    <t>NAKQT</t>
  </si>
  <si>
    <t>13#~25#</t>
    <phoneticPr fontId="4" type="noConversion"/>
  </si>
  <si>
    <t>NAKQT+01</t>
  </si>
  <si>
    <t>SY8707ABC</t>
    <phoneticPr fontId="4" type="noConversion"/>
  </si>
  <si>
    <t>B18FA1</t>
  </si>
  <si>
    <t>HG00603</t>
    <phoneticPr fontId="4" type="noConversion"/>
  </si>
  <si>
    <t>TW5GC</t>
    <phoneticPr fontId="4" type="noConversion"/>
  </si>
  <si>
    <t>NAK28</t>
  </si>
  <si>
    <t>SY8724QIC</t>
    <phoneticPr fontId="4" type="noConversion"/>
  </si>
  <si>
    <t>HG00615</t>
    <phoneticPr fontId="4" type="noConversion"/>
  </si>
  <si>
    <t>AKT5HA</t>
    <phoneticPr fontId="4" type="noConversion"/>
  </si>
  <si>
    <t>10+10</t>
    <phoneticPr fontId="4" type="noConversion"/>
  </si>
  <si>
    <t>13#-22#+1#-10#</t>
    <phoneticPr fontId="4" type="noConversion"/>
  </si>
  <si>
    <t>NAF3A;NAF3A.01-2</t>
  </si>
  <si>
    <t>SY8060DCC</t>
  </si>
  <si>
    <t>HG00616</t>
    <phoneticPr fontId="4" type="noConversion"/>
  </si>
  <si>
    <t>LX5HA</t>
    <phoneticPr fontId="4" type="noConversion"/>
  </si>
  <si>
    <t>12#-13#</t>
  </si>
  <si>
    <t>NA9WM-2</t>
  </si>
  <si>
    <t>SY7152AABC</t>
  </si>
  <si>
    <t>B27TA0</t>
  </si>
  <si>
    <t>HG00617</t>
    <phoneticPr fontId="4" type="noConversion"/>
  </si>
  <si>
    <t>UB5HA</t>
    <phoneticPr fontId="4" type="noConversion"/>
  </si>
  <si>
    <t xml:space="preserve">N8CW9 </t>
    <phoneticPr fontId="4" type="noConversion"/>
  </si>
  <si>
    <t>23#~25#</t>
  </si>
  <si>
    <t>N8CW9 +01</t>
  </si>
  <si>
    <t>SY6174FAC</t>
    <phoneticPr fontId="4" type="noConversion"/>
  </si>
  <si>
    <t>E02CD1+U5X13A</t>
    <phoneticPr fontId="4" type="noConversion"/>
  </si>
  <si>
    <t>HG00623</t>
    <phoneticPr fontId="4" type="noConversion"/>
  </si>
  <si>
    <t>AKW5HA</t>
    <phoneticPr fontId="4" type="noConversion"/>
  </si>
  <si>
    <t>1+1</t>
    <phoneticPr fontId="4" type="noConversion"/>
  </si>
  <si>
    <t>NAHN5.01+FR6SF.01</t>
    <phoneticPr fontId="4" type="noConversion"/>
  </si>
  <si>
    <t>1#+10#</t>
    <phoneticPr fontId="4" type="noConversion"/>
  </si>
  <si>
    <t>NAHN5.01;FR6SF.01</t>
  </si>
  <si>
    <t>SY58293TFAC</t>
    <phoneticPr fontId="4" type="noConversion"/>
  </si>
  <si>
    <t>E02TK0+A3X02A</t>
  </si>
  <si>
    <t>HG00627</t>
    <phoneticPr fontId="4" type="noConversion"/>
  </si>
  <si>
    <t>ATC5HA</t>
    <phoneticPr fontId="4" type="noConversion"/>
  </si>
  <si>
    <t>4+8</t>
    <phoneticPr fontId="4" type="noConversion"/>
  </si>
  <si>
    <t>N9H4L.03+SJ079400</t>
    <phoneticPr fontId="4" type="noConversion"/>
  </si>
  <si>
    <t>6#-9#+17#-24#</t>
    <phoneticPr fontId="4" type="noConversion"/>
  </si>
  <si>
    <t>N9H4L.03;SJ079400</t>
  </si>
  <si>
    <t>SYJ137FAC</t>
    <phoneticPr fontId="4" type="noConversion"/>
  </si>
  <si>
    <t>E51N0+U2X10A</t>
  </si>
  <si>
    <t>HG00639</t>
    <phoneticPr fontId="4" type="noConversion"/>
  </si>
  <si>
    <t>AXA5HA</t>
    <phoneticPr fontId="4" type="noConversion"/>
  </si>
  <si>
    <t>3+6</t>
    <phoneticPr fontId="4" type="noConversion"/>
  </si>
  <si>
    <t>N9Y9H.10+F8TWR</t>
    <phoneticPr fontId="4" type="noConversion"/>
  </si>
  <si>
    <t>13#-15#+1#-6#</t>
    <phoneticPr fontId="4" type="noConversion"/>
  </si>
  <si>
    <t>N9Y9H.10;F8TWR</t>
  </si>
  <si>
    <t>SY8079AAC</t>
    <phoneticPr fontId="4" type="noConversion"/>
  </si>
  <si>
    <t>HG00640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</si>
  <si>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</si>
  <si>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UH5HA</t>
    <phoneticPr fontId="4" type="noConversion"/>
  </si>
  <si>
    <t>NAL0F</t>
    <phoneticPr fontId="4" type="noConversion"/>
  </si>
  <si>
    <t>NAL0F</t>
  </si>
  <si>
    <t>HG00649</t>
    <phoneticPr fontId="4" type="noConversion"/>
  </si>
  <si>
    <t>AVA5HC</t>
    <phoneticPr fontId="4" type="noConversion"/>
  </si>
  <si>
    <t>NAJ9J</t>
    <phoneticPr fontId="4" type="noConversion"/>
  </si>
  <si>
    <t>16#-23#</t>
    <phoneticPr fontId="4" type="noConversion"/>
  </si>
  <si>
    <t>NAJ9J</t>
  </si>
  <si>
    <t>SY50131FAC</t>
    <phoneticPr fontId="4" type="noConversion"/>
  </si>
  <si>
    <t>E51I0+U2X15A</t>
    <phoneticPr fontId="4" type="noConversion"/>
  </si>
  <si>
    <t>HG00664</t>
    <phoneticPr fontId="4" type="noConversion"/>
  </si>
  <si>
    <t>ATS5HA</t>
    <phoneticPr fontId="4" type="noConversion"/>
  </si>
  <si>
    <t>NAJ9K.01+FSF06</t>
    <phoneticPr fontId="4" type="noConversion"/>
  </si>
  <si>
    <t>1# 2#+1#-5#</t>
    <phoneticPr fontId="4" type="noConversion"/>
  </si>
  <si>
    <t>FSF06;NAJ9K.01</t>
  </si>
  <si>
    <t>SY8081BDQC</t>
    <phoneticPr fontId="4" type="noConversion"/>
  </si>
  <si>
    <t>需Bumpping</t>
  </si>
  <si>
    <t>A11K0</t>
  </si>
  <si>
    <t>HG00665</t>
    <phoneticPr fontId="4" type="noConversion"/>
  </si>
  <si>
    <t>DFN1.5*1.5-6</t>
    <phoneticPr fontId="4" type="noConversion"/>
  </si>
  <si>
    <t>QB5HA</t>
    <phoneticPr fontId="4" type="noConversion"/>
  </si>
  <si>
    <t>NAJRY.02</t>
    <phoneticPr fontId="4" type="noConversion"/>
  </si>
  <si>
    <t>9#-11#</t>
  </si>
  <si>
    <t>NAJRY.02-1</t>
  </si>
  <si>
    <t>SY8081CDQC</t>
    <phoneticPr fontId="4" type="noConversion"/>
  </si>
  <si>
    <t>A11H0</t>
  </si>
  <si>
    <t>HG00666</t>
    <phoneticPr fontId="4" type="noConversion"/>
  </si>
  <si>
    <t>QC5HA</t>
    <phoneticPr fontId="4" type="noConversion"/>
  </si>
  <si>
    <t>N9KWF.02+NAJRY</t>
    <phoneticPr fontId="4" type="noConversion"/>
  </si>
  <si>
    <t>12#+20#-21##</t>
    <phoneticPr fontId="4" type="noConversion"/>
  </si>
  <si>
    <t>N9KWF.02;NAJRY</t>
  </si>
  <si>
    <t>SYL128QUC</t>
    <phoneticPr fontId="4" type="noConversion"/>
  </si>
  <si>
    <t>A11Q0+MPH160805S1R0MT</t>
    <phoneticPr fontId="4" type="noConversion"/>
  </si>
  <si>
    <t>HG00667</t>
    <phoneticPr fontId="4" type="noConversion"/>
  </si>
  <si>
    <t>QFN2*1.5-8</t>
    <phoneticPr fontId="4" type="noConversion"/>
  </si>
  <si>
    <t>YG5HA</t>
    <phoneticPr fontId="4" type="noConversion"/>
  </si>
  <si>
    <t>NA7CQ.04+LE1411170370</t>
    <phoneticPr fontId="4" type="noConversion"/>
  </si>
  <si>
    <t>1#-8#</t>
    <phoneticPr fontId="4" type="noConversion"/>
  </si>
  <si>
    <t>NA7CQ.04</t>
  </si>
  <si>
    <t>HG00668</t>
    <phoneticPr fontId="4" type="noConversion"/>
  </si>
  <si>
    <t>YG5HB</t>
    <phoneticPr fontId="4" type="noConversion"/>
  </si>
  <si>
    <t>NA7CQ.04+(LE1411170276+LE1412100522)</t>
    <phoneticPr fontId="4" type="noConversion"/>
  </si>
  <si>
    <t>9#~10#</t>
    <phoneticPr fontId="4" type="noConversion"/>
  </si>
  <si>
    <t>NA7CQ.04-1/NA7CQ.04-2</t>
    <phoneticPr fontId="4" type="noConversion"/>
  </si>
  <si>
    <t>SY98081BQUC</t>
    <phoneticPr fontId="4" type="noConversion"/>
  </si>
  <si>
    <t>A11K0+MPH160805S1R0MT</t>
  </si>
  <si>
    <t>HG00669</t>
    <phoneticPr fontId="4" type="noConversion"/>
  </si>
  <si>
    <t>UN5HA</t>
    <phoneticPr fontId="4" type="noConversion"/>
  </si>
  <si>
    <t>NAJRY.02+(LE1405220638+LE1407080521)</t>
    <phoneticPr fontId="4" type="noConversion"/>
  </si>
  <si>
    <t>NAJRY.02-2</t>
    <phoneticPr fontId="4" type="noConversion"/>
  </si>
  <si>
    <t>SY98081CQUC</t>
    <phoneticPr fontId="4" type="noConversion"/>
  </si>
  <si>
    <t>A11H0+MPH160805S1R0MT</t>
  </si>
  <si>
    <t>HG00670</t>
    <phoneticPr fontId="4" type="noConversion"/>
  </si>
  <si>
    <t>TP5HA</t>
    <phoneticPr fontId="4" type="noConversion"/>
  </si>
  <si>
    <t>NAJRY+(LE1407080521+LE1411170370)</t>
    <phoneticPr fontId="4" type="noConversion"/>
  </si>
  <si>
    <t>22#-25#</t>
    <phoneticPr fontId="4" type="noConversion"/>
  </si>
  <si>
    <t>NAJRY-1</t>
  </si>
  <si>
    <t>SY98081DQUC</t>
    <phoneticPr fontId="4" type="noConversion"/>
  </si>
  <si>
    <t>A11P0+MPH160805S1R0MT</t>
  </si>
  <si>
    <t>HG00671</t>
    <phoneticPr fontId="4" type="noConversion"/>
  </si>
  <si>
    <t>UO5HA</t>
    <phoneticPr fontId="4" type="noConversion"/>
  </si>
  <si>
    <t>NA1CQ+(LE1411110483+LE1411190475)</t>
    <phoneticPr fontId="4" type="noConversion"/>
  </si>
  <si>
    <t>3#-5#</t>
    <phoneticPr fontId="4" type="noConversion"/>
  </si>
  <si>
    <t>NA1CQ-1</t>
  </si>
  <si>
    <t>SY98081EQUC</t>
    <phoneticPr fontId="4" type="noConversion"/>
  </si>
  <si>
    <t>A11R0+MPH160805S1R0MT</t>
  </si>
  <si>
    <t>HG00672</t>
    <phoneticPr fontId="4" type="noConversion"/>
  </si>
  <si>
    <t>QFN2*1.5-8</t>
  </si>
  <si>
    <t>UP5HA</t>
    <phoneticPr fontId="4" type="noConversion"/>
  </si>
  <si>
    <t>NA1CQ.02+(LE1411170370+LE1411190475)</t>
    <phoneticPr fontId="4" type="noConversion"/>
  </si>
  <si>
    <t>14#-18#</t>
    <phoneticPr fontId="4" type="noConversion"/>
  </si>
  <si>
    <t>NA1CQ.02</t>
  </si>
  <si>
    <t>SYH803EDFC</t>
    <phoneticPr fontId="4" type="noConversion"/>
  </si>
  <si>
    <t>A25I0</t>
  </si>
  <si>
    <t>HG00677</t>
    <phoneticPr fontId="4" type="noConversion"/>
  </si>
  <si>
    <t>DFN2x2-8</t>
    <phoneticPr fontId="4" type="noConversion"/>
  </si>
  <si>
    <t>VC5HD</t>
    <phoneticPr fontId="4" type="noConversion"/>
  </si>
  <si>
    <t>NAM4F.02</t>
  </si>
  <si>
    <t>#18,21</t>
  </si>
  <si>
    <t>NAM4F.02-1</t>
  </si>
  <si>
    <t>SY8722FCC</t>
    <phoneticPr fontId="4" type="noConversion"/>
  </si>
  <si>
    <t>B07Q0+B07E1</t>
  </si>
  <si>
    <t>HG00681</t>
    <phoneticPr fontId="4" type="noConversion"/>
  </si>
  <si>
    <t>AIS5HA</t>
    <phoneticPr fontId="4" type="noConversion"/>
  </si>
  <si>
    <t>NA9R3.01+NA9R1</t>
    <phoneticPr fontId="4" type="noConversion"/>
  </si>
  <si>
    <t>16#-25#+16#-25#</t>
    <phoneticPr fontId="4" type="noConversion"/>
  </si>
  <si>
    <t>NA9R3.01;NA9R1</t>
  </si>
  <si>
    <t>SY8071AAC</t>
    <phoneticPr fontId="4" type="noConversion"/>
  </si>
  <si>
    <t>A11E0</t>
  </si>
  <si>
    <t>HG00686</t>
    <phoneticPr fontId="4" type="noConversion"/>
  </si>
  <si>
    <t>NA5HA</t>
    <phoneticPr fontId="4" type="noConversion"/>
  </si>
  <si>
    <t>N9M1K.02</t>
  </si>
  <si>
    <t>13#-15#</t>
  </si>
  <si>
    <t>N9M1K.02+02</t>
  </si>
  <si>
    <t>SY58282FAC</t>
  </si>
  <si>
    <t>E34G1+A3X03A</t>
  </si>
  <si>
    <t>HG00695</t>
    <phoneticPr fontId="4" type="noConversion"/>
  </si>
  <si>
    <t>ARC5HL</t>
    <phoneticPr fontId="4" type="noConversion"/>
  </si>
  <si>
    <t>5+9</t>
    <phoneticPr fontId="4" type="noConversion"/>
  </si>
  <si>
    <t>NAJ4S+SJ090100</t>
    <phoneticPr fontId="4" type="noConversion"/>
  </si>
  <si>
    <t>21#-25#+(#1-7,9,10)</t>
    <phoneticPr fontId="4" type="noConversion"/>
  </si>
  <si>
    <t>SJ090100;NAJ4S</t>
  </si>
  <si>
    <t>HG00696</t>
    <phoneticPr fontId="4" type="noConversion"/>
  </si>
  <si>
    <t>ARC5HM</t>
    <phoneticPr fontId="4" type="noConversion"/>
  </si>
  <si>
    <t>NAJ4T+(SJ090100+SJ088601)</t>
    <phoneticPr fontId="4" type="noConversion"/>
  </si>
  <si>
    <t>1#-7#+(#12-15,17-24+15#)</t>
    <phoneticPr fontId="4" type="noConversion"/>
  </si>
  <si>
    <t>(SJ090100+SJ088601);NAJ4T</t>
  </si>
  <si>
    <t>SY58281LAAC</t>
    <phoneticPr fontId="4" type="noConversion"/>
  </si>
  <si>
    <t>E34J0+U3X10A</t>
  </si>
  <si>
    <t>HG00699</t>
    <phoneticPr fontId="4" type="noConversion"/>
  </si>
  <si>
    <t>Fa5HC</t>
    <phoneticPr fontId="4" type="noConversion"/>
  </si>
  <si>
    <t>9+26</t>
    <phoneticPr fontId="4" type="noConversion"/>
  </si>
  <si>
    <t>NAHP5+(FYCPS+FTSC2)</t>
    <phoneticPr fontId="4" type="noConversion"/>
  </si>
  <si>
    <t>10#-18#+(1#-25#+1#)</t>
    <phoneticPr fontId="4" type="noConversion"/>
  </si>
  <si>
    <t>(FYCPS+FTSC2);NAHP5</t>
  </si>
  <si>
    <t>SY5850AFHC</t>
    <phoneticPr fontId="4" type="noConversion"/>
  </si>
  <si>
    <t>HG00707</t>
    <phoneticPr fontId="4" type="noConversion"/>
  </si>
  <si>
    <t>ARU5HB</t>
    <phoneticPr fontId="4" type="noConversion"/>
  </si>
  <si>
    <t>24#-25#</t>
  </si>
  <si>
    <t>NAJ9J-1</t>
  </si>
  <si>
    <t>SY8303AIC</t>
    <phoneticPr fontId="4" type="noConversion"/>
  </si>
  <si>
    <t>A57A1</t>
  </si>
  <si>
    <t>HG00710</t>
    <phoneticPr fontId="4" type="noConversion"/>
  </si>
  <si>
    <t>TSOT23-8</t>
    <phoneticPr fontId="4" type="noConversion"/>
  </si>
  <si>
    <t>XD5HB</t>
    <phoneticPr fontId="4" type="noConversion"/>
  </si>
  <si>
    <t>NAC6L</t>
    <phoneticPr fontId="4" type="noConversion"/>
  </si>
  <si>
    <t>SY7630QCC</t>
    <phoneticPr fontId="4" type="noConversion"/>
  </si>
  <si>
    <t>I01A1</t>
  </si>
  <si>
    <t>HG00722</t>
    <phoneticPr fontId="4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</si>
  <si>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</si>
  <si>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ADY5HC</t>
    <phoneticPr fontId="4" type="noConversion"/>
  </si>
  <si>
    <t>NAM5R</t>
  </si>
  <si>
    <t>SY58120BAAC</t>
    <phoneticPr fontId="4" type="noConversion"/>
  </si>
  <si>
    <t>HG00725</t>
    <phoneticPr fontId="4" type="noConversion"/>
  </si>
  <si>
    <t>Gq5HA</t>
    <phoneticPr fontId="4" type="noConversion"/>
  </si>
  <si>
    <t>4+11</t>
    <phoneticPr fontId="4" type="noConversion"/>
  </si>
  <si>
    <t>NA5M2.02+F8TWR</t>
    <phoneticPr fontId="4" type="noConversion"/>
  </si>
  <si>
    <t>7#-10#+7#-17#</t>
    <phoneticPr fontId="4" type="noConversion"/>
  </si>
  <si>
    <t>F8TWR;NA5M2.02</t>
  </si>
  <si>
    <t>SY58593ZFAC</t>
  </si>
  <si>
    <t>E10Q2+U2X12A</t>
  </si>
  <si>
    <t>HG00753</t>
    <phoneticPr fontId="4" type="noConversion"/>
  </si>
  <si>
    <t>AXN5IB</t>
    <phoneticPr fontId="4" type="noConversion"/>
  </si>
  <si>
    <t>10+50</t>
    <phoneticPr fontId="4" type="noConversion"/>
  </si>
  <si>
    <t>NAJC1+(FW96N+F3WTM)</t>
    <phoneticPr fontId="4" type="noConversion"/>
  </si>
  <si>
    <t>12#~20#,22#+(1#-25#+1#-25#)</t>
    <phoneticPr fontId="4" type="noConversion"/>
  </si>
  <si>
    <t>NAJC1;(FW96N+F3WTM)</t>
  </si>
  <si>
    <t>SY58381FAC</t>
    <phoneticPr fontId="4" type="noConversion"/>
  </si>
  <si>
    <t>E25C0+U8X13A+ES1GSW</t>
  </si>
  <si>
    <t>HG00755</t>
    <phoneticPr fontId="4" type="noConversion"/>
  </si>
  <si>
    <t>AVK5IA</t>
    <phoneticPr fontId="4" type="noConversion"/>
  </si>
  <si>
    <t>2+6+11</t>
    <phoneticPr fontId="4" type="noConversion"/>
  </si>
  <si>
    <t>NA4YW+F2Y9H+(WF4C073.2+WF4B106.1)</t>
    <phoneticPr fontId="4" type="noConversion"/>
  </si>
  <si>
    <t>24#-25#+16#-21#+(1#-3#+14#-21#)</t>
    <phoneticPr fontId="4" type="noConversion"/>
  </si>
  <si>
    <t>F2Y9H;WF4C073.2+WF4B106.1);NA4YW</t>
  </si>
  <si>
    <t>E25CA0+U3X13A+ES1JSW</t>
  </si>
  <si>
    <t>HG00761</t>
    <phoneticPr fontId="4" type="noConversion"/>
  </si>
  <si>
    <t>AVJ5IA</t>
    <phoneticPr fontId="4" type="noConversion"/>
  </si>
  <si>
    <t>4+12+22</t>
    <phoneticPr fontId="4" type="noConversion"/>
  </si>
  <si>
    <t>NAHFA.01+FRLR0+WF53327.1</t>
    <phoneticPr fontId="4" type="noConversion"/>
  </si>
  <si>
    <t>1#-4#+1#-12#+1#~12#,14#~23#</t>
    <phoneticPr fontId="4" type="noConversion"/>
  </si>
  <si>
    <t>FRLR0;WF53327.1;NAHFA.01</t>
  </si>
  <si>
    <t>HG00762</t>
    <phoneticPr fontId="4" type="noConversion"/>
  </si>
  <si>
    <t>AVJ5IB</t>
    <phoneticPr fontId="4" type="noConversion"/>
  </si>
  <si>
    <t>6+18+34</t>
    <phoneticPr fontId="4" type="noConversion"/>
  </si>
  <si>
    <t>NAHFA.01+F93LM+(WF53329.1+WF53328.1)</t>
    <phoneticPr fontId="4" type="noConversion"/>
  </si>
  <si>
    <t>5#-10#+1#-18#+(1#-25#+2#-10#)</t>
    <phoneticPr fontId="4" type="noConversion"/>
  </si>
  <si>
    <t>F93LM;(WF53329.1+WF53328.1);NAHFA.01</t>
  </si>
  <si>
    <t>HG00763</t>
    <phoneticPr fontId="4" type="noConversion"/>
  </si>
  <si>
    <t>AVJ5IC</t>
    <phoneticPr fontId="4" type="noConversion"/>
  </si>
  <si>
    <t>3+9+17</t>
    <phoneticPr fontId="4" type="noConversion"/>
  </si>
  <si>
    <t>NAHFA.01+FCYSA+(WF53328.1+WF53327.1)</t>
    <phoneticPr fontId="4" type="noConversion"/>
  </si>
  <si>
    <t>11#-13#+1#-9#+(11#-25#+24#~25#)</t>
    <phoneticPr fontId="4" type="noConversion"/>
  </si>
  <si>
    <t>FCYSA;(WF53328.1+WF53327.1);NAHFA.01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</si>
  <si>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</si>
  <si>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HG00776</t>
    <phoneticPr fontId="4" type="noConversion"/>
  </si>
  <si>
    <t>KT5IA</t>
    <phoneticPr fontId="4" type="noConversion"/>
  </si>
  <si>
    <t>NAL0C</t>
    <phoneticPr fontId="4" type="noConversion"/>
  </si>
  <si>
    <t>NAL0C</t>
  </si>
  <si>
    <t>HG00778</t>
    <phoneticPr fontId="4" type="noConversion"/>
  </si>
  <si>
    <t>TW5IA</t>
    <phoneticPr fontId="4" type="noConversion"/>
  </si>
  <si>
    <t>NAMR1</t>
    <phoneticPr fontId="4" type="noConversion"/>
  </si>
  <si>
    <t>2#-25#</t>
    <phoneticPr fontId="4" type="noConversion"/>
  </si>
  <si>
    <t>NAMR1</t>
  </si>
  <si>
    <t>SYK614ADC</t>
    <phoneticPr fontId="4" type="noConversion"/>
  </si>
  <si>
    <t>HG00787</t>
    <phoneticPr fontId="4" type="noConversion"/>
  </si>
  <si>
    <t>JR5IB</t>
    <phoneticPr fontId="4" type="noConversion"/>
  </si>
  <si>
    <t>NALL9</t>
    <phoneticPr fontId="4" type="noConversion"/>
  </si>
  <si>
    <t>NALL9-1</t>
  </si>
  <si>
    <t>E50A0</t>
  </si>
  <si>
    <t>HG00789</t>
    <phoneticPr fontId="4" type="noConversion"/>
  </si>
  <si>
    <t>AVA5IA</t>
    <phoneticPr fontId="4" type="noConversion"/>
  </si>
  <si>
    <t>NAJ9J.06</t>
    <phoneticPr fontId="4" type="noConversion"/>
  </si>
  <si>
    <t>7#-15#</t>
  </si>
  <si>
    <t>NAJ9J.06-1</t>
  </si>
  <si>
    <t>SY50133EFAC</t>
    <phoneticPr fontId="4" type="noConversion"/>
  </si>
  <si>
    <t>E51F0+U2X11A</t>
  </si>
  <si>
    <t>HG00790</t>
    <phoneticPr fontId="4" type="noConversion"/>
  </si>
  <si>
    <t>AZM5IA</t>
    <phoneticPr fontId="4" type="noConversion"/>
  </si>
  <si>
    <t>2+10</t>
    <phoneticPr fontId="4" type="noConversion"/>
  </si>
  <si>
    <t>NALLJ.04+FSC9T</t>
    <phoneticPr fontId="4" type="noConversion"/>
  </si>
  <si>
    <t>9#,10#+16#-25#</t>
    <phoneticPr fontId="4" type="noConversion"/>
  </si>
  <si>
    <t>FSC9T;NALLJ.04</t>
  </si>
  <si>
    <t>SY50126CFAC</t>
    <phoneticPr fontId="4" type="noConversion"/>
  </si>
  <si>
    <t>E51C0+U2X16A</t>
  </si>
  <si>
    <t>HG00791</t>
    <phoneticPr fontId="4" type="noConversion"/>
  </si>
  <si>
    <t>AXB5IA</t>
    <phoneticPr fontId="4" type="noConversion"/>
  </si>
  <si>
    <t>1+6</t>
    <phoneticPr fontId="4" type="noConversion"/>
  </si>
  <si>
    <t>NALLJ.05+FMLAG</t>
    <phoneticPr fontId="4" type="noConversion"/>
  </si>
  <si>
    <t>1#+3#-8#</t>
    <phoneticPr fontId="4" type="noConversion"/>
  </si>
  <si>
    <t>FMLAG;NALLJ.05</t>
  </si>
  <si>
    <t>SY8105ADC</t>
    <phoneticPr fontId="4" type="noConversion"/>
  </si>
  <si>
    <t>HG00792</t>
    <phoneticPr fontId="4" type="noConversion"/>
  </si>
  <si>
    <t>NY5IA</t>
    <phoneticPr fontId="4" type="noConversion"/>
  </si>
  <si>
    <t>NANAK</t>
    <phoneticPr fontId="4" type="noConversion"/>
  </si>
  <si>
    <t>NANAK</t>
  </si>
  <si>
    <t>SY5861BFAC</t>
    <phoneticPr fontId="4" type="noConversion"/>
  </si>
  <si>
    <t>H17A0</t>
    <phoneticPr fontId="4" type="noConversion"/>
  </si>
  <si>
    <t>HG00794</t>
    <phoneticPr fontId="4" type="noConversion"/>
  </si>
  <si>
    <t>AZB5IA</t>
    <phoneticPr fontId="4" type="noConversion"/>
  </si>
  <si>
    <t>NAC4Y.07</t>
    <phoneticPr fontId="4" type="noConversion"/>
  </si>
  <si>
    <t>22#,23#</t>
  </si>
  <si>
    <t>NAC4Y.07</t>
  </si>
  <si>
    <t>SY58592AFAC</t>
    <phoneticPr fontId="4" type="noConversion"/>
  </si>
  <si>
    <t>E02TE1+A2X04A</t>
  </si>
  <si>
    <t>HG00795</t>
    <phoneticPr fontId="4" type="noConversion"/>
  </si>
  <si>
    <t>AOZ5IA</t>
    <phoneticPr fontId="4" type="noConversion"/>
  </si>
  <si>
    <t>3+4</t>
    <phoneticPr fontId="4" type="noConversion"/>
  </si>
  <si>
    <t>NA736.03+SJ042600</t>
    <phoneticPr fontId="4" type="noConversion"/>
  </si>
  <si>
    <t>6#-8#+6#~9#</t>
    <phoneticPr fontId="4" type="noConversion"/>
  </si>
  <si>
    <t>NA736.03;SJ042600</t>
  </si>
  <si>
    <t>SY58594AFAC</t>
    <phoneticPr fontId="4" type="noConversion"/>
  </si>
  <si>
    <t>HG00797</t>
    <phoneticPr fontId="4" type="noConversion"/>
  </si>
  <si>
    <t>AMJ5IA</t>
    <phoneticPr fontId="4" type="noConversion"/>
  </si>
  <si>
    <t>3+8</t>
    <phoneticPr fontId="4" type="noConversion"/>
  </si>
  <si>
    <t>NAHN5+SJ086500</t>
    <phoneticPr fontId="4" type="noConversion"/>
  </si>
  <si>
    <t>23#-25#+1#-8#</t>
    <phoneticPr fontId="4" type="noConversion"/>
  </si>
  <si>
    <t>NAHN5;SJ086500</t>
  </si>
  <si>
    <t>SY58594ZFAC</t>
    <phoneticPr fontId="4" type="noConversion"/>
  </si>
  <si>
    <t>E10Q2+U2X11A</t>
  </si>
  <si>
    <t>HG00800</t>
    <phoneticPr fontId="4" type="noConversion"/>
  </si>
  <si>
    <t>AXT5IA</t>
    <phoneticPr fontId="4" type="noConversion"/>
  </si>
  <si>
    <t>3+20</t>
    <phoneticPr fontId="4" type="noConversion"/>
  </si>
  <si>
    <t>NALM2+F3S9N</t>
    <phoneticPr fontId="4" type="noConversion"/>
  </si>
  <si>
    <t>15#-17#+1#-20#</t>
    <phoneticPr fontId="4" type="noConversion"/>
  </si>
  <si>
    <t>NALM2;F3S9N</t>
  </si>
  <si>
    <t>SY58296AFAC</t>
    <phoneticPr fontId="4" type="noConversion"/>
  </si>
  <si>
    <t>E02TJ0+A3X06B</t>
  </si>
  <si>
    <t>HG00802</t>
    <phoneticPr fontId="4" type="noConversion"/>
  </si>
  <si>
    <t>AQJ5IA</t>
    <phoneticPr fontId="4" type="noConversion"/>
  </si>
  <si>
    <t>3+15</t>
    <phoneticPr fontId="4" type="noConversion"/>
  </si>
  <si>
    <t>NA735+SJ089100</t>
    <phoneticPr fontId="4" type="noConversion"/>
  </si>
  <si>
    <t>23#-25#+1#~9#,11#~16#</t>
    <phoneticPr fontId="4" type="noConversion"/>
  </si>
  <si>
    <t>SJ089100;NA735</t>
  </si>
  <si>
    <t>SY58595AFAC</t>
    <phoneticPr fontId="4" type="noConversion"/>
  </si>
  <si>
    <t>HG00803</t>
    <phoneticPr fontId="4" type="noConversion"/>
  </si>
  <si>
    <t>AQX5IA</t>
    <phoneticPr fontId="4" type="noConversion"/>
  </si>
  <si>
    <t>5+19</t>
    <phoneticPr fontId="4" type="noConversion"/>
  </si>
  <si>
    <t>NAK3J.01+SJ076500</t>
    <phoneticPr fontId="4" type="noConversion"/>
  </si>
  <si>
    <t>6#-10#+1#-19#</t>
    <phoneticPr fontId="4" type="noConversion"/>
  </si>
  <si>
    <t>SJ076500;NAK3J.01</t>
  </si>
  <si>
    <t>SY58596YFAC</t>
    <phoneticPr fontId="4" type="noConversion"/>
  </si>
  <si>
    <t>E10QB2+U2X16A</t>
    <phoneticPr fontId="4" type="noConversion"/>
  </si>
  <si>
    <t>HG00807</t>
    <phoneticPr fontId="4" type="noConversion"/>
  </si>
  <si>
    <t>AZH5IA</t>
    <phoneticPr fontId="4" type="noConversion"/>
  </si>
  <si>
    <t>1+12</t>
    <phoneticPr fontId="4" type="noConversion"/>
  </si>
  <si>
    <t>NAC73.03+FMLAG</t>
    <phoneticPr fontId="4" type="noConversion"/>
  </si>
  <si>
    <t>12#+9#-20#</t>
    <phoneticPr fontId="4" type="noConversion"/>
  </si>
  <si>
    <t>FMLAG;NAC73.03-1</t>
  </si>
  <si>
    <t>SY58281SAAC</t>
    <phoneticPr fontId="4" type="noConversion"/>
  </si>
  <si>
    <t>HG00809</t>
    <phoneticPr fontId="4" type="noConversion"/>
  </si>
  <si>
    <t>YB5IA</t>
    <phoneticPr fontId="4" type="noConversion"/>
  </si>
  <si>
    <t>4+7</t>
    <phoneticPr fontId="4" type="noConversion"/>
  </si>
  <si>
    <t>NAJ4T+SJ090400</t>
    <phoneticPr fontId="4" type="noConversion"/>
  </si>
  <si>
    <t>22#-25#+1#-7#</t>
    <phoneticPr fontId="4" type="noConversion"/>
  </si>
  <si>
    <t>SJ090400;NAJ4T</t>
  </si>
  <si>
    <t>HG00810</t>
    <phoneticPr fontId="4" type="noConversion"/>
  </si>
  <si>
    <t>YB5IB</t>
    <phoneticPr fontId="4" type="noConversion"/>
  </si>
  <si>
    <t>8+15</t>
    <phoneticPr fontId="4" type="noConversion"/>
  </si>
  <si>
    <t>NAJ51+SJ090400</t>
    <phoneticPr fontId="4" type="noConversion"/>
  </si>
  <si>
    <t>1#-8#+8#-17#,19#-23#</t>
    <phoneticPr fontId="4" type="noConversion"/>
  </si>
  <si>
    <t>SJ090400;NAJ51</t>
  </si>
  <si>
    <t>HG00811</t>
    <phoneticPr fontId="4" type="noConversion"/>
  </si>
  <si>
    <t>YB5IC</t>
    <phoneticPr fontId="4" type="noConversion"/>
  </si>
  <si>
    <t>NAJ51+SJ089800</t>
    <phoneticPr fontId="4" type="noConversion"/>
  </si>
  <si>
    <t>9#-15#+1#-13#</t>
    <phoneticPr fontId="4" type="noConversion"/>
  </si>
  <si>
    <t>SJ089800;NAJ51</t>
  </si>
  <si>
    <t>SY58282NFAC</t>
    <phoneticPr fontId="4" type="noConversion"/>
  </si>
  <si>
    <t>HG00821</t>
    <phoneticPr fontId="4" type="noConversion"/>
  </si>
  <si>
    <t>AYR5IK</t>
    <phoneticPr fontId="4" type="noConversion"/>
  </si>
  <si>
    <t>5+16</t>
    <phoneticPr fontId="4" type="noConversion"/>
  </si>
  <si>
    <t>NANJ1+F7LA6</t>
    <phoneticPr fontId="4" type="noConversion"/>
  </si>
  <si>
    <t>1#-5#+9#-24#</t>
    <phoneticPr fontId="4" type="noConversion"/>
  </si>
  <si>
    <t>F7LA6;NANJ1</t>
  </si>
  <si>
    <t>SY8011BDQC</t>
    <phoneticPr fontId="4" type="noConversion"/>
  </si>
  <si>
    <t>HG00827</t>
    <phoneticPr fontId="4" type="noConversion"/>
  </si>
  <si>
    <t>MC5IA</t>
    <phoneticPr fontId="4" type="noConversion"/>
  </si>
  <si>
    <t>NAP55</t>
    <phoneticPr fontId="4" type="noConversion"/>
  </si>
  <si>
    <t>16#-17#</t>
  </si>
  <si>
    <t>NAP55</t>
  </si>
  <si>
    <t>SY8011ADQC</t>
    <phoneticPr fontId="4" type="noConversion"/>
  </si>
  <si>
    <t>HG00828</t>
    <phoneticPr fontId="4" type="noConversion"/>
  </si>
  <si>
    <t>KF5IA</t>
    <phoneticPr fontId="4" type="noConversion"/>
  </si>
  <si>
    <t>18#-25#</t>
  </si>
  <si>
    <t>NAP55-1</t>
  </si>
  <si>
    <t>SY8660CDPC</t>
    <phoneticPr fontId="4" type="noConversion"/>
  </si>
  <si>
    <t>I11C4</t>
  </si>
  <si>
    <t>HG00832</t>
    <phoneticPr fontId="4" type="noConversion"/>
  </si>
  <si>
    <t>DFN3x3-14</t>
    <phoneticPr fontId="4" type="noConversion"/>
  </si>
  <si>
    <t>ASW5IA</t>
    <phoneticPr fontId="4" type="noConversion"/>
  </si>
  <si>
    <t>N9FSJ.04</t>
    <phoneticPr fontId="4" type="noConversion"/>
  </si>
  <si>
    <t>12#-15#</t>
  </si>
  <si>
    <t>N9FSJ.04</t>
  </si>
  <si>
    <t>SY5824AABC</t>
    <phoneticPr fontId="4" type="noConversion"/>
  </si>
  <si>
    <t>HG00834</t>
    <phoneticPr fontId="4" type="noConversion"/>
  </si>
  <si>
    <t>TC5IB</t>
    <phoneticPr fontId="4" type="noConversion"/>
  </si>
  <si>
    <t>NA65L.01</t>
    <phoneticPr fontId="4" type="noConversion"/>
  </si>
  <si>
    <t>NA65L.01</t>
  </si>
  <si>
    <t>HG00838</t>
    <phoneticPr fontId="4" type="noConversion"/>
  </si>
  <si>
    <t>TW5IJ</t>
    <phoneticPr fontId="4" type="noConversion"/>
  </si>
  <si>
    <t>NANMS</t>
    <phoneticPr fontId="4" type="noConversion"/>
  </si>
  <si>
    <t>NANMS</t>
  </si>
  <si>
    <t>SYT704FAC</t>
    <phoneticPr fontId="4" type="noConversion"/>
  </si>
  <si>
    <t>HG00843</t>
    <phoneticPr fontId="4" type="noConversion"/>
  </si>
  <si>
    <t>AGB5JB</t>
    <phoneticPr fontId="4" type="noConversion"/>
  </si>
  <si>
    <t>NAK3L.01</t>
    <phoneticPr fontId="4" type="noConversion"/>
  </si>
  <si>
    <t>13#-20#</t>
  </si>
  <si>
    <t>NAK3L.01-1</t>
  </si>
  <si>
    <t>SY5002ABC</t>
    <phoneticPr fontId="4" type="noConversion"/>
  </si>
  <si>
    <t>HG00844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</si>
  <si>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</si>
  <si>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KP5JA</t>
    <phoneticPr fontId="4" type="noConversion"/>
  </si>
  <si>
    <t>N8493</t>
    <phoneticPr fontId="4" type="noConversion"/>
  </si>
  <si>
    <t>21#~23#</t>
  </si>
  <si>
    <t>N8493</t>
  </si>
  <si>
    <t>SY5810BABC</t>
    <phoneticPr fontId="4" type="noConversion"/>
  </si>
  <si>
    <t>E02FB0</t>
  </si>
  <si>
    <t>HG00848</t>
    <phoneticPr fontId="4" type="noConversion"/>
  </si>
  <si>
    <t>PR5JA</t>
    <phoneticPr fontId="4" type="noConversion"/>
  </si>
  <si>
    <t>N9ML5</t>
    <phoneticPr fontId="4" type="noConversion"/>
  </si>
  <si>
    <t>16#-18#</t>
  </si>
  <si>
    <t>N9ML5+01</t>
  </si>
  <si>
    <t>SYP513ABC</t>
    <phoneticPr fontId="4" type="noConversion"/>
  </si>
  <si>
    <t>E10EC0</t>
  </si>
  <si>
    <t>HG00849</t>
    <phoneticPr fontId="4" type="noConversion"/>
  </si>
  <si>
    <t>XO5JA</t>
    <phoneticPr fontId="4" type="noConversion"/>
  </si>
  <si>
    <t>NA7FF</t>
    <phoneticPr fontId="4" type="noConversion"/>
  </si>
  <si>
    <t>NA7FF+02</t>
  </si>
  <si>
    <t>SYPH83AABC</t>
  </si>
  <si>
    <t>HG00850</t>
    <phoneticPr fontId="4" type="noConversion"/>
  </si>
  <si>
    <t>XO5JB</t>
    <phoneticPr fontId="4" type="noConversion"/>
  </si>
  <si>
    <t>NA7FF+03</t>
  </si>
  <si>
    <t>SY8081DQC</t>
    <phoneticPr fontId="4" type="noConversion"/>
  </si>
  <si>
    <t>HG00852</t>
    <phoneticPr fontId="4" type="noConversion"/>
  </si>
  <si>
    <t>DFN1.5×1.5-6</t>
    <phoneticPr fontId="4" type="noConversion"/>
  </si>
  <si>
    <t>MN5JA</t>
    <phoneticPr fontId="4" type="noConversion"/>
  </si>
  <si>
    <t>NAP55.02</t>
    <phoneticPr fontId="4" type="noConversion"/>
  </si>
  <si>
    <t>NAP55.02</t>
  </si>
  <si>
    <t>SY8003ADFC</t>
    <phoneticPr fontId="4" type="noConversion"/>
  </si>
  <si>
    <t>HG00861</t>
    <phoneticPr fontId="4" type="noConversion"/>
  </si>
  <si>
    <t>DFN2*2-8</t>
    <phoneticPr fontId="4" type="noConversion"/>
  </si>
  <si>
    <t>KW5JB</t>
    <phoneticPr fontId="4" type="noConversion"/>
  </si>
  <si>
    <t>NAN2J</t>
    <phoneticPr fontId="4" type="noConversion"/>
  </si>
  <si>
    <t>NAN2J-1</t>
  </si>
  <si>
    <t>SY8069FAC</t>
    <phoneticPr fontId="4" type="noConversion"/>
  </si>
  <si>
    <t>A25B0</t>
  </si>
  <si>
    <t>HG00862</t>
    <phoneticPr fontId="4" type="noConversion"/>
  </si>
  <si>
    <t>ALK5JA</t>
    <phoneticPr fontId="4" type="noConversion"/>
  </si>
  <si>
    <t>NAFG1</t>
    <phoneticPr fontId="4" type="noConversion"/>
  </si>
  <si>
    <t>10#-17#</t>
  </si>
  <si>
    <t>NAFG1-1</t>
  </si>
  <si>
    <t>SYH634DFC</t>
    <phoneticPr fontId="4" type="noConversion"/>
  </si>
  <si>
    <t>HG00864</t>
    <phoneticPr fontId="4" type="noConversion"/>
  </si>
  <si>
    <t>UW5JA</t>
    <phoneticPr fontId="4" type="noConversion"/>
  </si>
  <si>
    <t>NAL0F-1</t>
  </si>
  <si>
    <t>需Bumping</t>
    <phoneticPr fontId="4" type="noConversion"/>
  </si>
  <si>
    <t>HG00866</t>
    <phoneticPr fontId="4" type="noConversion"/>
  </si>
  <si>
    <t>KT5JB</t>
    <phoneticPr fontId="4" type="noConversion"/>
  </si>
  <si>
    <t>NANPN</t>
    <phoneticPr fontId="4" type="noConversion"/>
  </si>
  <si>
    <t>NANPN-1</t>
  </si>
  <si>
    <t>SY7113ABC</t>
    <phoneticPr fontId="4" type="noConversion"/>
  </si>
  <si>
    <t>B17S0</t>
  </si>
  <si>
    <t>HG00867</t>
    <phoneticPr fontId="4" type="noConversion"/>
  </si>
  <si>
    <t>NM5JA</t>
    <phoneticPr fontId="4" type="noConversion"/>
  </si>
  <si>
    <t>NA7FY</t>
    <phoneticPr fontId="4" type="noConversion"/>
  </si>
  <si>
    <t>NA7FY+01</t>
  </si>
  <si>
    <t>SY7152AABC</t>
    <phoneticPr fontId="4" type="noConversion"/>
  </si>
  <si>
    <t>HG00868</t>
    <phoneticPr fontId="4" type="noConversion"/>
  </si>
  <si>
    <t>UB5JA</t>
    <phoneticPr fontId="4" type="noConversion"/>
  </si>
  <si>
    <t>N8CW9.02</t>
    <phoneticPr fontId="4" type="noConversion"/>
  </si>
  <si>
    <t>1#~8#</t>
  </si>
  <si>
    <t>N8CW9.02</t>
  </si>
  <si>
    <t>HG00872</t>
    <phoneticPr fontId="4" type="noConversion"/>
  </si>
  <si>
    <t>TW5JA</t>
    <phoneticPr fontId="4" type="noConversion"/>
  </si>
  <si>
    <t>NANMT</t>
    <phoneticPr fontId="4" type="noConversion"/>
  </si>
  <si>
    <t>NANMT</t>
  </si>
  <si>
    <t>SY8708ABC</t>
  </si>
  <si>
    <t>B43A0</t>
  </si>
  <si>
    <t>HG00874</t>
    <phoneticPr fontId="4" type="noConversion"/>
  </si>
  <si>
    <t>Dq5JA</t>
    <phoneticPr fontId="4" type="noConversion"/>
  </si>
  <si>
    <t>NANSL</t>
    <phoneticPr fontId="4" type="noConversion"/>
  </si>
  <si>
    <t>NANSL</t>
  </si>
  <si>
    <t>HG00876</t>
    <phoneticPr fontId="4" type="noConversion"/>
  </si>
  <si>
    <t>Dq5JC</t>
    <phoneticPr fontId="4" type="noConversion"/>
  </si>
  <si>
    <t>NANSM</t>
    <phoneticPr fontId="4" type="noConversion"/>
  </si>
  <si>
    <t>NANSM</t>
  </si>
  <si>
    <t>SY8708ABC</t>
    <phoneticPr fontId="4" type="noConversion"/>
  </si>
  <si>
    <t>HG00877</t>
    <phoneticPr fontId="4" type="noConversion"/>
  </si>
  <si>
    <t>Dq5JD</t>
    <phoneticPr fontId="4" type="noConversion"/>
  </si>
  <si>
    <t>NANSM+01</t>
  </si>
  <si>
    <t>HG00879</t>
    <phoneticPr fontId="4" type="noConversion"/>
  </si>
  <si>
    <t>JU5JA</t>
    <phoneticPr fontId="4" type="noConversion"/>
  </si>
  <si>
    <t>NA4YL.01</t>
    <phoneticPr fontId="4" type="noConversion"/>
  </si>
  <si>
    <t>1#-15#</t>
  </si>
  <si>
    <t>NA4YL.01</t>
  </si>
  <si>
    <t>SY7065QMC</t>
  </si>
  <si>
    <t>HG00880</t>
    <phoneticPr fontId="4" type="noConversion"/>
  </si>
  <si>
    <t>RC5JA</t>
    <phoneticPr fontId="4" type="noConversion"/>
  </si>
  <si>
    <t>NA564</t>
    <phoneticPr fontId="4" type="noConversion"/>
  </si>
  <si>
    <t>NA564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</si>
  <si>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4" type="noConversion"/>
  </si>
  <si>
    <t>HG00881</t>
    <phoneticPr fontId="4" type="noConversion"/>
  </si>
  <si>
    <t>RC5JB</t>
    <phoneticPr fontId="4" type="noConversion"/>
  </si>
  <si>
    <t>NA564-1</t>
  </si>
  <si>
    <t>SY7066AQMC</t>
    <phoneticPr fontId="4" type="noConversion"/>
  </si>
  <si>
    <t>B23E1</t>
  </si>
  <si>
    <t>HG00882</t>
    <phoneticPr fontId="4" type="noConversion"/>
  </si>
  <si>
    <t>Aa5JA</t>
    <phoneticPr fontId="4" type="noConversion"/>
  </si>
  <si>
    <t>NA9R6</t>
    <phoneticPr fontId="4" type="noConversion"/>
  </si>
  <si>
    <t>NA9R6</t>
  </si>
  <si>
    <t>SY7065AQMC</t>
  </si>
  <si>
    <t>HG00886</t>
    <phoneticPr fontId="4" type="noConversion"/>
  </si>
  <si>
    <t>VL5JC</t>
    <phoneticPr fontId="4" type="noConversion"/>
  </si>
  <si>
    <t>NANS5</t>
    <phoneticPr fontId="4" type="noConversion"/>
  </si>
  <si>
    <t>NANS5</t>
  </si>
  <si>
    <t>SY7066BQMC</t>
    <phoneticPr fontId="4" type="noConversion"/>
  </si>
  <si>
    <t>B23F1</t>
  </si>
  <si>
    <t>HG00888</t>
    <phoneticPr fontId="4" type="noConversion"/>
  </si>
  <si>
    <t>XZ5JA</t>
    <phoneticPr fontId="4" type="noConversion"/>
  </si>
  <si>
    <t>NA563.02</t>
    <phoneticPr fontId="4" type="noConversion"/>
  </si>
  <si>
    <t>3# 4#</t>
  </si>
  <si>
    <t>NA563.02</t>
  </si>
  <si>
    <t>SY8121ABC</t>
  </si>
  <si>
    <t>A21B2</t>
  </si>
  <si>
    <t>HG00897</t>
    <phoneticPr fontId="4" type="noConversion"/>
  </si>
  <si>
    <t>JW5JB</t>
    <phoneticPr fontId="4" type="noConversion"/>
  </si>
  <si>
    <t>NAMW9</t>
    <phoneticPr fontId="4" type="noConversion"/>
  </si>
  <si>
    <t>17#-25#</t>
  </si>
  <si>
    <t>NAMW9+02</t>
  </si>
  <si>
    <t>SY8120BABC</t>
    <phoneticPr fontId="4" type="noConversion"/>
  </si>
  <si>
    <t>HG00899</t>
    <phoneticPr fontId="4" type="noConversion"/>
  </si>
  <si>
    <t>NB5JB</t>
    <phoneticPr fontId="4" type="noConversion"/>
  </si>
  <si>
    <t>NAJYT</t>
    <phoneticPr fontId="4" type="noConversion"/>
  </si>
  <si>
    <t>NAJYT</t>
  </si>
  <si>
    <t>SYJ905ABC</t>
    <phoneticPr fontId="4" type="noConversion"/>
  </si>
  <si>
    <t>HG00900</t>
    <phoneticPr fontId="4" type="noConversion"/>
  </si>
  <si>
    <t>NB5JC</t>
    <phoneticPr fontId="4" type="noConversion"/>
  </si>
  <si>
    <t>11#-18#</t>
  </si>
  <si>
    <t>NAJYT+01</t>
  </si>
  <si>
    <t>SY8246DNC</t>
    <phoneticPr fontId="4" type="noConversion"/>
  </si>
  <si>
    <t>HG00905</t>
    <phoneticPr fontId="4" type="noConversion"/>
  </si>
  <si>
    <t>DFN4*3-12</t>
    <phoneticPr fontId="4" type="noConversion"/>
  </si>
  <si>
    <t>AFZ5JA</t>
    <phoneticPr fontId="4" type="noConversion"/>
  </si>
  <si>
    <t>NAPJY</t>
    <phoneticPr fontId="4" type="noConversion"/>
  </si>
  <si>
    <t>NAPJY</t>
  </si>
  <si>
    <t>HG00906</t>
    <phoneticPr fontId="4" type="noConversion"/>
  </si>
  <si>
    <t>AHI5JA</t>
    <phoneticPr fontId="4" type="noConversion"/>
  </si>
  <si>
    <t>NAPJW</t>
    <phoneticPr fontId="4" type="noConversion"/>
  </si>
  <si>
    <t>NAPJW</t>
  </si>
  <si>
    <t>SY5839ABC</t>
  </si>
  <si>
    <t>HG00908</t>
    <phoneticPr fontId="4" type="noConversion"/>
  </si>
  <si>
    <t>ZT5JB</t>
    <phoneticPr fontId="4" type="noConversion"/>
  </si>
  <si>
    <t>NA36C.02</t>
    <phoneticPr fontId="4" type="noConversion"/>
  </si>
  <si>
    <t>11#-16#</t>
  </si>
  <si>
    <t>NA36C.02+02</t>
  </si>
  <si>
    <t>SY5839ABC</t>
    <phoneticPr fontId="4" type="noConversion"/>
  </si>
  <si>
    <t>HG00909</t>
    <phoneticPr fontId="4" type="noConversion"/>
  </si>
  <si>
    <t>ZT5JC</t>
    <phoneticPr fontId="4" type="noConversion"/>
  </si>
  <si>
    <t>NA59S</t>
    <phoneticPr fontId="4" type="noConversion"/>
  </si>
  <si>
    <t>1#-8#</t>
  </si>
  <si>
    <t>NA59S</t>
  </si>
  <si>
    <t>H17A0</t>
  </si>
  <si>
    <t>HG00910</t>
    <phoneticPr fontId="4" type="noConversion"/>
  </si>
  <si>
    <t>AZB5JA</t>
    <phoneticPr fontId="4" type="noConversion"/>
  </si>
  <si>
    <t>NAC4Y.09</t>
    <phoneticPr fontId="4" type="noConversion"/>
  </si>
  <si>
    <t>11#-21#</t>
  </si>
  <si>
    <t>NAC4Y.09</t>
  </si>
  <si>
    <t>HG00911</t>
    <phoneticPr fontId="4" type="noConversion"/>
  </si>
  <si>
    <t>AVA5JA</t>
    <phoneticPr fontId="4" type="noConversion"/>
  </si>
  <si>
    <t>NAJ9J.10</t>
    <phoneticPr fontId="4" type="noConversion"/>
  </si>
  <si>
    <t>NAJ9J.10</t>
  </si>
  <si>
    <t>SY8088LACC</t>
  </si>
  <si>
    <t>A11C0</t>
  </si>
  <si>
    <t>HG00913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</si>
  <si>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</si>
  <si>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ZW5JC</t>
    <phoneticPr fontId="4" type="noConversion"/>
  </si>
  <si>
    <t>NAP56</t>
    <phoneticPr fontId="4" type="noConversion"/>
  </si>
  <si>
    <t>9#-16#</t>
  </si>
  <si>
    <t>NAP56-1</t>
  </si>
  <si>
    <t>SY8203DBC</t>
    <phoneticPr fontId="4" type="noConversion"/>
  </si>
  <si>
    <t>HG00916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</si>
  <si>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</si>
  <si>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LS5JA</t>
    <phoneticPr fontId="4" type="noConversion"/>
  </si>
  <si>
    <t>NAPK6</t>
    <phoneticPr fontId="4" type="noConversion"/>
  </si>
  <si>
    <t>NAPK6</t>
  </si>
  <si>
    <t>SY8003ADFC</t>
  </si>
  <si>
    <t>HG00919</t>
    <phoneticPr fontId="4" type="noConversion"/>
  </si>
  <si>
    <t>KW5JC</t>
    <phoneticPr fontId="4" type="noConversion"/>
  </si>
  <si>
    <t>NAP8F</t>
    <phoneticPr fontId="4" type="noConversion"/>
  </si>
  <si>
    <t>NAP8F</t>
  </si>
  <si>
    <t>SY8057QDC</t>
    <phoneticPr fontId="4" type="noConversion"/>
  </si>
  <si>
    <t>A79A0</t>
    <phoneticPr fontId="4" type="noConversion"/>
  </si>
  <si>
    <t>HG00921</t>
    <phoneticPr fontId="4" type="noConversion"/>
  </si>
  <si>
    <t>QFN3*3-16</t>
    <phoneticPr fontId="4" type="noConversion"/>
  </si>
  <si>
    <t>Gg5JA</t>
    <phoneticPr fontId="4" type="noConversion"/>
  </si>
  <si>
    <t>NANSQ.03</t>
    <phoneticPr fontId="4" type="noConversion"/>
  </si>
  <si>
    <t>5#,6#</t>
  </si>
  <si>
    <t>NANSQ.03</t>
  </si>
  <si>
    <t>SYPH593FAC</t>
    <phoneticPr fontId="4" type="noConversion"/>
  </si>
  <si>
    <t>E02T2+A2X02A</t>
  </si>
  <si>
    <t>HG00922</t>
    <phoneticPr fontId="4" type="noConversion"/>
  </si>
  <si>
    <t>AJM5JA</t>
    <phoneticPr fontId="4" type="noConversion"/>
  </si>
  <si>
    <t>N9SC7+(SJ027300+SJ030300)</t>
    <phoneticPr fontId="4" type="noConversion"/>
  </si>
  <si>
    <t>1#-3#+(1#~5#+18#)</t>
    <phoneticPr fontId="4" type="noConversion"/>
  </si>
  <si>
    <t>N9SC7;(SJ027300+SJ030300)</t>
  </si>
  <si>
    <t>SYLS83FAC</t>
    <phoneticPr fontId="4" type="noConversion"/>
  </si>
  <si>
    <t>HG00923</t>
    <phoneticPr fontId="4" type="noConversion"/>
  </si>
  <si>
    <t>AJM5JB</t>
    <phoneticPr fontId="4" type="noConversion"/>
  </si>
  <si>
    <t>8+16</t>
    <phoneticPr fontId="4" type="noConversion"/>
  </si>
  <si>
    <t>N9SC7+SJ087200</t>
    <phoneticPr fontId="4" type="noConversion"/>
  </si>
  <si>
    <t>4#-11#+1#-16#</t>
    <phoneticPr fontId="4" type="noConversion"/>
  </si>
  <si>
    <t>N9SC7;SJ087200</t>
  </si>
  <si>
    <t>SYK735FAC</t>
    <phoneticPr fontId="4" type="noConversion"/>
  </si>
  <si>
    <t>HG00924</t>
    <phoneticPr fontId="4" type="noConversion"/>
  </si>
  <si>
    <t>AJM5JC</t>
    <phoneticPr fontId="4" type="noConversion"/>
  </si>
  <si>
    <t>N9RCN.01+SJ087200</t>
    <phoneticPr fontId="4" type="noConversion"/>
  </si>
  <si>
    <t>17#-20#+17#,19#-25#</t>
    <phoneticPr fontId="4" type="noConversion"/>
  </si>
  <si>
    <t>N9RCN.01;SJ087200</t>
  </si>
  <si>
    <t>HG00925</t>
    <phoneticPr fontId="4" type="noConversion"/>
  </si>
  <si>
    <t>ARC5JA</t>
    <phoneticPr fontId="4" type="noConversion"/>
  </si>
  <si>
    <t>(NAJ51+NAHP4)+SJ090200</t>
    <phoneticPr fontId="4" type="noConversion"/>
  </si>
  <si>
    <t>(23#-25#+15#-18#)+1#-13#</t>
    <phoneticPr fontId="4" type="noConversion"/>
  </si>
  <si>
    <t>SJ090200;(NAJ51+NAHP4)</t>
  </si>
  <si>
    <t>SYK491FAC</t>
    <phoneticPr fontId="4" type="noConversion"/>
  </si>
  <si>
    <t>E02T2+A3X03A</t>
  </si>
  <si>
    <t>HG00930</t>
    <phoneticPr fontId="4" type="noConversion"/>
  </si>
  <si>
    <t>AJU5JB</t>
    <phoneticPr fontId="4" type="noConversion"/>
  </si>
  <si>
    <t>9+10</t>
    <phoneticPr fontId="4" type="noConversion"/>
  </si>
  <si>
    <t>NA69P+SJ090300</t>
    <phoneticPr fontId="4" type="noConversion"/>
  </si>
  <si>
    <t>1#-9#+11#-20#</t>
    <phoneticPr fontId="4" type="noConversion"/>
  </si>
  <si>
    <t>NA69P;SJ090300</t>
  </si>
  <si>
    <t>SY5861FAC</t>
    <phoneticPr fontId="4" type="noConversion"/>
  </si>
  <si>
    <t>H15A0</t>
  </si>
  <si>
    <t>HG00933</t>
    <phoneticPr fontId="4" type="noConversion"/>
  </si>
  <si>
    <t>ATN5JA</t>
    <phoneticPr fontId="4" type="noConversion"/>
  </si>
  <si>
    <t>N9ST7.28</t>
    <phoneticPr fontId="4" type="noConversion"/>
  </si>
  <si>
    <t>13#-14#</t>
  </si>
  <si>
    <t>N9ST7.28</t>
  </si>
  <si>
    <t>SY8205DNC</t>
    <phoneticPr fontId="4" type="noConversion"/>
  </si>
  <si>
    <t>HG00936</t>
    <phoneticPr fontId="4" type="noConversion"/>
  </si>
  <si>
    <t>DFN4×3-12</t>
    <phoneticPr fontId="4" type="noConversion"/>
  </si>
  <si>
    <t>ADS5JA</t>
    <phoneticPr fontId="4" type="noConversion"/>
  </si>
  <si>
    <t>NAPJT</t>
    <phoneticPr fontId="4" type="noConversion"/>
  </si>
  <si>
    <t>NAPJT</t>
  </si>
  <si>
    <t>SY5810DABC</t>
    <phoneticPr fontId="4" type="noConversion"/>
  </si>
  <si>
    <t>HG00939</t>
    <phoneticPr fontId="4" type="noConversion"/>
  </si>
  <si>
    <t>PC5JA</t>
    <phoneticPr fontId="4" type="noConversion"/>
  </si>
  <si>
    <t>NAQ11</t>
    <phoneticPr fontId="4" type="noConversion"/>
  </si>
  <si>
    <t>NAQ11</t>
  </si>
  <si>
    <t>E02CD0+A5X03A</t>
  </si>
  <si>
    <t>HG00942</t>
    <phoneticPr fontId="4" type="noConversion"/>
  </si>
  <si>
    <t>AKW5JC</t>
    <phoneticPr fontId="4" type="noConversion"/>
  </si>
  <si>
    <t>NAQ0S+SJ077500</t>
    <phoneticPr fontId="4" type="noConversion"/>
  </si>
  <si>
    <t>17#-25#+10#-19#</t>
    <phoneticPr fontId="4" type="noConversion"/>
  </si>
  <si>
    <t>NAQ0S;SJ077500-1</t>
  </si>
  <si>
    <t>SYK594AFAC</t>
    <phoneticPr fontId="4" type="noConversion"/>
  </si>
  <si>
    <t>HG00943</t>
    <phoneticPr fontId="4" type="noConversion"/>
  </si>
  <si>
    <t>AMJ5JA</t>
    <phoneticPr fontId="4" type="noConversion"/>
  </si>
  <si>
    <t>NAQ0W.01+(SJ084600+SJ075800+SJ075400)</t>
    <phoneticPr fontId="4" type="noConversion"/>
  </si>
  <si>
    <t>1#-3#+(21#-25#+24#-25#+25#)</t>
    <phoneticPr fontId="4" type="noConversion"/>
  </si>
  <si>
    <t>NAQ0W.01;(SJ084600+SJ075800+SJ075400)</t>
  </si>
  <si>
    <t>HG00944</t>
    <phoneticPr fontId="4" type="noConversion"/>
  </si>
  <si>
    <t>AMJ5JB</t>
    <phoneticPr fontId="4" type="noConversion"/>
  </si>
  <si>
    <t>6+17</t>
    <phoneticPr fontId="4" type="noConversion"/>
  </si>
  <si>
    <r>
      <t>NAQ0W.01+(SJ086500+</t>
    </r>
    <r>
      <rPr>
        <sz val="10"/>
        <rFont val="Arial"/>
        <family val="2"/>
      </rPr>
      <t>SJ084500)</t>
    </r>
    <phoneticPr fontId="4" type="noConversion"/>
  </si>
  <si>
    <t>4#-9#+(9#,11#-25#+24#)</t>
    <phoneticPr fontId="4" type="noConversion"/>
  </si>
  <si>
    <t>NAQ0W.01;(SJ086500+SJ084500)</t>
  </si>
  <si>
    <t>SY58281NAAC</t>
    <phoneticPr fontId="4" type="noConversion"/>
  </si>
  <si>
    <t>HG00946</t>
    <phoneticPr fontId="4" type="noConversion"/>
  </si>
  <si>
    <t>Hv5JA</t>
    <phoneticPr fontId="4" type="noConversion"/>
  </si>
  <si>
    <t>8+26</t>
    <phoneticPr fontId="4" type="noConversion"/>
  </si>
  <si>
    <t>NANJ2+(F88WA+F7LA6)</t>
    <phoneticPr fontId="4" type="noConversion"/>
  </si>
  <si>
    <t>11#-18#+(1#-25#+25#)</t>
    <phoneticPr fontId="4" type="noConversion"/>
  </si>
  <si>
    <t>(F88WA+F7LA6);NANJ2</t>
  </si>
  <si>
    <t>HG00949</t>
    <phoneticPr fontId="4" type="noConversion"/>
  </si>
  <si>
    <t>Hv5JD</t>
    <phoneticPr fontId="4" type="noConversion"/>
  </si>
  <si>
    <t>7+23</t>
    <phoneticPr fontId="4" type="noConversion"/>
  </si>
  <si>
    <t>NANJ3+FMW4C</t>
    <phoneticPr fontId="4" type="noConversion"/>
  </si>
  <si>
    <t>5#-11#+1#-23#</t>
    <phoneticPr fontId="4" type="noConversion"/>
  </si>
  <si>
    <t>FMW4C;NANJ3</t>
  </si>
  <si>
    <t>HG00951</t>
    <phoneticPr fontId="4" type="noConversion"/>
  </si>
  <si>
    <t>AYR5JB</t>
    <phoneticPr fontId="4" type="noConversion"/>
  </si>
  <si>
    <t>NANJ3+FWT9Y</t>
    <phoneticPr fontId="4" type="noConversion"/>
  </si>
  <si>
    <t>12#-16#+9#-24#</t>
    <phoneticPr fontId="4" type="noConversion"/>
  </si>
  <si>
    <t>FWT9Y;NANJ3</t>
  </si>
  <si>
    <t>HG00960</t>
    <phoneticPr fontId="4" type="noConversion"/>
  </si>
  <si>
    <t>AQX5JB</t>
    <phoneticPr fontId="4" type="noConversion"/>
  </si>
  <si>
    <t>4+15</t>
    <phoneticPr fontId="4" type="noConversion"/>
  </si>
  <si>
    <t>NAQ11.01+(SJ076400+SJ065602)</t>
    <phoneticPr fontId="4" type="noConversion"/>
  </si>
  <si>
    <t>8#-11#+(12#-25#+20#)</t>
    <phoneticPr fontId="4" type="noConversion"/>
  </si>
  <si>
    <t>(SJ076400+SJ065602);NAQ11.01</t>
  </si>
  <si>
    <t>SY5800AFAC</t>
    <phoneticPr fontId="4" type="noConversion"/>
  </si>
  <si>
    <t>HG00967</t>
    <phoneticPr fontId="4" type="noConversion"/>
  </si>
  <si>
    <t>AFB5JB</t>
    <phoneticPr fontId="4" type="noConversion"/>
  </si>
  <si>
    <t>NAQ0Y</t>
    <phoneticPr fontId="4" type="noConversion"/>
  </si>
  <si>
    <t>1#-15#</t>
    <phoneticPr fontId="4" type="noConversion"/>
  </si>
  <si>
    <t>NAQ0Y</t>
  </si>
  <si>
    <t>SY7208CABC</t>
  </si>
  <si>
    <t>HG00969</t>
    <phoneticPr fontId="4" type="noConversion"/>
  </si>
  <si>
    <t>JU5JB</t>
    <phoneticPr fontId="4" type="noConversion"/>
  </si>
  <si>
    <t>NAQFM</t>
    <phoneticPr fontId="4" type="noConversion"/>
  </si>
  <si>
    <t>NAQFM</t>
  </si>
  <si>
    <t>HG00970</t>
    <phoneticPr fontId="4" type="noConversion"/>
  </si>
  <si>
    <t>JU5JC</t>
    <phoneticPr fontId="4" type="noConversion"/>
  </si>
  <si>
    <t>NAQFM+01</t>
  </si>
  <si>
    <t>SY8233FCC</t>
    <phoneticPr fontId="4" type="noConversion"/>
  </si>
  <si>
    <t>HG00971</t>
    <phoneticPr fontId="4" type="noConversion"/>
  </si>
  <si>
    <t>AIV5JB</t>
    <phoneticPr fontId="4" type="noConversion"/>
  </si>
  <si>
    <t>NAQ9N</t>
    <phoneticPr fontId="4" type="noConversion"/>
  </si>
  <si>
    <t>11#-20#</t>
  </si>
  <si>
    <t>NAQ9N</t>
  </si>
  <si>
    <t>SY8303AIC</t>
  </si>
  <si>
    <t>HG00974</t>
    <phoneticPr fontId="4" type="noConversion"/>
  </si>
  <si>
    <t>NAQ9Y</t>
    <phoneticPr fontId="4" type="noConversion"/>
  </si>
  <si>
    <t>2#-13#</t>
    <phoneticPr fontId="4" type="noConversion"/>
  </si>
  <si>
    <t>HG00975</t>
    <phoneticPr fontId="4" type="noConversion"/>
  </si>
  <si>
    <t>XD5JB</t>
    <phoneticPr fontId="4" type="noConversion"/>
  </si>
  <si>
    <t>14#-25#</t>
    <phoneticPr fontId="4" type="noConversion"/>
  </si>
  <si>
    <t>SY5802BFAC</t>
    <phoneticPr fontId="4" type="noConversion"/>
  </si>
  <si>
    <t>E02JA0</t>
  </si>
  <si>
    <t>HG00976</t>
    <phoneticPr fontId="4" type="noConversion"/>
  </si>
  <si>
    <t>AZW5JA</t>
    <phoneticPr fontId="4" type="noConversion"/>
  </si>
  <si>
    <t>NAQ0T.01</t>
    <phoneticPr fontId="4" type="noConversion"/>
  </si>
  <si>
    <t>NAQ0T.01</t>
  </si>
  <si>
    <t>HG00979</t>
    <phoneticPr fontId="4" type="noConversion"/>
  </si>
  <si>
    <t>AMJ5JC</t>
    <phoneticPr fontId="4" type="noConversion"/>
  </si>
  <si>
    <t>NAQ0W.01+SJ086900</t>
    <phoneticPr fontId="4" type="noConversion"/>
  </si>
  <si>
    <t>10#-15#+1#-9#,11#-18#</t>
    <phoneticPr fontId="4" type="noConversion"/>
  </si>
  <si>
    <t>NAQ0W.01;SJ086900</t>
  </si>
  <si>
    <t>SY58182NFAC</t>
    <phoneticPr fontId="4" type="noConversion"/>
  </si>
  <si>
    <t>HG00986</t>
    <phoneticPr fontId="4" type="noConversion"/>
  </si>
  <si>
    <t>AZI5JJ</t>
    <phoneticPr fontId="4" type="noConversion"/>
  </si>
  <si>
    <t>NAP52+F3R4W</t>
    <phoneticPr fontId="4" type="noConversion"/>
  </si>
  <si>
    <t>1#-7#+1#-17#,19#~20#,22#~25#</t>
    <phoneticPr fontId="4" type="noConversion"/>
  </si>
  <si>
    <t>F3R4W;NAP52</t>
  </si>
  <si>
    <t>SY7076QMC</t>
    <phoneticPr fontId="4" type="noConversion"/>
  </si>
  <si>
    <t>B37A0</t>
    <phoneticPr fontId="4" type="noConversion"/>
  </si>
  <si>
    <t>HG00991</t>
    <phoneticPr fontId="4" type="noConversion"/>
  </si>
  <si>
    <t>NAPG0</t>
    <phoneticPr fontId="4" type="noConversion"/>
  </si>
  <si>
    <t>IM8111S</t>
    <phoneticPr fontId="4" type="noConversion"/>
  </si>
  <si>
    <t>HG00992</t>
    <phoneticPr fontId="4" type="noConversion"/>
  </si>
  <si>
    <t>Kg5JA</t>
    <phoneticPr fontId="4" type="noConversion"/>
  </si>
  <si>
    <t>NAP5A</t>
    <phoneticPr fontId="4" type="noConversion"/>
  </si>
  <si>
    <t>NAP5A</t>
  </si>
  <si>
    <t>IM8122SN</t>
    <phoneticPr fontId="4" type="noConversion"/>
  </si>
  <si>
    <t>A36A2</t>
    <phoneticPr fontId="4" type="noConversion"/>
  </si>
  <si>
    <t>HG00993</t>
    <phoneticPr fontId="4" type="noConversion"/>
  </si>
  <si>
    <t>Kh5JA</t>
    <phoneticPr fontId="4" type="noConversion"/>
  </si>
  <si>
    <t>19#</t>
    <phoneticPr fontId="4" type="noConversion"/>
  </si>
  <si>
    <t>NAJYT+02</t>
  </si>
  <si>
    <t>HG00994</t>
    <phoneticPr fontId="4" type="noConversion"/>
  </si>
  <si>
    <t>KW5JE</t>
    <phoneticPr fontId="4" type="noConversion"/>
  </si>
  <si>
    <t>D8WP2.1</t>
    <phoneticPr fontId="4" type="noConversion"/>
  </si>
  <si>
    <t>1#</t>
    <phoneticPr fontId="4" type="noConversion"/>
  </si>
  <si>
    <t>D8WP2.1</t>
  </si>
  <si>
    <t>HG00995</t>
    <phoneticPr fontId="4" type="noConversion"/>
  </si>
  <si>
    <t>KW5JF</t>
    <phoneticPr fontId="4" type="noConversion"/>
  </si>
  <si>
    <t>2#</t>
    <phoneticPr fontId="4" type="noConversion"/>
  </si>
  <si>
    <t>D8WP2.1-2</t>
  </si>
  <si>
    <t>HG00996</t>
    <phoneticPr fontId="4" type="noConversion"/>
  </si>
  <si>
    <t>KW5JG</t>
    <phoneticPr fontId="4" type="noConversion"/>
  </si>
  <si>
    <t>3#</t>
    <phoneticPr fontId="4" type="noConversion"/>
  </si>
  <si>
    <t>D8WP2.1-3</t>
  </si>
  <si>
    <t>HG00997</t>
    <phoneticPr fontId="4" type="noConversion"/>
  </si>
  <si>
    <t>KW5JH</t>
    <phoneticPr fontId="4" type="noConversion"/>
  </si>
  <si>
    <t>4#</t>
    <phoneticPr fontId="4" type="noConversion"/>
  </si>
  <si>
    <t>D8WP2.1-4</t>
  </si>
  <si>
    <t>HG00998</t>
    <phoneticPr fontId="4" type="noConversion"/>
  </si>
  <si>
    <t>KW5JI</t>
    <phoneticPr fontId="4" type="noConversion"/>
  </si>
  <si>
    <t>5#</t>
    <phoneticPr fontId="4" type="noConversion"/>
  </si>
  <si>
    <t>D8WP2.1-5</t>
  </si>
  <si>
    <t>HG00999</t>
    <phoneticPr fontId="4" type="noConversion"/>
  </si>
  <si>
    <t>KW5JJ</t>
    <phoneticPr fontId="4" type="noConversion"/>
  </si>
  <si>
    <t>6#</t>
    <phoneticPr fontId="4" type="noConversion"/>
  </si>
  <si>
    <t>D8WP2.1-6</t>
  </si>
  <si>
    <t>HG01000</t>
    <phoneticPr fontId="4" type="noConversion"/>
  </si>
  <si>
    <t>KW5JK</t>
    <phoneticPr fontId="4" type="noConversion"/>
  </si>
  <si>
    <t>7#</t>
    <phoneticPr fontId="4" type="noConversion"/>
  </si>
  <si>
    <t>D8WP2.1-7</t>
  </si>
  <si>
    <t>HG01002</t>
    <phoneticPr fontId="4" type="noConversion"/>
  </si>
  <si>
    <t>Hv5JE</t>
    <phoneticPr fontId="4" type="noConversion"/>
  </si>
  <si>
    <t>3+10</t>
    <phoneticPr fontId="4" type="noConversion"/>
  </si>
  <si>
    <t>(NANJ3+NANJ5)+F87LM</t>
    <phoneticPr fontId="4" type="noConversion"/>
  </si>
  <si>
    <t>(25#+24#-25#)+1#-10#</t>
    <phoneticPr fontId="4" type="noConversion"/>
  </si>
  <si>
    <t>F87LM;(NANJ3+NANJ5)</t>
  </si>
  <si>
    <t>HG01004</t>
    <phoneticPr fontId="4" type="noConversion"/>
  </si>
  <si>
    <t>Hv5JG</t>
    <phoneticPr fontId="4" type="noConversion"/>
  </si>
  <si>
    <t>10+33</t>
    <phoneticPr fontId="4" type="noConversion"/>
  </si>
  <si>
    <t>NAQ30+(FLRGK+F2TGL)</t>
    <phoneticPr fontId="4" type="noConversion"/>
  </si>
  <si>
    <t>16#-25#+(1#-25#+6#-13#)</t>
    <phoneticPr fontId="4" type="noConversion"/>
  </si>
  <si>
    <t>(FLRGK+F2TGL);NAQ30</t>
    <phoneticPr fontId="4" type="noConversion"/>
  </si>
  <si>
    <t>HG01005</t>
    <phoneticPr fontId="4" type="noConversion"/>
  </si>
  <si>
    <t>Hv5JH</t>
    <phoneticPr fontId="4" type="noConversion"/>
  </si>
  <si>
    <t>NAQ32+(FKLP6+F2TGL)</t>
    <phoneticPr fontId="4" type="noConversion"/>
  </si>
  <si>
    <t>1#-10#+(1#-25#+14#-21#)</t>
    <phoneticPr fontId="4" type="noConversion"/>
  </si>
  <si>
    <t>(FKLP6+F2TGL);NAQ32</t>
  </si>
  <si>
    <t>HG01012</t>
    <phoneticPr fontId="4" type="noConversion"/>
  </si>
  <si>
    <t>Dq5JE</t>
    <phoneticPr fontId="4" type="noConversion"/>
  </si>
  <si>
    <t>NAQFT</t>
    <phoneticPr fontId="4" type="noConversion"/>
  </si>
  <si>
    <t>3#-13#</t>
  </si>
  <si>
    <t>NAQFT</t>
  </si>
  <si>
    <t>HG01013</t>
    <phoneticPr fontId="4" type="noConversion"/>
  </si>
  <si>
    <t>Dq5JF</t>
    <phoneticPr fontId="4" type="noConversion"/>
  </si>
  <si>
    <t>NAQFT+01</t>
  </si>
  <si>
    <t>SY8743FCC</t>
    <phoneticPr fontId="4" type="noConversion"/>
  </si>
  <si>
    <t>B61F0</t>
  </si>
  <si>
    <t>HG01015</t>
    <phoneticPr fontId="4" type="noConversion"/>
  </si>
  <si>
    <t>ARJ5JA</t>
    <phoneticPr fontId="4" type="noConversion"/>
  </si>
  <si>
    <t>NAQPW</t>
    <phoneticPr fontId="4" type="noConversion"/>
  </si>
  <si>
    <t>11#-17#</t>
  </si>
  <si>
    <t>NAQPW</t>
  </si>
  <si>
    <t>HG01025</t>
    <phoneticPr fontId="4" type="noConversion"/>
  </si>
  <si>
    <t>KW5JO</t>
    <phoneticPr fontId="4" type="noConversion"/>
  </si>
  <si>
    <t>NAQQP</t>
    <phoneticPr fontId="4" type="noConversion"/>
  </si>
  <si>
    <t>13#-25#</t>
    <phoneticPr fontId="4" type="noConversion"/>
  </si>
  <si>
    <t>NAQQP-1</t>
  </si>
  <si>
    <t>SY50133FAC</t>
    <phoneticPr fontId="4" type="noConversion"/>
  </si>
  <si>
    <t>E51T0+U2X11A</t>
  </si>
  <si>
    <t>HG01028</t>
    <phoneticPr fontId="4" type="noConversion"/>
  </si>
  <si>
    <t>ATK5KB</t>
    <phoneticPr fontId="4" type="noConversion"/>
  </si>
  <si>
    <t>5+25</t>
    <phoneticPr fontId="4" type="noConversion"/>
  </si>
  <si>
    <t>NAR46+FMLTG</t>
    <phoneticPr fontId="4" type="noConversion"/>
  </si>
  <si>
    <t>12#-16#+1#-25#</t>
    <phoneticPr fontId="4" type="noConversion"/>
  </si>
  <si>
    <t>FMLTG;NAR46</t>
  </si>
  <si>
    <t>HG01029</t>
    <phoneticPr fontId="4" type="noConversion"/>
  </si>
  <si>
    <t>ATK5KC</t>
    <phoneticPr fontId="4" type="noConversion"/>
  </si>
  <si>
    <t>NAR46+FSFA6</t>
    <phoneticPr fontId="4" type="noConversion"/>
  </si>
  <si>
    <t>17#-21#+1#-25#</t>
    <phoneticPr fontId="4" type="noConversion"/>
  </si>
  <si>
    <t>FSFA6;NAR46</t>
  </si>
  <si>
    <t>HG01030</t>
    <phoneticPr fontId="4" type="noConversion"/>
  </si>
  <si>
    <t>ATK5KD</t>
    <phoneticPr fontId="4" type="noConversion"/>
  </si>
  <si>
    <t>NAR47+F3R3L</t>
    <phoneticPr fontId="4" type="noConversion"/>
  </si>
  <si>
    <t>1#-5#+1#-25#</t>
    <phoneticPr fontId="4" type="noConversion"/>
  </si>
  <si>
    <t>F3R3L;NAR47</t>
  </si>
  <si>
    <t>HG01036</t>
    <phoneticPr fontId="4" type="noConversion"/>
  </si>
  <si>
    <t>YB5KA</t>
    <phoneticPr fontId="4" type="noConversion"/>
  </si>
  <si>
    <t>11+20</t>
    <phoneticPr fontId="4" type="noConversion"/>
  </si>
  <si>
    <t>NAJ50+SJ091200</t>
    <phoneticPr fontId="4" type="noConversion"/>
  </si>
  <si>
    <t>15#-25#+1#~15#,17#~21#</t>
    <phoneticPr fontId="4" type="noConversion"/>
  </si>
  <si>
    <t>SJ091200;NAJ50</t>
  </si>
  <si>
    <t>HG01037</t>
    <phoneticPr fontId="4" type="noConversion"/>
  </si>
  <si>
    <t>YB5KB</t>
    <phoneticPr fontId="4" type="noConversion"/>
  </si>
  <si>
    <t>NAK2Y+(SJ091300+SJ091200)</t>
    <phoneticPr fontId="4" type="noConversion"/>
  </si>
  <si>
    <t>1#-7#+(15#-25#+22#~23#)</t>
    <phoneticPr fontId="4" type="noConversion"/>
  </si>
  <si>
    <t>(SJ091300+SJ091200);NAK2Y</t>
  </si>
  <si>
    <t>SY58596AFAC</t>
    <phoneticPr fontId="4" type="noConversion"/>
  </si>
  <si>
    <t>HG01038</t>
    <phoneticPr fontId="4" type="noConversion"/>
  </si>
  <si>
    <t>AQU5KA</t>
    <phoneticPr fontId="4" type="noConversion"/>
  </si>
  <si>
    <t>4+21</t>
    <phoneticPr fontId="4" type="noConversion"/>
  </si>
  <si>
    <t>NAQ11.01+SJ091500</t>
    <phoneticPr fontId="4" type="noConversion"/>
  </si>
  <si>
    <t>12#-15#+1#~4#,6#~22#</t>
    <phoneticPr fontId="4" type="noConversion"/>
  </si>
  <si>
    <t>SJ091500;NAQ11.01</t>
  </si>
  <si>
    <t>SY58203AFAC</t>
  </si>
  <si>
    <t>E02GA0+A1X01A</t>
  </si>
  <si>
    <t>HG01039</t>
    <phoneticPr fontId="4" type="noConversion"/>
  </si>
  <si>
    <t>AMY5KA</t>
    <phoneticPr fontId="4" type="noConversion"/>
  </si>
  <si>
    <t>(N9QPL.02+N9WQ4.02)+SJ086000</t>
    <phoneticPr fontId="4" type="noConversion"/>
  </si>
  <si>
    <t>(15#+20#)+1#-5#</t>
    <phoneticPr fontId="4" type="noConversion"/>
  </si>
  <si>
    <t>(N9QPL.02+N9WQ4.02);SJ086000</t>
  </si>
  <si>
    <t>SY58283FAC</t>
    <phoneticPr fontId="4" type="noConversion"/>
  </si>
  <si>
    <t>HG01041</t>
    <phoneticPr fontId="4" type="noConversion"/>
  </si>
  <si>
    <t>AQK5KA</t>
    <phoneticPr fontId="4" type="noConversion"/>
  </si>
  <si>
    <t>11+27</t>
    <phoneticPr fontId="4" type="noConversion"/>
  </si>
  <si>
    <t>NAK2Y+(SJ061300+SJ072900)</t>
    <phoneticPr fontId="4" type="noConversion"/>
  </si>
  <si>
    <t>8#-18#+(1#~2#,4#~15#,17#~25#+18#-21#)</t>
    <phoneticPr fontId="4" type="noConversion"/>
  </si>
  <si>
    <t>(SJ061300+SJ072900);NAK2Y</t>
  </si>
  <si>
    <t>SY7305ABC</t>
    <phoneticPr fontId="4" type="noConversion"/>
  </si>
  <si>
    <t>B40GA1</t>
  </si>
  <si>
    <t>HG01042</t>
    <phoneticPr fontId="4" type="noConversion"/>
  </si>
  <si>
    <t>Hb5KA</t>
    <phoneticPr fontId="4" type="noConversion"/>
  </si>
  <si>
    <t>NAFFC</t>
    <phoneticPr fontId="4" type="noConversion"/>
  </si>
  <si>
    <t>NAFFC</t>
  </si>
  <si>
    <t>HG01043</t>
    <phoneticPr fontId="4" type="noConversion"/>
  </si>
  <si>
    <t>XZ5KA</t>
    <phoneticPr fontId="4" type="noConversion"/>
  </si>
  <si>
    <t>N9RCC.02</t>
    <phoneticPr fontId="4" type="noConversion"/>
  </si>
  <si>
    <t>N9RCC.02</t>
  </si>
  <si>
    <t>SY5864KAC</t>
    <phoneticPr fontId="4" type="noConversion"/>
  </si>
  <si>
    <t>H13A1</t>
    <phoneticPr fontId="4" type="noConversion"/>
  </si>
  <si>
    <t>HG01044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</si>
  <si>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</si>
  <si>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AZG5KA</t>
    <phoneticPr fontId="4" type="noConversion"/>
  </si>
  <si>
    <t>NAFMH.03</t>
    <phoneticPr fontId="4" type="noConversion"/>
  </si>
  <si>
    <t>NAFMH.03+01</t>
  </si>
  <si>
    <t>HG01045</t>
    <phoneticPr fontId="4" type="noConversion"/>
  </si>
  <si>
    <t>AYR5KC</t>
    <phoneticPr fontId="4" type="noConversion"/>
  </si>
  <si>
    <t>NAR43+(FPMH7+F2TGL+FL67C)</t>
    <phoneticPr fontId="4" type="noConversion"/>
  </si>
  <si>
    <t>1#-7#+(9#-25#+22#-25#+24#-25#)</t>
    <phoneticPr fontId="4" type="noConversion"/>
  </si>
  <si>
    <t>(FPMH7+F2TGL+FL67C);NAR43</t>
  </si>
  <si>
    <t>SY6177FAC</t>
    <phoneticPr fontId="4" type="noConversion"/>
  </si>
  <si>
    <t>E02CC0+A5X01A</t>
  </si>
  <si>
    <t>HG01049</t>
    <phoneticPr fontId="4" type="noConversion"/>
  </si>
  <si>
    <t>AOF5KA</t>
    <phoneticPr fontId="4" type="noConversion"/>
  </si>
  <si>
    <t>NAMCQ+SJ092300</t>
    <phoneticPr fontId="4" type="noConversion"/>
  </si>
  <si>
    <t>14#-21#+1#-23#</t>
    <phoneticPr fontId="4" type="noConversion"/>
  </si>
  <si>
    <t>NAMCQ;SJ092300</t>
  </si>
  <si>
    <t>SYK871FCC</t>
    <phoneticPr fontId="4" type="noConversion"/>
  </si>
  <si>
    <t>HG01050</t>
    <phoneticPr fontId="4" type="noConversion"/>
  </si>
  <si>
    <t>AEP5KA</t>
    <phoneticPr fontId="4" type="noConversion"/>
  </si>
  <si>
    <t>N8CAP</t>
    <phoneticPr fontId="4" type="noConversion"/>
  </si>
  <si>
    <t>11#~12#</t>
  </si>
  <si>
    <t>N8CAP</t>
  </si>
  <si>
    <t>HG01054</t>
    <phoneticPr fontId="4" type="noConversion"/>
  </si>
  <si>
    <t>AZI5KB</t>
    <phoneticPr fontId="4" type="noConversion"/>
  </si>
  <si>
    <t>NARPW+(FT42W+FYS63+F3R4W)</t>
    <phoneticPr fontId="4" type="noConversion"/>
  </si>
  <si>
    <t>1#-5#+(14#-25#+24#-25#+18#,21#)</t>
    <phoneticPr fontId="4" type="noConversion"/>
  </si>
  <si>
    <t>(FT42W+FYS63+F3R4W);NARPW</t>
  </si>
  <si>
    <t>HG01055</t>
    <phoneticPr fontId="4" type="noConversion"/>
  </si>
  <si>
    <t>AYR5KF</t>
    <phoneticPr fontId="4" type="noConversion"/>
  </si>
  <si>
    <t>NARPW+(FR37L+F4G7W)</t>
    <phoneticPr fontId="4" type="noConversion"/>
  </si>
  <si>
    <t>6#-15#+(1#-25#+10#-17#)</t>
    <phoneticPr fontId="4" type="noConversion"/>
  </si>
  <si>
    <t>(FR37L+F4G7W);NARPW</t>
  </si>
  <si>
    <t>HG01058</t>
    <phoneticPr fontId="4" type="noConversion"/>
  </si>
  <si>
    <t>Hv5KA</t>
    <phoneticPr fontId="4" type="noConversion"/>
  </si>
  <si>
    <t>6+20</t>
    <phoneticPr fontId="4" type="noConversion"/>
  </si>
  <si>
    <t>NAP52+FLR2P</t>
    <phoneticPr fontId="4" type="noConversion"/>
  </si>
  <si>
    <t>8#-13#+1#-20#</t>
    <phoneticPr fontId="4" type="noConversion"/>
  </si>
  <si>
    <t>FLR2P;NAP52</t>
  </si>
  <si>
    <t>SY58280AAC</t>
    <phoneticPr fontId="4" type="noConversion"/>
  </si>
  <si>
    <t>HG01060</t>
    <phoneticPr fontId="4" type="noConversion"/>
  </si>
  <si>
    <t>Fr5KB</t>
    <phoneticPr fontId="4" type="noConversion"/>
  </si>
  <si>
    <t>6+18</t>
    <phoneticPr fontId="4" type="noConversion"/>
  </si>
  <si>
    <t>NALYA.01+FTYYW</t>
    <phoneticPr fontId="4" type="noConversion"/>
  </si>
  <si>
    <t>10#-15#+4#-21#</t>
    <phoneticPr fontId="4" type="noConversion"/>
  </si>
  <si>
    <t>FTYYW;NALYA.01</t>
  </si>
  <si>
    <t>SY5011FAC</t>
    <phoneticPr fontId="4" type="noConversion"/>
  </si>
  <si>
    <t>E02L0</t>
  </si>
  <si>
    <t>HG01061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</si>
  <si>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</si>
  <si>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AJE5KA</t>
    <phoneticPr fontId="4" type="noConversion"/>
  </si>
  <si>
    <t>NARYL</t>
    <phoneticPr fontId="4" type="noConversion"/>
  </si>
  <si>
    <t>NARYL</t>
  </si>
  <si>
    <t>SY5859BFHC</t>
  </si>
  <si>
    <t>HG01062</t>
    <phoneticPr fontId="4" type="noConversion"/>
  </si>
  <si>
    <t>AVA5KC</t>
    <phoneticPr fontId="4" type="noConversion"/>
  </si>
  <si>
    <t>NARQ7</t>
    <phoneticPr fontId="4" type="noConversion"/>
  </si>
  <si>
    <t>NARQ7</t>
  </si>
  <si>
    <t>SY58294ZFAC</t>
  </si>
  <si>
    <t>E10Q2+U3X11A</t>
  </si>
  <si>
    <t>HG01064</t>
    <phoneticPr fontId="4" type="noConversion"/>
  </si>
  <si>
    <t>APQ5KB</t>
    <phoneticPr fontId="4" type="noConversion"/>
  </si>
  <si>
    <t>4+27</t>
    <phoneticPr fontId="4" type="noConversion"/>
  </si>
  <si>
    <t>NALM3+(FKH9K+FA3KW)</t>
    <phoneticPr fontId="4" type="noConversion"/>
  </si>
  <si>
    <t>11#-14#+(1#-25#+1#-2#)</t>
    <phoneticPr fontId="4" type="noConversion"/>
  </si>
  <si>
    <t>NALM3;(FKH9K+FA3KW)</t>
  </si>
  <si>
    <t>HG01068</t>
    <phoneticPr fontId="4" type="noConversion"/>
  </si>
  <si>
    <t>AOF5KC</t>
    <phoneticPr fontId="4" type="noConversion"/>
  </si>
  <si>
    <t>10+28</t>
    <phoneticPr fontId="4" type="noConversion"/>
  </si>
  <si>
    <t>NAQ0T+(SJ092400+SJ092500)</t>
    <phoneticPr fontId="4" type="noConversion"/>
  </si>
  <si>
    <t>16#-25#+(12#-25#+1#~14#)</t>
    <phoneticPr fontId="4" type="noConversion"/>
  </si>
  <si>
    <t>NAQ0T;(SJ092400+SJ092500)</t>
  </si>
  <si>
    <t>SY6702DFC</t>
    <phoneticPr fontId="4" type="noConversion"/>
  </si>
  <si>
    <t>L01A0</t>
  </si>
  <si>
    <t>HG01073</t>
    <phoneticPr fontId="4" type="noConversion"/>
  </si>
  <si>
    <t>Ee5KA</t>
    <phoneticPr fontId="4" type="noConversion"/>
  </si>
  <si>
    <t>NART2</t>
    <phoneticPr fontId="4" type="noConversion"/>
  </si>
  <si>
    <t>NART2</t>
  </si>
  <si>
    <t>HG01074</t>
    <phoneticPr fontId="4" type="noConversion"/>
  </si>
  <si>
    <t>AJM5KA</t>
    <phoneticPr fontId="4" type="noConversion"/>
  </si>
  <si>
    <t>5+10</t>
    <phoneticPr fontId="4" type="noConversion"/>
  </si>
  <si>
    <t>N9SC7+SJ087300</t>
    <phoneticPr fontId="4" type="noConversion"/>
  </si>
  <si>
    <t>21#-25#+1#~7#,9#~11#</t>
    <phoneticPr fontId="4" type="noConversion"/>
  </si>
  <si>
    <t>N9SC7;SJ087300</t>
  </si>
  <si>
    <t>HG01075</t>
    <phoneticPr fontId="4" type="noConversion"/>
  </si>
  <si>
    <t>AQU5KB</t>
    <phoneticPr fontId="4" type="noConversion"/>
  </si>
  <si>
    <t>5+26</t>
    <phoneticPr fontId="4" type="noConversion"/>
  </si>
  <si>
    <t>NARYM+(SJ092000+SJ090906)</t>
    <phoneticPr fontId="4" type="noConversion"/>
  </si>
  <si>
    <t>1#-5#+(1#~13#,15#~25#+18# 19#)</t>
    <phoneticPr fontId="4" type="noConversion"/>
  </si>
  <si>
    <t>(SJ092000+SJ090906);NARYM</t>
  </si>
  <si>
    <t>SY8011CDQC</t>
    <phoneticPr fontId="4" type="noConversion"/>
  </si>
  <si>
    <t>A11S0</t>
    <phoneticPr fontId="4" type="noConversion"/>
  </si>
  <si>
    <t>HG01076</t>
    <phoneticPr fontId="4" type="noConversion"/>
  </si>
  <si>
    <t>Jf5KA</t>
    <phoneticPr fontId="4" type="noConversion"/>
  </si>
  <si>
    <t>NA4C3.01</t>
    <phoneticPr fontId="4" type="noConversion"/>
  </si>
  <si>
    <t>NA4C3.01-1</t>
  </si>
  <si>
    <t>SY8288BRAC</t>
    <phoneticPr fontId="4" type="noConversion"/>
  </si>
  <si>
    <t>A88B2</t>
    <phoneticPr fontId="4" type="noConversion"/>
  </si>
  <si>
    <t>HG01077</t>
    <phoneticPr fontId="4" type="noConversion"/>
  </si>
  <si>
    <t>QFN3*3-20</t>
    <phoneticPr fontId="4" type="noConversion"/>
  </si>
  <si>
    <t>BAB5KA</t>
    <phoneticPr fontId="4" type="noConversion"/>
  </si>
  <si>
    <t>NAQ33</t>
    <phoneticPr fontId="4" type="noConversion"/>
  </si>
  <si>
    <t>NAQ33</t>
  </si>
  <si>
    <t>SY5800BFAC</t>
    <phoneticPr fontId="4" type="noConversion"/>
  </si>
  <si>
    <t>HG01079</t>
    <phoneticPr fontId="4" type="noConversion"/>
  </si>
  <si>
    <t>AGB5KA</t>
    <phoneticPr fontId="4" type="noConversion"/>
  </si>
  <si>
    <t>NAQ0Y-1</t>
  </si>
  <si>
    <t>SY5806FAC</t>
    <phoneticPr fontId="4" type="noConversion"/>
  </si>
  <si>
    <t>E02S1</t>
  </si>
  <si>
    <t>HG01080</t>
    <phoneticPr fontId="4" type="noConversion"/>
  </si>
  <si>
    <t>ALH5KA</t>
    <phoneticPr fontId="4" type="noConversion"/>
  </si>
  <si>
    <t>NAQ0W</t>
    <phoneticPr fontId="4" type="noConversion"/>
  </si>
  <si>
    <t>NAQ0W</t>
  </si>
  <si>
    <t>SY5820ABC</t>
    <phoneticPr fontId="4" type="noConversion"/>
  </si>
  <si>
    <t>HG01081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</si>
  <si>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</si>
  <si>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TB5KA</t>
    <phoneticPr fontId="4" type="noConversion"/>
  </si>
  <si>
    <t>NAK3J</t>
    <phoneticPr fontId="4" type="noConversion"/>
  </si>
  <si>
    <t>HG01082</t>
    <phoneticPr fontId="4" type="noConversion"/>
  </si>
  <si>
    <t>TC5JA</t>
    <phoneticPr fontId="4" type="noConversion"/>
  </si>
  <si>
    <t>NAA2R</t>
    <phoneticPr fontId="4" type="noConversion"/>
  </si>
  <si>
    <t>NAA2R</t>
  </si>
  <si>
    <t>SY8016DEC</t>
    <phoneticPr fontId="4" type="noConversion"/>
  </si>
  <si>
    <t>A11I0</t>
  </si>
  <si>
    <t>HG01083</t>
    <phoneticPr fontId="4" type="noConversion"/>
  </si>
  <si>
    <t>DFN2*2-6</t>
    <phoneticPr fontId="4" type="noConversion"/>
  </si>
  <si>
    <t>QV5KA</t>
    <phoneticPr fontId="4" type="noConversion"/>
  </si>
  <si>
    <t>NAM0A.03</t>
    <phoneticPr fontId="4" type="noConversion"/>
  </si>
  <si>
    <t>NAM0A.03</t>
  </si>
  <si>
    <t>HG01084</t>
    <phoneticPr fontId="4" type="noConversion"/>
  </si>
  <si>
    <t>Hb5KB</t>
    <phoneticPr fontId="4" type="noConversion"/>
  </si>
  <si>
    <t>NAFFC+01</t>
  </si>
  <si>
    <t>SY7088DGC</t>
    <phoneticPr fontId="4" type="noConversion"/>
  </si>
  <si>
    <t>B22A0</t>
  </si>
  <si>
    <t>HG01087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</si>
  <si>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</si>
  <si>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VT5KA</t>
    <phoneticPr fontId="4" type="noConversion"/>
  </si>
  <si>
    <t>NA7TL</t>
    <phoneticPr fontId="4" type="noConversion"/>
  </si>
  <si>
    <t>NA7TL</t>
  </si>
  <si>
    <t>SY7088DGC</t>
  </si>
  <si>
    <t>HG01088</t>
    <phoneticPr fontId="4" type="noConversion"/>
  </si>
  <si>
    <t>VT5KB</t>
    <phoneticPr fontId="4" type="noConversion"/>
  </si>
  <si>
    <t>NA7WH</t>
    <phoneticPr fontId="4" type="noConversion"/>
  </si>
  <si>
    <t>NA7WH</t>
  </si>
  <si>
    <t>HG01089</t>
    <phoneticPr fontId="4" type="noConversion"/>
  </si>
  <si>
    <t>VT5KC</t>
    <phoneticPr fontId="4" type="noConversion"/>
  </si>
  <si>
    <t>NAG3T</t>
    <phoneticPr fontId="4" type="noConversion"/>
  </si>
  <si>
    <t>NAG3T</t>
  </si>
  <si>
    <t>SYC812FAC</t>
    <phoneticPr fontId="4" type="noConversion"/>
  </si>
  <si>
    <t>A46F0</t>
  </si>
  <si>
    <t>HG01090</t>
    <phoneticPr fontId="4" type="noConversion"/>
  </si>
  <si>
    <t>AIU5KA</t>
    <phoneticPr fontId="4" type="noConversion"/>
  </si>
  <si>
    <t>NAQ9N.01</t>
    <phoneticPr fontId="4" type="noConversion"/>
  </si>
  <si>
    <t>6#-10#</t>
  </si>
  <si>
    <t>NAQ9N.01-1</t>
  </si>
  <si>
    <t>SY58283NFAC</t>
  </si>
  <si>
    <t>E35B0+A3X04B</t>
  </si>
  <si>
    <t>HG01092</t>
    <phoneticPr fontId="4" type="noConversion"/>
  </si>
  <si>
    <t>AYJ5KC</t>
    <phoneticPr fontId="4" type="noConversion"/>
  </si>
  <si>
    <t>NARPT+(SJ070200+SJ069100)</t>
    <phoneticPr fontId="4" type="noConversion"/>
  </si>
  <si>
    <t>9#-16#+(1#-25#+3#)</t>
    <phoneticPr fontId="4" type="noConversion"/>
  </si>
  <si>
    <t>(SJ070200+SJ069100);NARPT</t>
  </si>
  <si>
    <t>HG01094</t>
    <phoneticPr fontId="4" type="noConversion"/>
  </si>
  <si>
    <t>AYJ5KE</t>
    <phoneticPr fontId="4" type="noConversion"/>
  </si>
  <si>
    <t>NARPY+SJ068000</t>
    <phoneticPr fontId="4" type="noConversion"/>
  </si>
  <si>
    <t>1#-7#+1#-23#</t>
    <phoneticPr fontId="4" type="noConversion"/>
  </si>
  <si>
    <t>SJ068000;NARPY</t>
  </si>
  <si>
    <t>HG01095</t>
    <phoneticPr fontId="4" type="noConversion"/>
  </si>
  <si>
    <t>AYJ5KF</t>
    <phoneticPr fontId="4" type="noConversion"/>
  </si>
  <si>
    <t>NARPY+(SJ068500+SJ068000)</t>
    <phoneticPr fontId="4" type="noConversion"/>
  </si>
  <si>
    <t>8#-15#+(1#~3#,5#~25#+24#-25#)</t>
    <phoneticPr fontId="4" type="noConversion"/>
  </si>
  <si>
    <t>(SJ068500+SJ068000);NARPY</t>
  </si>
  <si>
    <t>SY58283NFAC</t>
    <phoneticPr fontId="4" type="noConversion"/>
  </si>
  <si>
    <t>HG01096</t>
    <phoneticPr fontId="4" type="noConversion"/>
  </si>
  <si>
    <t>AYJ5KG</t>
    <phoneticPr fontId="4" type="noConversion"/>
  </si>
  <si>
    <t>10+32</t>
    <phoneticPr fontId="4" type="noConversion"/>
  </si>
  <si>
    <t>NARPY+(SJ067700+SJ069100)</t>
    <phoneticPr fontId="4" type="noConversion"/>
  </si>
  <si>
    <t>16#-25#+(1#-25#+9#~13#,15#,16#)</t>
    <phoneticPr fontId="4" type="noConversion"/>
  </si>
  <si>
    <t>(SJ067700+SJ069100);NARPY</t>
  </si>
  <si>
    <t>SY50103CFAC</t>
    <phoneticPr fontId="4" type="noConversion"/>
  </si>
  <si>
    <t>E51G0+A2X01A</t>
  </si>
  <si>
    <t>HG01097</t>
    <phoneticPr fontId="4" type="noConversion"/>
  </si>
  <si>
    <t>ASK5LA</t>
    <phoneticPr fontId="4" type="noConversion"/>
  </si>
  <si>
    <t>N9SYN+SJ087400</t>
    <phoneticPr fontId="4" type="noConversion"/>
  </si>
  <si>
    <t>21#-25#+1#-16#</t>
    <phoneticPr fontId="4" type="noConversion"/>
  </si>
  <si>
    <t>N9SYN;SJ087400</t>
  </si>
  <si>
    <t>HG01098</t>
    <phoneticPr fontId="4" type="noConversion"/>
  </si>
  <si>
    <t>ASK5LB</t>
    <phoneticPr fontId="4" type="noConversion"/>
  </si>
  <si>
    <t>N9SYL+(SJ087400+SJ086900)</t>
    <phoneticPr fontId="4" type="noConversion"/>
  </si>
  <si>
    <t>14#-18#+(17#-25#+19#-25#)</t>
    <phoneticPr fontId="4" type="noConversion"/>
  </si>
  <si>
    <t>N9SYL;(SJ087400+SJ086900)</t>
  </si>
  <si>
    <t>HG01099</t>
    <phoneticPr fontId="4" type="noConversion"/>
  </si>
  <si>
    <t>ASK5LC</t>
    <phoneticPr fontId="4" type="noConversion"/>
  </si>
  <si>
    <t>N9SYL+(SJ086700+SJ084500)</t>
    <phoneticPr fontId="4" type="noConversion"/>
  </si>
  <si>
    <t>19#-25#+(2#-16#,18#,20#-25#+25#)</t>
    <phoneticPr fontId="4" type="noConversion"/>
  </si>
  <si>
    <t>N9SYL;(SJ086700+SJ084500)</t>
  </si>
  <si>
    <t>HG01100</t>
    <phoneticPr fontId="4" type="noConversion"/>
  </si>
  <si>
    <t>ASK5LD</t>
    <phoneticPr fontId="4" type="noConversion"/>
  </si>
  <si>
    <t>N9SYP+SJ086600</t>
    <phoneticPr fontId="4" type="noConversion"/>
  </si>
  <si>
    <t>N9SYP;SJ086600</t>
  </si>
  <si>
    <t>HG01102</t>
    <phoneticPr fontId="4" type="noConversion"/>
  </si>
  <si>
    <t>AOF5LB</t>
    <phoneticPr fontId="4" type="noConversion"/>
  </si>
  <si>
    <t>N89NC+SJ092500</t>
    <phoneticPr fontId="4" type="noConversion"/>
  </si>
  <si>
    <t>23#~25#+16#~17#,20#~25#</t>
    <phoneticPr fontId="4" type="noConversion"/>
  </si>
  <si>
    <t>N89NC;SJ092500</t>
  </si>
  <si>
    <t>SY50135FAC</t>
    <phoneticPr fontId="4" type="noConversion"/>
  </si>
  <si>
    <t>E51H1+U2X17A</t>
  </si>
  <si>
    <t>HG01103</t>
    <phoneticPr fontId="4" type="noConversion"/>
  </si>
  <si>
    <t>ATH5LA</t>
    <phoneticPr fontId="4" type="noConversion"/>
  </si>
  <si>
    <t>7+48</t>
    <phoneticPr fontId="4" type="noConversion"/>
  </si>
  <si>
    <t>NAR45+(FMT4W+FY4WA)</t>
    <phoneticPr fontId="4" type="noConversion"/>
  </si>
  <si>
    <t>8#-14#+(1#-25#+1#-23#)</t>
    <phoneticPr fontId="4" type="noConversion"/>
  </si>
  <si>
    <t>(FMT4W+FY4WA);NAR45</t>
  </si>
  <si>
    <t>HG01104</t>
    <phoneticPr fontId="4" type="noConversion"/>
  </si>
  <si>
    <t>AQU5LA</t>
    <phoneticPr fontId="4" type="noConversion"/>
  </si>
  <si>
    <t>NARYM+(SJ092100+SJ091403)</t>
    <phoneticPr fontId="4" type="noConversion"/>
  </si>
  <si>
    <t>6#-10#+(1#-25#+16#)</t>
    <phoneticPr fontId="4" type="noConversion"/>
  </si>
  <si>
    <t>(SJ092100+SJ091403);NARYM</t>
  </si>
  <si>
    <t>HG01105</t>
    <phoneticPr fontId="4" type="noConversion"/>
  </si>
  <si>
    <t>ARC5LA</t>
    <phoneticPr fontId="4" type="noConversion"/>
  </si>
  <si>
    <t>NAK2Y+SJ091600</t>
    <phoneticPr fontId="4" type="noConversion"/>
  </si>
  <si>
    <t>19#-25#+1#-13#</t>
    <phoneticPr fontId="4" type="noConversion"/>
  </si>
  <si>
    <t>SJ091600;NAK2Y</t>
  </si>
  <si>
    <t>HG01106</t>
    <phoneticPr fontId="4" type="noConversion"/>
  </si>
  <si>
    <t>ARC5LB</t>
    <phoneticPr fontId="4" type="noConversion"/>
  </si>
  <si>
    <t>NAK30+(SJ091600+SJ091200)</t>
    <phoneticPr fontId="4" type="noConversion"/>
  </si>
  <si>
    <t>1#-7#+(14#-25#+24#)</t>
    <phoneticPr fontId="4" type="noConversion"/>
  </si>
  <si>
    <t>(SJ091600+SJ091200);NAK30</t>
  </si>
  <si>
    <t>HG01107</t>
    <phoneticPr fontId="4" type="noConversion"/>
  </si>
  <si>
    <t>ARC5LC</t>
    <phoneticPr fontId="4" type="noConversion"/>
  </si>
  <si>
    <t>NAK30+SJ091800</t>
    <phoneticPr fontId="4" type="noConversion"/>
  </si>
  <si>
    <t>8#-15#+1#-15#</t>
    <phoneticPr fontId="4" type="noConversion"/>
  </si>
  <si>
    <t>SJ091800;NAK30</t>
  </si>
  <si>
    <t>HG01108</t>
    <phoneticPr fontId="4" type="noConversion"/>
  </si>
  <si>
    <t>YB5LA</t>
    <phoneticPr fontId="4" type="noConversion"/>
  </si>
  <si>
    <t>NAK30+(SJ091800+SJ091700)</t>
    <phoneticPr fontId="4" type="noConversion"/>
  </si>
  <si>
    <t>16#-23#+(16#-25#+2#-6#)</t>
    <phoneticPr fontId="4" type="noConversion"/>
  </si>
  <si>
    <t>(SJ091800+SJ091700);NAK30</t>
  </si>
  <si>
    <t>HG01109</t>
    <phoneticPr fontId="4" type="noConversion"/>
  </si>
  <si>
    <t>YB5LB</t>
    <phoneticPr fontId="4" type="noConversion"/>
  </si>
  <si>
    <t>9+17</t>
    <phoneticPr fontId="4" type="noConversion"/>
  </si>
  <si>
    <t>NAK2R+SJ091700</t>
    <phoneticPr fontId="4" type="noConversion"/>
  </si>
  <si>
    <t>1#-8#+7#~18#,20#~22#,24#~25#</t>
    <phoneticPr fontId="4" type="noConversion"/>
  </si>
  <si>
    <t>SJ091700;NAK2R</t>
  </si>
  <si>
    <t>SY5802AFAC</t>
    <phoneticPr fontId="4" type="noConversion"/>
  </si>
  <si>
    <t>E02J1</t>
  </si>
  <si>
    <t>HG01112</t>
    <phoneticPr fontId="4" type="noConversion"/>
  </si>
  <si>
    <t>AHK5LA</t>
    <phoneticPr fontId="4" type="noConversion"/>
  </si>
  <si>
    <t>NA12G</t>
    <phoneticPr fontId="4" type="noConversion"/>
  </si>
  <si>
    <t>NA12G-1</t>
  </si>
  <si>
    <t>HG01115</t>
    <phoneticPr fontId="4" type="noConversion"/>
  </si>
  <si>
    <t>Dq5LB</t>
    <phoneticPr fontId="4" type="noConversion"/>
  </si>
  <si>
    <t>NARSP</t>
    <phoneticPr fontId="4" type="noConversion"/>
  </si>
  <si>
    <t>NARSP+01</t>
  </si>
  <si>
    <t>HG01116</t>
    <phoneticPr fontId="4" type="noConversion"/>
  </si>
  <si>
    <t>RC5LA</t>
    <phoneticPr fontId="4" type="noConversion"/>
  </si>
  <si>
    <t>NA562</t>
    <phoneticPr fontId="4" type="noConversion"/>
  </si>
  <si>
    <t>NA562</t>
  </si>
  <si>
    <t>HG01117</t>
    <phoneticPr fontId="4" type="noConversion"/>
  </si>
  <si>
    <t>RC5LB</t>
    <phoneticPr fontId="4" type="noConversion"/>
  </si>
  <si>
    <t>NA562-1</t>
  </si>
  <si>
    <t>HG01118</t>
    <phoneticPr fontId="4" type="noConversion"/>
  </si>
  <si>
    <t>VT5LA</t>
    <phoneticPr fontId="4" type="noConversion"/>
  </si>
  <si>
    <t>NA7WG</t>
    <phoneticPr fontId="4" type="noConversion"/>
  </si>
  <si>
    <t>NA7WG-1</t>
  </si>
  <si>
    <t>HG01119</t>
    <phoneticPr fontId="4" type="noConversion"/>
  </si>
  <si>
    <t>VT5LB</t>
    <phoneticPr fontId="4" type="noConversion"/>
  </si>
  <si>
    <t>NA7WJ</t>
    <phoneticPr fontId="4" type="noConversion"/>
  </si>
  <si>
    <t>NA7WJ</t>
  </si>
  <si>
    <t>SYJ905ABC</t>
  </si>
  <si>
    <t>HG01120</t>
    <phoneticPr fontId="4" type="noConversion"/>
  </si>
  <si>
    <t>NB5LA</t>
    <phoneticPr fontId="4" type="noConversion"/>
  </si>
  <si>
    <t>20#-25#</t>
  </si>
  <si>
    <t>NAJYT+03</t>
  </si>
  <si>
    <t>HG01121</t>
    <phoneticPr fontId="4" type="noConversion"/>
  </si>
  <si>
    <t>NB5LB</t>
    <phoneticPr fontId="4" type="noConversion"/>
  </si>
  <si>
    <t>NAJYY</t>
    <phoneticPr fontId="4" type="noConversion"/>
  </si>
  <si>
    <t>NAJYY</t>
  </si>
  <si>
    <t>HG01122</t>
    <phoneticPr fontId="4" type="noConversion"/>
  </si>
  <si>
    <t>NB5LC</t>
    <phoneticPr fontId="4" type="noConversion"/>
  </si>
  <si>
    <t>NAJYY+01</t>
  </si>
  <si>
    <t>SY8205FCC</t>
    <phoneticPr fontId="4" type="noConversion"/>
  </si>
  <si>
    <t>HG01124</t>
    <phoneticPr fontId="4" type="noConversion"/>
  </si>
  <si>
    <t>AHH5LB</t>
    <phoneticPr fontId="4" type="noConversion"/>
  </si>
  <si>
    <t>NAQPK</t>
    <phoneticPr fontId="4" type="noConversion"/>
  </si>
  <si>
    <t>NAQPK</t>
  </si>
  <si>
    <t>HG01125</t>
    <phoneticPr fontId="4" type="noConversion"/>
  </si>
  <si>
    <t>AFZ5LA</t>
    <phoneticPr fontId="4" type="noConversion"/>
  </si>
  <si>
    <t>NAPJT-1</t>
  </si>
  <si>
    <t>SY5002CABC</t>
    <phoneticPr fontId="4" type="noConversion"/>
  </si>
  <si>
    <t>E51B0</t>
  </si>
  <si>
    <t>HG01126</t>
    <phoneticPr fontId="4" type="noConversion"/>
  </si>
  <si>
    <t>ZS5LA</t>
    <phoneticPr fontId="4" type="noConversion"/>
  </si>
  <si>
    <t>N9YA8</t>
    <phoneticPr fontId="4" type="noConversion"/>
  </si>
  <si>
    <t>8#-10#</t>
  </si>
  <si>
    <t>N9YA8+01</t>
  </si>
  <si>
    <t>HG01127</t>
    <phoneticPr fontId="4" type="noConversion"/>
  </si>
  <si>
    <t>Ee5LA</t>
    <phoneticPr fontId="4" type="noConversion"/>
  </si>
  <si>
    <t>NART3</t>
    <phoneticPr fontId="4" type="noConversion"/>
  </si>
  <si>
    <t>NART3</t>
  </si>
  <si>
    <t>SY6702DFC</t>
  </si>
  <si>
    <t>HG01128</t>
    <phoneticPr fontId="4" type="noConversion"/>
  </si>
  <si>
    <t>Ee5LB</t>
    <phoneticPr fontId="4" type="noConversion"/>
  </si>
  <si>
    <t>NART3-1</t>
  </si>
  <si>
    <t>SY5824ABC</t>
    <phoneticPr fontId="4" type="noConversion"/>
  </si>
  <si>
    <t>E02V1</t>
  </si>
  <si>
    <t>HG01129</t>
    <phoneticPr fontId="4" type="noConversion"/>
  </si>
  <si>
    <t>TD5LA</t>
    <phoneticPr fontId="4" type="noConversion"/>
  </si>
  <si>
    <t>NA0KH.02</t>
    <phoneticPr fontId="4" type="noConversion"/>
  </si>
  <si>
    <t>11#-15#</t>
  </si>
  <si>
    <t>NA0KH.02</t>
  </si>
  <si>
    <t>HG01131</t>
    <phoneticPr fontId="4" type="noConversion"/>
  </si>
  <si>
    <t>TB5LA</t>
    <phoneticPr fontId="4" type="noConversion"/>
  </si>
  <si>
    <t>NA65J.01</t>
    <phoneticPr fontId="4" type="noConversion"/>
  </si>
  <si>
    <t>NA65J.01+01</t>
  </si>
  <si>
    <t>HG01132</t>
    <phoneticPr fontId="4" type="noConversion"/>
  </si>
  <si>
    <t>TB5LB</t>
    <phoneticPr fontId="4" type="noConversion"/>
  </si>
  <si>
    <t>NAA2S</t>
    <phoneticPr fontId="4" type="noConversion"/>
  </si>
  <si>
    <t>NAA2S+02</t>
  </si>
  <si>
    <t>HG01134</t>
    <phoneticPr fontId="4" type="noConversion"/>
  </si>
  <si>
    <t>NA5LA</t>
    <phoneticPr fontId="4" type="noConversion"/>
  </si>
  <si>
    <t>NAQSR</t>
    <phoneticPr fontId="4" type="noConversion"/>
  </si>
  <si>
    <t>20#-22#</t>
  </si>
  <si>
    <t>NAQSR+01</t>
  </si>
  <si>
    <t>SY8077AAC</t>
    <phoneticPr fontId="4" type="noConversion"/>
  </si>
  <si>
    <t>HG01135</t>
    <phoneticPr fontId="4" type="noConversion"/>
  </si>
  <si>
    <t>TR5LA</t>
    <phoneticPr fontId="4" type="noConversion"/>
  </si>
  <si>
    <t>NAMHP</t>
    <phoneticPr fontId="4" type="noConversion"/>
  </si>
  <si>
    <t>NAMHP</t>
  </si>
  <si>
    <t>SY8077AAC</t>
  </si>
  <si>
    <t>HG01136</t>
    <phoneticPr fontId="4" type="noConversion"/>
  </si>
  <si>
    <t>TR5LB</t>
    <phoneticPr fontId="4" type="noConversion"/>
  </si>
  <si>
    <t>NAMHP+01</t>
  </si>
  <si>
    <t>HG01137</t>
    <phoneticPr fontId="4" type="noConversion"/>
  </si>
  <si>
    <t>TR5LC</t>
    <phoneticPr fontId="4" type="noConversion"/>
  </si>
  <si>
    <t>NAMHQ</t>
    <phoneticPr fontId="4" type="noConversion"/>
  </si>
  <si>
    <t>NAMHQ</t>
  </si>
  <si>
    <t>HG01138</t>
    <phoneticPr fontId="4" type="noConversion"/>
  </si>
  <si>
    <t>TR5LD</t>
    <phoneticPr fontId="4" type="noConversion"/>
  </si>
  <si>
    <t>6#-9#</t>
  </si>
  <si>
    <t>NAMHQ+01</t>
  </si>
  <si>
    <t>HG01140</t>
    <phoneticPr fontId="4" type="noConversion"/>
  </si>
  <si>
    <t>TW5LB</t>
    <phoneticPr fontId="4" type="noConversion"/>
  </si>
  <si>
    <t>NAQFJ</t>
    <phoneticPr fontId="4" type="noConversion"/>
  </si>
  <si>
    <t>#1-3,10-12,14,16,21-25</t>
  </si>
  <si>
    <t>NAQFJ</t>
  </si>
  <si>
    <t>HG01141</t>
    <phoneticPr fontId="4" type="noConversion"/>
  </si>
  <si>
    <t>ZT5LA</t>
    <phoneticPr fontId="4" type="noConversion"/>
  </si>
  <si>
    <t>NAQFR</t>
    <phoneticPr fontId="4" type="noConversion"/>
  </si>
  <si>
    <t>NAQFR</t>
  </si>
  <si>
    <t>SY8061DEC</t>
    <phoneticPr fontId="4" type="noConversion"/>
  </si>
  <si>
    <t>HG01143</t>
    <phoneticPr fontId="4" type="noConversion"/>
  </si>
  <si>
    <t>LH5LA</t>
    <phoneticPr fontId="4" type="noConversion"/>
  </si>
  <si>
    <t>NAHT9</t>
    <phoneticPr fontId="4" type="noConversion"/>
  </si>
  <si>
    <t>NAHT9</t>
  </si>
  <si>
    <t>HG01144</t>
    <phoneticPr fontId="4" type="noConversion"/>
  </si>
  <si>
    <t>LX5LA</t>
    <phoneticPr fontId="4" type="noConversion"/>
  </si>
  <si>
    <t>5#-12#</t>
  </si>
  <si>
    <t>NAHT9-1</t>
  </si>
  <si>
    <t>HG01146</t>
    <phoneticPr fontId="4" type="noConversion"/>
  </si>
  <si>
    <t>ZW5LB</t>
    <phoneticPr fontId="4" type="noConversion"/>
  </si>
  <si>
    <t>NAP5A-2</t>
  </si>
  <si>
    <t>SYH634LDFC</t>
    <phoneticPr fontId="4" type="noConversion"/>
  </si>
  <si>
    <t>HG01147</t>
    <phoneticPr fontId="4" type="noConversion"/>
  </si>
  <si>
    <t>UV5LA</t>
    <phoneticPr fontId="4" type="noConversion"/>
  </si>
  <si>
    <t>NALTS</t>
    <phoneticPr fontId="4" type="noConversion"/>
  </si>
  <si>
    <t>NALTS</t>
  </si>
  <si>
    <t>SY8711FCC</t>
    <phoneticPr fontId="4" type="noConversion"/>
  </si>
  <si>
    <t>HG01149</t>
    <phoneticPr fontId="4" type="noConversion"/>
  </si>
  <si>
    <t>AEP5LA</t>
    <phoneticPr fontId="4" type="noConversion"/>
  </si>
  <si>
    <t>13#~15#</t>
  </si>
  <si>
    <t>N8CAP-1</t>
  </si>
  <si>
    <t>HG01150</t>
    <phoneticPr fontId="4" type="noConversion"/>
  </si>
  <si>
    <t>JR5LA</t>
    <phoneticPr fontId="4" type="noConversion"/>
  </si>
  <si>
    <t>NANAM</t>
    <phoneticPr fontId="4" type="noConversion"/>
  </si>
  <si>
    <t>NANAM</t>
  </si>
  <si>
    <t>SY58293ZFAC</t>
    <phoneticPr fontId="4" type="noConversion"/>
  </si>
  <si>
    <t>E10Q2+U3X12A</t>
  </si>
  <si>
    <t>HG01153</t>
    <phoneticPr fontId="4" type="noConversion"/>
  </si>
  <si>
    <t>AXO5LA</t>
    <phoneticPr fontId="4" type="noConversion"/>
  </si>
  <si>
    <t>4+19</t>
    <phoneticPr fontId="4" type="noConversion"/>
  </si>
  <si>
    <t>NALM3+FW927</t>
    <phoneticPr fontId="4" type="noConversion"/>
  </si>
  <si>
    <t>22#-25#+1#-15#,19#~22#</t>
    <phoneticPr fontId="4" type="noConversion"/>
  </si>
  <si>
    <t>NALM3;FW927</t>
  </si>
  <si>
    <t>HG01154</t>
    <phoneticPr fontId="4" type="noConversion"/>
  </si>
  <si>
    <t>AYJ5LA</t>
    <phoneticPr fontId="4" type="noConversion"/>
  </si>
  <si>
    <t>4+13</t>
    <phoneticPr fontId="4" type="noConversion"/>
  </si>
  <si>
    <t>NAT37+(SJ069000+SJ069100)</t>
    <phoneticPr fontId="4" type="noConversion"/>
  </si>
  <si>
    <t>1#-4#+(15#-25#+18#,20#)</t>
    <phoneticPr fontId="4" type="noConversion"/>
  </si>
  <si>
    <t>(SJ069000+SJ069100);NAT37</t>
  </si>
  <si>
    <t>HG01155</t>
    <phoneticPr fontId="4" type="noConversion"/>
  </si>
  <si>
    <t>AYJ5LB</t>
    <phoneticPr fontId="4" type="noConversion"/>
  </si>
  <si>
    <t>NAT37+(SJ068800+SJ069100)</t>
    <phoneticPr fontId="4" type="noConversion"/>
  </si>
  <si>
    <t>5#-12#+(1#~16#,18#~25#+21#~22#)</t>
    <phoneticPr fontId="4" type="noConversion"/>
  </si>
  <si>
    <t>(SJ068800+SJ069100);NAT37</t>
  </si>
  <si>
    <t>HG01156</t>
    <phoneticPr fontId="4" type="noConversion"/>
  </si>
  <si>
    <t>AYJ5LC</t>
    <phoneticPr fontId="4" type="noConversion"/>
  </si>
  <si>
    <t>NAT37+(SJ068900+SJ069100)</t>
    <phoneticPr fontId="4" type="noConversion"/>
  </si>
  <si>
    <t>13#-20#+(1#-11#,13#-24#+23#~25#)</t>
    <phoneticPr fontId="4" type="noConversion"/>
  </si>
  <si>
    <t>(SJ068900+SJ069100);NAT37</t>
  </si>
  <si>
    <t>SY5859AFHC</t>
    <phoneticPr fontId="4" type="noConversion"/>
  </si>
  <si>
    <t>E50A2</t>
    <phoneticPr fontId="4" type="noConversion"/>
  </si>
  <si>
    <t>HG01158</t>
    <phoneticPr fontId="4" type="noConversion"/>
  </si>
  <si>
    <t>AUD5LA</t>
    <phoneticPr fontId="4" type="noConversion"/>
  </si>
  <si>
    <t>NACG9.01</t>
    <phoneticPr fontId="4" type="noConversion"/>
  </si>
  <si>
    <t>NACG9.01-1</t>
  </si>
  <si>
    <t>HG01160</t>
    <phoneticPr fontId="4" type="noConversion"/>
  </si>
  <si>
    <t>KP5LA</t>
    <phoneticPr fontId="4" type="noConversion"/>
  </si>
  <si>
    <t>N8493+01</t>
  </si>
  <si>
    <t>SY5814A1ABC</t>
    <phoneticPr fontId="4" type="noConversion"/>
  </si>
  <si>
    <t>HG01161</t>
    <phoneticPr fontId="4" type="noConversion"/>
  </si>
  <si>
    <t>MH5LA</t>
    <phoneticPr fontId="4" type="noConversion"/>
  </si>
  <si>
    <t>NA669</t>
    <phoneticPr fontId="4" type="noConversion"/>
  </si>
  <si>
    <t>3#-5#</t>
  </si>
  <si>
    <t>NA669+01</t>
  </si>
  <si>
    <t>SY8003DFC</t>
    <phoneticPr fontId="4" type="noConversion"/>
  </si>
  <si>
    <t>A25A1</t>
    <phoneticPr fontId="4" type="noConversion"/>
  </si>
  <si>
    <t>HG01162</t>
    <phoneticPr fontId="4" type="noConversion"/>
  </si>
  <si>
    <t>JD5LA</t>
    <phoneticPr fontId="4" type="noConversion"/>
  </si>
  <si>
    <t>NATC2</t>
    <phoneticPr fontId="4" type="noConversion"/>
  </si>
  <si>
    <t>NATC2</t>
  </si>
  <si>
    <t>SYW232DFC</t>
    <phoneticPr fontId="4" type="noConversion"/>
  </si>
  <si>
    <t>HG01163</t>
    <phoneticPr fontId="4" type="noConversion"/>
  </si>
  <si>
    <t>HU5LA</t>
    <phoneticPr fontId="4" type="noConversion"/>
  </si>
  <si>
    <t>NATC2-1</t>
  </si>
  <si>
    <t>HG01164</t>
    <phoneticPr fontId="4" type="noConversion"/>
  </si>
  <si>
    <t>KW5LA</t>
    <phoneticPr fontId="4" type="noConversion"/>
  </si>
  <si>
    <t>NAT2R</t>
    <phoneticPr fontId="4" type="noConversion"/>
  </si>
  <si>
    <t>NAT2R</t>
  </si>
  <si>
    <t>HG01165</t>
    <phoneticPr fontId="4" type="noConversion"/>
  </si>
  <si>
    <t>KW5LB</t>
    <phoneticPr fontId="4" type="noConversion"/>
  </si>
  <si>
    <t>NAT2R-1</t>
  </si>
  <si>
    <t>HG01166</t>
    <phoneticPr fontId="4" type="noConversion"/>
  </si>
  <si>
    <t>UB5LA</t>
    <phoneticPr fontId="4" type="noConversion"/>
  </si>
  <si>
    <t>9#~15#</t>
  </si>
  <si>
    <t>N8CW9.02+01</t>
  </si>
  <si>
    <t>SY8234FCC</t>
    <phoneticPr fontId="4" type="noConversion"/>
  </si>
  <si>
    <t>A46C0</t>
  </si>
  <si>
    <t>HG01167</t>
    <phoneticPr fontId="4" type="noConversion"/>
  </si>
  <si>
    <t>AMN5LA</t>
    <phoneticPr fontId="4" type="noConversion"/>
  </si>
  <si>
    <t>NA4C5</t>
    <phoneticPr fontId="4" type="noConversion"/>
  </si>
  <si>
    <t>5#-25#</t>
  </si>
  <si>
    <t>NA4C5-1</t>
  </si>
  <si>
    <t>HG01169</t>
    <phoneticPr fontId="4" type="noConversion"/>
  </si>
  <si>
    <t>TW5LC</t>
    <phoneticPr fontId="4" type="noConversion"/>
  </si>
  <si>
    <t>NAQFL.06</t>
    <phoneticPr fontId="4" type="noConversion"/>
  </si>
  <si>
    <t>#4,6,7,15,19,20</t>
    <phoneticPr fontId="4" type="noConversion"/>
  </si>
  <si>
    <t>NAQFL.06</t>
  </si>
  <si>
    <t>SY50133FAC</t>
  </si>
  <si>
    <t>HG01171</t>
    <phoneticPr fontId="4" type="noConversion"/>
  </si>
  <si>
    <t>ATK5LA</t>
    <phoneticPr fontId="4" type="noConversion"/>
  </si>
  <si>
    <t>NAR47+FN2MW</t>
    <phoneticPr fontId="4" type="noConversion"/>
  </si>
  <si>
    <t>6#-10#+1#-25#</t>
    <phoneticPr fontId="4" type="noConversion"/>
  </si>
  <si>
    <t>FN2MW;NAR47</t>
  </si>
  <si>
    <t>HG01172</t>
    <phoneticPr fontId="4" type="noConversion"/>
  </si>
  <si>
    <t>ATK5LB</t>
    <phoneticPr fontId="4" type="noConversion"/>
  </si>
  <si>
    <t>NAR47+F9WT2</t>
    <phoneticPr fontId="4" type="noConversion"/>
  </si>
  <si>
    <t>11#-15#+1#-25#</t>
    <phoneticPr fontId="4" type="noConversion"/>
  </si>
  <si>
    <t>F9WT2;NAR47</t>
  </si>
  <si>
    <t>SY50135FAC</t>
  </si>
  <si>
    <t>HG01173</t>
    <phoneticPr fontId="4" type="noConversion"/>
  </si>
  <si>
    <t>ATH5LB</t>
    <phoneticPr fontId="4" type="noConversion"/>
  </si>
  <si>
    <t>NAR45+(F46HC+FY4WA)</t>
    <phoneticPr fontId="4" type="noConversion"/>
  </si>
  <si>
    <t>15#-18#+(1#-25#+24#-25#)</t>
    <phoneticPr fontId="4" type="noConversion"/>
  </si>
  <si>
    <t>(F46HC+FY4WA);NAR45</t>
  </si>
  <si>
    <t>SY58182NFAC</t>
  </si>
  <si>
    <t>HG01174</t>
    <phoneticPr fontId="4" type="noConversion"/>
  </si>
  <si>
    <t>AZI5LA</t>
    <phoneticPr fontId="4" type="noConversion"/>
  </si>
  <si>
    <t>NAT38+F02KW</t>
    <phoneticPr fontId="4" type="noConversion"/>
  </si>
  <si>
    <t>F02KW;NAT38</t>
  </si>
  <si>
    <t>HG01175</t>
    <phoneticPr fontId="4" type="noConversion"/>
  </si>
  <si>
    <t>AZI5LB</t>
    <phoneticPr fontId="4" type="noConversion"/>
  </si>
  <si>
    <t>NAT38+(F63WC+F02KW)</t>
    <phoneticPr fontId="4" type="noConversion"/>
  </si>
  <si>
    <t>8#-15#+(1#-25#+24#)</t>
    <phoneticPr fontId="4" type="noConversion"/>
  </si>
  <si>
    <t>(F63WC+F02KW);NAT38</t>
  </si>
  <si>
    <t>HG01176</t>
    <phoneticPr fontId="4" type="noConversion"/>
  </si>
  <si>
    <t>AYR5LA</t>
    <phoneticPr fontId="4" type="noConversion"/>
  </si>
  <si>
    <t>NAT38+(F267L+F78LF)</t>
    <phoneticPr fontId="4" type="noConversion"/>
  </si>
  <si>
    <t>16#-25#+(1#-25#+1#-8#)</t>
    <phoneticPr fontId="4" type="noConversion"/>
  </si>
  <si>
    <t>(F267L+F78LF);NAT38</t>
  </si>
  <si>
    <t>HG01177</t>
    <phoneticPr fontId="4" type="noConversion"/>
  </si>
  <si>
    <t>AYR5LB</t>
    <phoneticPr fontId="4" type="noConversion"/>
  </si>
  <si>
    <t>NAT37+F78LF</t>
    <phoneticPr fontId="4" type="noConversion"/>
  </si>
  <si>
    <t>21#-25#+9#-24#</t>
    <phoneticPr fontId="4" type="noConversion"/>
  </si>
  <si>
    <t>F78LF;NAT37</t>
  </si>
  <si>
    <t>HG01178</t>
    <phoneticPr fontId="4" type="noConversion"/>
  </si>
  <si>
    <t>Hv5LA</t>
    <phoneticPr fontId="4" type="noConversion"/>
  </si>
  <si>
    <t>NAT3C+(FR20L+F78LF)</t>
    <phoneticPr fontId="4" type="noConversion"/>
  </si>
  <si>
    <t>1#-8#+(1#-25#+25#)</t>
    <phoneticPr fontId="4" type="noConversion"/>
  </si>
  <si>
    <t>(FR20L+F78LF);NAT3C</t>
  </si>
  <si>
    <t>SY58282LFAC</t>
    <phoneticPr fontId="4" type="noConversion"/>
  </si>
  <si>
    <t>HG01179</t>
    <phoneticPr fontId="4" type="noConversion"/>
  </si>
  <si>
    <t>AWU5LA</t>
    <phoneticPr fontId="4" type="noConversion"/>
  </si>
  <si>
    <t>NAT7T+(FTWYK+FR7L6)</t>
    <phoneticPr fontId="4" type="noConversion"/>
  </si>
  <si>
    <t>1#-9#+(1#-25#+25#)</t>
    <phoneticPr fontId="4" type="noConversion"/>
  </si>
  <si>
    <t>(FTWYK+FR7L6);NAT7T</t>
  </si>
  <si>
    <t>HG01180</t>
    <phoneticPr fontId="4" type="noConversion"/>
  </si>
  <si>
    <t>AWU5LB</t>
    <phoneticPr fontId="4" type="noConversion"/>
  </si>
  <si>
    <t>NAT7T+F97YW</t>
    <phoneticPr fontId="4" type="noConversion"/>
  </si>
  <si>
    <t>10#-17#+1#-23#</t>
    <phoneticPr fontId="4" type="noConversion"/>
  </si>
  <si>
    <t>F97YW;NAT7T</t>
  </si>
  <si>
    <t>HG01182</t>
    <phoneticPr fontId="4" type="noConversion"/>
  </si>
  <si>
    <t>AWU5LD</t>
    <phoneticPr fontId="4" type="noConversion"/>
  </si>
  <si>
    <t>10+29</t>
    <phoneticPr fontId="4" type="noConversion"/>
  </si>
  <si>
    <t>NAT81+(F3WNC+F97YW+FMMWN)</t>
    <phoneticPr fontId="4" type="noConversion"/>
  </si>
  <si>
    <t>1#-10#+(1#-25#+24#-25#+24#-25#)</t>
    <phoneticPr fontId="4" type="noConversion"/>
  </si>
  <si>
    <t>(F3WNC+F97YW+FMMWN);NAT81</t>
  </si>
  <si>
    <t>HG01183</t>
    <phoneticPr fontId="4" type="noConversion"/>
  </si>
  <si>
    <t>AWU5LE</t>
    <phoneticPr fontId="4" type="noConversion"/>
  </si>
  <si>
    <t>NAT81+F4L66</t>
    <phoneticPr fontId="4" type="noConversion"/>
  </si>
  <si>
    <t>11#-18#+1#-23#</t>
    <phoneticPr fontId="4" type="noConversion"/>
  </si>
  <si>
    <t>F4L66;NAT81</t>
  </si>
  <si>
    <t>SY58283LFAC</t>
    <phoneticPr fontId="4" type="noConversion"/>
  </si>
  <si>
    <t>E34J0+A3X04B</t>
  </si>
  <si>
    <t>HG01186</t>
    <phoneticPr fontId="4" type="noConversion"/>
  </si>
  <si>
    <t>AWT5LB</t>
    <phoneticPr fontId="4" type="noConversion"/>
  </si>
  <si>
    <t>NAT7W+(SJ071400+SJ069300)</t>
    <phoneticPr fontId="4" type="noConversion"/>
  </si>
  <si>
    <t>10#-20#+(1#-25#+23#-24#)</t>
    <phoneticPr fontId="4" type="noConversion"/>
  </si>
  <si>
    <t>(SJ071400+SJ069300);NAT7W</t>
  </si>
  <si>
    <t>HG01187</t>
    <phoneticPr fontId="4" type="noConversion"/>
  </si>
  <si>
    <t>APQ5LA</t>
    <phoneticPr fontId="4" type="noConversion"/>
  </si>
  <si>
    <t>NALM4+(F7K2S+FCNSN)</t>
    <phoneticPr fontId="4" type="noConversion"/>
  </si>
  <si>
    <t>1#-4#+(1#-25#+1#-2#)</t>
    <phoneticPr fontId="4" type="noConversion"/>
  </si>
  <si>
    <t>NALM4;(F7K2S+FCNSN)</t>
  </si>
  <si>
    <t>SY58294ZFAC</t>
    <phoneticPr fontId="4" type="noConversion"/>
  </si>
  <si>
    <t>HG01188</t>
    <phoneticPr fontId="4" type="noConversion"/>
  </si>
  <si>
    <t>APQ5LB</t>
    <phoneticPr fontId="4" type="noConversion"/>
  </si>
  <si>
    <t>NALM4+FCNSN</t>
    <phoneticPr fontId="4" type="noConversion"/>
  </si>
  <si>
    <t>5#-7#+3#-22#</t>
    <phoneticPr fontId="4" type="noConversion"/>
  </si>
  <si>
    <t>NALM4;FCNSN</t>
  </si>
  <si>
    <t>HG01189</t>
    <phoneticPr fontId="4" type="noConversion"/>
  </si>
  <si>
    <t>Hv5LB</t>
    <phoneticPr fontId="4" type="noConversion"/>
  </si>
  <si>
    <t>NAT3C+F23WM</t>
    <phoneticPr fontId="4" type="noConversion"/>
  </si>
  <si>
    <t>9#-15#+1#-23#</t>
    <phoneticPr fontId="4" type="noConversion"/>
  </si>
  <si>
    <t>F23WM;NAT3C</t>
  </si>
  <si>
    <t>HG01190</t>
    <phoneticPr fontId="4" type="noConversion"/>
  </si>
  <si>
    <t>Fa5LA</t>
    <phoneticPr fontId="4" type="noConversion"/>
  </si>
  <si>
    <t>7+20</t>
    <phoneticPr fontId="4" type="noConversion"/>
  </si>
  <si>
    <t>NAT81+F3S6T</t>
    <phoneticPr fontId="4" type="noConversion"/>
  </si>
  <si>
    <t>19#-25#+1#-20#</t>
    <phoneticPr fontId="4" type="noConversion"/>
  </si>
  <si>
    <t>F3S6T;NAT81</t>
  </si>
  <si>
    <t>HG01191</t>
    <phoneticPr fontId="4" type="noConversion"/>
  </si>
  <si>
    <t>Fa5LB</t>
    <phoneticPr fontId="4" type="noConversion"/>
  </si>
  <si>
    <t>5+14</t>
    <phoneticPr fontId="4" type="noConversion"/>
  </si>
  <si>
    <t>NAT7W+(F3S6T+F6NSA)</t>
    <phoneticPr fontId="4" type="noConversion"/>
  </si>
  <si>
    <t>21#-25#+(21#-25#+1#-9#)</t>
    <phoneticPr fontId="4" type="noConversion"/>
  </si>
  <si>
    <t>(F3S6T+F6NSA);NAT7W</t>
  </si>
  <si>
    <t>HG01192</t>
    <phoneticPr fontId="4" type="noConversion"/>
  </si>
  <si>
    <t>Fa5LC</t>
    <phoneticPr fontId="4" type="noConversion"/>
  </si>
  <si>
    <t>NAT82+(F6NSA+FNT0L)</t>
    <phoneticPr fontId="4" type="noConversion"/>
  </si>
  <si>
    <t>1#-7#+(10#-25#+1#-4#)</t>
    <phoneticPr fontId="4" type="noConversion"/>
  </si>
  <si>
    <t>(F6NSA+FNT0L);NAT82</t>
  </si>
  <si>
    <t>HG01193</t>
    <phoneticPr fontId="4" type="noConversion"/>
  </si>
  <si>
    <t>Fa5LD</t>
    <phoneticPr fontId="4" type="noConversion"/>
  </si>
  <si>
    <t>NAT82+(FNT0L+F4L66)</t>
    <phoneticPr fontId="4" type="noConversion"/>
  </si>
  <si>
    <t>8#-15#+(5#-25#+24#-25#)</t>
    <phoneticPr fontId="4" type="noConversion"/>
  </si>
  <si>
    <t>(FNT0L+F4L66);NAT82</t>
  </si>
  <si>
    <t>HG01194</t>
    <phoneticPr fontId="4" type="noConversion"/>
  </si>
  <si>
    <t>TR5LE</t>
    <phoneticPr fontId="4" type="noConversion"/>
  </si>
  <si>
    <t>10#-13#</t>
  </si>
  <si>
    <t>NAMHQ+02</t>
  </si>
  <si>
    <t>SY8120ABC</t>
  </si>
  <si>
    <t>A21A1</t>
  </si>
  <si>
    <t>HG01195</t>
    <phoneticPr fontId="4" type="noConversion"/>
  </si>
  <si>
    <t>HT5LA</t>
    <phoneticPr fontId="4" type="noConversion"/>
  </si>
  <si>
    <t>NATK6</t>
  </si>
  <si>
    <t>SY8120ABC</t>
    <phoneticPr fontId="4" type="noConversion"/>
  </si>
  <si>
    <t>HG01197</t>
    <phoneticPr fontId="4" type="noConversion"/>
  </si>
  <si>
    <t>HT5LC</t>
    <phoneticPr fontId="4" type="noConversion"/>
  </si>
  <si>
    <t>NATK7</t>
  </si>
  <si>
    <t>HG01199</t>
    <phoneticPr fontId="4" type="noConversion"/>
  </si>
  <si>
    <t>JD5LB</t>
    <phoneticPr fontId="4" type="noConversion"/>
  </si>
  <si>
    <t>NATC1</t>
  </si>
  <si>
    <t>1#-12#</t>
    <phoneticPr fontId="4" type="noConversion"/>
  </si>
  <si>
    <t>HG01200</t>
    <phoneticPr fontId="4" type="noConversion"/>
  </si>
  <si>
    <t>JD5LC</t>
    <phoneticPr fontId="4" type="noConversion"/>
  </si>
  <si>
    <t>NATC1-1</t>
  </si>
  <si>
    <t>HG01201</t>
    <phoneticPr fontId="4" type="noConversion"/>
  </si>
  <si>
    <t>JD5LD</t>
    <phoneticPr fontId="4" type="noConversion"/>
  </si>
  <si>
    <t>NATC4</t>
  </si>
  <si>
    <t>HG01202</t>
    <phoneticPr fontId="4" type="noConversion"/>
  </si>
  <si>
    <t>JD5LE</t>
    <phoneticPr fontId="4" type="noConversion"/>
  </si>
  <si>
    <t>NATC4-1</t>
  </si>
  <si>
    <t>HG01203</t>
    <phoneticPr fontId="4" type="noConversion"/>
  </si>
  <si>
    <t>KW5LC</t>
    <phoneticPr fontId="4" type="noConversion"/>
  </si>
  <si>
    <t>NATC3</t>
  </si>
  <si>
    <t>HG01204</t>
    <phoneticPr fontId="4" type="noConversion"/>
  </si>
  <si>
    <t>KW5LD</t>
    <phoneticPr fontId="4" type="noConversion"/>
  </si>
  <si>
    <t>NATC3-1</t>
  </si>
  <si>
    <t>B23D0</t>
  </si>
  <si>
    <t>HG01205</t>
    <phoneticPr fontId="4" type="noConversion"/>
  </si>
  <si>
    <t>UJ5LA</t>
    <phoneticPr fontId="4" type="noConversion"/>
  </si>
  <si>
    <t>NATY0</t>
    <phoneticPr fontId="4" type="noConversion"/>
  </si>
  <si>
    <t>NATY0</t>
  </si>
  <si>
    <t>SY7065AQMC</t>
    <phoneticPr fontId="4" type="noConversion"/>
  </si>
  <si>
    <t>HG01207</t>
    <phoneticPr fontId="4" type="noConversion"/>
  </si>
  <si>
    <t>VL5LA</t>
    <phoneticPr fontId="4" type="noConversion"/>
  </si>
  <si>
    <t>NATY1</t>
    <phoneticPr fontId="4" type="noConversion"/>
  </si>
  <si>
    <t>NATY1</t>
  </si>
  <si>
    <t>SYC813FCC</t>
    <phoneticPr fontId="4" type="noConversion"/>
  </si>
  <si>
    <t>HG01208</t>
    <phoneticPr fontId="4" type="noConversion"/>
  </si>
  <si>
    <t>AIV5LA</t>
    <phoneticPr fontId="4" type="noConversion"/>
  </si>
  <si>
    <t>NATK9</t>
  </si>
  <si>
    <t>SY6819FAC</t>
    <phoneticPr fontId="4" type="noConversion"/>
  </si>
  <si>
    <t>C29A2</t>
    <phoneticPr fontId="4" type="noConversion"/>
  </si>
  <si>
    <t>HG01209</t>
    <phoneticPr fontId="4" type="noConversion"/>
  </si>
  <si>
    <t>AUG5LA</t>
    <phoneticPr fontId="4" type="noConversion"/>
  </si>
  <si>
    <t>NATLC</t>
  </si>
  <si>
    <t>1#-9#</t>
    <phoneticPr fontId="4" type="noConversion"/>
  </si>
  <si>
    <t>HG01210</t>
    <phoneticPr fontId="4" type="noConversion"/>
  </si>
  <si>
    <t>Ee5LC</t>
    <phoneticPr fontId="4" type="noConversion"/>
  </si>
  <si>
    <t>NATKP</t>
  </si>
  <si>
    <t>HG01211</t>
    <phoneticPr fontId="4" type="noConversion"/>
  </si>
  <si>
    <t>Ee5LD</t>
    <phoneticPr fontId="4" type="noConversion"/>
  </si>
  <si>
    <t>NATKP-1</t>
  </si>
  <si>
    <t>HG01212</t>
    <phoneticPr fontId="4" type="noConversion"/>
  </si>
  <si>
    <t>AMJ5LA</t>
    <phoneticPr fontId="4" type="noConversion"/>
  </si>
  <si>
    <t>NARYL.02+SJ086400</t>
    <phoneticPr fontId="4" type="noConversion"/>
  </si>
  <si>
    <t>16#-21#+9#-25#</t>
    <phoneticPr fontId="4" type="noConversion"/>
  </si>
  <si>
    <t>NARYL.02;SJ086400</t>
  </si>
  <si>
    <t>E10QB2+U2X16A</t>
  </si>
  <si>
    <t>HG01213</t>
    <phoneticPr fontId="4" type="noConversion"/>
  </si>
  <si>
    <t>AZH5LA</t>
    <phoneticPr fontId="4" type="noConversion"/>
  </si>
  <si>
    <t>2+25</t>
    <phoneticPr fontId="4" type="noConversion"/>
  </si>
  <si>
    <t>NATCC+F3SYA</t>
    <phoneticPr fontId="4" type="noConversion"/>
  </si>
  <si>
    <t>1#-2#+1#-25#</t>
    <phoneticPr fontId="4" type="noConversion"/>
  </si>
  <si>
    <t>F3SYA;NATCC</t>
  </si>
  <si>
    <t>HG01214</t>
    <phoneticPr fontId="4" type="noConversion"/>
  </si>
  <si>
    <t>AZH5LB</t>
    <phoneticPr fontId="4" type="noConversion"/>
  </si>
  <si>
    <t>NATCC+FMCSY</t>
    <phoneticPr fontId="4" type="noConversion"/>
  </si>
  <si>
    <t>3#-4#+1#-25#</t>
    <phoneticPr fontId="4" type="noConversion"/>
  </si>
  <si>
    <t>FMCSY;NATCC</t>
  </si>
  <si>
    <t>HG01215</t>
    <phoneticPr fontId="4" type="noConversion"/>
  </si>
  <si>
    <t>AZH5LC</t>
    <phoneticPr fontId="4" type="noConversion"/>
  </si>
  <si>
    <t>NATCC+FYS04</t>
    <phoneticPr fontId="4" type="noConversion"/>
  </si>
  <si>
    <t>5#-6#+1#-25#</t>
    <phoneticPr fontId="4" type="noConversion"/>
  </si>
  <si>
    <t>FYS04;NATCC</t>
  </si>
  <si>
    <t>SY98081GQUC</t>
    <phoneticPr fontId="4" type="noConversion"/>
  </si>
  <si>
    <t>A11T0+MPH160805S1ROMT</t>
    <phoneticPr fontId="4" type="noConversion"/>
  </si>
  <si>
    <t>HG01216</t>
    <phoneticPr fontId="4" type="noConversion"/>
  </si>
  <si>
    <t>Im5LA</t>
    <phoneticPr fontId="4" type="noConversion"/>
  </si>
  <si>
    <t>NA4C3.02+LE1412040296</t>
    <phoneticPr fontId="4" type="noConversion"/>
  </si>
  <si>
    <t>3# 4#</t>
    <phoneticPr fontId="4" type="noConversion"/>
  </si>
  <si>
    <t>NA4C3.02</t>
  </si>
  <si>
    <t>SY8672QPC</t>
    <phoneticPr fontId="4" type="noConversion"/>
  </si>
  <si>
    <t>I42B2</t>
    <phoneticPr fontId="4" type="noConversion"/>
  </si>
  <si>
    <t>HG01219</t>
    <phoneticPr fontId="4" type="noConversion"/>
  </si>
  <si>
    <t>QFN5*5-36</t>
    <phoneticPr fontId="4" type="noConversion"/>
  </si>
  <si>
    <t>ATV5LA</t>
    <phoneticPr fontId="4" type="noConversion"/>
  </si>
  <si>
    <t>NAFWJ.14</t>
  </si>
  <si>
    <t>5#-10#</t>
  </si>
  <si>
    <t>SY7306FCC</t>
    <phoneticPr fontId="4" type="noConversion"/>
  </si>
  <si>
    <t>HG01221</t>
    <phoneticPr fontId="4" type="noConversion"/>
  </si>
  <si>
    <t>AYG5LA</t>
    <phoneticPr fontId="4" type="noConversion"/>
  </si>
  <si>
    <t>NAW3Q</t>
  </si>
  <si>
    <t>HG01222</t>
    <phoneticPr fontId="4" type="noConversion"/>
  </si>
  <si>
    <t>Hb5LA</t>
    <phoneticPr fontId="4" type="noConversion"/>
  </si>
  <si>
    <t>9#-25#</t>
  </si>
  <si>
    <t>HG01224</t>
    <phoneticPr fontId="4" type="noConversion"/>
  </si>
  <si>
    <t>AKW5LA</t>
    <phoneticPr fontId="4" type="noConversion"/>
  </si>
  <si>
    <t>16+18</t>
    <phoneticPr fontId="4" type="noConversion"/>
  </si>
  <si>
    <t>NATYM.01+SJ074400</t>
    <phoneticPr fontId="4" type="noConversion"/>
  </si>
  <si>
    <t>1#-16#+1#-18#</t>
    <phoneticPr fontId="4" type="noConversion"/>
  </si>
  <si>
    <t>NATYM.01;SJ074400</t>
  </si>
  <si>
    <t>SY50103C1FAC</t>
    <phoneticPr fontId="4" type="noConversion"/>
  </si>
  <si>
    <t>HG01225</t>
    <phoneticPr fontId="4" type="noConversion"/>
  </si>
  <si>
    <t>BDB5LA</t>
    <phoneticPr fontId="4" type="noConversion"/>
  </si>
  <si>
    <t>NAR47+F4FW4</t>
    <phoneticPr fontId="4" type="noConversion"/>
  </si>
  <si>
    <t>16#-20#+1#-25#</t>
    <phoneticPr fontId="4" type="noConversion"/>
  </si>
  <si>
    <t>NAR47;F4FW4</t>
  </si>
  <si>
    <t>HG01226</t>
    <phoneticPr fontId="4" type="noConversion"/>
  </si>
  <si>
    <t>BDB5LB</t>
    <phoneticPr fontId="4" type="noConversion"/>
  </si>
  <si>
    <t>NAR47+FY8WT</t>
    <phoneticPr fontId="4" type="noConversion"/>
  </si>
  <si>
    <t>21#-25#+1#-25#</t>
    <phoneticPr fontId="4" type="noConversion"/>
  </si>
  <si>
    <t>NAR47;FY8WT</t>
  </si>
  <si>
    <t>HG01227</t>
    <phoneticPr fontId="4" type="noConversion"/>
  </si>
  <si>
    <t>Hv5LC</t>
    <phoneticPr fontId="4" type="noConversion"/>
  </si>
  <si>
    <t>NAT39+(F7W2P+F23WM)</t>
    <phoneticPr fontId="4" type="noConversion"/>
  </si>
  <si>
    <t>1#-8#+(1#-25#+24#)</t>
    <phoneticPr fontId="4" type="noConversion"/>
  </si>
  <si>
    <t>(F7W2P+F23WM);NAT39</t>
  </si>
  <si>
    <t>HG01228</t>
    <phoneticPr fontId="4" type="noConversion"/>
  </si>
  <si>
    <t>APQ5LC</t>
    <phoneticPr fontId="4" type="noConversion"/>
  </si>
  <si>
    <t>NALM4+(FW27G+FCNSN)</t>
    <phoneticPr fontId="4" type="noConversion"/>
  </si>
  <si>
    <t>8#-11#+(1#-25#+23#-24#)</t>
    <phoneticPr fontId="4" type="noConversion"/>
  </si>
  <si>
    <t>NALM4;(FW27G+FCNSN)</t>
  </si>
  <si>
    <t>HG01229</t>
    <phoneticPr fontId="4" type="noConversion"/>
  </si>
  <si>
    <t>Fa5LE</t>
    <phoneticPr fontId="4" type="noConversion"/>
  </si>
  <si>
    <t>NAT82+FTSGM</t>
    <phoneticPr fontId="4" type="noConversion"/>
  </si>
  <si>
    <t>16#-20#+1#-14#</t>
    <phoneticPr fontId="4" type="noConversion"/>
  </si>
  <si>
    <t>FTSGM;NAT82</t>
  </si>
  <si>
    <t>SY58282LFAC</t>
  </si>
  <si>
    <t>HG01230</t>
    <phoneticPr fontId="4" type="noConversion"/>
  </si>
  <si>
    <t>AWU5LF</t>
    <phoneticPr fontId="4" type="noConversion"/>
  </si>
  <si>
    <t>NAT82+(FTSGM+FCH93)</t>
    <phoneticPr fontId="4" type="noConversion"/>
  </si>
  <si>
    <t>21#-25#+(15#-25#+1#-3#)</t>
    <phoneticPr fontId="4" type="noConversion"/>
  </si>
  <si>
    <t>(FTSGM+FCH93);NAT82</t>
  </si>
  <si>
    <t>HG01231</t>
    <phoneticPr fontId="4" type="noConversion"/>
  </si>
  <si>
    <t>AWU5LG</t>
    <phoneticPr fontId="4" type="noConversion"/>
  </si>
  <si>
    <t>NAT7Y+FCH93</t>
    <phoneticPr fontId="4" type="noConversion"/>
  </si>
  <si>
    <t>1#-7#+4#-23#</t>
    <phoneticPr fontId="4" type="noConversion"/>
  </si>
  <si>
    <t>FCH93;NAT7Y</t>
  </si>
  <si>
    <t>HG01232</t>
    <phoneticPr fontId="4" type="noConversion"/>
  </si>
  <si>
    <t>AYJ5LD</t>
    <phoneticPr fontId="4" type="noConversion"/>
  </si>
  <si>
    <t>NAT39+SJ070300</t>
    <phoneticPr fontId="4" type="noConversion"/>
  </si>
  <si>
    <t>SJ070300;NAT39</t>
  </si>
  <si>
    <t>HG01233</t>
    <phoneticPr fontId="4" type="noConversion"/>
  </si>
  <si>
    <t>AYJ5LE</t>
    <phoneticPr fontId="4" type="noConversion"/>
  </si>
  <si>
    <t>NAT3A+(SJ072400+SJ070300)</t>
    <phoneticPr fontId="4" type="noConversion"/>
  </si>
  <si>
    <t>1#-8#+(1#-11#,13#~25#+24#-25#)</t>
    <phoneticPr fontId="4" type="noConversion"/>
  </si>
  <si>
    <t>(SJ072400+SJ070300);NAT3A</t>
  </si>
  <si>
    <t>HG01234</t>
    <phoneticPr fontId="4" type="noConversion"/>
  </si>
  <si>
    <t>MC5LA</t>
    <phoneticPr fontId="4" type="noConversion"/>
  </si>
  <si>
    <t>NAW3H</t>
    <phoneticPr fontId="4" type="noConversion"/>
  </si>
  <si>
    <t>NAW3H</t>
  </si>
  <si>
    <t>HG01235</t>
    <phoneticPr fontId="4" type="noConversion"/>
  </si>
  <si>
    <t>KF5LA</t>
    <phoneticPr fontId="4" type="noConversion"/>
  </si>
  <si>
    <t>NAW3H-1</t>
  </si>
  <si>
    <t>HG01236</t>
    <phoneticPr fontId="4" type="noConversion"/>
  </si>
  <si>
    <t>AZB5LA</t>
    <phoneticPr fontId="4" type="noConversion"/>
  </si>
  <si>
    <t>NAC4Y.11</t>
    <phoneticPr fontId="4" type="noConversion"/>
  </si>
  <si>
    <t>NAC4Y.11</t>
  </si>
  <si>
    <t>HG01237</t>
    <phoneticPr fontId="4" type="noConversion"/>
  </si>
  <si>
    <t>ATH5LC</t>
    <phoneticPr fontId="4" type="noConversion"/>
  </si>
  <si>
    <t>7+49</t>
    <phoneticPr fontId="4" type="noConversion"/>
  </si>
  <si>
    <t>NAR45+(F49WM+F2RGW)</t>
    <phoneticPr fontId="4" type="noConversion"/>
  </si>
  <si>
    <t>19#-25#+(1#-25#+1#-24#)</t>
    <phoneticPr fontId="4" type="noConversion"/>
  </si>
  <si>
    <t>(F49WM+F2RGW);NAR45</t>
  </si>
  <si>
    <t>HG01238</t>
    <phoneticPr fontId="4" type="noConversion"/>
  </si>
  <si>
    <t>ATH5LD</t>
    <phoneticPr fontId="4" type="noConversion"/>
  </si>
  <si>
    <t>NARSR+(FWR6K+F2RGW+FT8S2)</t>
    <phoneticPr fontId="4" type="noConversion"/>
  </si>
  <si>
    <t>1#-4#+(1#-25#+25#+25#)</t>
    <phoneticPr fontId="4" type="noConversion"/>
  </si>
  <si>
    <t>(FWR6K+F2RGW+FT8S2);NARSR</t>
  </si>
  <si>
    <t>HG01239</t>
    <phoneticPr fontId="4" type="noConversion"/>
  </si>
  <si>
    <t>APQ5LD</t>
    <phoneticPr fontId="4" type="noConversion"/>
  </si>
  <si>
    <t>NALM4+(FWMPK+FA3KW+FCNSN)</t>
    <phoneticPr fontId="4" type="noConversion"/>
  </si>
  <si>
    <t>12#-15#+(1#-25#+25#+25#)</t>
    <phoneticPr fontId="4" type="noConversion"/>
  </si>
  <si>
    <t>NALM4;(FWMPK+FA3KW+FCNSN)</t>
  </si>
  <si>
    <t>HG01240</t>
    <phoneticPr fontId="4" type="noConversion"/>
  </si>
  <si>
    <t>AWU5LH</t>
    <phoneticPr fontId="4" type="noConversion"/>
  </si>
  <si>
    <t>NAT7Y+(FAGKH+FCH93)</t>
    <phoneticPr fontId="4" type="noConversion"/>
  </si>
  <si>
    <t>8#-16#+(1#-25#+24#)</t>
    <phoneticPr fontId="4" type="noConversion"/>
  </si>
  <si>
    <t>(FAGKH+FCH93);NAT7Y</t>
  </si>
  <si>
    <t>HG01241</t>
    <phoneticPr fontId="4" type="noConversion"/>
  </si>
  <si>
    <t>AYR5LC</t>
    <phoneticPr fontId="4" type="noConversion"/>
  </si>
  <si>
    <t>NAT3A+FWG72</t>
    <phoneticPr fontId="4" type="noConversion"/>
  </si>
  <si>
    <t>9#-15#+2#-6#,8#~25#</t>
    <phoneticPr fontId="4" type="noConversion"/>
  </si>
  <si>
    <t>FWG72;NAT3A</t>
  </si>
  <si>
    <t>HG01242</t>
    <phoneticPr fontId="4" type="noConversion"/>
  </si>
  <si>
    <t>AYR5LD</t>
    <phoneticPr fontId="4" type="noConversion"/>
  </si>
  <si>
    <t>NAT36+(FSCG4+F23WM)</t>
    <phoneticPr fontId="4" type="noConversion"/>
  </si>
  <si>
    <t>(FSCG4+F23WM);NAT36</t>
  </si>
  <si>
    <t>HG01243</t>
    <phoneticPr fontId="4" type="noConversion"/>
  </si>
  <si>
    <t>ATH5LE</t>
    <phoneticPr fontId="4" type="noConversion"/>
  </si>
  <si>
    <t>NARSR+(FSKTT+F9S4K)</t>
    <phoneticPr fontId="4" type="noConversion"/>
  </si>
  <si>
    <t>5#-11#+(1#-25#+1#-24#)</t>
    <phoneticPr fontId="4" type="noConversion"/>
  </si>
  <si>
    <t>(FSKTT+F9S4K);NARSR</t>
  </si>
  <si>
    <t>HG01244</t>
    <phoneticPr fontId="4" type="noConversion"/>
  </si>
  <si>
    <t>ATH5LF</t>
    <phoneticPr fontId="4" type="noConversion"/>
  </si>
  <si>
    <t>NARSR+(F47SM+F84W3)</t>
    <phoneticPr fontId="4" type="noConversion"/>
  </si>
  <si>
    <t>12#-18#+(1#-25#+1#-23#)</t>
    <phoneticPr fontId="4" type="noConversion"/>
  </si>
  <si>
    <t>(F47SM+F84W3);NARSR</t>
  </si>
  <si>
    <t>HG01245</t>
    <phoneticPr fontId="4" type="noConversion"/>
  </si>
  <si>
    <t>ATH5LG</t>
    <phoneticPr fontId="4" type="noConversion"/>
  </si>
  <si>
    <t>4+28</t>
    <phoneticPr fontId="4" type="noConversion"/>
  </si>
  <si>
    <t>NARSR+(FKWC6+F84W3+F9S4K)</t>
    <phoneticPr fontId="4" type="noConversion"/>
  </si>
  <si>
    <t>19#-22#+(1#-25#+24#-25#+25#)</t>
    <phoneticPr fontId="4" type="noConversion"/>
  </si>
  <si>
    <t>(FKWC6+F84W3+F9S4K);NARSR</t>
  </si>
  <si>
    <t>HG01246</t>
    <phoneticPr fontId="4" type="noConversion"/>
  </si>
  <si>
    <t>AZI5LC</t>
    <phoneticPr fontId="4" type="noConversion"/>
  </si>
  <si>
    <t>NAT36+(F87W4+F02KW)</t>
    <phoneticPr fontId="4" type="noConversion"/>
  </si>
  <si>
    <t>9#-16#+(1#-25#+25#)</t>
    <phoneticPr fontId="4" type="noConversion"/>
  </si>
  <si>
    <t>(F87W4+F02KW);NAT36</t>
  </si>
  <si>
    <t>HG01247</t>
    <phoneticPr fontId="4" type="noConversion"/>
  </si>
  <si>
    <t>AZI5LD</t>
    <phoneticPr fontId="4" type="noConversion"/>
  </si>
  <si>
    <t>NAT36+FWPR0</t>
    <phoneticPr fontId="4" type="noConversion"/>
  </si>
  <si>
    <t>17#-21#+1#-16#</t>
    <phoneticPr fontId="4" type="noConversion"/>
  </si>
  <si>
    <t>FWPR0;NAT36</t>
  </si>
  <si>
    <t>HG01248</t>
    <phoneticPr fontId="4" type="noConversion"/>
  </si>
  <si>
    <t>ATH5MA</t>
    <phoneticPr fontId="4" type="noConversion"/>
  </si>
  <si>
    <t>NARSR+FS040</t>
    <phoneticPr fontId="4" type="noConversion"/>
  </si>
  <si>
    <t>23#-25#+1#-20#</t>
    <phoneticPr fontId="4" type="noConversion"/>
  </si>
  <si>
    <t>FS040;NARSR</t>
  </si>
  <si>
    <t>HG01249</t>
    <phoneticPr fontId="4" type="noConversion"/>
  </si>
  <si>
    <t>AZI5MA</t>
    <phoneticPr fontId="4" type="noConversion"/>
  </si>
  <si>
    <t>NAT3C+(FKW7M+F36MW)</t>
    <phoneticPr fontId="4" type="noConversion"/>
  </si>
  <si>
    <t>(FKW7M+F36MW);NAT3C</t>
  </si>
  <si>
    <t>HG01250</t>
    <phoneticPr fontId="4" type="noConversion"/>
  </si>
  <si>
    <t>AZI5MB</t>
    <phoneticPr fontId="4" type="noConversion"/>
  </si>
  <si>
    <t>NAT39+(F7FHP+F36MW)</t>
    <phoneticPr fontId="4" type="noConversion"/>
  </si>
  <si>
    <t>16#-25#+(1#-25#+9#-16#)</t>
    <phoneticPr fontId="4" type="noConversion"/>
  </si>
  <si>
    <t>(F7FHP+F36MW);NAT39</t>
  </si>
  <si>
    <t>HG01251</t>
    <phoneticPr fontId="4" type="noConversion"/>
  </si>
  <si>
    <t>AZI5MC</t>
    <phoneticPr fontId="4" type="noConversion"/>
  </si>
  <si>
    <t>NAT3A+(FNPAW+F36MW)</t>
    <phoneticPr fontId="4" type="noConversion"/>
  </si>
  <si>
    <t>16#-25#+(1#-25#+17#-24#)</t>
    <phoneticPr fontId="4" type="noConversion"/>
  </si>
  <si>
    <t>(FNPAW+F36MW);NAT3A</t>
  </si>
  <si>
    <t>HG01252</t>
    <phoneticPr fontId="4" type="noConversion"/>
  </si>
  <si>
    <t>Hv5MA</t>
    <phoneticPr fontId="4" type="noConversion"/>
  </si>
  <si>
    <t>NATL2+FTGRS</t>
    <phoneticPr fontId="4" type="noConversion"/>
  </si>
  <si>
    <t>FTGRS;NATL2</t>
  </si>
  <si>
    <t>HG01253</t>
    <phoneticPr fontId="4" type="noConversion"/>
  </si>
  <si>
    <t>AWU5MA</t>
    <phoneticPr fontId="4" type="noConversion"/>
  </si>
  <si>
    <t>NAT7Y+(FPA9S+FCH93)</t>
    <phoneticPr fontId="4" type="noConversion"/>
  </si>
  <si>
    <t>17#-25#+(1#-25#+25#)</t>
    <phoneticPr fontId="4" type="noConversion"/>
  </si>
  <si>
    <t>(FPA9S+FCH93);NAT7Y</t>
  </si>
  <si>
    <t>HG01254</t>
    <phoneticPr fontId="4" type="noConversion"/>
  </si>
  <si>
    <t>AWU5MB</t>
    <phoneticPr fontId="4" type="noConversion"/>
  </si>
  <si>
    <t>NAT80+FSAAC</t>
    <phoneticPr fontId="4" type="noConversion"/>
  </si>
  <si>
    <t>1#-8#+1#-23#</t>
    <phoneticPr fontId="4" type="noConversion"/>
  </si>
  <si>
    <t>FSAAC;NAT80</t>
  </si>
  <si>
    <t>SY5810ABC</t>
    <phoneticPr fontId="4" type="noConversion"/>
  </si>
  <si>
    <t>HG01256</t>
    <phoneticPr fontId="4" type="noConversion"/>
  </si>
  <si>
    <t>GZ5MA</t>
    <phoneticPr fontId="4" type="noConversion"/>
  </si>
  <si>
    <t>NAW5Y.02</t>
    <phoneticPr fontId="4" type="noConversion"/>
  </si>
  <si>
    <t>NAW5Y.02</t>
  </si>
  <si>
    <t>SY8081DQC</t>
  </si>
  <si>
    <t>HG01257</t>
    <phoneticPr fontId="4" type="noConversion"/>
  </si>
  <si>
    <t>MN5MA</t>
    <phoneticPr fontId="4" type="noConversion"/>
  </si>
  <si>
    <t>NAWCY</t>
    <phoneticPr fontId="4" type="noConversion"/>
  </si>
  <si>
    <t>NAWCY</t>
  </si>
  <si>
    <t>HG01260</t>
    <phoneticPr fontId="4" type="noConversion"/>
  </si>
  <si>
    <t>QV5MA</t>
    <phoneticPr fontId="4" type="noConversion"/>
  </si>
  <si>
    <t>NAWF1</t>
    <phoneticPr fontId="4" type="noConversion"/>
  </si>
  <si>
    <t>NAWF1</t>
  </si>
  <si>
    <t>HG01261</t>
    <phoneticPr fontId="4" type="noConversion"/>
  </si>
  <si>
    <t>TR5MA</t>
    <phoneticPr fontId="4" type="noConversion"/>
  </si>
  <si>
    <t>NAMHQ+03</t>
  </si>
  <si>
    <t>SY8003DFC</t>
  </si>
  <si>
    <t>HG01262</t>
    <phoneticPr fontId="4" type="noConversion"/>
  </si>
  <si>
    <t>JD5MA</t>
    <phoneticPr fontId="4" type="noConversion"/>
  </si>
  <si>
    <t>NAWF7</t>
    <phoneticPr fontId="4" type="noConversion"/>
  </si>
  <si>
    <t>1#-25#</t>
    <phoneticPr fontId="4" type="noConversion"/>
  </si>
  <si>
    <t>NAWF7</t>
  </si>
  <si>
    <t>HG01263</t>
    <phoneticPr fontId="4" type="noConversion"/>
  </si>
  <si>
    <t>JD5MB</t>
    <phoneticPr fontId="4" type="noConversion"/>
  </si>
  <si>
    <t>NAWF9</t>
    <phoneticPr fontId="4" type="noConversion"/>
  </si>
  <si>
    <t>NAWF9</t>
  </si>
  <si>
    <t>HG01264</t>
    <phoneticPr fontId="4" type="noConversion"/>
  </si>
  <si>
    <t>TW5MA</t>
    <phoneticPr fontId="4" type="noConversion"/>
  </si>
  <si>
    <t>NAQFJ.03</t>
    <phoneticPr fontId="4" type="noConversion"/>
  </si>
  <si>
    <t>#4-9,13,15,17-20</t>
    <phoneticPr fontId="4" type="noConversion"/>
  </si>
  <si>
    <t>NAQFJ.03</t>
  </si>
  <si>
    <t>SY8205FCC</t>
  </si>
  <si>
    <t>HG01267</t>
    <phoneticPr fontId="4" type="noConversion"/>
  </si>
  <si>
    <t>AHH5MA</t>
    <phoneticPr fontId="4" type="noConversion"/>
  </si>
  <si>
    <t>NAW38</t>
    <phoneticPr fontId="4" type="noConversion"/>
  </si>
  <si>
    <t>11#-25#</t>
    <phoneticPr fontId="4" type="noConversion"/>
  </si>
  <si>
    <t>NAW38-1</t>
  </si>
  <si>
    <t>HG01268</t>
    <phoneticPr fontId="4" type="noConversion"/>
  </si>
  <si>
    <t>AHH5MB</t>
    <phoneticPr fontId="4" type="noConversion"/>
  </si>
  <si>
    <t>NAW3A</t>
    <phoneticPr fontId="4" type="noConversion"/>
  </si>
  <si>
    <t>NAW3A</t>
  </si>
  <si>
    <t>HG01269</t>
    <phoneticPr fontId="4" type="noConversion"/>
  </si>
  <si>
    <t>AJY5MA</t>
    <phoneticPr fontId="4" type="noConversion"/>
  </si>
  <si>
    <t>NAW39</t>
    <phoneticPr fontId="4" type="noConversion"/>
  </si>
  <si>
    <t>NAW39</t>
  </si>
  <si>
    <t>E50A4</t>
    <phoneticPr fontId="4" type="noConversion"/>
  </si>
  <si>
    <t>HG01272</t>
    <phoneticPr fontId="4" type="noConversion"/>
  </si>
  <si>
    <t>AVA5MA</t>
    <phoneticPr fontId="4" type="noConversion"/>
  </si>
  <si>
    <t>NAY6Y</t>
    <phoneticPr fontId="4" type="noConversion"/>
  </si>
  <si>
    <t>17#-25#</t>
    <phoneticPr fontId="4" type="noConversion"/>
  </si>
  <si>
    <t>NAY6Y-1</t>
  </si>
  <si>
    <t>HG01273</t>
    <phoneticPr fontId="4" type="noConversion"/>
  </si>
  <si>
    <t>AVA5MB</t>
    <phoneticPr fontId="4" type="noConversion"/>
  </si>
  <si>
    <t>NAY71</t>
    <phoneticPr fontId="4" type="noConversion"/>
  </si>
  <si>
    <t>NAY71</t>
  </si>
  <si>
    <t>SY5830BABC</t>
    <phoneticPr fontId="4" type="noConversion"/>
  </si>
  <si>
    <t>E19E1</t>
    <phoneticPr fontId="4" type="noConversion"/>
  </si>
  <si>
    <t>HG01275</t>
    <phoneticPr fontId="4" type="noConversion"/>
  </si>
  <si>
    <t>Jy5MA</t>
    <phoneticPr fontId="4" type="noConversion"/>
  </si>
  <si>
    <t>NAMR2</t>
    <phoneticPr fontId="4" type="noConversion"/>
  </si>
  <si>
    <t>18#-25#</t>
    <phoneticPr fontId="4" type="noConversion"/>
  </si>
  <si>
    <t>NAMR2</t>
  </si>
  <si>
    <t>HG01276</t>
    <phoneticPr fontId="4" type="noConversion"/>
  </si>
  <si>
    <t>Dq5MA</t>
    <phoneticPr fontId="4" type="noConversion"/>
  </si>
  <si>
    <t>NAW3R</t>
    <phoneticPr fontId="4" type="noConversion"/>
  </si>
  <si>
    <t>NAW3R</t>
  </si>
  <si>
    <t>HG01277</t>
    <phoneticPr fontId="4" type="noConversion"/>
  </si>
  <si>
    <t>Dq5MB</t>
    <phoneticPr fontId="4" type="noConversion"/>
  </si>
  <si>
    <t>NAW3R+01</t>
  </si>
  <si>
    <t>SY8121ABC</t>
    <phoneticPr fontId="4" type="noConversion"/>
  </si>
  <si>
    <t>HG01278</t>
    <phoneticPr fontId="4" type="noConversion"/>
  </si>
  <si>
    <t>JW5MA</t>
    <phoneticPr fontId="4" type="noConversion"/>
  </si>
  <si>
    <t>NATYT</t>
    <phoneticPr fontId="4" type="noConversion"/>
  </si>
  <si>
    <t>NATYT</t>
  </si>
  <si>
    <t>HG01280</t>
    <phoneticPr fontId="4" type="noConversion"/>
  </si>
  <si>
    <t>Fa5MA</t>
    <phoneticPr fontId="4" type="noConversion"/>
  </si>
  <si>
    <t>NAT80+FWMF7</t>
    <phoneticPr fontId="4" type="noConversion"/>
  </si>
  <si>
    <t>9#-16#+1#-23#</t>
    <phoneticPr fontId="4" type="noConversion"/>
  </si>
  <si>
    <t>FWMF7;NAT80</t>
  </si>
  <si>
    <t>HG01281</t>
    <phoneticPr fontId="4" type="noConversion"/>
  </si>
  <si>
    <t>Fa5MB</t>
    <phoneticPr fontId="4" type="noConversion"/>
  </si>
  <si>
    <t>NAT80+(FSNK4+FWMF7)</t>
    <phoneticPr fontId="4" type="noConversion"/>
  </si>
  <si>
    <t>17#-25#+(1#-25#+24#)</t>
    <phoneticPr fontId="4" type="noConversion"/>
  </si>
  <si>
    <t>(FSNK4+FWMF7);NAT80</t>
  </si>
  <si>
    <t>HG01282</t>
    <phoneticPr fontId="4" type="noConversion"/>
  </si>
  <si>
    <t>Fa5MC</t>
    <phoneticPr fontId="4" type="noConversion"/>
  </si>
  <si>
    <t>NAW0A+(FWC04+FWMF7)</t>
    <phoneticPr fontId="4" type="noConversion"/>
  </si>
  <si>
    <t>(FWC04+FWMF7);NAW0A</t>
  </si>
  <si>
    <t>HG01283</t>
    <phoneticPr fontId="4" type="noConversion"/>
  </si>
  <si>
    <t>Fa5MD</t>
    <phoneticPr fontId="4" type="noConversion"/>
  </si>
  <si>
    <t>NAW0A+F0F4S</t>
    <phoneticPr fontId="4" type="noConversion"/>
  </si>
  <si>
    <t>F0F4S;NAW0A</t>
  </si>
  <si>
    <t>HG01284</t>
    <phoneticPr fontId="4" type="noConversion"/>
  </si>
  <si>
    <t>Fa5ME</t>
    <phoneticPr fontId="4" type="noConversion"/>
  </si>
  <si>
    <t>NAW0A+F946S</t>
    <phoneticPr fontId="4" type="noConversion"/>
  </si>
  <si>
    <t>18#-25#+1#-23#</t>
    <phoneticPr fontId="4" type="noConversion"/>
  </si>
  <si>
    <t>F946S;NAW0A</t>
  </si>
  <si>
    <t>HG01285</t>
    <phoneticPr fontId="4" type="noConversion"/>
  </si>
  <si>
    <t>AWU5MC</t>
    <phoneticPr fontId="4" type="noConversion"/>
  </si>
  <si>
    <t>NAW0G+(FASYF+F0F4S)</t>
    <phoneticPr fontId="4" type="noConversion"/>
  </si>
  <si>
    <t>1#-9#+(1#-25#+24#)</t>
    <phoneticPr fontId="4" type="noConversion"/>
  </si>
  <si>
    <t>(FASYF+F0F4S);NAW0G</t>
  </si>
  <si>
    <t>HG01286</t>
    <phoneticPr fontId="4" type="noConversion"/>
  </si>
  <si>
    <t>AWU5MD</t>
    <phoneticPr fontId="4" type="noConversion"/>
  </si>
  <si>
    <t>NAW0G+(FMASN+F0F4S)</t>
    <phoneticPr fontId="4" type="noConversion"/>
  </si>
  <si>
    <t>10#-18#+(1#-25#+25#)</t>
    <phoneticPr fontId="4" type="noConversion"/>
  </si>
  <si>
    <t>(FMASN+F0F4S);NAW0G</t>
  </si>
  <si>
    <t>HG01288</t>
    <phoneticPr fontId="4" type="noConversion"/>
  </si>
  <si>
    <t>AWU5MF</t>
    <phoneticPr fontId="4" type="noConversion"/>
  </si>
  <si>
    <t>NAW0F+(F2WFP+F946S)</t>
    <phoneticPr fontId="4" type="noConversion"/>
  </si>
  <si>
    <t>(F2WFP+F946S);NAW0F</t>
  </si>
  <si>
    <t>SY50281AAC</t>
    <phoneticPr fontId="4" type="noConversion"/>
  </si>
  <si>
    <t>HG01290</t>
    <phoneticPr fontId="4" type="noConversion"/>
  </si>
  <si>
    <t>ZR5MA</t>
    <phoneticPr fontId="4" type="noConversion"/>
  </si>
  <si>
    <t>NA4L7+(F00TL+FW9PT+F946S)</t>
    <phoneticPr fontId="4" type="noConversion"/>
  </si>
  <si>
    <t>21#-23#+(21#-25#+24#-25#+25#)</t>
    <phoneticPr fontId="4" type="noConversion"/>
  </si>
  <si>
    <t>(F00TL+FW9PT+F946S);NA4L7</t>
  </si>
  <si>
    <t>HG01291</t>
    <phoneticPr fontId="4" type="noConversion"/>
  </si>
  <si>
    <t>BDB5MA</t>
    <phoneticPr fontId="4" type="noConversion"/>
  </si>
  <si>
    <t>NAR46+F9RST</t>
    <phoneticPr fontId="4" type="noConversion"/>
  </si>
  <si>
    <t>23#-25#+1#-15#</t>
    <phoneticPr fontId="4" type="noConversion"/>
  </si>
  <si>
    <t>NAR46;F9RST</t>
  </si>
  <si>
    <t>HG01292</t>
    <phoneticPr fontId="4" type="noConversion"/>
  </si>
  <si>
    <t>ATK5MA</t>
    <phoneticPr fontId="4" type="noConversion"/>
  </si>
  <si>
    <t>7+35</t>
    <phoneticPr fontId="4" type="noConversion"/>
  </si>
  <si>
    <t>NAT0T+(FNS72+F9RST)</t>
    <phoneticPr fontId="4" type="noConversion"/>
  </si>
  <si>
    <t>1#-7#+(1#-25#+16#-25#)</t>
    <phoneticPr fontId="4" type="noConversion"/>
  </si>
  <si>
    <t>(FNS72+F9RST);NAT0T</t>
  </si>
  <si>
    <t>HG01293</t>
    <phoneticPr fontId="4" type="noConversion"/>
  </si>
  <si>
    <t>ATK5MB</t>
    <phoneticPr fontId="4" type="noConversion"/>
  </si>
  <si>
    <t>NAT0T+FW9N0</t>
    <phoneticPr fontId="4" type="noConversion"/>
  </si>
  <si>
    <t>8#-12#+1#-25#</t>
    <phoneticPr fontId="4" type="noConversion"/>
  </si>
  <si>
    <t>FW9N0;NAT0T</t>
  </si>
  <si>
    <t>HG01294</t>
    <phoneticPr fontId="4" type="noConversion"/>
  </si>
  <si>
    <t>ATK5MC</t>
    <phoneticPr fontId="4" type="noConversion"/>
  </si>
  <si>
    <t>NAT0T+FY3SF</t>
    <phoneticPr fontId="4" type="noConversion"/>
  </si>
  <si>
    <t>13#-17#+1#-25#</t>
    <phoneticPr fontId="4" type="noConversion"/>
  </si>
  <si>
    <t>FY3SF;NAT0T</t>
  </si>
  <si>
    <t>HG01295</t>
    <phoneticPr fontId="4" type="noConversion"/>
  </si>
  <si>
    <t>ATK5MD</t>
    <phoneticPr fontId="4" type="noConversion"/>
  </si>
  <si>
    <t>NAT0T+F0F4L</t>
    <phoneticPr fontId="4" type="noConversion"/>
  </si>
  <si>
    <t>18#-22#+1#-25#</t>
    <phoneticPr fontId="4" type="noConversion"/>
  </si>
  <si>
    <t>F0F4L;NAT0T</t>
  </si>
  <si>
    <t>HG01296</t>
    <phoneticPr fontId="4" type="noConversion"/>
  </si>
  <si>
    <t>ATH5MB</t>
    <phoneticPr fontId="4" type="noConversion"/>
  </si>
  <si>
    <t>8+55</t>
    <phoneticPr fontId="4" type="noConversion"/>
  </si>
  <si>
    <t>NAT0S+(FCPW4+FPCRL+FS040)</t>
    <phoneticPr fontId="4" type="noConversion"/>
  </si>
  <si>
    <t>1#-8#+(1#-25#+1#-25#+21#-25#)</t>
    <phoneticPr fontId="4" type="noConversion"/>
  </si>
  <si>
    <t>(FCPW4+FPCRL+FS040);NAT0S</t>
  </si>
  <si>
    <t>HG01297</t>
    <phoneticPr fontId="4" type="noConversion"/>
  </si>
  <si>
    <t>AWT5MA</t>
    <phoneticPr fontId="4" type="noConversion"/>
  </si>
  <si>
    <t>9+22</t>
    <phoneticPr fontId="4" type="noConversion"/>
  </si>
  <si>
    <t>NAW0C+SJ068600</t>
    <phoneticPr fontId="4" type="noConversion"/>
  </si>
  <si>
    <t>1#-9#+1#-22#</t>
    <phoneticPr fontId="4" type="noConversion"/>
  </si>
  <si>
    <t>SJ068600;NAW0C</t>
  </si>
  <si>
    <t>SY50136FAC</t>
    <phoneticPr fontId="4" type="noConversion"/>
  </si>
  <si>
    <t>E51L0+U2X16A</t>
  </si>
  <si>
    <t>HG01298</t>
    <phoneticPr fontId="4" type="noConversion"/>
  </si>
  <si>
    <t>AUX5MA</t>
    <phoneticPr fontId="4" type="noConversion"/>
  </si>
  <si>
    <t>2+19</t>
    <phoneticPr fontId="4" type="noConversion"/>
  </si>
  <si>
    <t>NAWAP+FSC9A</t>
    <phoneticPr fontId="4" type="noConversion"/>
  </si>
  <si>
    <t>1#-2#+1#-6#,8#-20#</t>
    <phoneticPr fontId="4" type="noConversion"/>
  </si>
  <si>
    <t>FSC9A;NAWAP</t>
  </si>
  <si>
    <t>HG01299</t>
    <phoneticPr fontId="4" type="noConversion"/>
  </si>
  <si>
    <t>AZH5MA</t>
    <phoneticPr fontId="4" type="noConversion"/>
  </si>
  <si>
    <t>4+50</t>
    <phoneticPr fontId="4" type="noConversion"/>
  </si>
  <si>
    <t>NATCC.03+(FSFF6+FT2PL)</t>
    <phoneticPr fontId="4" type="noConversion"/>
  </si>
  <si>
    <t>11#-14#+(1#-25#+1#-25#)</t>
    <phoneticPr fontId="4" type="noConversion"/>
  </si>
  <si>
    <t>(FSFF6+FT2PL);NATCC.03</t>
  </si>
  <si>
    <t>HG01303</t>
    <phoneticPr fontId="4" type="noConversion"/>
  </si>
  <si>
    <t>AYR5MB</t>
    <phoneticPr fontId="4" type="noConversion"/>
  </si>
  <si>
    <t>NATL2+(F0WKG+FTGRS)</t>
    <phoneticPr fontId="4" type="noConversion"/>
  </si>
  <si>
    <t>18#-25#+(1#-25#+24#)</t>
    <phoneticPr fontId="4" type="noConversion"/>
  </si>
  <si>
    <t>(F0WKG+FTGRS);NATL2</t>
  </si>
  <si>
    <t>HG01304</t>
    <phoneticPr fontId="4" type="noConversion"/>
  </si>
  <si>
    <t>AYR5MC</t>
    <phoneticPr fontId="4" type="noConversion"/>
  </si>
  <si>
    <t>NAT36+FLAY6</t>
    <phoneticPr fontId="4" type="noConversion"/>
  </si>
  <si>
    <t>22#-25#+9#-21#</t>
    <phoneticPr fontId="4" type="noConversion"/>
  </si>
  <si>
    <t>FLAY6;NAT36</t>
  </si>
  <si>
    <t>HG01305</t>
    <phoneticPr fontId="4" type="noConversion"/>
  </si>
  <si>
    <t>NAW0C+(FYAS0+FSAAC)</t>
    <phoneticPr fontId="4" type="noConversion"/>
  </si>
  <si>
    <t>10#-18#+(1#-25#+24#)</t>
    <phoneticPr fontId="4" type="noConversion"/>
  </si>
  <si>
    <t>(FYAS0+FSAAC);NAW0C</t>
  </si>
  <si>
    <t>HG01306</t>
    <phoneticPr fontId="4" type="noConversion"/>
  </si>
  <si>
    <t>AWT5MB</t>
    <phoneticPr fontId="4" type="noConversion"/>
  </si>
  <si>
    <t>8+20</t>
    <phoneticPr fontId="4" type="noConversion"/>
  </si>
  <si>
    <t>NAW0F+SJ069600</t>
    <phoneticPr fontId="4" type="noConversion"/>
  </si>
  <si>
    <t>18#-25#+1#-20#</t>
    <phoneticPr fontId="4" type="noConversion"/>
  </si>
  <si>
    <t>SJ069600;NAW0F</t>
  </si>
  <si>
    <t>HG01307</t>
    <phoneticPr fontId="4" type="noConversion"/>
  </si>
  <si>
    <t>AYJ5MA</t>
    <phoneticPr fontId="4" type="noConversion"/>
  </si>
  <si>
    <t>NATL3+(SJ064700+SJ069300)</t>
    <phoneticPr fontId="4" type="noConversion"/>
  </si>
  <si>
    <t>1#-8#+(1#~25#+25#)</t>
    <phoneticPr fontId="4" type="noConversion"/>
  </si>
  <si>
    <t>(SJ064700+SJ069300);NATL3</t>
  </si>
  <si>
    <t>HG01308</t>
    <phoneticPr fontId="4" type="noConversion"/>
  </si>
  <si>
    <t>AYJ5MB</t>
    <phoneticPr fontId="4" type="noConversion"/>
  </si>
  <si>
    <t>NATL3+(SJ071500+SJ068600)</t>
    <phoneticPr fontId="4" type="noConversion"/>
  </si>
  <si>
    <t>9#-16#+(1#~25#+23#)</t>
    <phoneticPr fontId="4" type="noConversion"/>
  </si>
  <si>
    <t>(SJ071500+SJ068600);NATL3</t>
  </si>
  <si>
    <t>HG01309</t>
    <phoneticPr fontId="4" type="noConversion"/>
  </si>
  <si>
    <t>AYJ5MC</t>
    <phoneticPr fontId="4" type="noConversion"/>
  </si>
  <si>
    <t>9+29</t>
    <phoneticPr fontId="4" type="noConversion"/>
  </si>
  <si>
    <t>NATL3+(SJ072600+SJ069600)</t>
    <phoneticPr fontId="4" type="noConversion"/>
  </si>
  <si>
    <t>17#-25#+(1#-25#+21#-23#,25#)</t>
    <phoneticPr fontId="4" type="noConversion"/>
  </si>
  <si>
    <t>(SJ072600+SJ069600);NATL3</t>
  </si>
  <si>
    <t>HG01321</t>
    <phoneticPr fontId="4" type="noConversion"/>
  </si>
  <si>
    <t>ATH5MC</t>
    <phoneticPr fontId="4" type="noConversion"/>
  </si>
  <si>
    <t>NAT0S+(F0CRL+FRW03)</t>
    <phoneticPr fontId="4" type="noConversion"/>
  </si>
  <si>
    <t>9#-15#+(1#-25#+1#-23#)</t>
    <phoneticPr fontId="4" type="noConversion"/>
  </si>
  <si>
    <t>(F0CRL+FRW03);NAT0S</t>
  </si>
  <si>
    <t>HG01322</t>
    <phoneticPr fontId="4" type="noConversion"/>
  </si>
  <si>
    <t>ATH5MD</t>
    <phoneticPr fontId="4" type="noConversion"/>
  </si>
  <si>
    <t>NAT0S+(F2CWR+FRW03)</t>
    <phoneticPr fontId="4" type="noConversion"/>
  </si>
  <si>
    <t>16#-19#+(1#-25#+24#-25#)</t>
    <phoneticPr fontId="4" type="noConversion"/>
  </si>
  <si>
    <t>(F2CWR+FRW03);NAT0S</t>
  </si>
  <si>
    <t>HG01323</t>
    <phoneticPr fontId="4" type="noConversion"/>
  </si>
  <si>
    <t>AYR5MD</t>
    <phoneticPr fontId="4" type="noConversion"/>
  </si>
  <si>
    <t>NATL4+(FPWYR+FTGRS)</t>
    <phoneticPr fontId="4" type="noConversion"/>
  </si>
  <si>
    <t>(FPWYR+FTGRS);NATL4</t>
  </si>
  <si>
    <t>HG01327</t>
    <phoneticPr fontId="4" type="noConversion"/>
  </si>
  <si>
    <t>ATH5ME</t>
    <phoneticPr fontId="4" type="noConversion"/>
  </si>
  <si>
    <t>6+41</t>
    <phoneticPr fontId="4" type="noConversion"/>
  </si>
  <si>
    <t>NAT0S+(F3WCT+FAKKS)</t>
    <phoneticPr fontId="4" type="noConversion"/>
  </si>
  <si>
    <t>20#-25#+(1#-25#+1#-16#)</t>
    <phoneticPr fontId="4" type="noConversion"/>
  </si>
  <si>
    <t>(F3WCT+FAKKS);NAT0S</t>
  </si>
  <si>
    <t>HG01328</t>
    <phoneticPr fontId="4" type="noConversion"/>
  </si>
  <si>
    <t>JU5MA</t>
    <phoneticPr fontId="4" type="noConversion"/>
  </si>
  <si>
    <t>NATKH.05</t>
    <phoneticPr fontId="4" type="noConversion"/>
  </si>
  <si>
    <t>1#~15#</t>
  </si>
  <si>
    <t>NATKH.05</t>
  </si>
  <si>
    <t>HG01330</t>
    <phoneticPr fontId="4" type="noConversion"/>
  </si>
  <si>
    <t>AVK5MA</t>
    <phoneticPr fontId="4" type="noConversion"/>
  </si>
  <si>
    <t>5+15+27</t>
    <phoneticPr fontId="4" type="noConversion"/>
  </si>
  <si>
    <t>NAW3S+F0RL6+(WF4C074.1+WF4B105.1)</t>
    <phoneticPr fontId="4" type="noConversion"/>
  </si>
  <si>
    <t>15#~19#+1#-15#+(3#~5#,7#~25#+1#-5#)</t>
    <phoneticPr fontId="4" type="noConversion"/>
  </si>
  <si>
    <t>F0RL6;(WF4C074.1+WF4B105.1);NAW3S</t>
  </si>
  <si>
    <t>HG01331</t>
    <phoneticPr fontId="4" type="noConversion"/>
  </si>
  <si>
    <t>APQ5MA</t>
    <phoneticPr fontId="4" type="noConversion"/>
  </si>
  <si>
    <t>NALM4+F9NSG</t>
    <phoneticPr fontId="4" type="noConversion"/>
  </si>
  <si>
    <t>16#-18#+1#-20#</t>
    <phoneticPr fontId="4" type="noConversion"/>
  </si>
  <si>
    <t>NALM4;F9NSG</t>
  </si>
  <si>
    <t>HG01332</t>
    <phoneticPr fontId="4" type="noConversion"/>
  </si>
  <si>
    <t>AZI5MD</t>
    <phoneticPr fontId="4" type="noConversion"/>
  </si>
  <si>
    <t>NATL5+(F9SM0+F36MW)</t>
    <phoneticPr fontId="4" type="noConversion"/>
  </si>
  <si>
    <t>8#-15#+(1#-25#+25#)</t>
    <phoneticPr fontId="4" type="noConversion"/>
  </si>
  <si>
    <t>(F9SM0+F36MW);NATL5</t>
  </si>
  <si>
    <t>HG01333</t>
    <phoneticPr fontId="4" type="noConversion"/>
  </si>
  <si>
    <t>AZI5ME</t>
    <phoneticPr fontId="4" type="noConversion"/>
  </si>
  <si>
    <t>NATL5+(FA8L9+FWPR0)</t>
    <phoneticPr fontId="4" type="noConversion"/>
  </si>
  <si>
    <t>(FA8L9+FWPR0);NATL5</t>
  </si>
  <si>
    <t>HG01334</t>
    <phoneticPr fontId="4" type="noConversion"/>
  </si>
  <si>
    <t>AZI5MF</t>
    <phoneticPr fontId="4" type="noConversion"/>
  </si>
  <si>
    <t>NATL7+(FNL60+FWPR0)</t>
    <phoneticPr fontId="4" type="noConversion"/>
  </si>
  <si>
    <t>(FNL60+FWPR0);NATL7</t>
  </si>
  <si>
    <t>HG01335</t>
    <phoneticPr fontId="4" type="noConversion"/>
  </si>
  <si>
    <t>AZI5MG</t>
    <phoneticPr fontId="4" type="noConversion"/>
  </si>
  <si>
    <t>NATL7+(FS092+F0RL6)</t>
    <phoneticPr fontId="4" type="noConversion"/>
  </si>
  <si>
    <t>9#-18#+(1#-25#+16#-23#)</t>
    <phoneticPr fontId="4" type="noConversion"/>
  </si>
  <si>
    <t>(FS092+F0RL6);NATL7</t>
  </si>
  <si>
    <t>HG01336</t>
    <phoneticPr fontId="4" type="noConversion"/>
  </si>
  <si>
    <t>Hv5MB</t>
    <phoneticPr fontId="4" type="noConversion"/>
  </si>
  <si>
    <t>NAW66+FYL98</t>
    <phoneticPr fontId="4" type="noConversion"/>
  </si>
  <si>
    <t>3#-9#+1#-23#</t>
    <phoneticPr fontId="4" type="noConversion"/>
  </si>
  <si>
    <t>FYL98;NAW66</t>
  </si>
  <si>
    <t>HG01337</t>
    <phoneticPr fontId="4" type="noConversion"/>
  </si>
  <si>
    <t>Hv5MC</t>
    <phoneticPr fontId="4" type="noConversion"/>
  </si>
  <si>
    <t>NAW66+(F39YS+FYL98)</t>
    <phoneticPr fontId="4" type="noConversion"/>
  </si>
  <si>
    <t>(F39YS+FYL98);NAW66</t>
  </si>
  <si>
    <t>HG01338</t>
    <phoneticPr fontId="4" type="noConversion"/>
  </si>
  <si>
    <t>Hv5MD</t>
    <phoneticPr fontId="4" type="noConversion"/>
  </si>
  <si>
    <t>NAW66+(F9HG4+FYL98)</t>
    <phoneticPr fontId="4" type="noConversion"/>
  </si>
  <si>
    <t>10#-17#+(1#-25#+25#)</t>
    <phoneticPr fontId="4" type="noConversion"/>
  </si>
  <si>
    <t>(F9HG4+FYL98);NAW66</t>
  </si>
  <si>
    <t>HG01342</t>
    <phoneticPr fontId="4" type="noConversion"/>
  </si>
  <si>
    <t>ATK5ME</t>
    <phoneticPr fontId="4" type="noConversion"/>
  </si>
  <si>
    <t>NAT0T+F6AL7</t>
    <phoneticPr fontId="4" type="noConversion"/>
  </si>
  <si>
    <t>24#-25#+1#-10#</t>
    <phoneticPr fontId="4" type="noConversion"/>
  </si>
  <si>
    <t>F6AL7;NAT0T</t>
  </si>
  <si>
    <t>HG01343</t>
    <phoneticPr fontId="4" type="noConversion"/>
  </si>
  <si>
    <t>ATK5MF</t>
    <phoneticPr fontId="4" type="noConversion"/>
  </si>
  <si>
    <t>8+40</t>
    <phoneticPr fontId="4" type="noConversion"/>
  </si>
  <si>
    <t>NAWAP.01+(F6AL7+FSTMC)</t>
    <phoneticPr fontId="4" type="noConversion"/>
  </si>
  <si>
    <t>3#-10#+(11#-25#+1#-25#)</t>
    <phoneticPr fontId="4" type="noConversion"/>
  </si>
  <si>
    <t>(F6AL7+FSTMC);NAWAP.01</t>
  </si>
  <si>
    <t>HG01344</t>
    <phoneticPr fontId="4" type="noConversion"/>
  </si>
  <si>
    <t>AZI5MH</t>
    <phoneticPr fontId="4" type="noConversion"/>
  </si>
  <si>
    <t>NAW61+(F4Y3S+F0RL6)</t>
    <phoneticPr fontId="4" type="noConversion"/>
  </si>
  <si>
    <t>(F4Y3S+F0RL6);NAW61</t>
  </si>
  <si>
    <t>HG01345</t>
    <phoneticPr fontId="4" type="noConversion"/>
  </si>
  <si>
    <t>AZI5MI</t>
    <phoneticPr fontId="4" type="noConversion"/>
  </si>
  <si>
    <t>NAW61+(F68RL+F0RL6)</t>
    <phoneticPr fontId="4" type="noConversion"/>
  </si>
  <si>
    <t>(F68RL+F0RL6);NAW61</t>
  </si>
  <si>
    <t>HG01346</t>
    <phoneticPr fontId="4" type="noConversion"/>
  </si>
  <si>
    <t>AZI5MJ</t>
    <phoneticPr fontId="4" type="noConversion"/>
  </si>
  <si>
    <t>NAW64+F9RNW</t>
    <phoneticPr fontId="4" type="noConversion"/>
  </si>
  <si>
    <t>F9RNW;NAW64</t>
  </si>
  <si>
    <t>HG01347</t>
    <phoneticPr fontId="4" type="noConversion"/>
  </si>
  <si>
    <t>AZI5MK</t>
    <phoneticPr fontId="4" type="noConversion"/>
  </si>
  <si>
    <t>NAW64+(FT67W+F9RNW)</t>
    <phoneticPr fontId="4" type="noConversion"/>
  </si>
  <si>
    <t>(FT67W+F9RNW);NAW64</t>
  </si>
  <si>
    <t>HG01348</t>
    <phoneticPr fontId="4" type="noConversion"/>
  </si>
  <si>
    <t>ATK5MG</t>
    <phoneticPr fontId="4" type="noConversion"/>
  </si>
  <si>
    <t>NAWAP.01+FN24S</t>
    <phoneticPr fontId="4" type="noConversion"/>
  </si>
  <si>
    <t>FN24S;NAWAP.01</t>
  </si>
  <si>
    <t>HG01349</t>
    <phoneticPr fontId="4" type="noConversion"/>
  </si>
  <si>
    <t>ATK5MH</t>
    <phoneticPr fontId="4" type="noConversion"/>
  </si>
  <si>
    <t>NAWAP.01+F6FKS</t>
    <phoneticPr fontId="4" type="noConversion"/>
  </si>
  <si>
    <t>F6FKS;NAWAP.01</t>
  </si>
  <si>
    <t>HG01350</t>
    <phoneticPr fontId="4" type="noConversion"/>
  </si>
  <si>
    <t>AQU5MA</t>
    <phoneticPr fontId="4" type="noConversion"/>
  </si>
  <si>
    <t>NAW5T+(SJ093000+SJ091500)</t>
    <phoneticPr fontId="4" type="noConversion"/>
  </si>
  <si>
    <t>1#-5#+(1#-6#,8#-25#+23#-24#)</t>
    <phoneticPr fontId="4" type="noConversion"/>
  </si>
  <si>
    <t>(SJ093000+SJ091500);NAW5T</t>
  </si>
  <si>
    <t>E10Q2+U3X12A</t>
    <phoneticPr fontId="4" type="noConversion"/>
  </si>
  <si>
    <t>HG01352</t>
    <phoneticPr fontId="4" type="noConversion"/>
  </si>
  <si>
    <t>AXO5MA</t>
    <phoneticPr fontId="4" type="noConversion"/>
  </si>
  <si>
    <t>6+29</t>
    <phoneticPr fontId="4" type="noConversion"/>
  </si>
  <si>
    <t>NALM5+(F6WFM+FW927+FP6AS)</t>
    <phoneticPr fontId="4" type="noConversion"/>
  </si>
  <si>
    <t>1#-6#+(1#-25#+23#-25#+25#)</t>
    <phoneticPr fontId="4" type="noConversion"/>
  </si>
  <si>
    <t>NALM5;(F6WFM+FW927+FP6AS)</t>
  </si>
  <si>
    <t>HG01354</t>
    <phoneticPr fontId="4" type="noConversion"/>
  </si>
  <si>
    <t>AYJ5MD</t>
    <phoneticPr fontId="4" type="noConversion"/>
  </si>
  <si>
    <t>NATL6+(SJ072000+SJ071800)</t>
    <phoneticPr fontId="4" type="noConversion"/>
  </si>
  <si>
    <t>17#-25#+(1#-25#+19#~22#)</t>
    <phoneticPr fontId="4" type="noConversion"/>
  </si>
  <si>
    <t>(SJ072000+SJ071800);NATL6</t>
  </si>
  <si>
    <t>HG01355</t>
    <phoneticPr fontId="4" type="noConversion"/>
  </si>
  <si>
    <t>AYJ5ME</t>
    <phoneticPr fontId="4" type="noConversion"/>
  </si>
  <si>
    <t>NAW61+(SJ073100+SJ071800+SJ068600)</t>
    <phoneticPr fontId="4" type="noConversion"/>
  </si>
  <si>
    <t>17#-25#+(1#-24#+23#~25#+24#-25#)</t>
    <phoneticPr fontId="4" type="noConversion"/>
  </si>
  <si>
    <t>(SJ073100+SJ071800+SJ068600);NAW61</t>
  </si>
  <si>
    <t>HG01356</t>
    <phoneticPr fontId="4" type="noConversion"/>
  </si>
  <si>
    <t>AYR5MK</t>
    <phoneticPr fontId="4" type="noConversion"/>
  </si>
  <si>
    <t>1+3</t>
    <phoneticPr fontId="4" type="noConversion"/>
  </si>
  <si>
    <t>NAWAC+FLRGK</t>
    <phoneticPr fontId="4" type="noConversion"/>
  </si>
  <si>
    <t>1#+1#~3#</t>
    <phoneticPr fontId="4" type="noConversion"/>
  </si>
  <si>
    <t>FLRGK;NAWAC</t>
  </si>
  <si>
    <t>需Bumpping</t>
    <phoneticPr fontId="4" type="noConversion"/>
  </si>
  <si>
    <t>HG01357</t>
    <phoneticPr fontId="4" type="noConversion"/>
  </si>
  <si>
    <t>NY5MA</t>
    <phoneticPr fontId="4" type="noConversion"/>
  </si>
  <si>
    <t>NAWQ9</t>
    <phoneticPr fontId="4" type="noConversion"/>
  </si>
  <si>
    <t>NAWQ9</t>
  </si>
  <si>
    <t>SY8232FAC</t>
    <phoneticPr fontId="4" type="noConversion"/>
  </si>
  <si>
    <t>HG01359</t>
    <phoneticPr fontId="4" type="noConversion"/>
  </si>
  <si>
    <t>AIU5MB</t>
    <phoneticPr fontId="4" type="noConversion"/>
  </si>
  <si>
    <t>NAWYP</t>
    <phoneticPr fontId="4" type="noConversion"/>
  </si>
  <si>
    <t>11#-14#</t>
  </si>
  <si>
    <t>NAWYP-1</t>
  </si>
  <si>
    <t>SY8223DBC</t>
    <phoneticPr fontId="4" type="noConversion"/>
  </si>
  <si>
    <t>A46G0</t>
  </si>
  <si>
    <t>HG01360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</si>
  <si>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</si>
  <si>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XA5MA</t>
    <phoneticPr fontId="4" type="noConversion"/>
  </si>
  <si>
    <t>NAWYQ</t>
    <phoneticPr fontId="4" type="noConversion"/>
  </si>
  <si>
    <t>NAWYQ</t>
  </si>
  <si>
    <t>HG01361</t>
    <phoneticPr fontId="4" type="noConversion"/>
  </si>
  <si>
    <t>Ee5MA</t>
    <phoneticPr fontId="4" type="noConversion"/>
  </si>
  <si>
    <t>NAY04</t>
    <phoneticPr fontId="4" type="noConversion"/>
  </si>
  <si>
    <t>NAY04</t>
  </si>
  <si>
    <t>HG01362</t>
    <phoneticPr fontId="4" type="noConversion"/>
  </si>
  <si>
    <t>Ee5MB</t>
    <phoneticPr fontId="4" type="noConversion"/>
  </si>
  <si>
    <t>NAY04-1</t>
  </si>
  <si>
    <t>HG01363</t>
    <phoneticPr fontId="4" type="noConversion"/>
  </si>
  <si>
    <t>BDB5MB</t>
    <phoneticPr fontId="4" type="noConversion"/>
  </si>
  <si>
    <t>NAWAP.01+FAL98</t>
    <phoneticPr fontId="4" type="noConversion"/>
  </si>
  <si>
    <t>NAWAP.01;FAL98</t>
  </si>
  <si>
    <t>HG01364</t>
    <phoneticPr fontId="4" type="noConversion"/>
  </si>
  <si>
    <t>BDB5MC</t>
    <phoneticPr fontId="4" type="noConversion"/>
  </si>
  <si>
    <t>NAWAN+FAAS9</t>
    <phoneticPr fontId="4" type="noConversion"/>
  </si>
  <si>
    <t>NAWAN;FAAS9</t>
  </si>
  <si>
    <t>HG01365</t>
    <phoneticPr fontId="4" type="noConversion"/>
  </si>
  <si>
    <t>APQ5MB</t>
    <phoneticPr fontId="4" type="noConversion"/>
  </si>
  <si>
    <t>NALM5+(FATAL+FP2LY)</t>
    <phoneticPr fontId="4" type="noConversion"/>
  </si>
  <si>
    <t>7#-13#+(1#-25#+1#-23#)</t>
    <phoneticPr fontId="4" type="noConversion"/>
  </si>
  <si>
    <t>NALM5;(FATAL+FP2LY)</t>
  </si>
  <si>
    <t>HG01366</t>
    <phoneticPr fontId="4" type="noConversion"/>
  </si>
  <si>
    <t>APQ5MC</t>
    <phoneticPr fontId="4" type="noConversion"/>
  </si>
  <si>
    <t>NALM5+(FS66T+FP2LY)</t>
    <phoneticPr fontId="4" type="noConversion"/>
  </si>
  <si>
    <t>14#-17#+(1#-25#+24#-25#)</t>
    <phoneticPr fontId="4" type="noConversion"/>
  </si>
  <si>
    <t>NALM5;(FS66T+FP2LY)</t>
  </si>
  <si>
    <t>HG01367</t>
    <phoneticPr fontId="4" type="noConversion"/>
  </si>
  <si>
    <t>APQ5MD</t>
    <phoneticPr fontId="4" type="noConversion"/>
  </si>
  <si>
    <t>NALM5+(FS74M+F4NAS+F9NSG)</t>
    <phoneticPr fontId="4" type="noConversion"/>
  </si>
  <si>
    <t>18#-25#+(1#-25#+1#-25#+21#-25#)</t>
    <phoneticPr fontId="4" type="noConversion"/>
  </si>
  <si>
    <t>NALM5;(FS74M+F4NAS+F9NSG)</t>
  </si>
  <si>
    <t>HG01369</t>
    <phoneticPr fontId="4" type="noConversion"/>
  </si>
  <si>
    <t>ATK5MI</t>
    <phoneticPr fontId="4" type="noConversion"/>
  </si>
  <si>
    <t>10+51</t>
    <phoneticPr fontId="4" type="noConversion"/>
  </si>
  <si>
    <t>NAWAN+(F7AH6+FCL9A+FW0G4)</t>
    <phoneticPr fontId="4" type="noConversion"/>
  </si>
  <si>
    <t>6#-15#+(1#-25#+1#-25#+1#)</t>
    <phoneticPr fontId="4" type="noConversion"/>
  </si>
  <si>
    <t>(F7AH6+FCL9A+FW0G4);NAWAN</t>
  </si>
  <si>
    <t>SY7315RDC</t>
    <phoneticPr fontId="4" type="noConversion"/>
  </si>
  <si>
    <t>B45A0</t>
    <phoneticPr fontId="4" type="noConversion"/>
  </si>
  <si>
    <t>HG01378</t>
    <phoneticPr fontId="4" type="noConversion"/>
  </si>
  <si>
    <t>QFN4*4-18</t>
    <phoneticPr fontId="4" type="noConversion"/>
  </si>
  <si>
    <t>AVZ5NA</t>
    <phoneticPr fontId="4" type="noConversion"/>
  </si>
  <si>
    <t>NAQF1.06</t>
    <phoneticPr fontId="4" type="noConversion"/>
  </si>
  <si>
    <t>1#~10#</t>
    <phoneticPr fontId="4" type="noConversion"/>
  </si>
  <si>
    <t>NAQF1.06</t>
  </si>
  <si>
    <t>HG01371</t>
    <phoneticPr fontId="4" type="noConversion"/>
  </si>
  <si>
    <t>AVJ5NA</t>
  </si>
  <si>
    <t>10+31+59</t>
    <phoneticPr fontId="4" type="noConversion"/>
  </si>
  <si>
    <t>NAHFA+(F3LYA+F2M0L)+(WF55263.1+WF55266.1+WF55265.1)</t>
    <phoneticPr fontId="4" type="noConversion"/>
  </si>
  <si>
    <r>
      <t>16#-25#+(1#-25#+1#-6#)+(#3-21,23+#1,5,10-12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14-25+1#~22#)</t>
    </r>
    <phoneticPr fontId="4" type="noConversion"/>
  </si>
  <si>
    <t>(F3LYA+F2M0L);(WF55263.1+WF55266.1+WF55265.1);NAHFA</t>
  </si>
  <si>
    <t>HG01372</t>
    <phoneticPr fontId="4" type="noConversion"/>
  </si>
  <si>
    <t>Hv5NA</t>
    <phoneticPr fontId="4" type="noConversion"/>
  </si>
  <si>
    <t>NAW64+(F3TCL+F2M0L)</t>
    <phoneticPr fontId="4" type="noConversion"/>
  </si>
  <si>
    <t>16#-25#+(1#-25#+7#-14#)</t>
    <phoneticPr fontId="4" type="noConversion"/>
  </si>
  <si>
    <t>(F3TCL+F2M0L);NAW64</t>
  </si>
  <si>
    <t>SY50135FAC-A</t>
    <phoneticPr fontId="4" type="noConversion"/>
  </si>
  <si>
    <t>E51W0+U2X17A</t>
    <phoneticPr fontId="4" type="noConversion"/>
  </si>
  <si>
    <t>HG01379</t>
    <phoneticPr fontId="4" type="noConversion"/>
  </si>
  <si>
    <t>ATH5NA</t>
    <phoneticPr fontId="4" type="noConversion"/>
  </si>
  <si>
    <t>1+7</t>
    <phoneticPr fontId="4" type="noConversion"/>
  </si>
  <si>
    <t>NAYP6.04+FAKKS</t>
    <phoneticPr fontId="4" type="noConversion"/>
  </si>
  <si>
    <t>1#+17#-23#</t>
    <phoneticPr fontId="4" type="noConversion"/>
  </si>
  <si>
    <t>FAKKS;NAYP6.04</t>
  </si>
  <si>
    <t>HG01380</t>
    <phoneticPr fontId="4" type="noConversion"/>
  </si>
  <si>
    <t>ATK5NA</t>
    <phoneticPr fontId="4" type="noConversion"/>
  </si>
  <si>
    <t>NAYP6+FLKTM</t>
    <phoneticPr fontId="4" type="noConversion"/>
  </si>
  <si>
    <t>FLKTM;NAYP6</t>
  </si>
  <si>
    <t>HG01381</t>
    <phoneticPr fontId="4" type="noConversion"/>
  </si>
  <si>
    <t>ATK5NB</t>
    <phoneticPr fontId="4" type="noConversion"/>
  </si>
  <si>
    <t>NAYP6+FYY7H</t>
    <phoneticPr fontId="4" type="noConversion"/>
  </si>
  <si>
    <t>FYY7H;NAYP6</t>
  </si>
  <si>
    <t>B40GA1</t>
    <phoneticPr fontId="4" type="noConversion"/>
  </si>
  <si>
    <t>HG01383</t>
    <phoneticPr fontId="4" type="noConversion"/>
  </si>
  <si>
    <t>Hb5NB</t>
    <phoneticPr fontId="4" type="noConversion"/>
  </si>
  <si>
    <t>NAYNM</t>
  </si>
  <si>
    <t>NAYNM+01</t>
  </si>
  <si>
    <t>B43A0</t>
    <phoneticPr fontId="4" type="noConversion"/>
  </si>
  <si>
    <t>HG01384</t>
    <phoneticPr fontId="4" type="noConversion"/>
  </si>
  <si>
    <t>Dq5NA</t>
    <phoneticPr fontId="4" type="noConversion"/>
  </si>
  <si>
    <t>NC01H</t>
  </si>
  <si>
    <t>HG01385</t>
    <phoneticPr fontId="4" type="noConversion"/>
  </si>
  <si>
    <t>Dq5NB</t>
    <phoneticPr fontId="4" type="noConversion"/>
  </si>
  <si>
    <t>NC01H+01</t>
  </si>
  <si>
    <t>HG01387</t>
    <phoneticPr fontId="4" type="noConversion"/>
  </si>
  <si>
    <t>HU5NA</t>
    <phoneticPr fontId="4" type="noConversion"/>
  </si>
  <si>
    <t>NAWF9-1</t>
  </si>
  <si>
    <t>SY8089AAC</t>
    <phoneticPr fontId="4" type="noConversion"/>
  </si>
  <si>
    <t>HG01388</t>
    <phoneticPr fontId="4" type="noConversion"/>
  </si>
  <si>
    <t>JX5NA</t>
    <phoneticPr fontId="4" type="noConversion"/>
  </si>
  <si>
    <t>NAWPG</t>
  </si>
  <si>
    <t>HG01391</t>
    <phoneticPr fontId="4" type="noConversion"/>
  </si>
  <si>
    <t>TB5NA</t>
    <phoneticPr fontId="4" type="noConversion"/>
  </si>
  <si>
    <t>N9JJL</t>
    <phoneticPr fontId="4" type="noConversion"/>
  </si>
  <si>
    <t>6#-15#</t>
    <phoneticPr fontId="4" type="noConversion"/>
  </si>
  <si>
    <t>N9JJL</t>
  </si>
  <si>
    <t>HG01392</t>
    <phoneticPr fontId="4" type="noConversion"/>
  </si>
  <si>
    <t>JU5NA</t>
    <phoneticPr fontId="4" type="noConversion"/>
  </si>
  <si>
    <t>NAW07.01</t>
    <phoneticPr fontId="4" type="noConversion"/>
  </si>
  <si>
    <t>NAW07.01</t>
  </si>
  <si>
    <t>HG01393</t>
    <phoneticPr fontId="4" type="noConversion"/>
  </si>
  <si>
    <t>JU5NB</t>
    <phoneticPr fontId="4" type="noConversion"/>
  </si>
  <si>
    <t>NAW08</t>
    <phoneticPr fontId="4" type="noConversion"/>
  </si>
  <si>
    <t>NAW08</t>
  </si>
  <si>
    <t>HG01394</t>
    <phoneticPr fontId="4" type="noConversion"/>
  </si>
  <si>
    <t>NA5NA</t>
    <phoneticPr fontId="4" type="noConversion"/>
  </si>
  <si>
    <t>23#-25#</t>
    <phoneticPr fontId="4" type="noConversion"/>
  </si>
  <si>
    <t>NAQSR+02</t>
  </si>
  <si>
    <t>HG01395</t>
    <phoneticPr fontId="4" type="noConversion"/>
  </si>
  <si>
    <t>JW5NA</t>
    <phoneticPr fontId="4" type="noConversion"/>
  </si>
  <si>
    <t>NATYT+01</t>
  </si>
  <si>
    <t>SY8707ABC</t>
  </si>
  <si>
    <t>HG01396</t>
    <phoneticPr fontId="4" type="noConversion"/>
  </si>
  <si>
    <t>TW5NA</t>
    <phoneticPr fontId="4" type="noConversion"/>
  </si>
  <si>
    <t>NAQFH</t>
  </si>
  <si>
    <t>3#-25#</t>
  </si>
  <si>
    <t>HG01397</t>
    <phoneticPr fontId="4" type="noConversion"/>
  </si>
  <si>
    <t>TW5NB</t>
    <phoneticPr fontId="4" type="noConversion"/>
  </si>
  <si>
    <t>NAQFK</t>
  </si>
  <si>
    <t>HG01399</t>
    <phoneticPr fontId="4" type="noConversion"/>
  </si>
  <si>
    <t>TW5ND</t>
    <phoneticPr fontId="4" type="noConversion"/>
  </si>
  <si>
    <t>NAW00</t>
  </si>
  <si>
    <t>SYLS25ABC</t>
    <phoneticPr fontId="4" type="noConversion"/>
  </si>
  <si>
    <t>HG01402</t>
    <phoneticPr fontId="4" type="noConversion"/>
  </si>
  <si>
    <t>MH5NA</t>
    <phoneticPr fontId="4" type="noConversion"/>
  </si>
  <si>
    <t>NA12C</t>
  </si>
  <si>
    <t>17#-21#</t>
    <phoneticPr fontId="4" type="noConversion"/>
  </si>
  <si>
    <t>HG01403</t>
    <phoneticPr fontId="4" type="noConversion"/>
  </si>
  <si>
    <t>XO5NC</t>
    <phoneticPr fontId="4" type="noConversion"/>
  </si>
  <si>
    <t>NA6K2</t>
  </si>
  <si>
    <t>14#-23#,25#</t>
  </si>
  <si>
    <t>NA6K2+01</t>
  </si>
  <si>
    <t>SY8703ABC</t>
    <phoneticPr fontId="4" type="noConversion"/>
  </si>
  <si>
    <t>分档测试，Bin1:标签上品名为SY8703BABC,Bin2:标签上品名为SY8703ABC</t>
  </si>
  <si>
    <t>B28E0</t>
  </si>
  <si>
    <t>HG01404</t>
    <phoneticPr fontId="4" type="noConversion"/>
  </si>
  <si>
    <t>EF5NA</t>
    <phoneticPr fontId="4" type="noConversion"/>
  </si>
  <si>
    <t>NAMRA</t>
  </si>
  <si>
    <t>4#-25#</t>
  </si>
  <si>
    <t>NAMRA+01</t>
  </si>
  <si>
    <t>SY58283N1FAC</t>
    <phoneticPr fontId="4" type="noConversion"/>
  </si>
  <si>
    <t>E35B0+U3X14A</t>
    <phoneticPr fontId="4" type="noConversion"/>
  </si>
  <si>
    <t>HG01405</t>
    <phoneticPr fontId="4" type="noConversion"/>
  </si>
  <si>
    <t>BDN5NA</t>
    <phoneticPr fontId="4" type="noConversion"/>
  </si>
  <si>
    <t>5+23</t>
    <phoneticPr fontId="4" type="noConversion"/>
  </si>
  <si>
    <t>NAWAJ+FKCRH</t>
    <phoneticPr fontId="4" type="noConversion"/>
  </si>
  <si>
    <t>1#-5#+1#-23#</t>
    <phoneticPr fontId="4" type="noConversion"/>
  </si>
  <si>
    <t>FKCRH;NAWAJ</t>
  </si>
  <si>
    <t>SYW232DFC</t>
  </si>
  <si>
    <t>HG01406</t>
    <phoneticPr fontId="4" type="noConversion"/>
  </si>
  <si>
    <t>HU5NB</t>
    <phoneticPr fontId="4" type="noConversion"/>
  </si>
  <si>
    <t>NAWPF</t>
  </si>
  <si>
    <t>HG01407</t>
    <phoneticPr fontId="4" type="noConversion"/>
  </si>
  <si>
    <t>HU5NC</t>
    <phoneticPr fontId="4" type="noConversion"/>
  </si>
  <si>
    <t>NAWPF-1</t>
  </si>
  <si>
    <t>HG01408</t>
    <phoneticPr fontId="4" type="noConversion"/>
  </si>
  <si>
    <t>UJ5NA</t>
    <phoneticPr fontId="4" type="noConversion"/>
  </si>
  <si>
    <t>N971F.01</t>
    <phoneticPr fontId="4" type="noConversion"/>
  </si>
  <si>
    <t>1#~4#</t>
    <phoneticPr fontId="4" type="noConversion"/>
  </si>
  <si>
    <t>N971F.01</t>
  </si>
  <si>
    <t>SY7304DBC</t>
    <phoneticPr fontId="4" type="noConversion"/>
  </si>
  <si>
    <t>B18C1</t>
  </si>
  <si>
    <t>HG01410</t>
    <phoneticPr fontId="4" type="noConversion"/>
  </si>
  <si>
    <t>VI5NA</t>
    <phoneticPr fontId="4" type="noConversion"/>
  </si>
  <si>
    <t>N9PR8</t>
    <phoneticPr fontId="4" type="noConversion"/>
  </si>
  <si>
    <t>15#</t>
    <phoneticPr fontId="4" type="noConversion"/>
  </si>
  <si>
    <t>N9PR8-1</t>
  </si>
  <si>
    <t>HG01411</t>
    <phoneticPr fontId="4" type="noConversion"/>
  </si>
  <si>
    <t>AYG5NA</t>
    <phoneticPr fontId="4" type="noConversion"/>
  </si>
  <si>
    <t>NC01A</t>
  </si>
  <si>
    <t>HG01412</t>
    <phoneticPr fontId="4" type="noConversion"/>
  </si>
  <si>
    <t>JD5NA</t>
    <phoneticPr fontId="4" type="noConversion"/>
  </si>
  <si>
    <t>NAWPM</t>
  </si>
  <si>
    <t>HG01413</t>
    <phoneticPr fontId="4" type="noConversion"/>
  </si>
  <si>
    <t>QV5NA</t>
    <phoneticPr fontId="4" type="noConversion"/>
  </si>
  <si>
    <t>9#-16#</t>
    <phoneticPr fontId="4" type="noConversion"/>
  </si>
  <si>
    <t>NAWF1-1</t>
  </si>
  <si>
    <t>HG01414</t>
    <phoneticPr fontId="4" type="noConversion"/>
  </si>
  <si>
    <t>Dq5NC</t>
    <phoneticPr fontId="4" type="noConversion"/>
  </si>
  <si>
    <t>NC0TQ</t>
  </si>
  <si>
    <t>HG01415</t>
    <phoneticPr fontId="4" type="noConversion"/>
  </si>
  <si>
    <t>Dq5ND</t>
    <phoneticPr fontId="4" type="noConversion"/>
  </si>
  <si>
    <t>NC0TT</t>
  </si>
  <si>
    <t>HG01416</t>
    <phoneticPr fontId="4" type="noConversion"/>
  </si>
  <si>
    <t>Dq5NE</t>
    <phoneticPr fontId="4" type="noConversion"/>
  </si>
  <si>
    <t>NC0TR</t>
    <phoneticPr fontId="4" type="noConversion"/>
  </si>
  <si>
    <t>NC0TR</t>
  </si>
  <si>
    <t>HG01420</t>
    <phoneticPr fontId="4" type="noConversion"/>
  </si>
  <si>
    <t>UV5NA</t>
    <phoneticPr fontId="4" type="noConversion"/>
  </si>
  <si>
    <t>NALTS-1</t>
  </si>
  <si>
    <t>HG01422</t>
    <phoneticPr fontId="4" type="noConversion"/>
  </si>
  <si>
    <t>VT5NC</t>
    <phoneticPr fontId="4" type="noConversion"/>
  </si>
  <si>
    <t>NC0QH</t>
  </si>
  <si>
    <t>HG01423</t>
    <phoneticPr fontId="4" type="noConversion"/>
  </si>
  <si>
    <t>VT5ND</t>
    <phoneticPr fontId="4" type="noConversion"/>
  </si>
  <si>
    <t>NC0QK</t>
  </si>
  <si>
    <t>HG01428</t>
    <phoneticPr fontId="4" type="noConversion"/>
  </si>
  <si>
    <t>RC5NA</t>
    <phoneticPr fontId="4" type="noConversion"/>
  </si>
  <si>
    <t>NC0QL</t>
  </si>
  <si>
    <t>HG01429</t>
    <phoneticPr fontId="4" type="noConversion"/>
  </si>
  <si>
    <t>UJ5NB</t>
    <phoneticPr fontId="4" type="noConversion"/>
  </si>
  <si>
    <t>NC0QL.01</t>
  </si>
  <si>
    <t>1#-14#</t>
  </si>
  <si>
    <t>HG01430</t>
    <phoneticPr fontId="4" type="noConversion"/>
  </si>
  <si>
    <t>VL5NA</t>
    <phoneticPr fontId="4" type="noConversion"/>
  </si>
  <si>
    <t>NC0QM</t>
    <phoneticPr fontId="4" type="noConversion"/>
  </si>
  <si>
    <t>NC0QM</t>
  </si>
  <si>
    <t>HG01431</t>
    <phoneticPr fontId="4" type="noConversion"/>
  </si>
  <si>
    <t>AIV5NA</t>
    <phoneticPr fontId="4" type="noConversion"/>
  </si>
  <si>
    <t>NATK9-1</t>
  </si>
  <si>
    <t>HG01432</t>
    <phoneticPr fontId="4" type="noConversion"/>
  </si>
  <si>
    <t>AJY5NA</t>
    <phoneticPr fontId="4" type="noConversion"/>
  </si>
  <si>
    <t>NAW39-1</t>
  </si>
  <si>
    <t>HG01433</t>
    <phoneticPr fontId="4" type="noConversion"/>
  </si>
  <si>
    <t>AMN5NA</t>
    <phoneticPr fontId="4" type="noConversion"/>
  </si>
  <si>
    <t>NC0QR</t>
  </si>
  <si>
    <t>HG01434</t>
    <phoneticPr fontId="4" type="noConversion"/>
  </si>
  <si>
    <t>NY5NA</t>
    <phoneticPr fontId="4" type="noConversion"/>
  </si>
  <si>
    <t>NC0TN</t>
    <phoneticPr fontId="4" type="noConversion"/>
  </si>
  <si>
    <t>NC0TN</t>
  </si>
  <si>
    <t>E50A4</t>
  </si>
  <si>
    <t>HG01437</t>
    <phoneticPr fontId="4" type="noConversion"/>
  </si>
  <si>
    <t>AVA5NB</t>
    <phoneticPr fontId="4" type="noConversion"/>
  </si>
  <si>
    <t>NC179</t>
  </si>
  <si>
    <t>HG01438</t>
    <phoneticPr fontId="4" type="noConversion"/>
  </si>
  <si>
    <t>AKW5NA</t>
    <phoneticPr fontId="4" type="noConversion"/>
  </si>
  <si>
    <t>18+20</t>
    <phoneticPr fontId="4" type="noConversion"/>
  </si>
  <si>
    <t>NC0F2+(SJ074400+SJ077400+SJ077500)</t>
    <phoneticPr fontId="4" type="noConversion"/>
  </si>
  <si>
    <t>8#-23#+(19#-25#+15#-25#+20#+21#)</t>
    <phoneticPr fontId="4" type="noConversion"/>
  </si>
  <si>
    <t>NC0F2;(SJ074400+SJ077400+SJ077500)</t>
  </si>
  <si>
    <t>SY58203AFAC</t>
    <phoneticPr fontId="4" type="noConversion"/>
  </si>
  <si>
    <t>HG01439</t>
    <phoneticPr fontId="4" type="noConversion"/>
  </si>
  <si>
    <t>AMY5NA</t>
    <phoneticPr fontId="4" type="noConversion"/>
  </si>
  <si>
    <t>NAW5Y.03+SJ086000</t>
    <phoneticPr fontId="4" type="noConversion"/>
  </si>
  <si>
    <t>10#-13#+14#-24#</t>
    <phoneticPr fontId="4" type="noConversion"/>
  </si>
  <si>
    <t>NAW5Y.03;SJ086000</t>
  </si>
  <si>
    <t>HG01442</t>
    <phoneticPr fontId="4" type="noConversion"/>
  </si>
  <si>
    <t>Gq5NA</t>
    <phoneticPr fontId="4" type="noConversion"/>
  </si>
  <si>
    <t>(NA5M2.01+NA5M2.02)+F4C0W</t>
    <phoneticPr fontId="4" type="noConversion"/>
  </si>
  <si>
    <t>(22#-23#+11#-13#)+2#-15#</t>
    <phoneticPr fontId="4" type="noConversion"/>
  </si>
  <si>
    <t>F4C0W;(NA5M2.01+NA5M2.02)</t>
  </si>
  <si>
    <t>HG01443</t>
    <phoneticPr fontId="4" type="noConversion"/>
  </si>
  <si>
    <t>Hv5NB</t>
    <phoneticPr fontId="4" type="noConversion"/>
  </si>
  <si>
    <t>NAWAG+(FAH0K+F7CLC)</t>
    <phoneticPr fontId="4" type="noConversion"/>
  </si>
  <si>
    <t>(FAH0K+F7CLC);NAWAG</t>
  </si>
  <si>
    <t>HG01447</t>
    <phoneticPr fontId="4" type="noConversion"/>
  </si>
  <si>
    <t>VL5NB</t>
    <phoneticPr fontId="4" type="noConversion"/>
  </si>
  <si>
    <t>N8WSH.03</t>
    <phoneticPr fontId="4" type="noConversion"/>
  </si>
  <si>
    <t>N8WSH.03</t>
  </si>
  <si>
    <t>HG01448</t>
    <phoneticPr fontId="4" type="noConversion"/>
  </si>
  <si>
    <t>Ee5NA</t>
    <phoneticPr fontId="4" type="noConversion"/>
  </si>
  <si>
    <t>NC1GK</t>
  </si>
  <si>
    <t>HG01449</t>
    <phoneticPr fontId="4" type="noConversion"/>
  </si>
  <si>
    <t>VC5NA</t>
    <phoneticPr fontId="4" type="noConversion"/>
  </si>
  <si>
    <t>NANHT</t>
  </si>
  <si>
    <t>1#-3#</t>
    <phoneticPr fontId="4" type="noConversion"/>
  </si>
  <si>
    <t>HG01450</t>
    <phoneticPr fontId="4" type="noConversion"/>
  </si>
  <si>
    <t>AVA5NC</t>
    <phoneticPr fontId="4" type="noConversion"/>
  </si>
  <si>
    <t>NC17A</t>
  </si>
  <si>
    <t>HG01451</t>
    <phoneticPr fontId="4" type="noConversion"/>
  </si>
  <si>
    <t>AVA5ND</t>
    <phoneticPr fontId="4" type="noConversion"/>
  </si>
  <si>
    <t>NC17C</t>
  </si>
  <si>
    <t>7#-25#</t>
  </si>
  <si>
    <t>SY8088LACC</t>
    <phoneticPr fontId="4" type="noConversion"/>
  </si>
  <si>
    <t>HG01453</t>
    <phoneticPr fontId="4" type="noConversion"/>
  </si>
  <si>
    <t>ZW5NA</t>
    <phoneticPr fontId="4" type="noConversion"/>
  </si>
  <si>
    <t>NATAT</t>
  </si>
  <si>
    <t>9#-17#</t>
  </si>
  <si>
    <t>NATAT-1</t>
  </si>
  <si>
    <t>HG01458</t>
    <phoneticPr fontId="4" type="noConversion"/>
  </si>
  <si>
    <t>JR5NE</t>
    <phoneticPr fontId="4" type="noConversion"/>
  </si>
  <si>
    <t>NC00R</t>
  </si>
  <si>
    <t>A11I0</t>
    <phoneticPr fontId="4" type="noConversion"/>
  </si>
  <si>
    <t>HG01459</t>
    <phoneticPr fontId="4" type="noConversion"/>
  </si>
  <si>
    <t>QV5NB</t>
    <phoneticPr fontId="4" type="noConversion"/>
  </si>
  <si>
    <t>NAWF1-2</t>
  </si>
  <si>
    <t>A11A1</t>
    <phoneticPr fontId="4" type="noConversion"/>
  </si>
  <si>
    <t>HG01461</t>
    <phoneticPr fontId="4" type="noConversion"/>
  </si>
  <si>
    <t>LH5NA</t>
    <phoneticPr fontId="4" type="noConversion"/>
  </si>
  <si>
    <t>13#-15#</t>
    <phoneticPr fontId="4" type="noConversion"/>
  </si>
  <si>
    <t>NAHT9-2</t>
  </si>
  <si>
    <t>HG01462</t>
    <phoneticPr fontId="4" type="noConversion"/>
  </si>
  <si>
    <t>ADS5NA</t>
    <phoneticPr fontId="4" type="noConversion"/>
  </si>
  <si>
    <t>NAW3C</t>
    <phoneticPr fontId="4" type="noConversion"/>
  </si>
  <si>
    <t>1#-10#</t>
    <phoneticPr fontId="4" type="noConversion"/>
  </si>
  <si>
    <t>NAW3C-1</t>
  </si>
  <si>
    <t>SYH812DEC</t>
    <phoneticPr fontId="4" type="noConversion"/>
  </si>
  <si>
    <t>A21B2</t>
    <phoneticPr fontId="4" type="noConversion"/>
  </si>
  <si>
    <t>HG01463</t>
    <phoneticPr fontId="4" type="noConversion"/>
  </si>
  <si>
    <t>PT5NA</t>
    <phoneticPr fontId="4" type="noConversion"/>
  </si>
  <si>
    <t>NC1GN.02</t>
    <phoneticPr fontId="4" type="noConversion"/>
  </si>
  <si>
    <t>NC1GN.02</t>
  </si>
  <si>
    <t>E10G4</t>
    <phoneticPr fontId="4" type="noConversion"/>
  </si>
  <si>
    <t>HG01464</t>
    <phoneticPr fontId="4" type="noConversion"/>
  </si>
  <si>
    <t>ZT5NA</t>
    <phoneticPr fontId="4" type="noConversion"/>
  </si>
  <si>
    <t>13#-16#</t>
    <phoneticPr fontId="4" type="noConversion"/>
  </si>
  <si>
    <t>NAQFR+01</t>
  </si>
  <si>
    <t>A51A0</t>
    <phoneticPr fontId="4" type="noConversion"/>
  </si>
  <si>
    <t>HG01465</t>
    <phoneticPr fontId="4" type="noConversion"/>
  </si>
  <si>
    <t>TR5NA</t>
    <phoneticPr fontId="4" type="noConversion"/>
  </si>
  <si>
    <t>NC177</t>
    <phoneticPr fontId="4" type="noConversion"/>
  </si>
  <si>
    <t>NC177</t>
  </si>
  <si>
    <t>HG01466</t>
    <phoneticPr fontId="4" type="noConversion"/>
  </si>
  <si>
    <t>TR5NB</t>
    <phoneticPr fontId="4" type="noConversion"/>
  </si>
  <si>
    <t>NC177+01</t>
  </si>
  <si>
    <t>HG01467</t>
    <phoneticPr fontId="4" type="noConversion"/>
  </si>
  <si>
    <t>Dq5NF</t>
    <phoneticPr fontId="4" type="noConversion"/>
  </si>
  <si>
    <t>NC0TR+01</t>
  </si>
  <si>
    <t>SY50132FAC</t>
    <phoneticPr fontId="4" type="noConversion"/>
  </si>
  <si>
    <t>E51E0+U2X12A</t>
  </si>
  <si>
    <t>HG01468</t>
    <phoneticPr fontId="4" type="noConversion"/>
  </si>
  <si>
    <t>ATR5NA</t>
    <phoneticPr fontId="4" type="noConversion"/>
  </si>
  <si>
    <t>5+18</t>
    <phoneticPr fontId="4" type="noConversion"/>
  </si>
  <si>
    <t>NC180.04+F3P0S</t>
    <phoneticPr fontId="4" type="noConversion"/>
  </si>
  <si>
    <t>1#-5#+1#-18#</t>
    <phoneticPr fontId="4" type="noConversion"/>
  </si>
  <si>
    <t>F3P0S;NC180.04</t>
  </si>
  <si>
    <t>HG01470</t>
    <phoneticPr fontId="4" type="noConversion"/>
  </si>
  <si>
    <t>AHH5NA</t>
    <phoneticPr fontId="4" type="noConversion"/>
  </si>
  <si>
    <t>NAW3F</t>
  </si>
  <si>
    <t>HG01471</t>
    <phoneticPr fontId="4" type="noConversion"/>
  </si>
  <si>
    <t>AIV5NB</t>
    <phoneticPr fontId="4" type="noConversion"/>
  </si>
  <si>
    <t>NC0QQ</t>
  </si>
  <si>
    <t>11#-17#</t>
    <phoneticPr fontId="4" type="noConversion"/>
  </si>
  <si>
    <t>HG01472</t>
    <phoneticPr fontId="4" type="noConversion"/>
  </si>
  <si>
    <t>AMN5NB</t>
    <phoneticPr fontId="4" type="noConversion"/>
  </si>
  <si>
    <t>NC0QR-1</t>
  </si>
  <si>
    <t>HG01473</t>
    <phoneticPr fontId="4" type="noConversion"/>
  </si>
  <si>
    <t>AIV5NC</t>
    <phoneticPr fontId="4" type="noConversion"/>
  </si>
  <si>
    <t>NC0QQ-1</t>
  </si>
  <si>
    <t>HG01476</t>
    <phoneticPr fontId="4" type="noConversion"/>
  </si>
  <si>
    <t>ATK5ND</t>
    <phoneticPr fontId="4" type="noConversion"/>
  </si>
  <si>
    <t>10+52</t>
    <phoneticPr fontId="4" type="noConversion"/>
  </si>
  <si>
    <t>NC182+(F4PL4+F6L4A+F0FL3)</t>
    <phoneticPr fontId="4" type="noConversion"/>
  </si>
  <si>
    <t>11#-20#+(1#-25#+1#-25#+1#-2#)</t>
    <phoneticPr fontId="4" type="noConversion"/>
  </si>
  <si>
    <t>(F4PL4+F6L4A+F0FL3);NC182</t>
  </si>
  <si>
    <t>HG01477</t>
    <phoneticPr fontId="4" type="noConversion"/>
  </si>
  <si>
    <t>ATK5NE</t>
    <phoneticPr fontId="4" type="noConversion"/>
  </si>
  <si>
    <t>NC182+F048L</t>
    <phoneticPr fontId="4" type="noConversion"/>
  </si>
  <si>
    <t>F048L;NC182</t>
  </si>
  <si>
    <t>HG01478</t>
    <phoneticPr fontId="4" type="noConversion"/>
  </si>
  <si>
    <t>ATK5NF</t>
    <phoneticPr fontId="4" type="noConversion"/>
  </si>
  <si>
    <t>4+20</t>
    <phoneticPr fontId="4" type="noConversion"/>
  </si>
  <si>
    <t>(NAWAN+NAYP6)+F0FL3</t>
    <phoneticPr fontId="4" type="noConversion"/>
  </si>
  <si>
    <t>(25#+23#-25#)+3#-22#</t>
    <phoneticPr fontId="4" type="noConversion"/>
  </si>
  <si>
    <t>F0FL3;(NAWAN+NAYP6)</t>
  </si>
  <si>
    <t>HG01480</t>
    <phoneticPr fontId="4" type="noConversion"/>
  </si>
  <si>
    <t>ATK5NH</t>
    <phoneticPr fontId="4" type="noConversion"/>
  </si>
  <si>
    <t>NC17Y+(FAYRS+FL6G8+F0FL3)</t>
    <phoneticPr fontId="4" type="noConversion"/>
  </si>
  <si>
    <t>11#-20#+(1#-25#+1#-25#+24#)</t>
    <phoneticPr fontId="4" type="noConversion"/>
  </si>
  <si>
    <t>(FAYRS+FL6G8+F0FL3);NC17Y</t>
  </si>
  <si>
    <t>HG01481</t>
    <phoneticPr fontId="4" type="noConversion"/>
  </si>
  <si>
    <t>BDB5NA</t>
    <phoneticPr fontId="4" type="noConversion"/>
  </si>
  <si>
    <t>NC17Y+FNRHP</t>
    <phoneticPr fontId="4" type="noConversion"/>
  </si>
  <si>
    <t>NC17Y;FNRHP</t>
  </si>
  <si>
    <t>HG01483</t>
    <phoneticPr fontId="4" type="noConversion"/>
  </si>
  <si>
    <t>ATH5NC</t>
    <phoneticPr fontId="4" type="noConversion"/>
  </si>
  <si>
    <t>NC180.05+(FW6PF+FMTW3)</t>
    <phoneticPr fontId="4" type="noConversion"/>
  </si>
  <si>
    <t>10#-15#+(1#-25#+1#-16#)</t>
    <phoneticPr fontId="4" type="noConversion"/>
  </si>
  <si>
    <t>(FW6PF+FMTW3);NC180.05</t>
  </si>
  <si>
    <t>HG01484</t>
    <phoneticPr fontId="4" type="noConversion"/>
  </si>
  <si>
    <t>AGB5NA</t>
    <phoneticPr fontId="4" type="noConversion"/>
  </si>
  <si>
    <t>NATYN</t>
  </si>
  <si>
    <t>NATYN-1</t>
  </si>
  <si>
    <t>HG01487</t>
    <phoneticPr fontId="4" type="noConversion"/>
  </si>
  <si>
    <t>APQ5NA</t>
    <phoneticPr fontId="4" type="noConversion"/>
  </si>
  <si>
    <t>NALM4+(FA3RL+FMSTY)</t>
    <phoneticPr fontId="4" type="noConversion"/>
  </si>
  <si>
    <t>19#-25#+(1#-25#+1#-23#)</t>
    <phoneticPr fontId="4" type="noConversion"/>
  </si>
  <si>
    <t>NALM4;(FA3RL+FMSTY)</t>
  </si>
  <si>
    <t>HG01489</t>
    <phoneticPr fontId="4" type="noConversion"/>
  </si>
  <si>
    <t>AZI5OB</t>
    <phoneticPr fontId="4" type="noConversion"/>
  </si>
  <si>
    <t>NAWAK+(FLT97+F9RNW)</t>
    <phoneticPr fontId="4" type="noConversion"/>
  </si>
  <si>
    <t>(FLT97+F9RNW);NAWAK</t>
  </si>
  <si>
    <t>HG01492</t>
    <phoneticPr fontId="4" type="noConversion"/>
  </si>
  <si>
    <t>AZI5OE</t>
    <phoneticPr fontId="4" type="noConversion"/>
  </si>
  <si>
    <t>NAWAL+(FMH23+FKP8H)</t>
    <phoneticPr fontId="4" type="noConversion"/>
  </si>
  <si>
    <t>8#-15#+(1#-25#+19#)</t>
    <phoneticPr fontId="4" type="noConversion"/>
  </si>
  <si>
    <t>(FMH23+FKP8H);NAWAL</t>
  </si>
  <si>
    <t>HG01497</t>
    <phoneticPr fontId="4" type="noConversion"/>
  </si>
  <si>
    <t>AYR5OC</t>
    <phoneticPr fontId="4" type="noConversion"/>
  </si>
  <si>
    <t>NAW62+(F60WR+FRPYL)</t>
    <phoneticPr fontId="4" type="noConversion"/>
  </si>
  <si>
    <t>11#-20#+(1#-25#+17#-24#)</t>
    <phoneticPr fontId="4" type="noConversion"/>
  </si>
  <si>
    <t>(F60WR+FRPYL);NAW62</t>
  </si>
  <si>
    <t>HG01499</t>
    <phoneticPr fontId="4" type="noConversion"/>
  </si>
  <si>
    <t>AYR5OE</t>
    <phoneticPr fontId="4" type="noConversion"/>
  </si>
  <si>
    <t>NAW63+(F7S3K+F6M6S)</t>
    <phoneticPr fontId="4" type="noConversion"/>
  </si>
  <si>
    <t>1#-10#+(1#-25#+17#-24#)</t>
    <phoneticPr fontId="4" type="noConversion"/>
  </si>
  <si>
    <t>(F7S3K+F6M6S);NAW63</t>
  </si>
  <si>
    <t>HG01500</t>
    <phoneticPr fontId="4" type="noConversion"/>
  </si>
  <si>
    <t>AYR5OF</t>
    <phoneticPr fontId="4" type="noConversion"/>
  </si>
  <si>
    <t>NAW63+(F8KLC+F7CLC)</t>
    <phoneticPr fontId="4" type="noConversion"/>
  </si>
  <si>
    <t>(F8KLC+F7CLC);NAW63</t>
  </si>
  <si>
    <t>HG01501</t>
    <phoneticPr fontId="4" type="noConversion"/>
  </si>
  <si>
    <t>AYR5OG</t>
    <phoneticPr fontId="4" type="noConversion"/>
  </si>
  <si>
    <t>NAW63+FACSC</t>
    <phoneticPr fontId="4" type="noConversion"/>
  </si>
  <si>
    <t>19#-25#+1#-23#</t>
    <phoneticPr fontId="4" type="noConversion"/>
  </si>
  <si>
    <t>FACSC;NAW63</t>
  </si>
  <si>
    <t>HG01502</t>
    <phoneticPr fontId="4" type="noConversion"/>
  </si>
  <si>
    <t>AYR5OH</t>
    <phoneticPr fontId="4" type="noConversion"/>
  </si>
  <si>
    <t>NAW65+(FTCCS+F6M6S)</t>
    <phoneticPr fontId="4" type="noConversion"/>
  </si>
  <si>
    <t>(FTCCS+F6M6S);NAW65</t>
  </si>
  <si>
    <t>HG01503</t>
    <phoneticPr fontId="4" type="noConversion"/>
  </si>
  <si>
    <t>AYR5OI</t>
    <phoneticPr fontId="4" type="noConversion"/>
  </si>
  <si>
    <t>NAW65+FW0MG</t>
    <phoneticPr fontId="4" type="noConversion"/>
  </si>
  <si>
    <t>FW0MG;NAW65</t>
  </si>
  <si>
    <t>HG01504</t>
    <phoneticPr fontId="4" type="noConversion"/>
  </si>
  <si>
    <t>AYR5OJ</t>
    <phoneticPr fontId="4" type="noConversion"/>
  </si>
  <si>
    <t>NAW65+(FWG7R+F6WPA)</t>
    <phoneticPr fontId="4" type="noConversion"/>
  </si>
  <si>
    <t>(FWG7R+F6WPA);NAW65</t>
  </si>
  <si>
    <t>HG01506</t>
    <phoneticPr fontId="4" type="noConversion"/>
  </si>
  <si>
    <t>AYR5OL</t>
    <phoneticPr fontId="4" type="noConversion"/>
  </si>
  <si>
    <t>NAWAF+(FWP6P+F6WPA)</t>
    <phoneticPr fontId="4" type="noConversion"/>
  </si>
  <si>
    <t>(FWP6P+F6WPA);NAWAF</t>
  </si>
  <si>
    <t>HG01507</t>
    <phoneticPr fontId="4" type="noConversion"/>
  </si>
  <si>
    <t>AYR5OM</t>
    <phoneticPr fontId="4" type="noConversion"/>
  </si>
  <si>
    <t>NAWAF+F8SA6</t>
    <phoneticPr fontId="4" type="noConversion"/>
  </si>
  <si>
    <t>F8SA6;NAWAF</t>
  </si>
  <si>
    <t>HG01508</t>
    <phoneticPr fontId="4" type="noConversion"/>
  </si>
  <si>
    <t>AYR5ON</t>
    <phoneticPr fontId="4" type="noConversion"/>
  </si>
  <si>
    <t>NAWAH+(F8SA6+FACSC+FW0MG)</t>
    <phoneticPr fontId="4" type="noConversion"/>
  </si>
  <si>
    <t>1#-4#+(17#-25#+24#-25#+24#-25#)</t>
    <phoneticPr fontId="4" type="noConversion"/>
  </si>
  <si>
    <t>(F8SA6+FACSC+FW0MG);NAWAH</t>
  </si>
  <si>
    <t>HG01511</t>
    <phoneticPr fontId="4" type="noConversion"/>
  </si>
  <si>
    <t>ZT5OA</t>
    <phoneticPr fontId="4" type="noConversion"/>
  </si>
  <si>
    <t>9#-12#</t>
    <phoneticPr fontId="4" type="noConversion"/>
  </si>
  <si>
    <t>NA59S+01</t>
  </si>
  <si>
    <t>HG01512</t>
    <phoneticPr fontId="4" type="noConversion"/>
  </si>
  <si>
    <t>NM5OA</t>
    <phoneticPr fontId="4" type="noConversion"/>
  </si>
  <si>
    <t>N8GNL.02</t>
  </si>
  <si>
    <t>1# -7#,10#</t>
    <phoneticPr fontId="4" type="noConversion"/>
  </si>
  <si>
    <t>HG01514</t>
    <phoneticPr fontId="4" type="noConversion"/>
  </si>
  <si>
    <t>TR5OB</t>
    <phoneticPr fontId="4" type="noConversion"/>
  </si>
  <si>
    <t>NC178</t>
  </si>
  <si>
    <t>NC178+01</t>
  </si>
  <si>
    <t>HG01515</t>
    <phoneticPr fontId="4" type="noConversion"/>
  </si>
  <si>
    <t>MH5OA</t>
    <phoneticPr fontId="4" type="noConversion"/>
  </si>
  <si>
    <t>NA69L</t>
  </si>
  <si>
    <t>HG01516</t>
    <phoneticPr fontId="4" type="noConversion"/>
  </si>
  <si>
    <t>Ee5OA</t>
    <phoneticPr fontId="4" type="noConversion"/>
  </si>
  <si>
    <t>NC1GL</t>
  </si>
  <si>
    <t>HG01518</t>
    <phoneticPr fontId="4" type="noConversion"/>
  </si>
  <si>
    <t>LH5OA</t>
    <phoneticPr fontId="4" type="noConversion"/>
  </si>
  <si>
    <t>16#-18#</t>
    <phoneticPr fontId="4" type="noConversion"/>
  </si>
  <si>
    <t>NAHT9-3</t>
  </si>
  <si>
    <t>HG01519</t>
    <phoneticPr fontId="4" type="noConversion"/>
  </si>
  <si>
    <t>UV5OA</t>
    <phoneticPr fontId="4" type="noConversion"/>
  </si>
  <si>
    <t>NALTT</t>
    <phoneticPr fontId="4" type="noConversion"/>
  </si>
  <si>
    <t>NALTT</t>
  </si>
  <si>
    <t>HG01520</t>
    <phoneticPr fontId="4" type="noConversion"/>
  </si>
  <si>
    <t>PT5OA</t>
    <phoneticPr fontId="4" type="noConversion"/>
  </si>
  <si>
    <t>NC1GP</t>
  </si>
  <si>
    <t>HG01521</t>
    <phoneticPr fontId="4" type="noConversion"/>
  </si>
  <si>
    <t>HU5OA</t>
    <phoneticPr fontId="4" type="noConversion"/>
  </si>
  <si>
    <t>N8WNA</t>
  </si>
  <si>
    <t>HG01522</t>
    <phoneticPr fontId="4" type="noConversion"/>
  </si>
  <si>
    <t>VL5OA</t>
    <phoneticPr fontId="4" type="noConversion"/>
  </si>
  <si>
    <t>NC1M5</t>
    <phoneticPr fontId="4" type="noConversion"/>
  </si>
  <si>
    <t>3#-25#</t>
    <phoneticPr fontId="4" type="noConversion"/>
  </si>
  <si>
    <t>NC1M5</t>
  </si>
  <si>
    <t>HG01523</t>
    <phoneticPr fontId="4" type="noConversion"/>
  </si>
  <si>
    <t>VL5OB</t>
    <phoneticPr fontId="4" type="noConversion"/>
  </si>
  <si>
    <t>NC1M6</t>
    <phoneticPr fontId="4" type="noConversion"/>
  </si>
  <si>
    <t>NC1M6</t>
  </si>
  <si>
    <t>HG01524</t>
    <phoneticPr fontId="4" type="noConversion"/>
  </si>
  <si>
    <t>VL5OC</t>
    <phoneticPr fontId="4" type="noConversion"/>
  </si>
  <si>
    <t>NC1M8</t>
    <phoneticPr fontId="4" type="noConversion"/>
  </si>
  <si>
    <t>NC1M8</t>
  </si>
  <si>
    <t>HG01525</t>
    <phoneticPr fontId="4" type="noConversion"/>
  </si>
  <si>
    <t>RC5OA</t>
    <phoneticPr fontId="4" type="noConversion"/>
  </si>
  <si>
    <t>NC1M7</t>
  </si>
  <si>
    <t>HG01526</t>
    <phoneticPr fontId="4" type="noConversion"/>
  </si>
  <si>
    <t>KF5OA</t>
    <phoneticPr fontId="4" type="noConversion"/>
  </si>
  <si>
    <t>19#-22#</t>
  </si>
  <si>
    <t>NAW3H-2</t>
  </si>
  <si>
    <t>HG01527</t>
    <phoneticPr fontId="4" type="noConversion"/>
  </si>
  <si>
    <t>MC5OA</t>
    <phoneticPr fontId="4" type="noConversion"/>
  </si>
  <si>
    <t>NAW3H-3</t>
  </si>
  <si>
    <t>HG01528</t>
    <phoneticPr fontId="4" type="noConversion"/>
  </si>
  <si>
    <t>AYG5OA</t>
    <phoneticPr fontId="4" type="noConversion"/>
  </si>
  <si>
    <t>NC01A-1</t>
  </si>
  <si>
    <t>HG01529</t>
    <phoneticPr fontId="4" type="noConversion"/>
  </si>
  <si>
    <t>AHI5OA</t>
    <phoneticPr fontId="4" type="noConversion"/>
  </si>
  <si>
    <t>NC1G1</t>
  </si>
  <si>
    <t>HG01530</t>
    <phoneticPr fontId="4" type="noConversion"/>
  </si>
  <si>
    <t>AHH5OA</t>
    <phoneticPr fontId="4" type="noConversion"/>
  </si>
  <si>
    <t>NC1G0</t>
  </si>
  <si>
    <t>HG01531</t>
    <phoneticPr fontId="4" type="noConversion"/>
  </si>
  <si>
    <t>AYJ5OA</t>
    <phoneticPr fontId="4" type="noConversion"/>
  </si>
  <si>
    <t>NAWAH+(SJ067600+SJ067903+SJ068900)</t>
    <phoneticPr fontId="4" type="noConversion"/>
  </si>
  <si>
    <t>5#-14#+(1#~5#,7#~25#+14#-20#+12#)</t>
    <phoneticPr fontId="4" type="noConversion"/>
  </si>
  <si>
    <t>(SJ067600+SJ067903+SJ068900);NAWAH</t>
  </si>
  <si>
    <t>HG01532</t>
    <phoneticPr fontId="4" type="noConversion"/>
  </si>
  <si>
    <t>UP5OA</t>
    <phoneticPr fontId="4" type="noConversion"/>
  </si>
  <si>
    <t>NAGW7.03+DFFAX70480</t>
    <phoneticPr fontId="4" type="noConversion"/>
  </si>
  <si>
    <t>18#-20#</t>
    <phoneticPr fontId="4" type="noConversion"/>
  </si>
  <si>
    <t>NAGW7.03</t>
  </si>
  <si>
    <t>RETEST</t>
    <phoneticPr fontId="4" type="noConversion"/>
  </si>
  <si>
    <t>HG01534</t>
    <phoneticPr fontId="4" type="noConversion"/>
  </si>
  <si>
    <t>LLJGN9NQJ/LLJGN9NQJ.01/LLJGNA29A</t>
    <phoneticPr fontId="4" type="noConversion"/>
  </si>
  <si>
    <t>HG01536</t>
    <phoneticPr fontId="4" type="noConversion"/>
  </si>
  <si>
    <t>AYJ5OB</t>
    <phoneticPr fontId="4" type="noConversion"/>
  </si>
  <si>
    <t>NAWAH+SJ069500</t>
    <phoneticPr fontId="4" type="noConversion"/>
  </si>
  <si>
    <t>15#-21#+2#-24#</t>
    <phoneticPr fontId="4" type="noConversion"/>
  </si>
  <si>
    <t>SJ069500;NAWAH</t>
  </si>
  <si>
    <t>HG01538</t>
    <phoneticPr fontId="4" type="noConversion"/>
  </si>
  <si>
    <t>TR5OD</t>
    <phoneticPr fontId="4" type="noConversion"/>
  </si>
  <si>
    <t>NC29F</t>
    <phoneticPr fontId="4" type="noConversion"/>
  </si>
  <si>
    <t>NC29F+01</t>
  </si>
  <si>
    <t>HG01539</t>
    <phoneticPr fontId="4" type="noConversion"/>
  </si>
  <si>
    <t>TR5OE</t>
    <phoneticPr fontId="4" type="noConversion"/>
  </si>
  <si>
    <t>NC29G</t>
    <phoneticPr fontId="4" type="noConversion"/>
  </si>
  <si>
    <t>NC29G</t>
  </si>
  <si>
    <t>HG01540</t>
    <phoneticPr fontId="4" type="noConversion"/>
  </si>
  <si>
    <t>TR5OF</t>
    <phoneticPr fontId="4" type="noConversion"/>
  </si>
  <si>
    <t>NC29G+01</t>
  </si>
  <si>
    <t>HG01541</t>
    <phoneticPr fontId="4" type="noConversion"/>
  </si>
  <si>
    <t>KW5OA</t>
    <phoneticPr fontId="4" type="noConversion"/>
  </si>
  <si>
    <t>NC0CQ</t>
  </si>
  <si>
    <t>HG01542</t>
    <phoneticPr fontId="4" type="noConversion"/>
  </si>
  <si>
    <t>KW5OB</t>
    <phoneticPr fontId="4" type="noConversion"/>
  </si>
  <si>
    <t>NC0CQ-1</t>
  </si>
  <si>
    <t>HG01543</t>
    <phoneticPr fontId="4" type="noConversion"/>
  </si>
  <si>
    <t>KW5OC</t>
    <phoneticPr fontId="4" type="noConversion"/>
  </si>
  <si>
    <t>NC201</t>
    <phoneticPr fontId="4" type="noConversion"/>
  </si>
  <si>
    <t>NC201</t>
  </si>
  <si>
    <t>HG01544</t>
    <phoneticPr fontId="4" type="noConversion"/>
  </si>
  <si>
    <t>AOF5OB</t>
    <phoneticPr fontId="4" type="noConversion"/>
  </si>
  <si>
    <t>9+25</t>
    <phoneticPr fontId="4" type="noConversion"/>
  </si>
  <si>
    <t>NC1PJ+(SJ095300+SJ092300)</t>
    <phoneticPr fontId="4" type="noConversion"/>
  </si>
  <si>
    <t>11#-19#+(3#-25#+24#-25#)</t>
    <phoneticPr fontId="4" type="noConversion"/>
  </si>
  <si>
    <t>NC1PJ;(SJ095300+SJ092300)</t>
  </si>
  <si>
    <t>HG01546</t>
    <phoneticPr fontId="4" type="noConversion"/>
  </si>
  <si>
    <t>VL5OD</t>
    <phoneticPr fontId="4" type="noConversion"/>
  </si>
  <si>
    <t>NC2WH</t>
  </si>
  <si>
    <t>SY8104ADC</t>
    <phoneticPr fontId="4" type="noConversion"/>
  </si>
  <si>
    <t>HG01547</t>
    <phoneticPr fontId="4" type="noConversion"/>
  </si>
  <si>
    <t>JR5OA</t>
    <phoneticPr fontId="4" type="noConversion"/>
  </si>
  <si>
    <t>NC00T</t>
  </si>
  <si>
    <t>HG01548</t>
    <phoneticPr fontId="4" type="noConversion"/>
  </si>
  <si>
    <t>TW5OA</t>
    <phoneticPr fontId="4" type="noConversion"/>
  </si>
  <si>
    <t>NAQFL</t>
  </si>
  <si>
    <t>HG01550</t>
    <phoneticPr fontId="4" type="noConversion"/>
  </si>
  <si>
    <t>NA5OA</t>
    <phoneticPr fontId="4" type="noConversion"/>
  </si>
  <si>
    <t>NAWF3</t>
  </si>
  <si>
    <t>HG01551</t>
    <phoneticPr fontId="4" type="noConversion"/>
  </si>
  <si>
    <t>TR5OG</t>
    <phoneticPr fontId="4" type="noConversion"/>
  </si>
  <si>
    <t>NC29A</t>
  </si>
  <si>
    <t>HG01552</t>
    <phoneticPr fontId="4" type="noConversion"/>
  </si>
  <si>
    <t>UV5OB</t>
    <phoneticPr fontId="4" type="noConversion"/>
  </si>
  <si>
    <t>NALTT-1</t>
  </si>
  <si>
    <t>HG01554</t>
    <phoneticPr fontId="4" type="noConversion"/>
  </si>
  <si>
    <t>VL5OE</t>
    <phoneticPr fontId="4" type="noConversion"/>
  </si>
  <si>
    <t>NC2WJ</t>
  </si>
  <si>
    <t>NC2WJ</t>
    <phoneticPr fontId="4" type="noConversion"/>
  </si>
  <si>
    <t>HG01557</t>
    <phoneticPr fontId="4" type="noConversion"/>
  </si>
  <si>
    <t>JW5PA</t>
    <phoneticPr fontId="4" type="noConversion"/>
  </si>
  <si>
    <t>NC30Y</t>
  </si>
  <si>
    <t>HG01558</t>
    <phoneticPr fontId="4" type="noConversion"/>
  </si>
  <si>
    <t>JW5PB</t>
    <phoneticPr fontId="4" type="noConversion"/>
  </si>
  <si>
    <t>NC310</t>
  </si>
  <si>
    <t>1#-20#</t>
  </si>
  <si>
    <t>HG01559</t>
    <phoneticPr fontId="4" type="noConversion"/>
  </si>
  <si>
    <t>PT5PA</t>
    <phoneticPr fontId="4" type="noConversion"/>
  </si>
  <si>
    <t>21#-25#</t>
    <phoneticPr fontId="4" type="noConversion"/>
  </si>
  <si>
    <t>E50A5</t>
    <phoneticPr fontId="4" type="noConversion"/>
  </si>
  <si>
    <t>HG01564</t>
    <phoneticPr fontId="4" type="noConversion"/>
  </si>
  <si>
    <t>AVA5PA</t>
    <phoneticPr fontId="4" type="noConversion"/>
  </si>
  <si>
    <t>NC2PS.02</t>
  </si>
  <si>
    <t>1#-6#</t>
    <phoneticPr fontId="4" type="noConversion"/>
  </si>
  <si>
    <t>SY5011FAC</t>
  </si>
  <si>
    <t>HG01565</t>
    <phoneticPr fontId="4" type="noConversion"/>
  </si>
  <si>
    <t>AJE5PA</t>
    <phoneticPr fontId="4" type="noConversion"/>
  </si>
  <si>
    <t>NC1PJ.01</t>
  </si>
  <si>
    <t>SY5802BFAC</t>
  </si>
  <si>
    <t>HG01566</t>
    <phoneticPr fontId="4" type="noConversion"/>
  </si>
  <si>
    <t>AZW5PA</t>
    <phoneticPr fontId="4" type="noConversion"/>
  </si>
  <si>
    <t>NC3AK.01</t>
  </si>
  <si>
    <t>HG01568</t>
    <phoneticPr fontId="4" type="noConversion"/>
  </si>
  <si>
    <t>AHH5PA</t>
    <phoneticPr fontId="4" type="noConversion"/>
  </si>
  <si>
    <t>NC3A4</t>
  </si>
  <si>
    <t>HG01569</t>
    <phoneticPr fontId="4" type="noConversion"/>
  </si>
  <si>
    <t>AHI5PA</t>
    <phoneticPr fontId="4" type="noConversion"/>
  </si>
  <si>
    <t>NC3A5</t>
  </si>
  <si>
    <t>HG01570</t>
    <phoneticPr fontId="4" type="noConversion"/>
  </si>
  <si>
    <t>AMN5PA</t>
    <phoneticPr fontId="4" type="noConversion"/>
  </si>
  <si>
    <t>NC0QR-2</t>
  </si>
  <si>
    <t>HG01571</t>
    <phoneticPr fontId="4" type="noConversion"/>
  </si>
  <si>
    <t>ARJ5PA</t>
    <phoneticPr fontId="4" type="noConversion"/>
  </si>
  <si>
    <t>NAQPW-1</t>
  </si>
  <si>
    <t>HG01572</t>
    <phoneticPr fontId="4" type="noConversion"/>
  </si>
  <si>
    <t>AFZ5PA</t>
    <phoneticPr fontId="4" type="noConversion"/>
  </si>
  <si>
    <t>10#-25#</t>
  </si>
  <si>
    <t>NC3A5-1</t>
  </si>
  <si>
    <t>HG01574</t>
    <phoneticPr fontId="4" type="noConversion"/>
  </si>
  <si>
    <t>JD5PA</t>
    <phoneticPr fontId="4" type="noConversion"/>
  </si>
  <si>
    <t>6#-25#</t>
  </si>
  <si>
    <t>N8WNA-1</t>
  </si>
  <si>
    <t>HG01575</t>
    <phoneticPr fontId="4" type="noConversion"/>
  </si>
  <si>
    <t>JD5PB</t>
    <phoneticPr fontId="4" type="noConversion"/>
  </si>
  <si>
    <t>NC1YR</t>
  </si>
  <si>
    <t>HG01576</t>
    <phoneticPr fontId="4" type="noConversion"/>
  </si>
  <si>
    <t>JD5PC</t>
    <phoneticPr fontId="4" type="noConversion"/>
  </si>
  <si>
    <t>NC1YW</t>
  </si>
  <si>
    <t>HG01577</t>
    <phoneticPr fontId="4" type="noConversion"/>
  </si>
  <si>
    <t>HU5PA</t>
    <phoneticPr fontId="4" type="noConversion"/>
  </si>
  <si>
    <t>NC202</t>
  </si>
  <si>
    <t>HG01578</t>
    <phoneticPr fontId="4" type="noConversion"/>
  </si>
  <si>
    <t>ZW5PA</t>
    <phoneticPr fontId="4" type="noConversion"/>
  </si>
  <si>
    <t>NC29M</t>
  </si>
  <si>
    <t>#15,16,20,21,24,25</t>
  </si>
  <si>
    <t>HG01579</t>
    <phoneticPr fontId="4" type="noConversion"/>
  </si>
  <si>
    <t>ZW5PB</t>
    <phoneticPr fontId="4" type="noConversion"/>
  </si>
  <si>
    <t>NC29M.03</t>
  </si>
  <si>
    <t>#14,17-19,22,23</t>
  </si>
  <si>
    <t>HG01580</t>
    <phoneticPr fontId="4" type="noConversion"/>
  </si>
  <si>
    <t>ZT5PA</t>
    <phoneticPr fontId="4" type="noConversion"/>
  </si>
  <si>
    <t>NA59S+02</t>
  </si>
  <si>
    <t>B27P0</t>
    <phoneticPr fontId="4" type="noConversion"/>
  </si>
  <si>
    <t>HG01581</t>
    <phoneticPr fontId="4" type="noConversion"/>
  </si>
  <si>
    <t>JU5PA</t>
    <phoneticPr fontId="4" type="noConversion"/>
  </si>
  <si>
    <t>NC3MG</t>
    <phoneticPr fontId="4" type="noConversion"/>
  </si>
  <si>
    <t>NC3MG</t>
  </si>
  <si>
    <t>A11E0</t>
    <phoneticPr fontId="4" type="noConversion"/>
  </si>
  <si>
    <t>HG01582</t>
    <phoneticPr fontId="4" type="noConversion"/>
  </si>
  <si>
    <t>NA5PA</t>
    <phoneticPr fontId="4" type="noConversion"/>
  </si>
  <si>
    <t>NAWF3</t>
    <phoneticPr fontId="4" type="noConversion"/>
  </si>
  <si>
    <t>19#-21#</t>
  </si>
  <si>
    <t>NAWF3+01</t>
  </si>
  <si>
    <t>HG01586</t>
    <phoneticPr fontId="4" type="noConversion"/>
  </si>
  <si>
    <t>TR5PB</t>
    <phoneticPr fontId="4" type="noConversion"/>
  </si>
  <si>
    <t>NC29C</t>
    <phoneticPr fontId="4" type="noConversion"/>
  </si>
  <si>
    <t>NC29C</t>
  </si>
  <si>
    <t>B18FA1</t>
    <phoneticPr fontId="4" type="noConversion"/>
  </si>
  <si>
    <t>HG01587</t>
    <phoneticPr fontId="4" type="noConversion"/>
  </si>
  <si>
    <t>TW5PA</t>
    <phoneticPr fontId="4" type="noConversion"/>
  </si>
  <si>
    <r>
      <t>#5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8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17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18</t>
    </r>
  </si>
  <si>
    <t>NAQFL.06+01</t>
  </si>
  <si>
    <t>E02Q1</t>
    <phoneticPr fontId="4" type="noConversion"/>
  </si>
  <si>
    <t>HG01588</t>
    <phoneticPr fontId="4" type="noConversion"/>
  </si>
  <si>
    <t>MH5PA</t>
    <phoneticPr fontId="4" type="noConversion"/>
  </si>
  <si>
    <t>NA12C+01</t>
  </si>
  <si>
    <t>HG01589</t>
    <phoneticPr fontId="4" type="noConversion"/>
  </si>
  <si>
    <t>MH5PB</t>
    <phoneticPr fontId="4" type="noConversion"/>
  </si>
  <si>
    <t>6#-17#</t>
    <phoneticPr fontId="4" type="noConversion"/>
  </si>
  <si>
    <t>NA669+02</t>
  </si>
  <si>
    <t>SY8672BQPC</t>
    <phoneticPr fontId="4" type="noConversion"/>
  </si>
  <si>
    <t>I55A1</t>
    <phoneticPr fontId="4" type="noConversion"/>
  </si>
  <si>
    <t>HG01590</t>
    <phoneticPr fontId="4" type="noConversion"/>
  </si>
  <si>
    <t>AZF5PA</t>
    <phoneticPr fontId="4" type="noConversion"/>
  </si>
  <si>
    <t>NAW3Y.03</t>
    <phoneticPr fontId="4" type="noConversion"/>
  </si>
  <si>
    <t>1#-7#</t>
    <phoneticPr fontId="4" type="noConversion"/>
  </si>
  <si>
    <t>NAW3Y.03</t>
  </si>
  <si>
    <t>E51I0+U2X15A</t>
  </si>
  <si>
    <t>HG01591</t>
    <phoneticPr fontId="4" type="noConversion"/>
  </si>
  <si>
    <t>ATS5PA</t>
    <phoneticPr fontId="4" type="noConversion"/>
  </si>
  <si>
    <t>NC1PP+FSF06</t>
    <phoneticPr fontId="4" type="noConversion"/>
  </si>
  <si>
    <t>11#-17#+6#-25#</t>
    <phoneticPr fontId="4" type="noConversion"/>
  </si>
  <si>
    <t>FSF06;NC1PP</t>
    <phoneticPr fontId="4" type="noConversion"/>
  </si>
  <si>
    <t>HG01595</t>
    <phoneticPr fontId="4" type="noConversion"/>
  </si>
  <si>
    <t>AQU5PB</t>
    <phoneticPr fontId="4" type="noConversion"/>
  </si>
  <si>
    <t>NC1PK.01+(SJ094100+SJ093800)</t>
    <phoneticPr fontId="4" type="noConversion"/>
  </si>
  <si>
    <t>21#-25#+(1#-25#+25#)</t>
    <phoneticPr fontId="4" type="noConversion"/>
  </si>
  <si>
    <t>(SJ094100+SJ093800);NC1PK.01</t>
    <phoneticPr fontId="4" type="noConversion"/>
  </si>
  <si>
    <t>HG01596</t>
    <phoneticPr fontId="4" type="noConversion"/>
  </si>
  <si>
    <t>AKW5PA</t>
    <phoneticPr fontId="4" type="noConversion"/>
  </si>
  <si>
    <t>NC3AP+SJ077600</t>
    <phoneticPr fontId="4" type="noConversion"/>
  </si>
  <si>
    <t>NC3AP;SJ077600</t>
    <phoneticPr fontId="4" type="noConversion"/>
  </si>
  <si>
    <t>HG01598</t>
    <phoneticPr fontId="4" type="noConversion"/>
  </si>
  <si>
    <t>AOF5PA</t>
    <phoneticPr fontId="4" type="noConversion"/>
  </si>
  <si>
    <t>NC3AL+SJ097300</t>
    <phoneticPr fontId="4" type="noConversion"/>
  </si>
  <si>
    <t>1#-9#+1#-25#</t>
    <phoneticPr fontId="4" type="noConversion"/>
  </si>
  <si>
    <t>NC3AL;SJ097300</t>
    <phoneticPr fontId="4" type="noConversion"/>
  </si>
  <si>
    <t>HG01600</t>
    <phoneticPr fontId="4" type="noConversion"/>
  </si>
  <si>
    <t>AVJ5PA</t>
    <phoneticPr fontId="4" type="noConversion"/>
  </si>
  <si>
    <t>4+12+23</t>
    <phoneticPr fontId="4" type="noConversion"/>
  </si>
  <si>
    <t>NC0TW.01+F9FFH+(WF55264.1+WF53328.3)</t>
    <phoneticPr fontId="4" type="noConversion"/>
  </si>
  <si>
    <t>1#-4#+1#-12#+(1#-22#+1#)</t>
    <phoneticPr fontId="4" type="noConversion"/>
  </si>
  <si>
    <t>F9FFH;(WF55264.1+WF53328.3);NC0TW.01</t>
  </si>
  <si>
    <t>HG01602</t>
    <phoneticPr fontId="4" type="noConversion"/>
  </si>
  <si>
    <t>AVJ5PC</t>
    <phoneticPr fontId="4" type="noConversion"/>
  </si>
  <si>
    <t>6+19+36</t>
    <phoneticPr fontId="4" type="noConversion"/>
  </si>
  <si>
    <t>NC0TW.01+FLPN3+(WF56093.1+WF56096.1)</t>
    <phoneticPr fontId="4" type="noConversion"/>
  </si>
  <si>
    <t>10#-15#+1#-19#+(1#-25#+1#-11#)</t>
    <phoneticPr fontId="4" type="noConversion"/>
  </si>
  <si>
    <t>FLPN3;(WF56093.1+WF56096.1);NC0TW.01</t>
  </si>
  <si>
    <t>HG01603</t>
    <phoneticPr fontId="4" type="noConversion"/>
  </si>
  <si>
    <t>VL5PA</t>
    <phoneticPr fontId="4" type="noConversion"/>
  </si>
  <si>
    <t>NC2WK</t>
  </si>
  <si>
    <t>HG01605</t>
    <phoneticPr fontId="4" type="noConversion"/>
  </si>
  <si>
    <t>RC5PB</t>
    <phoneticPr fontId="4" type="noConversion"/>
  </si>
  <si>
    <t>NC1M3</t>
  </si>
  <si>
    <t>HG01607</t>
    <phoneticPr fontId="4" type="noConversion"/>
  </si>
  <si>
    <t>MC5PA</t>
    <phoneticPr fontId="4" type="noConversion"/>
  </si>
  <si>
    <t>NAWNQ.01</t>
  </si>
  <si>
    <t>22#-25#</t>
  </si>
  <si>
    <t>NAWNQ.01-1</t>
  </si>
  <si>
    <t>HG01608</t>
    <phoneticPr fontId="4" type="noConversion"/>
  </si>
  <si>
    <t>JR5PA</t>
    <phoneticPr fontId="4" type="noConversion"/>
  </si>
  <si>
    <t>NC308</t>
  </si>
  <si>
    <t>HG01609</t>
    <phoneticPr fontId="4" type="noConversion"/>
  </si>
  <si>
    <t>JR5PB</t>
    <phoneticPr fontId="4" type="noConversion"/>
  </si>
  <si>
    <t>NC309</t>
  </si>
  <si>
    <t>HG01610</t>
    <phoneticPr fontId="4" type="noConversion"/>
  </si>
  <si>
    <t>JR5PC</t>
    <phoneticPr fontId="4" type="noConversion"/>
  </si>
  <si>
    <t>NC30C</t>
  </si>
  <si>
    <t>HG01611</t>
    <phoneticPr fontId="4" type="noConversion"/>
  </si>
  <si>
    <t>JR5PD</t>
    <phoneticPr fontId="4" type="noConversion"/>
  </si>
  <si>
    <t>NC30F</t>
  </si>
  <si>
    <t>HG01614</t>
    <phoneticPr fontId="4" type="noConversion"/>
  </si>
  <si>
    <t>NY5PB</t>
    <phoneticPr fontId="4" type="noConversion"/>
  </si>
  <si>
    <t>NC3NM</t>
    <phoneticPr fontId="4" type="noConversion"/>
  </si>
  <si>
    <t>NC3NM</t>
  </si>
  <si>
    <t>HG01617</t>
    <phoneticPr fontId="4" type="noConversion"/>
  </si>
  <si>
    <t>AZW5PB</t>
    <phoneticPr fontId="4" type="noConversion"/>
  </si>
  <si>
    <t>NC3AK.01-1</t>
  </si>
  <si>
    <t>SYC812FAC</t>
  </si>
  <si>
    <t>HG01618</t>
    <phoneticPr fontId="4" type="noConversion"/>
  </si>
  <si>
    <t>AIU5PA</t>
    <phoneticPr fontId="4" type="noConversion"/>
  </si>
  <si>
    <t>NAWYP</t>
  </si>
  <si>
    <t>NAWYP-2</t>
  </si>
  <si>
    <t>HG01620</t>
    <phoneticPr fontId="4" type="noConversion"/>
  </si>
  <si>
    <t>AYG5PA</t>
    <phoneticPr fontId="4" type="noConversion"/>
  </si>
  <si>
    <t>NC01A-2</t>
  </si>
  <si>
    <t>HG01621</t>
    <phoneticPr fontId="4" type="noConversion"/>
  </si>
  <si>
    <t>AHI5PB</t>
    <phoneticPr fontId="4" type="noConversion"/>
  </si>
  <si>
    <t>NC3A3</t>
  </si>
  <si>
    <t>HG01624</t>
    <phoneticPr fontId="4" type="noConversion"/>
  </si>
  <si>
    <t>AIV5PA</t>
    <phoneticPr fontId="4" type="noConversion"/>
  </si>
  <si>
    <t>NAW3P</t>
  </si>
  <si>
    <t>HG01626</t>
    <phoneticPr fontId="4" type="noConversion"/>
  </si>
  <si>
    <t>ARU5PA</t>
    <phoneticPr fontId="4" type="noConversion"/>
  </si>
  <si>
    <t>NC2PS</t>
  </si>
  <si>
    <t>NC2PS-1</t>
  </si>
  <si>
    <t>HG01629</t>
    <phoneticPr fontId="4" type="noConversion"/>
  </si>
  <si>
    <t>Ee5PA</t>
    <phoneticPr fontId="4" type="noConversion"/>
  </si>
  <si>
    <t>NC3N6</t>
  </si>
  <si>
    <t>HG01630</t>
    <phoneticPr fontId="4" type="noConversion"/>
  </si>
  <si>
    <t>Ee5PB</t>
    <phoneticPr fontId="4" type="noConversion"/>
  </si>
  <si>
    <t>NC3N5</t>
  </si>
  <si>
    <t>HG01631</t>
    <phoneticPr fontId="4" type="noConversion"/>
  </si>
  <si>
    <t>Ee5PC</t>
    <phoneticPr fontId="4" type="noConversion"/>
  </si>
  <si>
    <t>NC3N3</t>
  </si>
  <si>
    <t>HG01632</t>
    <phoneticPr fontId="4" type="noConversion"/>
  </si>
  <si>
    <t>JD5PD</t>
    <phoneticPr fontId="4" type="noConversion"/>
  </si>
  <si>
    <t>NC202-1</t>
  </si>
  <si>
    <t>HG01633</t>
    <phoneticPr fontId="4" type="noConversion"/>
  </si>
  <si>
    <t>JD5PE</t>
    <phoneticPr fontId="4" type="noConversion"/>
  </si>
  <si>
    <t>NC205</t>
  </si>
  <si>
    <t>HG01634</t>
    <phoneticPr fontId="4" type="noConversion"/>
  </si>
  <si>
    <t>JD5PF</t>
    <phoneticPr fontId="4" type="noConversion"/>
  </si>
  <si>
    <t>NC1YT</t>
  </si>
  <si>
    <t>HG01638</t>
    <phoneticPr fontId="4" type="noConversion"/>
  </si>
  <si>
    <t>ZT5PB</t>
    <phoneticPr fontId="4" type="noConversion"/>
  </si>
  <si>
    <t>NAQFR+02</t>
  </si>
  <si>
    <t>HG01639</t>
    <phoneticPr fontId="4" type="noConversion"/>
  </si>
  <si>
    <t>JU5PB</t>
    <phoneticPr fontId="4" type="noConversion"/>
  </si>
  <si>
    <t>NC3MF</t>
  </si>
  <si>
    <t>HG01641</t>
    <phoneticPr fontId="4" type="noConversion"/>
  </si>
  <si>
    <t>TR5PC</t>
    <phoneticPr fontId="4" type="noConversion"/>
  </si>
  <si>
    <t>NC3MC</t>
  </si>
  <si>
    <t>NC3MC+01</t>
  </si>
  <si>
    <t>HG01642</t>
    <phoneticPr fontId="4" type="noConversion"/>
  </si>
  <si>
    <t>TR5PD</t>
    <phoneticPr fontId="4" type="noConversion"/>
  </si>
  <si>
    <t>HG01643</t>
    <phoneticPr fontId="4" type="noConversion"/>
  </si>
  <si>
    <t>JW5PC</t>
    <phoneticPr fontId="4" type="noConversion"/>
  </si>
  <si>
    <t>NC3FP</t>
  </si>
  <si>
    <t>13#-22#</t>
  </si>
  <si>
    <t>HG01646</t>
  </si>
  <si>
    <t>TW5PC</t>
    <phoneticPr fontId="4" type="noConversion"/>
  </si>
  <si>
    <t>NC3G5</t>
  </si>
  <si>
    <t>HG01647</t>
  </si>
  <si>
    <t>TW5PD</t>
    <phoneticPr fontId="4" type="noConversion"/>
  </si>
  <si>
    <t>NC3G7</t>
  </si>
  <si>
    <t>HG01648</t>
    <phoneticPr fontId="4" type="noConversion"/>
  </si>
  <si>
    <t>TR5PE</t>
    <phoneticPr fontId="4" type="noConversion"/>
  </si>
  <si>
    <t>NC3MA</t>
  </si>
  <si>
    <t>SYLS25ABC</t>
  </si>
  <si>
    <t>HG01649</t>
    <phoneticPr fontId="4" type="noConversion"/>
  </si>
  <si>
    <t>MH5PC</t>
    <phoneticPr fontId="4" type="noConversion"/>
  </si>
  <si>
    <t>NA669+03</t>
  </si>
  <si>
    <t>HG01651</t>
    <phoneticPr fontId="4" type="noConversion"/>
  </si>
  <si>
    <t>UN5PA</t>
    <phoneticPr fontId="4" type="noConversion"/>
  </si>
  <si>
    <t>NAWF3.03+DFG5X70192-E07</t>
    <phoneticPr fontId="4" type="noConversion"/>
  </si>
  <si>
    <t>NAWF3.03</t>
  </si>
  <si>
    <t>HG01660</t>
    <phoneticPr fontId="4" type="noConversion"/>
  </si>
  <si>
    <t>AOF5QA</t>
    <phoneticPr fontId="4" type="noConversion"/>
  </si>
  <si>
    <t>NC3AL+SJ097200</t>
    <phoneticPr fontId="4" type="noConversion"/>
  </si>
  <si>
    <t>19#-25#+1#-8#,10#-21#</t>
    <phoneticPr fontId="4" type="noConversion"/>
  </si>
  <si>
    <t>NC3AL;SJ097200</t>
  </si>
  <si>
    <t>HG01661</t>
    <phoneticPr fontId="4" type="noConversion"/>
  </si>
  <si>
    <t>Ee5QA</t>
    <phoneticPr fontId="4" type="noConversion"/>
  </si>
  <si>
    <t>NC3N4</t>
  </si>
  <si>
    <t>HG01662</t>
    <phoneticPr fontId="4" type="noConversion"/>
  </si>
  <si>
    <t>Ee5QB</t>
    <phoneticPr fontId="4" type="noConversion"/>
  </si>
  <si>
    <t>NC42A</t>
  </si>
  <si>
    <t>HG01668</t>
    <phoneticPr fontId="4" type="noConversion"/>
  </si>
  <si>
    <t>VL5QA</t>
    <phoneticPr fontId="4" type="noConversion"/>
  </si>
  <si>
    <t>NC4RQ</t>
  </si>
  <si>
    <t>HG01669</t>
    <phoneticPr fontId="4" type="noConversion"/>
  </si>
  <si>
    <t>VL5QB</t>
    <phoneticPr fontId="4" type="noConversion"/>
  </si>
  <si>
    <t>NC4RR</t>
  </si>
  <si>
    <t>HG01670</t>
    <phoneticPr fontId="4" type="noConversion"/>
  </si>
  <si>
    <t>VL5QC</t>
    <phoneticPr fontId="4" type="noConversion"/>
  </si>
  <si>
    <t>NC4RS</t>
  </si>
  <si>
    <t>HG01671</t>
    <phoneticPr fontId="4" type="noConversion"/>
  </si>
  <si>
    <t>VL5QD</t>
    <phoneticPr fontId="4" type="noConversion"/>
  </si>
  <si>
    <t>NC4RT</t>
  </si>
  <si>
    <t>HG01674</t>
    <phoneticPr fontId="4" type="noConversion"/>
  </si>
  <si>
    <t>AHH5QA</t>
    <phoneticPr fontId="4" type="noConversion"/>
  </si>
  <si>
    <t>NC4JY</t>
  </si>
  <si>
    <t>NC4JY-1</t>
  </si>
  <si>
    <t>HG01676</t>
    <phoneticPr fontId="4" type="noConversion"/>
  </si>
  <si>
    <t>UH5QB</t>
    <phoneticPr fontId="4" type="noConversion"/>
  </si>
  <si>
    <t>NC3AC</t>
    <phoneticPr fontId="4" type="noConversion"/>
  </si>
  <si>
    <t>NC3AC</t>
  </si>
  <si>
    <t>HG01677</t>
    <phoneticPr fontId="4" type="noConversion"/>
  </si>
  <si>
    <t>JX5QA</t>
    <phoneticPr fontId="4" type="noConversion"/>
  </si>
  <si>
    <t>NC44N</t>
  </si>
  <si>
    <t>1#-5#</t>
    <phoneticPr fontId="4" type="noConversion"/>
  </si>
  <si>
    <t>HG01678</t>
    <phoneticPr fontId="4" type="noConversion"/>
  </si>
  <si>
    <t>JW5QA</t>
    <phoneticPr fontId="4" type="noConversion"/>
  </si>
  <si>
    <t>NC3FP+01</t>
  </si>
  <si>
    <t>HG01679</t>
    <phoneticPr fontId="4" type="noConversion"/>
  </si>
  <si>
    <t>TW5QA</t>
    <phoneticPr fontId="4" type="noConversion"/>
  </si>
  <si>
    <t>NC3G3</t>
  </si>
  <si>
    <t>HG01680</t>
    <phoneticPr fontId="4" type="noConversion"/>
  </si>
  <si>
    <t>TW5QB</t>
    <phoneticPr fontId="4" type="noConversion"/>
  </si>
  <si>
    <t>NC3G8</t>
    <phoneticPr fontId="4" type="noConversion"/>
  </si>
  <si>
    <t>NC3G8</t>
  </si>
  <si>
    <t>HG01683</t>
    <phoneticPr fontId="4" type="noConversion"/>
  </si>
  <si>
    <t>ARJ5QA</t>
    <phoneticPr fontId="4" type="noConversion"/>
  </si>
  <si>
    <t>NAQPW.01</t>
  </si>
  <si>
    <t>SY50103C1FAC</t>
  </si>
  <si>
    <t>HG01685</t>
    <phoneticPr fontId="4" type="noConversion"/>
  </si>
  <si>
    <t>BDB5QA</t>
    <phoneticPr fontId="4" type="noConversion"/>
  </si>
  <si>
    <t>NC1PP.01+FLNMG</t>
    <phoneticPr fontId="4" type="noConversion"/>
  </si>
  <si>
    <t>NC1PP.01;FLNMG</t>
  </si>
  <si>
    <t>HG01686</t>
    <phoneticPr fontId="4" type="noConversion"/>
  </si>
  <si>
    <t>BDB5QB</t>
    <phoneticPr fontId="4" type="noConversion"/>
  </si>
  <si>
    <t>NC1PP.01+FN8YW</t>
    <phoneticPr fontId="4" type="noConversion"/>
  </si>
  <si>
    <t>NC1PP.01;FN8YW</t>
  </si>
  <si>
    <t>HG01687</t>
    <phoneticPr fontId="4" type="noConversion"/>
  </si>
  <si>
    <t>BDB5QC</t>
    <phoneticPr fontId="4" type="noConversion"/>
  </si>
  <si>
    <t>NC3J6+FP83L</t>
    <phoneticPr fontId="4" type="noConversion"/>
  </si>
  <si>
    <t>NC3J6;FP83L</t>
  </si>
  <si>
    <t>HG01688</t>
    <phoneticPr fontId="4" type="noConversion"/>
  </si>
  <si>
    <t>BDB5QD</t>
    <phoneticPr fontId="4" type="noConversion"/>
  </si>
  <si>
    <t>NC3J6+FSC4C</t>
    <phoneticPr fontId="4" type="noConversion"/>
  </si>
  <si>
    <t>NC3J6;FSC4C</t>
  </si>
  <si>
    <t>HG01689</t>
    <phoneticPr fontId="4" type="noConversion"/>
  </si>
  <si>
    <t>BDB5QE</t>
    <phoneticPr fontId="4" type="noConversion"/>
  </si>
  <si>
    <t>NC3J6+F6Y2L</t>
    <phoneticPr fontId="4" type="noConversion"/>
  </si>
  <si>
    <t>NC3J6;F6Y2L</t>
  </si>
  <si>
    <t>SY8003EDFC</t>
    <phoneticPr fontId="4" type="noConversion"/>
  </si>
  <si>
    <t>A25I0</t>
    <phoneticPr fontId="4" type="noConversion"/>
  </si>
  <si>
    <t>HG01693</t>
    <phoneticPr fontId="4" type="noConversion"/>
  </si>
  <si>
    <t>VC5QB</t>
    <phoneticPr fontId="4" type="noConversion"/>
  </si>
  <si>
    <t>NANHT-2</t>
  </si>
  <si>
    <t>HG01694</t>
    <phoneticPr fontId="4" type="noConversion"/>
  </si>
  <si>
    <t>HU5QA</t>
    <phoneticPr fontId="4" type="noConversion"/>
  </si>
  <si>
    <t>SY5814AABC</t>
    <phoneticPr fontId="4" type="noConversion"/>
  </si>
  <si>
    <t>E02D1</t>
  </si>
  <si>
    <t>HG01697</t>
    <phoneticPr fontId="4" type="noConversion"/>
  </si>
  <si>
    <t>HH5QA</t>
    <phoneticPr fontId="4" type="noConversion"/>
  </si>
  <si>
    <t>N7L3H</t>
  </si>
  <si>
    <t>25#</t>
  </si>
  <si>
    <t>N7L3H+01</t>
  </si>
  <si>
    <t>HG01698</t>
    <phoneticPr fontId="4" type="noConversion"/>
  </si>
  <si>
    <t>HH5QB</t>
    <phoneticPr fontId="4" type="noConversion"/>
  </si>
  <si>
    <t>N8C7C</t>
  </si>
  <si>
    <t>HG01699</t>
    <phoneticPr fontId="4" type="noConversion"/>
  </si>
  <si>
    <t>NM5QA</t>
    <phoneticPr fontId="4" type="noConversion"/>
  </si>
  <si>
    <t>NAN0F</t>
  </si>
  <si>
    <t>17#-20#</t>
  </si>
  <si>
    <t>NAN0F+01</t>
  </si>
  <si>
    <t>HG01705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</si>
  <si>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</si>
  <si>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TR5QA</t>
    <phoneticPr fontId="4" type="noConversion"/>
  </si>
  <si>
    <t>NC57K</t>
    <phoneticPr fontId="4" type="noConversion"/>
  </si>
  <si>
    <t>NC57K</t>
  </si>
  <si>
    <t>HG01706</t>
    <phoneticPr fontId="4" type="noConversion"/>
  </si>
  <si>
    <t>TR5QB</t>
    <phoneticPr fontId="4" type="noConversion"/>
  </si>
  <si>
    <t>NC57P</t>
    <phoneticPr fontId="4" type="noConversion"/>
  </si>
  <si>
    <t>NC57P</t>
  </si>
  <si>
    <t>SY6811PDC</t>
    <phoneticPr fontId="4" type="noConversion"/>
  </si>
  <si>
    <t>C16A0</t>
    <phoneticPr fontId="4" type="noConversion"/>
  </si>
  <si>
    <t>JCAP</t>
    <phoneticPr fontId="4" type="noConversion"/>
  </si>
  <si>
    <t>DG00001</t>
    <phoneticPr fontId="4" type="noConversion"/>
  </si>
  <si>
    <t>CSP0.9*0.9-4</t>
    <phoneticPr fontId="4" type="noConversion"/>
  </si>
  <si>
    <t>TI5QA</t>
    <phoneticPr fontId="4" type="noConversion"/>
  </si>
  <si>
    <t>N8CNM</t>
  </si>
  <si>
    <t>N/A</t>
    <phoneticPr fontId="4" type="noConversion"/>
  </si>
  <si>
    <t>DG00002</t>
    <phoneticPr fontId="4" type="noConversion"/>
  </si>
  <si>
    <t>TI5QB</t>
    <phoneticPr fontId="4" type="noConversion"/>
  </si>
  <si>
    <t>N8CNN</t>
  </si>
  <si>
    <t>N/A</t>
  </si>
  <si>
    <t>SY8288CRAC</t>
    <phoneticPr fontId="4" type="noConversion"/>
  </si>
  <si>
    <t>A88C1</t>
    <phoneticPr fontId="4" type="noConversion"/>
  </si>
  <si>
    <t>HG01712</t>
    <phoneticPr fontId="4" type="noConversion"/>
  </si>
  <si>
    <t>BAC5RA</t>
    <phoneticPr fontId="4" type="noConversion"/>
  </si>
  <si>
    <t>NAQ33.10</t>
  </si>
  <si>
    <t>I55A2</t>
    <phoneticPr fontId="4" type="noConversion"/>
  </si>
  <si>
    <t>HG01713</t>
    <phoneticPr fontId="4" type="noConversion"/>
  </si>
  <si>
    <t>AZF5RA</t>
    <phoneticPr fontId="4" type="noConversion"/>
  </si>
  <si>
    <t>NC686</t>
  </si>
  <si>
    <t>19#-25#</t>
  </si>
  <si>
    <t>HG01716</t>
    <phoneticPr fontId="4" type="noConversion"/>
  </si>
  <si>
    <t>ZT5RA</t>
    <phoneticPr fontId="4" type="noConversion"/>
  </si>
  <si>
    <t>NC59Y</t>
  </si>
  <si>
    <t>HG01717</t>
    <phoneticPr fontId="4" type="noConversion"/>
  </si>
  <si>
    <t>JU5RA</t>
    <phoneticPr fontId="4" type="noConversion"/>
  </si>
  <si>
    <t>NC509</t>
  </si>
  <si>
    <t>SY8003EDFC</t>
  </si>
  <si>
    <t>HG01725</t>
    <phoneticPr fontId="4" type="noConversion"/>
  </si>
  <si>
    <t>VC5RA</t>
    <phoneticPr fontId="4" type="noConversion"/>
  </si>
  <si>
    <t>NAP4F</t>
  </si>
  <si>
    <t>HG01728</t>
    <phoneticPr fontId="4" type="noConversion"/>
  </si>
  <si>
    <t>HU5RA</t>
    <phoneticPr fontId="4" type="noConversion"/>
  </si>
  <si>
    <t>NC44H</t>
  </si>
  <si>
    <t>HG01731</t>
    <phoneticPr fontId="4" type="noConversion"/>
  </si>
  <si>
    <t>LH5RA</t>
    <phoneticPr fontId="4" type="noConversion"/>
  </si>
  <si>
    <t>NAHT9-4</t>
  </si>
  <si>
    <t>HG01733</t>
    <phoneticPr fontId="4" type="noConversion"/>
  </si>
  <si>
    <t>LX5RA</t>
    <phoneticPr fontId="4" type="noConversion"/>
  </si>
  <si>
    <t>NAHT9-5</t>
  </si>
  <si>
    <t>HG01734</t>
    <phoneticPr fontId="4" type="noConversion"/>
  </si>
  <si>
    <t>AFZ5RA</t>
    <phoneticPr fontId="4" type="noConversion"/>
  </si>
  <si>
    <t>NC4K1</t>
  </si>
  <si>
    <t>HG01736</t>
    <phoneticPr fontId="4" type="noConversion"/>
  </si>
  <si>
    <t>VL5RB</t>
    <phoneticPr fontId="4" type="noConversion"/>
  </si>
  <si>
    <t>NC4RY</t>
    <phoneticPr fontId="4" type="noConversion"/>
  </si>
  <si>
    <t>NC4RY</t>
  </si>
  <si>
    <t>HG01741</t>
    <phoneticPr fontId="4" type="noConversion"/>
  </si>
  <si>
    <t>ZW5RA</t>
    <phoneticPr fontId="4" type="noConversion"/>
  </si>
  <si>
    <t>NATAT-2</t>
  </si>
  <si>
    <t>HG01745</t>
    <phoneticPr fontId="4" type="noConversion"/>
  </si>
  <si>
    <t>BDB5RA</t>
    <phoneticPr fontId="4" type="noConversion"/>
  </si>
  <si>
    <t>NC3J6+FAMWK</t>
    <phoneticPr fontId="4" type="noConversion"/>
  </si>
  <si>
    <t>NC3J6;FAMWK</t>
  </si>
  <si>
    <t>HG01746</t>
    <phoneticPr fontId="4" type="noConversion"/>
  </si>
  <si>
    <t>ATR5RA</t>
    <phoneticPr fontId="4" type="noConversion"/>
  </si>
  <si>
    <t>NC5RC+FLYM2</t>
    <phoneticPr fontId="4" type="noConversion"/>
  </si>
  <si>
    <t>FLYM2;NC5RC</t>
  </si>
  <si>
    <t>SY58294AFAC</t>
    <phoneticPr fontId="4" type="noConversion"/>
  </si>
  <si>
    <t>HG01748</t>
    <phoneticPr fontId="4" type="noConversion"/>
  </si>
  <si>
    <t>AMM5RA</t>
    <phoneticPr fontId="4" type="noConversion"/>
  </si>
  <si>
    <t>NATYR+SJ037300</t>
    <phoneticPr fontId="4" type="noConversion"/>
  </si>
  <si>
    <t>4#-6#+15#~22#</t>
    <phoneticPr fontId="4" type="noConversion"/>
  </si>
  <si>
    <t>NATYR;SJ037300</t>
  </si>
  <si>
    <t>HG01749</t>
    <phoneticPr fontId="4" type="noConversion"/>
  </si>
  <si>
    <t>AQU5RA</t>
    <phoneticPr fontId="4" type="noConversion"/>
  </si>
  <si>
    <t>NAW5T+(SJ094300+SJ092701)</t>
    <phoneticPr fontId="4" type="noConversion"/>
  </si>
  <si>
    <t>15#-19#+(1#-25#+24#)</t>
    <phoneticPr fontId="4" type="noConversion"/>
  </si>
  <si>
    <t>(SJ094300+SJ092701);NAW5T</t>
  </si>
  <si>
    <t>SY8061DEC</t>
  </si>
  <si>
    <t>HG01754</t>
    <phoneticPr fontId="4" type="noConversion"/>
  </si>
  <si>
    <t>LH5RB</t>
    <phoneticPr fontId="4" type="noConversion"/>
  </si>
  <si>
    <t>NAWNQ</t>
  </si>
  <si>
    <t>HG01756</t>
    <phoneticPr fontId="4" type="noConversion"/>
  </si>
  <si>
    <t>KW5RA</t>
    <phoneticPr fontId="4" type="noConversion"/>
  </si>
  <si>
    <t>NC200</t>
  </si>
  <si>
    <t>HG01758</t>
    <phoneticPr fontId="4" type="noConversion"/>
  </si>
  <si>
    <t>HU5RC</t>
    <phoneticPr fontId="4" type="noConversion"/>
  </si>
  <si>
    <t>NC44N-1</t>
  </si>
  <si>
    <t>HG01759</t>
    <phoneticPr fontId="4" type="noConversion"/>
  </si>
  <si>
    <t>JD5RA</t>
    <phoneticPr fontId="4" type="noConversion"/>
  </si>
  <si>
    <t>NC44M</t>
  </si>
  <si>
    <t>HG01762</t>
    <phoneticPr fontId="4" type="noConversion"/>
  </si>
  <si>
    <t>VT5RB</t>
    <phoneticPr fontId="4" type="noConversion"/>
  </si>
  <si>
    <t>N9Y4M.03</t>
  </si>
  <si>
    <t>1# 2#</t>
  </si>
  <si>
    <t>HG01763</t>
    <phoneticPr fontId="4" type="noConversion"/>
  </si>
  <si>
    <t>VT5RC</t>
    <phoneticPr fontId="4" type="noConversion"/>
  </si>
  <si>
    <t>N96FG</t>
  </si>
  <si>
    <t>1#-6#</t>
  </si>
  <si>
    <t>HG01767</t>
    <phoneticPr fontId="4" type="noConversion"/>
  </si>
  <si>
    <t>AFZ5RB</t>
    <phoneticPr fontId="4" type="noConversion"/>
  </si>
  <si>
    <t>NC591</t>
  </si>
  <si>
    <t>HG01772</t>
    <phoneticPr fontId="4" type="noConversion"/>
  </si>
  <si>
    <t>AHH5RB</t>
    <phoneticPr fontId="4" type="noConversion"/>
  </si>
  <si>
    <t>NC6HN</t>
  </si>
  <si>
    <t>HG01775</t>
    <phoneticPr fontId="4" type="noConversion"/>
  </si>
  <si>
    <t>APQ5RA</t>
    <phoneticPr fontId="4" type="noConversion"/>
  </si>
  <si>
    <t>NAPFY+(FST3F+FMSTY)</t>
    <phoneticPr fontId="4" type="noConversion"/>
  </si>
  <si>
    <t>6#-9#+(1#-25#+24#-25#)</t>
    <phoneticPr fontId="4" type="noConversion"/>
  </si>
  <si>
    <t>NAPFY;(FST3F+FMSTY)</t>
  </si>
  <si>
    <t>HG01777</t>
    <phoneticPr fontId="4" type="noConversion"/>
  </si>
  <si>
    <t>AOF5RC</t>
    <phoneticPr fontId="4" type="noConversion"/>
  </si>
  <si>
    <t>NC49J+SJ103300</t>
    <phoneticPr fontId="4" type="noConversion"/>
  </si>
  <si>
    <t>NC49J;SJ103300</t>
  </si>
  <si>
    <t>HG01778</t>
    <phoneticPr fontId="4" type="noConversion"/>
  </si>
  <si>
    <t>AYJ5RB</t>
    <phoneticPr fontId="4" type="noConversion"/>
  </si>
  <si>
    <t>NAWAM+SJ096000</t>
    <phoneticPr fontId="4" type="noConversion"/>
  </si>
  <si>
    <t>SJ096000;NAWAM</t>
  </si>
  <si>
    <t>HG01779</t>
    <phoneticPr fontId="4" type="noConversion"/>
  </si>
  <si>
    <t>AYJ5RC</t>
    <phoneticPr fontId="4" type="noConversion"/>
  </si>
  <si>
    <t>NAWAM+(SJ096200+SJ096000)</t>
    <phoneticPr fontId="4" type="noConversion"/>
  </si>
  <si>
    <t>12#-19#+(1#-25#+24#)</t>
    <phoneticPr fontId="4" type="noConversion"/>
  </si>
  <si>
    <t>(SJ096200+SJ096000);NAWAM</t>
  </si>
  <si>
    <t>HG01780</t>
    <phoneticPr fontId="4" type="noConversion"/>
  </si>
  <si>
    <t>AYJ5RD</t>
    <phoneticPr fontId="4" type="noConversion"/>
  </si>
  <si>
    <t>NAWAM+SJ096100</t>
    <phoneticPr fontId="4" type="noConversion"/>
  </si>
  <si>
    <t>20#-24#+1#-16#</t>
    <phoneticPr fontId="4" type="noConversion"/>
  </si>
  <si>
    <t>SJ096100;NAWAM</t>
  </si>
  <si>
    <t>HG01781</t>
    <phoneticPr fontId="4" type="noConversion"/>
  </si>
  <si>
    <t>AYJ5RE</t>
    <phoneticPr fontId="4" type="noConversion"/>
  </si>
  <si>
    <t>(NAWAM+NAWAH)+(SJ095900+SJ096000)</t>
    <phoneticPr fontId="4" type="noConversion"/>
  </si>
  <si>
    <t>(25#+23#-25#)+(14#-25#+25#)</t>
    <phoneticPr fontId="4" type="noConversion"/>
  </si>
  <si>
    <t>(SJ095900+SJ096000);(NAWAM+NAWAH)</t>
  </si>
  <si>
    <t>SY7113ABC</t>
  </si>
  <si>
    <t>HG01792</t>
    <phoneticPr fontId="4" type="noConversion"/>
  </si>
  <si>
    <t>NM5RA</t>
    <phoneticPr fontId="4" type="noConversion"/>
  </si>
  <si>
    <t>NAN0F</t>
    <phoneticPr fontId="4" type="noConversion"/>
  </si>
  <si>
    <t>NAN0F+02</t>
  </si>
  <si>
    <t>HG01793</t>
    <phoneticPr fontId="4" type="noConversion"/>
  </si>
  <si>
    <t>JU5RB</t>
    <phoneticPr fontId="4" type="noConversion"/>
  </si>
  <si>
    <t>NC509+01</t>
  </si>
  <si>
    <t>HG01795</t>
    <phoneticPr fontId="4" type="noConversion"/>
  </si>
  <si>
    <t>TR5RA</t>
    <phoneticPr fontId="4" type="noConversion"/>
  </si>
  <si>
    <t>NC6HA</t>
    <phoneticPr fontId="4" type="noConversion"/>
  </si>
  <si>
    <t>NC6HA</t>
  </si>
  <si>
    <t>TR5RD</t>
    <phoneticPr fontId="4" type="noConversion"/>
  </si>
  <si>
    <t>NC6HF</t>
    <phoneticPr fontId="4" type="noConversion"/>
  </si>
  <si>
    <t>1#-6#,13#-25#</t>
    <phoneticPr fontId="4" type="noConversion"/>
  </si>
  <si>
    <t>NC6HF</t>
  </si>
  <si>
    <t>HG01800</t>
    <phoneticPr fontId="4" type="noConversion"/>
  </si>
  <si>
    <t>JW5RA</t>
    <phoneticPr fontId="4" type="noConversion"/>
  </si>
  <si>
    <t>NC6J5</t>
    <phoneticPr fontId="4" type="noConversion"/>
  </si>
  <si>
    <t>NC6J5</t>
  </si>
  <si>
    <t>SYH812DEC</t>
  </si>
  <si>
    <t>HG01805</t>
    <phoneticPr fontId="4" type="noConversion"/>
  </si>
  <si>
    <t>PT5SA</t>
    <phoneticPr fontId="4" type="noConversion"/>
  </si>
  <si>
    <t>NC7A3</t>
  </si>
  <si>
    <t>HG01821</t>
    <phoneticPr fontId="4" type="noConversion"/>
  </si>
  <si>
    <t>PT5SB</t>
    <phoneticPr fontId="4" type="noConversion"/>
  </si>
  <si>
    <t>NC7A4</t>
  </si>
  <si>
    <t>HG01823</t>
    <phoneticPr fontId="4" type="noConversion"/>
  </si>
  <si>
    <t>UV5SA</t>
    <phoneticPr fontId="4" type="noConversion"/>
  </si>
  <si>
    <t>NC7Q6</t>
  </si>
  <si>
    <t>SY8246DNC</t>
  </si>
  <si>
    <t>HG01825</t>
    <phoneticPr fontId="4" type="noConversion"/>
  </si>
  <si>
    <t>AFZ5SA</t>
    <phoneticPr fontId="4" type="noConversion"/>
  </si>
  <si>
    <t>NC1G0.01</t>
  </si>
  <si>
    <r>
      <t>1#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2#</t>
    </r>
  </si>
  <si>
    <t>HG01828</t>
    <phoneticPr fontId="4" type="noConversion"/>
  </si>
  <si>
    <t>AQU5SA</t>
    <phoneticPr fontId="4" type="noConversion"/>
  </si>
  <si>
    <t>NAW5Y+(SJ093500+SJ093204)</t>
    <phoneticPr fontId="4" type="noConversion"/>
  </si>
  <si>
    <t>16#-20#+(1#-25#+25#)</t>
    <phoneticPr fontId="4" type="noConversion"/>
  </si>
  <si>
    <t>((SJ093500+SJ093204);NAW5Y</t>
  </si>
  <si>
    <t>HG01829</t>
    <phoneticPr fontId="4" type="noConversion"/>
  </si>
  <si>
    <t>APQ5SA</t>
    <phoneticPr fontId="4" type="noConversion"/>
  </si>
  <si>
    <t>NAPFY+(F48HM+F8PL7)</t>
    <phoneticPr fontId="4" type="noConversion"/>
  </si>
  <si>
    <t>10#-16#+(1#-16#,18#-25#+2#-25#)</t>
    <phoneticPr fontId="4" type="noConversion"/>
  </si>
  <si>
    <t>NAPFY;(F48HM+F8PL7)</t>
  </si>
  <si>
    <t>HG01831</t>
    <phoneticPr fontId="4" type="noConversion"/>
  </si>
  <si>
    <t>APQ5SC</t>
    <phoneticPr fontId="4" type="noConversion"/>
  </si>
  <si>
    <t>NALM6+(FW33T+FN7LK)</t>
    <phoneticPr fontId="4" type="noConversion"/>
  </si>
  <si>
    <t>1#-4#+(1#-25#+24#-25#)</t>
    <phoneticPr fontId="4" type="noConversion"/>
  </si>
  <si>
    <t>NALM6;(FW33T+FN7LK)</t>
  </si>
  <si>
    <t>后续转宿迁</t>
    <phoneticPr fontId="4" type="noConversion"/>
  </si>
  <si>
    <t>HG01833</t>
    <phoneticPr fontId="4" type="noConversion"/>
  </si>
  <si>
    <t>AXT5SA</t>
    <phoneticPr fontId="4" type="noConversion"/>
  </si>
  <si>
    <t>NALM6+(FARL4+FLTGR)</t>
    <phoneticPr fontId="4" type="noConversion"/>
  </si>
  <si>
    <t>5#-11#+(1#-25#+1#-23#)</t>
    <phoneticPr fontId="4" type="noConversion"/>
  </si>
  <si>
    <t>NALM6;(FARL4+FLTGR)</t>
  </si>
  <si>
    <t>HG01834</t>
    <phoneticPr fontId="4" type="noConversion"/>
  </si>
  <si>
    <t>AXT5SB</t>
    <phoneticPr fontId="4" type="noConversion"/>
  </si>
  <si>
    <t>NALM8+(FS20A+FLTGR)</t>
    <phoneticPr fontId="4" type="noConversion"/>
  </si>
  <si>
    <t>NALM8;(FS20A+FLTGR)</t>
  </si>
  <si>
    <t>HG01836</t>
    <phoneticPr fontId="4" type="noConversion"/>
  </si>
  <si>
    <t>AXT5SD</t>
    <phoneticPr fontId="4" type="noConversion"/>
  </si>
  <si>
    <t>NALM6+(FNWKK+F6WT7)</t>
    <phoneticPr fontId="4" type="noConversion"/>
  </si>
  <si>
    <t>NALM6;(FNWKK+F6WT7)</t>
  </si>
  <si>
    <t>HG01837</t>
    <phoneticPr fontId="4" type="noConversion"/>
  </si>
  <si>
    <t>AXT5SE</t>
    <phoneticPr fontId="4" type="noConversion"/>
  </si>
  <si>
    <t>NALM8+(FAG4S+F6WT7)</t>
    <phoneticPr fontId="4" type="noConversion"/>
  </si>
  <si>
    <t>9#-12#+(1#-25#+24#-25#)</t>
    <phoneticPr fontId="4" type="noConversion"/>
  </si>
  <si>
    <t>NALM8;(FAG4S+F6WT7)</t>
  </si>
  <si>
    <r>
      <t>需</t>
    </r>
    <r>
      <rPr>
        <sz val="10"/>
        <rFont val="Arial"/>
        <family val="2"/>
      </rPr>
      <t>Bumping</t>
    </r>
    <phoneticPr fontId="4" type="noConversion"/>
  </si>
  <si>
    <t>A88B2</t>
  </si>
  <si>
    <t>HG01842</t>
    <phoneticPr fontId="4" type="noConversion"/>
  </si>
  <si>
    <t>BAB5SA</t>
    <phoneticPr fontId="4" type="noConversion"/>
  </si>
  <si>
    <t>NC871</t>
    <phoneticPr fontId="4" type="noConversion"/>
  </si>
  <si>
    <t>NC871</t>
  </si>
  <si>
    <t>SY8288CRAC</t>
  </si>
  <si>
    <t>A88C1</t>
  </si>
  <si>
    <t>HG01843</t>
    <phoneticPr fontId="4" type="noConversion"/>
  </si>
  <si>
    <t>BAC5SA</t>
    <phoneticPr fontId="4" type="noConversion"/>
  </si>
  <si>
    <t>NC894</t>
    <phoneticPr fontId="4" type="noConversion"/>
  </si>
  <si>
    <t>NC894</t>
  </si>
  <si>
    <t>HG01844</t>
    <phoneticPr fontId="4" type="noConversion"/>
  </si>
  <si>
    <t>BAC5SB</t>
    <phoneticPr fontId="4" type="noConversion"/>
  </si>
  <si>
    <t>NC874</t>
    <phoneticPr fontId="4" type="noConversion"/>
  </si>
  <si>
    <t>1#-14#,16#-19#,21#-22#,24#-25#</t>
    <phoneticPr fontId="4" type="noConversion"/>
  </si>
  <si>
    <t>NC874</t>
  </si>
  <si>
    <t>HG01846</t>
    <phoneticPr fontId="4" type="noConversion"/>
  </si>
  <si>
    <t>BAC5SD</t>
    <phoneticPr fontId="4" type="noConversion"/>
  </si>
  <si>
    <t>NC876</t>
    <phoneticPr fontId="4" type="noConversion"/>
  </si>
  <si>
    <t>NC876</t>
  </si>
  <si>
    <t>HG01850</t>
    <phoneticPr fontId="4" type="noConversion"/>
  </si>
  <si>
    <t>KW5SA</t>
    <phoneticPr fontId="4" type="noConversion"/>
  </si>
  <si>
    <t>NC200-1</t>
  </si>
  <si>
    <t>HG01869</t>
    <phoneticPr fontId="4" type="noConversion"/>
  </si>
  <si>
    <t>ZW5SB</t>
    <phoneticPr fontId="4" type="noConversion"/>
  </si>
  <si>
    <t>D94QJ.1</t>
  </si>
  <si>
    <t>D94QJ.1-1</t>
  </si>
  <si>
    <t>HG01880</t>
    <phoneticPr fontId="4" type="noConversion"/>
  </si>
  <si>
    <t>APQ5SF</t>
    <phoneticPr fontId="4" type="noConversion"/>
  </si>
  <si>
    <t>5+34</t>
    <phoneticPr fontId="4" type="noConversion"/>
  </si>
  <si>
    <t>NALM8+(FL2F7+FCGS0)</t>
    <phoneticPr fontId="4" type="noConversion"/>
  </si>
  <si>
    <t>13#-17#+(1#-25#+14#-22#)</t>
    <phoneticPr fontId="4" type="noConversion"/>
  </si>
  <si>
    <t>NALM8;(FL2F7+FCGS0)</t>
  </si>
  <si>
    <t>B17S0</t>
    <phoneticPr fontId="4" type="noConversion"/>
  </si>
  <si>
    <t>HG01886</t>
    <phoneticPr fontId="4" type="noConversion"/>
  </si>
  <si>
    <t>NM5SA</t>
    <phoneticPr fontId="4" type="noConversion"/>
  </si>
  <si>
    <t>NC75Q</t>
    <phoneticPr fontId="4" type="noConversion"/>
  </si>
  <si>
    <t>11#-16#</t>
    <phoneticPr fontId="4" type="noConversion"/>
  </si>
  <si>
    <t>NC75Q</t>
  </si>
  <si>
    <t>SY8100AABC</t>
    <phoneticPr fontId="4" type="noConversion"/>
  </si>
  <si>
    <t>A21A1</t>
    <phoneticPr fontId="4" type="noConversion"/>
  </si>
  <si>
    <t>HG01892</t>
  </si>
  <si>
    <t>HB5SA</t>
    <phoneticPr fontId="4" type="noConversion"/>
  </si>
  <si>
    <t>NC4WJ</t>
    <phoneticPr fontId="4" type="noConversion"/>
  </si>
  <si>
    <t>NC4WJ</t>
  </si>
  <si>
    <t>HG01918</t>
    <phoneticPr fontId="4" type="noConversion"/>
  </si>
  <si>
    <t>VC5TA</t>
    <phoneticPr fontId="4" type="noConversion"/>
  </si>
  <si>
    <t>NAP8A</t>
  </si>
  <si>
    <t>HG01948</t>
  </si>
  <si>
    <t>JX5TA</t>
    <phoneticPr fontId="4" type="noConversion"/>
  </si>
  <si>
    <t>NC8SG</t>
    <phoneticPr fontId="4" type="noConversion"/>
  </si>
  <si>
    <t>NC8SG</t>
  </si>
  <si>
    <t>E50F0</t>
  </si>
  <si>
    <t>HG01956</t>
    <phoneticPr fontId="4" type="noConversion"/>
  </si>
  <si>
    <t>AUD5TA</t>
    <phoneticPr fontId="4" type="noConversion"/>
  </si>
  <si>
    <t>NC6GC.01</t>
  </si>
  <si>
    <t>4#-10#</t>
    <phoneticPr fontId="4" type="noConversion"/>
  </si>
  <si>
    <t>NC6GC.01-1</t>
  </si>
  <si>
    <t>SY5840BFAC</t>
    <phoneticPr fontId="4" type="noConversion"/>
  </si>
  <si>
    <t>E19E1</t>
  </si>
  <si>
    <t>HG01987</t>
    <phoneticPr fontId="4" type="noConversion"/>
  </si>
  <si>
    <t>BDA5TA</t>
    <phoneticPr fontId="4" type="noConversion"/>
  </si>
  <si>
    <t>NAM79.02</t>
  </si>
  <si>
    <t>1#,2#</t>
    <phoneticPr fontId="4" type="noConversion"/>
  </si>
  <si>
    <t>SY8303AIC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</si>
  <si>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</si>
  <si>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HG02007</t>
    <phoneticPr fontId="4" type="noConversion"/>
  </si>
  <si>
    <t>TSOT23-8</t>
    <phoneticPr fontId="4" type="noConversion"/>
  </si>
  <si>
    <t>XD5TC</t>
    <phoneticPr fontId="4" type="noConversion"/>
  </si>
  <si>
    <t>NC57F.09</t>
  </si>
  <si>
    <r>
      <rPr>
        <sz val="10"/>
        <rFont val="宋体"/>
        <family val="3"/>
        <charset val="134"/>
      </rPr>
      <t>订单取消，该片</t>
    </r>
    <r>
      <rPr>
        <sz val="10"/>
        <rFont val="Arial"/>
        <family val="2"/>
        <charset val="134"/>
      </rPr>
      <t>wafer</t>
    </r>
    <r>
      <rPr>
        <sz val="10"/>
        <rFont val="宋体"/>
        <family val="3"/>
        <charset val="134"/>
      </rPr>
      <t>工程用</t>
    </r>
    <phoneticPr fontId="4" type="noConversion"/>
  </si>
  <si>
    <t>SY58593AFAC</t>
    <phoneticPr fontId="4" type="noConversion"/>
  </si>
  <si>
    <t>E02TD0+A2X02A</t>
    <phoneticPr fontId="4" type="noConversion"/>
  </si>
  <si>
    <t>HG00239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</si>
  <si>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</si>
  <si>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AMK5CA</t>
    <phoneticPr fontId="4" type="noConversion"/>
  </si>
  <si>
    <t>11+22</t>
    <phoneticPr fontId="4" type="noConversion"/>
  </si>
  <si>
    <t>NA65G+ SJ045700</t>
    <phoneticPr fontId="4" type="noConversion"/>
  </si>
  <si>
    <t>9#-19#+2#~23#</t>
    <phoneticPr fontId="4" type="noConversion"/>
  </si>
  <si>
    <t>NA65G;SJ045700</t>
  </si>
  <si>
    <t>HG00240</t>
    <phoneticPr fontId="4" type="noConversion"/>
  </si>
  <si>
    <t>AMK5CB</t>
    <phoneticPr fontId="4" type="noConversion"/>
  </si>
  <si>
    <t>6+12</t>
    <phoneticPr fontId="4" type="noConversion"/>
  </si>
  <si>
    <t xml:space="preserve">NA65G+SJ030300 </t>
    <phoneticPr fontId="4" type="noConversion"/>
  </si>
  <si>
    <r>
      <t>20#-25#+4#~8#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10#~16#</t>
    </r>
    <phoneticPr fontId="4" type="noConversion"/>
  </si>
  <si>
    <t>NA65G;SJ030300</t>
  </si>
  <si>
    <t>SY58181NAAC</t>
    <phoneticPr fontId="4" type="noConversion"/>
  </si>
  <si>
    <t>E35B0+U8X13A</t>
    <phoneticPr fontId="4" type="noConversion"/>
  </si>
  <si>
    <t>HG00296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</si>
  <si>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</si>
  <si>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He5EB</t>
    <phoneticPr fontId="4" type="noConversion"/>
  </si>
  <si>
    <t>7+23</t>
    <phoneticPr fontId="4" type="noConversion"/>
  </si>
  <si>
    <t>NAA93+FPKRS</t>
    <phoneticPr fontId="4" type="noConversion"/>
  </si>
  <si>
    <t>2#~14#+1#-23#</t>
    <phoneticPr fontId="4" type="noConversion"/>
  </si>
  <si>
    <t>FPKRS;NAA93</t>
  </si>
  <si>
    <t>SY7305ABC</t>
    <phoneticPr fontId="4" type="noConversion"/>
  </si>
  <si>
    <t>HG00311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</si>
  <si>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</si>
  <si>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Hb5EA</t>
    <phoneticPr fontId="4" type="noConversion"/>
  </si>
  <si>
    <t>NA7T2</t>
    <phoneticPr fontId="4" type="noConversion"/>
  </si>
  <si>
    <t>NA7T2</t>
  </si>
  <si>
    <t>SY8121BABC</t>
    <phoneticPr fontId="4" type="noConversion"/>
  </si>
  <si>
    <t>HG00341</t>
    <phoneticPr fontId="4" type="noConversion"/>
  </si>
  <si>
    <t>TV5EK</t>
    <phoneticPr fontId="4" type="noConversion"/>
  </si>
  <si>
    <t>NACW4</t>
    <phoneticPr fontId="4" type="noConversion"/>
  </si>
  <si>
    <t>1#-12#</t>
    <phoneticPr fontId="4" type="noConversion"/>
  </si>
  <si>
    <t>NACW4</t>
  </si>
  <si>
    <t>SY5002CABC</t>
    <phoneticPr fontId="4" type="noConversion"/>
  </si>
  <si>
    <t>HG00408</t>
    <phoneticPr fontId="4" type="noConversion"/>
  </si>
  <si>
    <t>ZS5EA</t>
    <phoneticPr fontId="4" type="noConversion"/>
  </si>
  <si>
    <t>HTJC</t>
    <phoneticPr fontId="4" type="noConversion"/>
  </si>
  <si>
    <t>N9YA8</t>
  </si>
  <si>
    <t>5#-7#</t>
  </si>
  <si>
    <t>SY5869ABC</t>
    <phoneticPr fontId="4" type="noConversion"/>
  </si>
  <si>
    <t>E06A0</t>
    <phoneticPr fontId="4" type="noConversion"/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</si>
  <si>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4" type="noConversion"/>
  </si>
  <si>
    <t>AG00018</t>
    <phoneticPr fontId="4" type="noConversion"/>
  </si>
  <si>
    <t>Dr5FD</t>
    <phoneticPr fontId="4" type="noConversion"/>
  </si>
  <si>
    <t>NAHHF</t>
  </si>
  <si>
    <t>HG00432</t>
    <phoneticPr fontId="4" type="noConversion"/>
  </si>
  <si>
    <t>He5FC</t>
    <phoneticPr fontId="4" type="noConversion"/>
  </si>
  <si>
    <t>UMC</t>
    <phoneticPr fontId="4" type="noConversion"/>
  </si>
  <si>
    <t>NAHH2+FS6A9</t>
    <phoneticPr fontId="4" type="noConversion"/>
  </si>
  <si>
    <t>1#-7#+1#-23#</t>
    <phoneticPr fontId="4" type="noConversion"/>
  </si>
  <si>
    <t>FS6A9;NAHH2</t>
  </si>
  <si>
    <t>SY5003CABC</t>
    <phoneticPr fontId="4" type="noConversion"/>
  </si>
  <si>
    <t>E51D0</t>
    <phoneticPr fontId="4" type="noConversion"/>
  </si>
  <si>
    <t>AG00033</t>
    <phoneticPr fontId="4" type="noConversion"/>
  </si>
  <si>
    <t>Bd5FA</t>
    <phoneticPr fontId="4" type="noConversion"/>
  </si>
  <si>
    <t>NAJ9K</t>
    <phoneticPr fontId="4" type="noConversion"/>
  </si>
  <si>
    <t>24# 25#</t>
  </si>
  <si>
    <t>NAJ9K</t>
  </si>
  <si>
    <t>SY8120BABC</t>
  </si>
  <si>
    <t>AG00053</t>
    <phoneticPr fontId="4" type="noConversion"/>
  </si>
  <si>
    <t>NB5GD</t>
    <phoneticPr fontId="4" type="noConversion"/>
  </si>
  <si>
    <t>NAGKQ</t>
  </si>
  <si>
    <t>NAGKQ+01</t>
  </si>
  <si>
    <t>SY8034DFC</t>
    <phoneticPr fontId="4" type="noConversion"/>
  </si>
  <si>
    <t>HG00593</t>
    <phoneticPr fontId="4" type="noConversion"/>
  </si>
  <si>
    <t>DFN2*2-8</t>
    <phoneticPr fontId="4" type="noConversion"/>
  </si>
  <si>
    <t>UW5GA</t>
    <phoneticPr fontId="4" type="noConversion"/>
  </si>
  <si>
    <t>NAL0G</t>
  </si>
  <si>
    <t>HG00597</t>
    <phoneticPr fontId="4" type="noConversion"/>
  </si>
  <si>
    <t>UH5GA</t>
    <phoneticPr fontId="4" type="noConversion"/>
  </si>
  <si>
    <t>NAL0H</t>
  </si>
  <si>
    <t>SY8707ABC</t>
    <phoneticPr fontId="4" type="noConversion"/>
  </si>
  <si>
    <t>HG00608</t>
    <phoneticPr fontId="4" type="noConversion"/>
  </si>
  <si>
    <t>TW5GH</t>
    <phoneticPr fontId="4" type="noConversion"/>
  </si>
  <si>
    <t>NAKQY</t>
  </si>
  <si>
    <t>SY5859BFHC</t>
    <phoneticPr fontId="4" type="noConversion"/>
  </si>
  <si>
    <t>E50A0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</si>
  <si>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</si>
  <si>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AVA5HB</t>
    <phoneticPr fontId="4" type="noConversion"/>
  </si>
  <si>
    <t>NAJ9H</t>
  </si>
  <si>
    <t>NAJ9H-1</t>
  </si>
  <si>
    <t>HG00782</t>
    <phoneticPr fontId="4" type="noConversion"/>
  </si>
  <si>
    <t>TW5IE</t>
    <phoneticPr fontId="4" type="noConversion"/>
  </si>
  <si>
    <t>NAMWM</t>
    <phoneticPr fontId="4" type="noConversion"/>
  </si>
  <si>
    <t>NAMWM</t>
  </si>
  <si>
    <t>HG00783</t>
    <phoneticPr fontId="4" type="noConversion"/>
  </si>
  <si>
    <t>TW5IF</t>
    <phoneticPr fontId="4" type="noConversion"/>
  </si>
  <si>
    <t>NAMWN</t>
    <phoneticPr fontId="4" type="noConversion"/>
  </si>
  <si>
    <t>NAMWN</t>
  </si>
  <si>
    <t>HG00860</t>
    <phoneticPr fontId="4" type="noConversion"/>
  </si>
  <si>
    <t>KW5JA</t>
    <phoneticPr fontId="4" type="noConversion"/>
  </si>
  <si>
    <t>NAN2J</t>
    <phoneticPr fontId="4" type="noConversion"/>
  </si>
  <si>
    <t>NAN2J</t>
  </si>
  <si>
    <t>SY8868QMC</t>
    <phoneticPr fontId="4" type="noConversion"/>
  </si>
  <si>
    <t>需Bumping</t>
    <phoneticPr fontId="4" type="noConversion"/>
  </si>
  <si>
    <t>HG00865</t>
    <phoneticPr fontId="4" type="noConversion"/>
  </si>
  <si>
    <t>QFN2x2-10</t>
    <phoneticPr fontId="4" type="noConversion"/>
  </si>
  <si>
    <t>KT5JA</t>
    <phoneticPr fontId="4" type="noConversion"/>
  </si>
  <si>
    <t>NANPN</t>
    <phoneticPr fontId="4" type="noConversion"/>
  </si>
  <si>
    <t>1#-13#</t>
    <phoneticPr fontId="4" type="noConversion"/>
  </si>
  <si>
    <t>NANPN</t>
  </si>
  <si>
    <t>TW5JB</t>
    <phoneticPr fontId="4" type="noConversion"/>
  </si>
  <si>
    <t>NANMW</t>
    <phoneticPr fontId="4" type="noConversion"/>
  </si>
  <si>
    <t>NANMW</t>
  </si>
  <si>
    <t>HG00894</t>
    <phoneticPr fontId="4" type="noConversion"/>
  </si>
  <si>
    <t>HT5JB</t>
    <phoneticPr fontId="4" type="noConversion"/>
  </si>
  <si>
    <t>NA7TK</t>
    <phoneticPr fontId="4" type="noConversion"/>
  </si>
  <si>
    <t>NA7TK+01</t>
  </si>
  <si>
    <t>HG00895</t>
    <phoneticPr fontId="4" type="noConversion"/>
  </si>
  <si>
    <t>HT5JC</t>
    <phoneticPr fontId="4" type="noConversion"/>
  </si>
  <si>
    <t>NA305</t>
    <phoneticPr fontId="4" type="noConversion"/>
  </si>
  <si>
    <t>#6-8,10-15,19-25</t>
  </si>
  <si>
    <t>NA305</t>
  </si>
  <si>
    <t>TSOT23-6</t>
    <phoneticPr fontId="4" type="noConversion"/>
  </si>
  <si>
    <t>JR5JB</t>
    <phoneticPr fontId="4" type="noConversion"/>
  </si>
  <si>
    <t>NANAG</t>
    <phoneticPr fontId="4" type="noConversion"/>
  </si>
  <si>
    <t>1#-25#</t>
    <phoneticPr fontId="4" type="noConversion"/>
  </si>
  <si>
    <t>NANAG</t>
  </si>
  <si>
    <t>SY8104ADC</t>
    <phoneticPr fontId="4" type="noConversion"/>
  </si>
  <si>
    <t>HG00904</t>
    <phoneticPr fontId="4" type="noConversion"/>
  </si>
  <si>
    <t>JR5JD</t>
    <phoneticPr fontId="4" type="noConversion"/>
  </si>
  <si>
    <t>NANAL</t>
    <phoneticPr fontId="4" type="noConversion"/>
  </si>
  <si>
    <t>NANAL</t>
  </si>
  <si>
    <t>SY58281NAAC</t>
    <phoneticPr fontId="4" type="noConversion"/>
  </si>
  <si>
    <t>HG00947</t>
    <phoneticPr fontId="4" type="noConversion"/>
  </si>
  <si>
    <t>Hv5JB</t>
    <phoneticPr fontId="4" type="noConversion"/>
  </si>
  <si>
    <t>NANJ2+F9S0M</t>
    <phoneticPr fontId="4" type="noConversion"/>
  </si>
  <si>
    <t>19#-25#+1#-23#</t>
    <phoneticPr fontId="4" type="noConversion"/>
  </si>
  <si>
    <t>F9S0M;NANJ2</t>
  </si>
  <si>
    <t>SY58282NFAC</t>
    <phoneticPr fontId="4" type="noConversion"/>
  </si>
  <si>
    <t>HG00988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</si>
  <si>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</si>
  <si>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AYR5JD</t>
    <phoneticPr fontId="4" type="noConversion"/>
  </si>
  <si>
    <t>8+26</t>
    <phoneticPr fontId="4" type="noConversion"/>
  </si>
  <si>
    <t>NAP52+(FL4P6+FMW4C)</t>
    <phoneticPr fontId="4" type="noConversion"/>
  </si>
  <si>
    <t>14#-21#+(1#-25#+24#)</t>
    <phoneticPr fontId="4" type="noConversion"/>
  </si>
  <si>
    <t>(FS4TR+FMW4C);NAP52</t>
  </si>
  <si>
    <t>HG01003</t>
    <phoneticPr fontId="4" type="noConversion"/>
  </si>
  <si>
    <t>Hv5JF</t>
    <phoneticPr fontId="4" type="noConversion"/>
  </si>
  <si>
    <t>6+20</t>
    <phoneticPr fontId="4" type="noConversion"/>
  </si>
  <si>
    <t>(NAP52+NAQ31)+(F87LM+F2TGL)</t>
    <phoneticPr fontId="4" type="noConversion"/>
  </si>
  <si>
    <t>(22#-25#+24#-25#)+(11#-25#+1#-5#)</t>
    <phoneticPr fontId="4" type="noConversion"/>
  </si>
  <si>
    <t>(F87LM+F2TGL);(NAP52+NAQ31)</t>
  </si>
  <si>
    <t>SY8288CRAC</t>
    <phoneticPr fontId="4" type="noConversion"/>
  </si>
  <si>
    <t>A88C1</t>
    <phoneticPr fontId="4" type="noConversion"/>
  </si>
  <si>
    <t>HG01078</t>
    <phoneticPr fontId="4" type="noConversion"/>
  </si>
  <si>
    <t>QFN3*3-20</t>
    <phoneticPr fontId="4" type="noConversion"/>
  </si>
  <si>
    <t>BAC5KA</t>
    <phoneticPr fontId="4" type="noConversion"/>
  </si>
  <si>
    <t>NAQ33.02</t>
    <phoneticPr fontId="4" type="noConversion"/>
  </si>
  <si>
    <t>1#-4#</t>
    <phoneticPr fontId="4" type="noConversion"/>
  </si>
  <si>
    <t>NAQ33.02</t>
  </si>
  <si>
    <t>SY6177FAC</t>
    <phoneticPr fontId="4" type="noConversion"/>
  </si>
  <si>
    <t>HG01101</t>
    <phoneticPr fontId="4" type="noConversion"/>
  </si>
  <si>
    <t>AOF5LA</t>
    <phoneticPr fontId="4" type="noConversion"/>
  </si>
  <si>
    <t>N89NG+(SJ092600+SJ092500)</t>
    <phoneticPr fontId="4" type="noConversion"/>
  </si>
  <si>
    <t>17#~25#+(1#~7#,9#~25#+15#)</t>
    <phoneticPr fontId="4" type="noConversion"/>
  </si>
  <si>
    <t>N89NG;(SJ092600+SJ092500)</t>
  </si>
  <si>
    <t>SY58283FAC</t>
    <phoneticPr fontId="4" type="noConversion"/>
  </si>
  <si>
    <t>HG01110</t>
    <phoneticPr fontId="4" type="noConversion"/>
  </si>
  <si>
    <t>AQK5LA</t>
    <phoneticPr fontId="4" type="noConversion"/>
  </si>
  <si>
    <t>12+29</t>
    <phoneticPr fontId="4" type="noConversion"/>
  </si>
  <si>
    <t>NAK2R+(SJ051800+SJ072900)</t>
    <phoneticPr fontId="4" type="noConversion"/>
  </si>
  <si>
    <t>10#-21#+(1#~25#+22#-25#)</t>
    <phoneticPr fontId="4" type="noConversion"/>
  </si>
  <si>
    <t>(SJ051800+SJ072900);NAK2R</t>
  </si>
  <si>
    <t>SYPH83FAC</t>
    <phoneticPr fontId="4" type="noConversion"/>
  </si>
  <si>
    <t>HG01111</t>
    <phoneticPr fontId="4" type="noConversion"/>
  </si>
  <si>
    <t>AQK5LB</t>
    <phoneticPr fontId="4" type="noConversion"/>
  </si>
  <si>
    <t>6+14</t>
    <phoneticPr fontId="4" type="noConversion"/>
  </si>
  <si>
    <t>(NAK30+NAK2R)+SJ069000</t>
    <phoneticPr fontId="4" type="noConversion"/>
  </si>
  <si>
    <t>(24#-25#+22#-25#)+1#-14#</t>
    <phoneticPr fontId="4" type="noConversion"/>
  </si>
  <si>
    <t>SJ069000;(NAK30+NAK2R)</t>
  </si>
  <si>
    <t>SY8061BDEC</t>
    <phoneticPr fontId="4" type="noConversion"/>
  </si>
  <si>
    <t>HG01113</t>
    <phoneticPr fontId="4" type="noConversion"/>
  </si>
  <si>
    <t>DFN2*2-6</t>
    <phoneticPr fontId="4" type="noConversion"/>
  </si>
  <si>
    <t>NW5LA</t>
    <phoneticPr fontId="4" type="noConversion"/>
  </si>
  <si>
    <t>NAGW7.01</t>
    <phoneticPr fontId="4" type="noConversion"/>
  </si>
  <si>
    <t>NAGW7.01-1</t>
  </si>
  <si>
    <t>YG272FAC</t>
    <phoneticPr fontId="4" type="noConversion"/>
  </si>
  <si>
    <t>HG01130</t>
    <phoneticPr fontId="4" type="noConversion"/>
  </si>
  <si>
    <t>YG2725LA</t>
    <phoneticPr fontId="4" type="noConversion"/>
  </si>
  <si>
    <t>NA40C</t>
    <phoneticPr fontId="4" type="noConversion"/>
  </si>
  <si>
    <t>19#-20#</t>
  </si>
  <si>
    <t>NA40C-1</t>
  </si>
  <si>
    <t>SY5810DABC</t>
    <phoneticPr fontId="4" type="noConversion"/>
  </si>
  <si>
    <t>HG01133</t>
    <phoneticPr fontId="4" type="noConversion"/>
  </si>
  <si>
    <t>PC5LA</t>
    <phoneticPr fontId="4" type="noConversion"/>
  </si>
  <si>
    <t>NAQ11</t>
    <phoneticPr fontId="4" type="noConversion"/>
  </si>
  <si>
    <t>NAQ11+01</t>
  </si>
  <si>
    <t>HG01139</t>
    <phoneticPr fontId="4" type="noConversion"/>
  </si>
  <si>
    <t>TW5LA</t>
    <phoneticPr fontId="4" type="noConversion"/>
  </si>
  <si>
    <t>NAMWK</t>
    <phoneticPr fontId="4" type="noConversion"/>
  </si>
  <si>
    <t>NAMWK</t>
  </si>
  <si>
    <t>SY8081EDQC</t>
    <phoneticPr fontId="4" type="noConversion"/>
  </si>
  <si>
    <t>A11M0</t>
  </si>
  <si>
    <t>HG01142</t>
    <phoneticPr fontId="4" type="noConversion"/>
  </si>
  <si>
    <t>DFN1.5×1.5-6</t>
    <phoneticPr fontId="4" type="noConversion"/>
  </si>
  <si>
    <t>RL5LA</t>
    <phoneticPr fontId="4" type="noConversion"/>
  </si>
  <si>
    <t>NAGW7.02</t>
    <phoneticPr fontId="4" type="noConversion"/>
  </si>
  <si>
    <t>21#-23#</t>
  </si>
  <si>
    <t>NAGW7.02</t>
  </si>
  <si>
    <t>SY8724QIC</t>
    <phoneticPr fontId="4" type="noConversion"/>
  </si>
  <si>
    <t>B18Q1+B18S0</t>
    <phoneticPr fontId="4" type="noConversion"/>
  </si>
  <si>
    <t>HG01148</t>
    <phoneticPr fontId="4" type="noConversion"/>
  </si>
  <si>
    <t>QFN4*4-16L</t>
    <phoneticPr fontId="4" type="noConversion"/>
  </si>
  <si>
    <t>AKT5LA</t>
    <phoneticPr fontId="4" type="noConversion"/>
  </si>
  <si>
    <t>13+13</t>
    <phoneticPr fontId="4" type="noConversion"/>
  </si>
  <si>
    <t>(NAMWP+NAF3A)+NAMWP.02</t>
    <phoneticPr fontId="4" type="noConversion"/>
  </si>
  <si>
    <t>(1#-12#+25#)+13#-25#</t>
    <phoneticPr fontId="4" type="noConversion"/>
  </si>
  <si>
    <t>(NAMWP+NAF3A);NAMWP.02</t>
  </si>
  <si>
    <t>SY8223DBC</t>
    <phoneticPr fontId="4" type="noConversion"/>
  </si>
  <si>
    <t>HG01151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</si>
  <si>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</si>
  <si>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XA5LA</t>
    <phoneticPr fontId="4" type="noConversion"/>
  </si>
  <si>
    <t>NAFF9.02</t>
    <phoneticPr fontId="4" type="noConversion"/>
  </si>
  <si>
    <t>11#-13#</t>
  </si>
  <si>
    <t>NAFF9.02</t>
  </si>
  <si>
    <t>SY8501FCC</t>
    <phoneticPr fontId="4" type="noConversion"/>
  </si>
  <si>
    <t>A99A3</t>
  </si>
  <si>
    <t>HG01152</t>
    <phoneticPr fontId="4" type="noConversion"/>
  </si>
  <si>
    <t>AMA5LA</t>
    <phoneticPr fontId="4" type="noConversion"/>
  </si>
  <si>
    <t>NALL1</t>
    <phoneticPr fontId="4" type="noConversion"/>
  </si>
  <si>
    <t>NALL1</t>
  </si>
  <si>
    <t>SY5850EFHC</t>
    <phoneticPr fontId="4" type="noConversion"/>
  </si>
  <si>
    <t>E50C1</t>
    <phoneticPr fontId="4" type="noConversion"/>
  </si>
  <si>
    <t>HG01157</t>
    <phoneticPr fontId="4" type="noConversion"/>
  </si>
  <si>
    <t>BCT5LA</t>
    <phoneticPr fontId="4" type="noConversion"/>
  </si>
  <si>
    <t>NAJ9J.12</t>
    <phoneticPr fontId="4" type="noConversion"/>
  </si>
  <si>
    <t>NAJ9J.12</t>
  </si>
  <si>
    <t>SY6712ABC</t>
    <phoneticPr fontId="4" type="noConversion"/>
  </si>
  <si>
    <t>L01B0</t>
  </si>
  <si>
    <t>HG01159</t>
    <phoneticPr fontId="4" type="noConversion"/>
  </si>
  <si>
    <t>Ef5LA</t>
    <phoneticPr fontId="4" type="noConversion"/>
  </si>
  <si>
    <t>NART2.02</t>
    <phoneticPr fontId="4" type="noConversion"/>
  </si>
  <si>
    <t>NART2.02</t>
  </si>
  <si>
    <t>SY8029AIC</t>
    <phoneticPr fontId="4" type="noConversion"/>
  </si>
  <si>
    <t>A70A0</t>
  </si>
  <si>
    <t>HG01168</t>
    <phoneticPr fontId="4" type="noConversion"/>
  </si>
  <si>
    <t>ZY5LA</t>
    <phoneticPr fontId="4" type="noConversion"/>
  </si>
  <si>
    <t>NARSM</t>
    <phoneticPr fontId="4" type="noConversion"/>
  </si>
  <si>
    <t>NARSM</t>
  </si>
  <si>
    <t>SY50103CFAC</t>
  </si>
  <si>
    <t>HG01170</t>
    <phoneticPr fontId="4" type="noConversion"/>
  </si>
  <si>
    <t>ASK5LE</t>
    <phoneticPr fontId="4" type="noConversion"/>
  </si>
  <si>
    <t>N9SYP+(SJ086800+SJ086600)</t>
    <phoneticPr fontId="4" type="noConversion"/>
  </si>
  <si>
    <t>8#-15#+(1#-25#+24#)</t>
    <phoneticPr fontId="4" type="noConversion"/>
  </si>
  <si>
    <t>N9SYP;(SJ086800+SJ086600)</t>
  </si>
  <si>
    <t>HG01196</t>
    <phoneticPr fontId="4" type="noConversion"/>
  </si>
  <si>
    <t>HT5LB</t>
    <phoneticPr fontId="4" type="noConversion"/>
  </si>
  <si>
    <t>NATK6+01</t>
  </si>
  <si>
    <t>SY8088LACC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</si>
  <si>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</si>
  <si>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ZW5LC</t>
    <phoneticPr fontId="4" type="noConversion"/>
  </si>
  <si>
    <t>SY7066BQMC</t>
    <phoneticPr fontId="4" type="noConversion"/>
  </si>
  <si>
    <t>HG01206</t>
    <phoneticPr fontId="4" type="noConversion"/>
  </si>
  <si>
    <t>QFN2*2-10</t>
    <phoneticPr fontId="4" type="noConversion"/>
  </si>
  <si>
    <t>XZ5LA</t>
    <phoneticPr fontId="4" type="noConversion"/>
  </si>
  <si>
    <t>NATY0.01</t>
    <phoneticPr fontId="4" type="noConversion"/>
  </si>
  <si>
    <t>NATY0.01</t>
  </si>
  <si>
    <t>SY98081QUC</t>
    <phoneticPr fontId="4" type="noConversion"/>
  </si>
  <si>
    <t>A11Q0+MPH160805S1R0MT</t>
  </si>
  <si>
    <t>HG01217</t>
    <phoneticPr fontId="4" type="noConversion"/>
  </si>
  <si>
    <t>QFN2*1.5-8</t>
    <phoneticPr fontId="4" type="noConversion"/>
  </si>
  <si>
    <t>YG5LA</t>
    <phoneticPr fontId="4" type="noConversion"/>
  </si>
  <si>
    <t>NAQSR.02+(LE1412040296+LE1411190475)</t>
    <phoneticPr fontId="4" type="noConversion"/>
  </si>
  <si>
    <t>1#-5#</t>
    <phoneticPr fontId="4" type="noConversion"/>
  </si>
  <si>
    <t>NAQSR.02</t>
  </si>
  <si>
    <t>SY6822QMC</t>
    <phoneticPr fontId="4" type="noConversion"/>
  </si>
  <si>
    <t>C19A1</t>
    <phoneticPr fontId="4" type="noConversion"/>
  </si>
  <si>
    <t>HG01218</t>
    <phoneticPr fontId="4" type="noConversion"/>
  </si>
  <si>
    <t>WK5LA</t>
    <phoneticPr fontId="4" type="noConversion"/>
  </si>
  <si>
    <t>N8J4R.05</t>
  </si>
  <si>
    <t>#1,2</t>
  </si>
  <si>
    <t>SY5800AFAC</t>
    <phoneticPr fontId="4" type="noConversion"/>
  </si>
  <si>
    <t>HG01220</t>
    <phoneticPr fontId="4" type="noConversion"/>
  </si>
  <si>
    <t>AFB5LA</t>
    <phoneticPr fontId="4" type="noConversion"/>
  </si>
  <si>
    <t>SY7066AQMC</t>
    <phoneticPr fontId="4" type="noConversion"/>
  </si>
  <si>
    <t>HG01223</t>
    <phoneticPr fontId="4" type="noConversion"/>
  </si>
  <si>
    <t>Aa5LA</t>
    <phoneticPr fontId="4" type="noConversion"/>
  </si>
  <si>
    <t>NATY0.02</t>
  </si>
  <si>
    <t>SY8081DQC</t>
    <phoneticPr fontId="4" type="noConversion"/>
  </si>
  <si>
    <t>HG01258</t>
    <phoneticPr fontId="4" type="noConversion"/>
  </si>
  <si>
    <t>MN5MB</t>
    <phoneticPr fontId="4" type="noConversion"/>
  </si>
  <si>
    <t>NAWCY</t>
    <phoneticPr fontId="4" type="noConversion"/>
  </si>
  <si>
    <t>13#-25#</t>
    <phoneticPr fontId="4" type="noConversion"/>
  </si>
  <si>
    <t>NAWCY-1</t>
  </si>
  <si>
    <t>SY8881DQC</t>
    <phoneticPr fontId="4" type="noConversion"/>
  </si>
  <si>
    <t>HG01259</t>
    <phoneticPr fontId="4" type="noConversion"/>
  </si>
  <si>
    <t>MN5MC</t>
    <phoneticPr fontId="4" type="noConversion"/>
  </si>
  <si>
    <t>NAWF0</t>
    <phoneticPr fontId="4" type="noConversion"/>
  </si>
  <si>
    <t>NAWF0</t>
  </si>
  <si>
    <t>HG01265</t>
    <phoneticPr fontId="4" type="noConversion"/>
  </si>
  <si>
    <t>AHI5MA</t>
    <phoneticPr fontId="4" type="noConversion"/>
  </si>
  <si>
    <t>NAW37</t>
    <phoneticPr fontId="4" type="noConversion"/>
  </si>
  <si>
    <t>NAW37</t>
  </si>
  <si>
    <t>HG01266</t>
    <phoneticPr fontId="4" type="noConversion"/>
  </si>
  <si>
    <t>AHI5MB</t>
    <phoneticPr fontId="4" type="noConversion"/>
  </si>
  <si>
    <t>NAW38</t>
    <phoneticPr fontId="4" type="noConversion"/>
  </si>
  <si>
    <t>NAW38</t>
  </si>
  <si>
    <t>SY8660CDPC</t>
    <phoneticPr fontId="4" type="noConversion"/>
  </si>
  <si>
    <t>HG01270</t>
    <phoneticPr fontId="4" type="noConversion"/>
  </si>
  <si>
    <t>DFN3x3-14</t>
    <phoneticPr fontId="4" type="noConversion"/>
  </si>
  <si>
    <t>ASW5MA</t>
    <phoneticPr fontId="4" type="noConversion"/>
  </si>
  <si>
    <t>N9FSJ.04</t>
    <phoneticPr fontId="4" type="noConversion"/>
  </si>
  <si>
    <t>16#-21#</t>
    <phoneticPr fontId="4" type="noConversion"/>
  </si>
  <si>
    <t>N9FSJ.04-1</t>
  </si>
  <si>
    <t>SY5850AFHC</t>
    <phoneticPr fontId="4" type="noConversion"/>
  </si>
  <si>
    <t>E50A4</t>
    <phoneticPr fontId="4" type="noConversion"/>
  </si>
  <si>
    <t>ARU5MA</t>
    <phoneticPr fontId="4" type="noConversion"/>
  </si>
  <si>
    <t>NAY6Y</t>
    <phoneticPr fontId="4" type="noConversion"/>
  </si>
  <si>
    <t>7#-16#</t>
    <phoneticPr fontId="4" type="noConversion"/>
  </si>
  <si>
    <t>NAY6Y</t>
  </si>
  <si>
    <t>HG01274</t>
    <phoneticPr fontId="4" type="noConversion"/>
  </si>
  <si>
    <t>AVA5MC</t>
    <phoneticPr fontId="4" type="noConversion"/>
  </si>
  <si>
    <t>NAY71</t>
    <phoneticPr fontId="4" type="noConversion"/>
  </si>
  <si>
    <t>NAY71-1</t>
  </si>
  <si>
    <t>SY6883ABC</t>
    <phoneticPr fontId="4" type="noConversion"/>
  </si>
  <si>
    <t>C08B5</t>
  </si>
  <si>
    <t>HG01279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</si>
  <si>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</si>
  <si>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RP5MB</t>
    <phoneticPr fontId="4" type="noConversion"/>
  </si>
  <si>
    <t>N7QCT.07</t>
    <phoneticPr fontId="4" type="noConversion"/>
  </si>
  <si>
    <t>14#~21#</t>
  </si>
  <si>
    <t>N7QCT.07</t>
  </si>
  <si>
    <t>SY58282LFAC</t>
    <phoneticPr fontId="4" type="noConversion"/>
  </si>
  <si>
    <t>HG01287</t>
    <phoneticPr fontId="4" type="noConversion"/>
  </si>
  <si>
    <t>AWU5ME</t>
    <phoneticPr fontId="4" type="noConversion"/>
  </si>
  <si>
    <t>7+20</t>
    <phoneticPr fontId="4" type="noConversion"/>
  </si>
  <si>
    <t>NAW0G+F00TL</t>
    <phoneticPr fontId="4" type="noConversion"/>
  </si>
  <si>
    <t>19#-25#+1#-20#</t>
    <phoneticPr fontId="4" type="noConversion"/>
  </si>
  <si>
    <t>F00TL;NAW0G</t>
  </si>
  <si>
    <t>HG01289</t>
    <phoneticPr fontId="4" type="noConversion"/>
  </si>
  <si>
    <t>AWU5MG</t>
    <phoneticPr fontId="4" type="noConversion"/>
  </si>
  <si>
    <t>8+23</t>
    <phoneticPr fontId="4" type="noConversion"/>
  </si>
  <si>
    <t>NAW0F+FW9PT</t>
    <phoneticPr fontId="4" type="noConversion"/>
  </si>
  <si>
    <t>10#-17#+1#-23#</t>
    <phoneticPr fontId="4" type="noConversion"/>
  </si>
  <si>
    <t>FW9PT;NAW0F</t>
  </si>
  <si>
    <t>SY58596YFAC</t>
    <phoneticPr fontId="4" type="noConversion"/>
  </si>
  <si>
    <t>AZH5MB</t>
    <phoneticPr fontId="4" type="noConversion"/>
  </si>
  <si>
    <t>4+50</t>
    <phoneticPr fontId="4" type="noConversion"/>
  </si>
  <si>
    <t>NATCC.03+(F3A6L+F8GL4)</t>
    <phoneticPr fontId="4" type="noConversion"/>
  </si>
  <si>
    <t>15#-18#+(1#-25#+1#-25#)</t>
    <phoneticPr fontId="4" type="noConversion"/>
  </si>
  <si>
    <t>(F3A6L+F8GL4);NATCC.03</t>
  </si>
  <si>
    <t>SY6819FAC</t>
    <phoneticPr fontId="4" type="noConversion"/>
  </si>
  <si>
    <t>C29A2</t>
  </si>
  <si>
    <t>HG01301</t>
    <phoneticPr fontId="4" type="noConversion"/>
  </si>
  <si>
    <t>AUG5MA</t>
    <phoneticPr fontId="4" type="noConversion"/>
  </si>
  <si>
    <t>NATLC</t>
    <phoneticPr fontId="4" type="noConversion"/>
  </si>
  <si>
    <t>10#-13#</t>
    <phoneticPr fontId="4" type="noConversion"/>
  </si>
  <si>
    <t>NATLC-1</t>
  </si>
  <si>
    <t>HG01302</t>
    <phoneticPr fontId="4" type="noConversion"/>
  </si>
  <si>
    <t>AYR5MA</t>
    <phoneticPr fontId="4" type="noConversion"/>
  </si>
  <si>
    <t>10+33</t>
    <phoneticPr fontId="4" type="noConversion"/>
  </si>
  <si>
    <t>NATL2+(F7M4W+FLAY6)</t>
    <phoneticPr fontId="4" type="noConversion"/>
  </si>
  <si>
    <t>8#-17#+(1#-25#+1#-8#)</t>
    <phoneticPr fontId="4" type="noConversion"/>
  </si>
  <si>
    <t>(F7M4W+FLAY6);NATL2</t>
  </si>
  <si>
    <t>SYK594AFAC</t>
    <phoneticPr fontId="4" type="noConversion"/>
  </si>
  <si>
    <t>HG01310</t>
    <phoneticPr fontId="4" type="noConversion"/>
  </si>
  <si>
    <t>AMJ5MA</t>
    <phoneticPr fontId="4" type="noConversion"/>
  </si>
  <si>
    <t>4+11</t>
    <phoneticPr fontId="4" type="noConversion"/>
  </si>
  <si>
    <t>NARYL.02+SJ087500</t>
    <phoneticPr fontId="4" type="noConversion"/>
  </si>
  <si>
    <t>22#-25#+1#-11#</t>
    <phoneticPr fontId="4" type="noConversion"/>
  </si>
  <si>
    <t>NARYL.02;SJ087500</t>
  </si>
  <si>
    <t>SY58594AFAC</t>
    <phoneticPr fontId="4" type="noConversion"/>
  </si>
  <si>
    <t>HG01311</t>
    <phoneticPr fontId="4" type="noConversion"/>
  </si>
  <si>
    <t>AMJ5MB</t>
    <phoneticPr fontId="4" type="noConversion"/>
  </si>
  <si>
    <t>3+8</t>
    <phoneticPr fontId="4" type="noConversion"/>
  </si>
  <si>
    <t>NATYR+SJ086400</t>
    <phoneticPr fontId="4" type="noConversion"/>
  </si>
  <si>
    <t>1#-3#+1#-8#</t>
    <phoneticPr fontId="4" type="noConversion"/>
  </si>
  <si>
    <t>NATYR;SJ086400</t>
  </si>
  <si>
    <t>HG01324</t>
    <phoneticPr fontId="4" type="noConversion"/>
  </si>
  <si>
    <t>AYR5ME</t>
    <phoneticPr fontId="4" type="noConversion"/>
  </si>
  <si>
    <t>NATL4+(F29S4+FCNWP)</t>
    <phoneticPr fontId="4" type="noConversion"/>
  </si>
  <si>
    <t>9#-18#+(1#-25#+1#-8#)</t>
    <phoneticPr fontId="4" type="noConversion"/>
  </si>
  <si>
    <t>(F29S4+FCNWP);NATL4</t>
  </si>
  <si>
    <t>HG01325</t>
    <phoneticPr fontId="4" type="noConversion"/>
  </si>
  <si>
    <t>AYR5MF</t>
    <phoneticPr fontId="4" type="noConversion"/>
  </si>
  <si>
    <t>NATL4+F8F6W</t>
    <phoneticPr fontId="4" type="noConversion"/>
  </si>
  <si>
    <t>F8F6W;NATL4</t>
  </si>
  <si>
    <t>HG01326</t>
    <phoneticPr fontId="4" type="noConversion"/>
  </si>
  <si>
    <t>AYR5MG</t>
    <phoneticPr fontId="4" type="noConversion"/>
  </si>
  <si>
    <t>NATL5+(FCNWP+FLAY6+F8F6W)</t>
    <phoneticPr fontId="4" type="noConversion"/>
  </si>
  <si>
    <t>1#-7#+(9#-25#+22#-25#+24#-25#)</t>
    <phoneticPr fontId="4" type="noConversion"/>
  </si>
  <si>
    <t>(FCNWP+FLAY6+F8F6W);NATL5</t>
  </si>
  <si>
    <t>SY8750FCC</t>
    <phoneticPr fontId="4" type="noConversion"/>
  </si>
  <si>
    <t>B99E0</t>
    <phoneticPr fontId="4" type="noConversion"/>
  </si>
  <si>
    <t>HG01329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</si>
  <si>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</si>
  <si>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AQW5MA</t>
    <phoneticPr fontId="4" type="noConversion"/>
  </si>
  <si>
    <t>NACG5.01</t>
    <phoneticPr fontId="4" type="noConversion"/>
  </si>
  <si>
    <t>2-6#</t>
  </si>
  <si>
    <t>NACG5.01</t>
  </si>
  <si>
    <t>HG01339</t>
    <phoneticPr fontId="4" type="noConversion"/>
  </si>
  <si>
    <t>AYR5MH</t>
    <phoneticPr fontId="4" type="noConversion"/>
  </si>
  <si>
    <t>NATL7+FKPWM</t>
    <phoneticPr fontId="4" type="noConversion"/>
  </si>
  <si>
    <t>FKPWM;NATL7</t>
  </si>
  <si>
    <t>HG01340</t>
    <phoneticPr fontId="4" type="noConversion"/>
  </si>
  <si>
    <t>AYR5MI</t>
    <phoneticPr fontId="4" type="noConversion"/>
  </si>
  <si>
    <t>NATL6+(FNKL9+FKPWM)</t>
    <phoneticPr fontId="4" type="noConversion"/>
  </si>
  <si>
    <t>1#-8#+(1#-25#+24#)</t>
    <phoneticPr fontId="4" type="noConversion"/>
  </si>
  <si>
    <t>(FNKL9+FKPWM);NATL6</t>
  </si>
  <si>
    <t>HG01341</t>
    <phoneticPr fontId="4" type="noConversion"/>
  </si>
  <si>
    <t>AYR5MJ</t>
    <phoneticPr fontId="4" type="noConversion"/>
  </si>
  <si>
    <t>NATL6+(FSFM3+FKPWM)</t>
    <phoneticPr fontId="4" type="noConversion"/>
  </si>
  <si>
    <t>9#-16#+(1#-25#+25#)</t>
    <phoneticPr fontId="4" type="noConversion"/>
  </si>
  <si>
    <t>(FSFM3+FKPWM);NATL6</t>
  </si>
  <si>
    <t>SY58596AFAC</t>
    <phoneticPr fontId="4" type="noConversion"/>
  </si>
  <si>
    <t>HG01351</t>
    <phoneticPr fontId="4" type="noConversion"/>
  </si>
  <si>
    <t>AQU5MB</t>
    <phoneticPr fontId="4" type="noConversion"/>
  </si>
  <si>
    <t>9+47</t>
    <phoneticPr fontId="4" type="noConversion"/>
  </si>
  <si>
    <t>NAW5T+(SJ092700+SJ092800+SJ091500)</t>
    <phoneticPr fontId="4" type="noConversion"/>
  </si>
  <si>
    <t>6#-14#+(1#~23#,25#+2#~8#,10#~24#+25#)</t>
    <phoneticPr fontId="4" type="noConversion"/>
  </si>
  <si>
    <t>(SJ092700+SJ092800+SJ091500);NAW5T</t>
  </si>
  <si>
    <t>SY58283LFAC</t>
    <phoneticPr fontId="4" type="noConversion"/>
  </si>
  <si>
    <t>HG01353</t>
    <phoneticPr fontId="4" type="noConversion"/>
  </si>
  <si>
    <t>AWT5MC</t>
    <phoneticPr fontId="4" type="noConversion"/>
  </si>
  <si>
    <t>7+17</t>
    <phoneticPr fontId="4" type="noConversion"/>
  </si>
  <si>
    <t>NAW0C+SJ071800</t>
    <phoneticPr fontId="4" type="noConversion"/>
  </si>
  <si>
    <t>19#-25#+1#-16#,18#</t>
    <phoneticPr fontId="4" type="noConversion"/>
  </si>
  <si>
    <t>NAW0C;SJ071800</t>
  </si>
  <si>
    <t>SYC812FAC</t>
    <phoneticPr fontId="4" type="noConversion"/>
  </si>
  <si>
    <t>HG01358</t>
    <phoneticPr fontId="4" type="noConversion"/>
  </si>
  <si>
    <t>AIU5MA</t>
    <phoneticPr fontId="4" type="noConversion"/>
  </si>
  <si>
    <t>NAWYP</t>
    <phoneticPr fontId="4" type="noConversion"/>
  </si>
  <si>
    <t>SY58381FAC</t>
    <phoneticPr fontId="4" type="noConversion"/>
  </si>
  <si>
    <t>HG01368</t>
    <phoneticPr fontId="4" type="noConversion"/>
  </si>
  <si>
    <t>AVK5MB</t>
    <phoneticPr fontId="4" type="noConversion"/>
  </si>
  <si>
    <t>6+18+34</t>
    <phoneticPr fontId="4" type="noConversion"/>
  </si>
  <si>
    <t>NAW3S+FKP8H+(WF4C072.1+WF4B347.1+WF4C073.1)</t>
    <phoneticPr fontId="4" type="noConversion"/>
  </si>
  <si>
    <t>20#~25#+1#-18#+(#1-7,9-21+#21-23,25+#4,6,7-12,14,24)</t>
    <phoneticPr fontId="4" type="noConversion"/>
  </si>
  <si>
    <t>FKP8H;(WF4C072.1+WF4B347.1+WF4C073.1);NAW3S</t>
  </si>
  <si>
    <t>SY50133FAC</t>
    <phoneticPr fontId="4" type="noConversion"/>
  </si>
  <si>
    <t>ATK5MJ</t>
    <phoneticPr fontId="4" type="noConversion"/>
  </si>
  <si>
    <t>9+46</t>
    <phoneticPr fontId="4" type="noConversion"/>
  </si>
  <si>
    <t>NAWAN+(FL2P2+FW0G4)</t>
    <phoneticPr fontId="4" type="noConversion"/>
  </si>
  <si>
    <t>16#-24#+(1#-25#+2#~14#,16#~23#)</t>
    <phoneticPr fontId="4" type="noConversion"/>
  </si>
  <si>
    <t>(FL2P2+FW0G4);NAWAN</t>
  </si>
  <si>
    <t>HG01373</t>
    <phoneticPr fontId="4" type="noConversion"/>
  </si>
  <si>
    <t>AYR5NA</t>
    <phoneticPr fontId="4" type="noConversion"/>
  </si>
  <si>
    <t>NAWAG+(F4L9F+F2M0L)</t>
    <phoneticPr fontId="4" type="noConversion"/>
  </si>
  <si>
    <t>1#-10#+(1#-25#+15#-22#)</t>
    <phoneticPr fontId="4" type="noConversion"/>
  </si>
  <si>
    <t>(F4L9F+F2M0L);NAWAG</t>
  </si>
  <si>
    <t>HG01374</t>
    <phoneticPr fontId="4" type="noConversion"/>
  </si>
  <si>
    <t>AYR5NB</t>
    <phoneticPr fontId="4" type="noConversion"/>
  </si>
  <si>
    <t>NAWAG+F7CLC</t>
    <phoneticPr fontId="4" type="noConversion"/>
  </si>
  <si>
    <t>11#-17#+1#-23#</t>
    <phoneticPr fontId="4" type="noConversion"/>
  </si>
  <si>
    <t>F7CLC;NAWAG</t>
  </si>
  <si>
    <t>HG01375</t>
    <phoneticPr fontId="4" type="noConversion"/>
  </si>
  <si>
    <t>AYR5NC</t>
    <phoneticPr fontId="4" type="noConversion"/>
  </si>
  <si>
    <t>NAWAC+(FA0CH+F2M0L)</t>
    <phoneticPr fontId="4" type="noConversion"/>
  </si>
  <si>
    <t>2#-9#+(1#-25#+23#)</t>
    <phoneticPr fontId="4" type="noConversion"/>
  </si>
  <si>
    <t>(FA0CH+F2M0L);NAWAC</t>
  </si>
  <si>
    <t>HG01376</t>
    <phoneticPr fontId="4" type="noConversion"/>
  </si>
  <si>
    <t>AYR5ND</t>
    <phoneticPr fontId="4" type="noConversion"/>
  </si>
  <si>
    <t>NAWAC+(FA0HY+F2M0L)</t>
    <phoneticPr fontId="4" type="noConversion"/>
  </si>
  <si>
    <t>10#-17#+(1#-25#+24#)</t>
    <phoneticPr fontId="4" type="noConversion"/>
  </si>
  <si>
    <t>(FA0HY+F2M0L);NAWAC</t>
  </si>
  <si>
    <t>HG01377</t>
    <phoneticPr fontId="4" type="noConversion"/>
  </si>
  <si>
    <t>AYR5NE</t>
    <phoneticPr fontId="4" type="noConversion"/>
  </si>
  <si>
    <t>NAWAC+(FKLCN+F2M0L)</t>
    <phoneticPr fontId="4" type="noConversion"/>
  </si>
  <si>
    <t>18#-25#+(1#-25#+25#)</t>
    <phoneticPr fontId="4" type="noConversion"/>
  </si>
  <si>
    <t>(FKLCN+F2M0L);NAWAC</t>
  </si>
  <si>
    <t>B40GA1</t>
    <phoneticPr fontId="4" type="noConversion"/>
  </si>
  <si>
    <t>HG01382</t>
    <phoneticPr fontId="4" type="noConversion"/>
  </si>
  <si>
    <t>Hb5NA</t>
    <phoneticPr fontId="4" type="noConversion"/>
  </si>
  <si>
    <t>E51B0</t>
    <phoneticPr fontId="4" type="noConversion"/>
  </si>
  <si>
    <t>HG01386</t>
    <phoneticPr fontId="4" type="noConversion"/>
  </si>
  <si>
    <t>ZS5NA</t>
    <phoneticPr fontId="4" type="noConversion"/>
  </si>
  <si>
    <t>NC01G</t>
  </si>
  <si>
    <t>SY6402QVC</t>
    <phoneticPr fontId="4" type="noConversion"/>
  </si>
  <si>
    <t>K13A0</t>
    <phoneticPr fontId="4" type="noConversion"/>
  </si>
  <si>
    <t>HG01389</t>
    <phoneticPr fontId="4" type="noConversion"/>
  </si>
  <si>
    <t>QFN3*4-19</t>
    <phoneticPr fontId="4" type="noConversion"/>
  </si>
  <si>
    <t>AVE5NA</t>
    <phoneticPr fontId="4" type="noConversion"/>
  </si>
  <si>
    <t>N9THQ.04</t>
    <phoneticPr fontId="4" type="noConversion"/>
  </si>
  <si>
    <t>N9THQ.04</t>
  </si>
  <si>
    <t>SY5810ABC</t>
    <phoneticPr fontId="4" type="noConversion"/>
  </si>
  <si>
    <t>HG01390</t>
    <phoneticPr fontId="4" type="noConversion"/>
  </si>
  <si>
    <t>GZ5NA</t>
    <phoneticPr fontId="4" type="noConversion"/>
  </si>
  <si>
    <t>NC0CW</t>
  </si>
  <si>
    <t>HG01398</t>
    <phoneticPr fontId="4" type="noConversion"/>
  </si>
  <si>
    <t>TW5NC</t>
    <phoneticPr fontId="4" type="noConversion"/>
  </si>
  <si>
    <t>NAW04</t>
  </si>
  <si>
    <t>HG01400</t>
    <phoneticPr fontId="4" type="noConversion"/>
  </si>
  <si>
    <t>TW5NE</t>
    <phoneticPr fontId="4" type="noConversion"/>
  </si>
  <si>
    <t>NAW01</t>
  </si>
  <si>
    <t>HG01401</t>
    <phoneticPr fontId="4" type="noConversion"/>
  </si>
  <si>
    <t>TW5NF</t>
    <phoneticPr fontId="4" type="noConversion"/>
  </si>
  <si>
    <t>NAW03</t>
  </si>
  <si>
    <t>SY7088DGC</t>
    <phoneticPr fontId="4" type="noConversion"/>
  </si>
  <si>
    <t>HG01409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</si>
  <si>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</si>
  <si>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VT5NA</t>
    <phoneticPr fontId="4" type="noConversion"/>
  </si>
  <si>
    <t>NA61L</t>
    <phoneticPr fontId="4" type="noConversion"/>
  </si>
  <si>
    <t>1#-5#,9#-17#,20#-25#</t>
  </si>
  <si>
    <t>HG01417</t>
    <phoneticPr fontId="4" type="noConversion"/>
  </si>
  <si>
    <t>ZS5NB</t>
    <phoneticPr fontId="4" type="noConversion"/>
  </si>
  <si>
    <t>NC180</t>
  </si>
  <si>
    <t>SY5824ABC</t>
    <phoneticPr fontId="4" type="noConversion"/>
  </si>
  <si>
    <t>HG01418</t>
    <phoneticPr fontId="4" type="noConversion"/>
  </si>
  <si>
    <t>TD5NA</t>
    <phoneticPr fontId="4" type="noConversion"/>
  </si>
  <si>
    <t>NC0F1</t>
  </si>
  <si>
    <t>SY5824ABC</t>
  </si>
  <si>
    <t>HG01419</t>
    <phoneticPr fontId="4" type="noConversion"/>
  </si>
  <si>
    <t>TD5NB</t>
    <phoneticPr fontId="4" type="noConversion"/>
  </si>
  <si>
    <t>NC0F1+01</t>
  </si>
  <si>
    <t>HG01421</t>
    <phoneticPr fontId="4" type="noConversion"/>
  </si>
  <si>
    <t>VT5NB</t>
    <phoneticPr fontId="4" type="noConversion"/>
  </si>
  <si>
    <t>NC0QC</t>
  </si>
  <si>
    <t>HG01424</t>
    <phoneticPr fontId="4" type="noConversion"/>
  </si>
  <si>
    <t>VT5NE</t>
    <phoneticPr fontId="4" type="noConversion"/>
  </si>
  <si>
    <t>NC0QF</t>
  </si>
  <si>
    <t>HG01425</t>
    <phoneticPr fontId="4" type="noConversion"/>
  </si>
  <si>
    <t>VT5NF</t>
    <phoneticPr fontId="4" type="noConversion"/>
  </si>
  <si>
    <t>NC0QG</t>
  </si>
  <si>
    <t>SY7630QCC</t>
    <phoneticPr fontId="4" type="noConversion"/>
  </si>
  <si>
    <t>HG01426</t>
    <phoneticPr fontId="4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</si>
  <si>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</si>
  <si>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ADY5NA</t>
    <phoneticPr fontId="4" type="noConversion"/>
  </si>
  <si>
    <t>NC0TY</t>
  </si>
  <si>
    <t>HG01427</t>
    <phoneticPr fontId="4" type="noConversion"/>
  </si>
  <si>
    <t>ADY5NB</t>
    <phoneticPr fontId="4" type="noConversion"/>
  </si>
  <si>
    <t>NC0W0</t>
  </si>
  <si>
    <t>SY5859AFHC</t>
    <phoneticPr fontId="4" type="noConversion"/>
  </si>
  <si>
    <t>E50A2</t>
  </si>
  <si>
    <t>HG01435</t>
    <phoneticPr fontId="4" type="noConversion"/>
  </si>
  <si>
    <t>AUD5NA</t>
    <phoneticPr fontId="4" type="noConversion"/>
  </si>
  <si>
    <t>NC01F.02</t>
  </si>
  <si>
    <t>HG01436</t>
    <phoneticPr fontId="4" type="noConversion"/>
  </si>
  <si>
    <t>AVA5NA</t>
    <phoneticPr fontId="4" type="noConversion"/>
  </si>
  <si>
    <t>NC01F</t>
  </si>
  <si>
    <t>SYPH294AFAC</t>
    <phoneticPr fontId="4" type="noConversion"/>
  </si>
  <si>
    <t>HG01440</t>
    <phoneticPr fontId="4" type="noConversion"/>
  </si>
  <si>
    <t>AMM5NA</t>
    <phoneticPr fontId="4" type="noConversion"/>
  </si>
  <si>
    <t>5+14</t>
    <phoneticPr fontId="4" type="noConversion"/>
  </si>
  <si>
    <t>N8GWK.04+SJ037300</t>
    <phoneticPr fontId="4" type="noConversion"/>
  </si>
  <si>
    <t>1#-5#+1#~14#</t>
    <phoneticPr fontId="4" type="noConversion"/>
  </si>
  <si>
    <t>N8GWK.04;SJ037300</t>
  </si>
  <si>
    <t>SY58595AFAC</t>
    <phoneticPr fontId="4" type="noConversion"/>
  </si>
  <si>
    <t>HG01441</t>
    <phoneticPr fontId="4" type="noConversion"/>
  </si>
  <si>
    <t>AQX5NA</t>
    <phoneticPr fontId="4" type="noConversion"/>
  </si>
  <si>
    <t>6+23</t>
    <phoneticPr fontId="4" type="noConversion"/>
  </si>
  <si>
    <t>NARYM+SJ093400</t>
    <phoneticPr fontId="4" type="noConversion"/>
  </si>
  <si>
    <t>11#-16#+1#-23#</t>
    <phoneticPr fontId="4" type="noConversion"/>
  </si>
  <si>
    <t>SJ093400;NARYM</t>
  </si>
  <si>
    <t>SY98081GQUC</t>
    <phoneticPr fontId="4" type="noConversion"/>
  </si>
  <si>
    <t>A11T0+MPH160805S1ROMT</t>
    <phoneticPr fontId="4" type="noConversion"/>
  </si>
  <si>
    <t>HG01444</t>
    <phoneticPr fontId="4" type="noConversion"/>
  </si>
  <si>
    <t>Im5NA</t>
    <phoneticPr fontId="4" type="noConversion"/>
  </si>
  <si>
    <t>NAWP7.02+(LE1506260254+LE1411170370)</t>
    <phoneticPr fontId="4" type="noConversion"/>
  </si>
  <si>
    <t>1#-7#</t>
    <phoneticPr fontId="4" type="noConversion"/>
  </si>
  <si>
    <t>NAWP7.02</t>
  </si>
  <si>
    <t>SY58283N1FAC</t>
    <phoneticPr fontId="4" type="noConversion"/>
  </si>
  <si>
    <t>E35B0+U3X14A</t>
    <phoneticPr fontId="4" type="noConversion"/>
  </si>
  <si>
    <t>HG01445</t>
    <phoneticPr fontId="4" type="noConversion"/>
  </si>
  <si>
    <t>BDN5NB</t>
    <phoneticPr fontId="4" type="noConversion"/>
  </si>
  <si>
    <t>6+28</t>
    <phoneticPr fontId="4" type="noConversion"/>
  </si>
  <si>
    <t>NAWAJ+(FLF7Y+FKCRH+F4S0N)</t>
    <phoneticPr fontId="4" type="noConversion"/>
  </si>
  <si>
    <t>6#-11#+(1#-25#+24#-25#+25#)</t>
    <phoneticPr fontId="4" type="noConversion"/>
  </si>
  <si>
    <t>(FLF7Y+FKCRH+F4S0N);NAWAJ</t>
  </si>
  <si>
    <t>SYPH04A1FAC</t>
    <phoneticPr fontId="4" type="noConversion"/>
  </si>
  <si>
    <t>E02DA0</t>
  </si>
  <si>
    <t>HG01446</t>
    <phoneticPr fontId="4" type="noConversion"/>
  </si>
  <si>
    <t>AKL5NA</t>
    <phoneticPr fontId="4" type="noConversion"/>
  </si>
  <si>
    <t>NA0KH</t>
  </si>
  <si>
    <t>SY50281AAC</t>
    <phoneticPr fontId="4" type="noConversion"/>
  </si>
  <si>
    <t>HG01452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</si>
  <si>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</si>
  <si>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ZR5NA</t>
    <phoneticPr fontId="4" type="noConversion"/>
  </si>
  <si>
    <t>2+5</t>
    <phoneticPr fontId="4" type="noConversion"/>
  </si>
  <si>
    <t>NA4L7+F4GSC</t>
    <phoneticPr fontId="4" type="noConversion"/>
  </si>
  <si>
    <t>24#-25#+1#-5#</t>
    <phoneticPr fontId="4" type="noConversion"/>
  </si>
  <si>
    <t>F4GSC;NA4L7</t>
  </si>
  <si>
    <t>SYK614ADC</t>
    <phoneticPr fontId="4" type="noConversion"/>
  </si>
  <si>
    <t>HG01454</t>
    <phoneticPr fontId="4" type="noConversion"/>
  </si>
  <si>
    <t>JR5NA</t>
    <phoneticPr fontId="4" type="noConversion"/>
  </si>
  <si>
    <t>NC00P</t>
  </si>
  <si>
    <t>HG01455</t>
    <phoneticPr fontId="4" type="noConversion"/>
  </si>
  <si>
    <t>JR5NB</t>
    <phoneticPr fontId="4" type="noConversion"/>
  </si>
  <si>
    <t>NC00Q</t>
    <phoneticPr fontId="4" type="noConversion"/>
  </si>
  <si>
    <t>NC00Q</t>
  </si>
  <si>
    <t>HG01456</t>
    <phoneticPr fontId="4" type="noConversion"/>
  </si>
  <si>
    <t>JR5NC</t>
    <phoneticPr fontId="4" type="noConversion"/>
  </si>
  <si>
    <t>NC00S</t>
  </si>
  <si>
    <t>HG01457</t>
    <phoneticPr fontId="4" type="noConversion"/>
  </si>
  <si>
    <t>JR5ND</t>
    <phoneticPr fontId="4" type="noConversion"/>
  </si>
  <si>
    <t>NC00N</t>
  </si>
  <si>
    <t>A11F1</t>
    <phoneticPr fontId="4" type="noConversion"/>
  </si>
  <si>
    <t>HG01460</t>
    <phoneticPr fontId="4" type="noConversion"/>
  </si>
  <si>
    <t>NW5NA</t>
    <phoneticPr fontId="4" type="noConversion"/>
  </si>
  <si>
    <t>NAWP6.01</t>
    <phoneticPr fontId="4" type="noConversion"/>
  </si>
  <si>
    <t>1#-2#</t>
    <phoneticPr fontId="4" type="noConversion"/>
  </si>
  <si>
    <t>NAWP6.01</t>
  </si>
  <si>
    <t>HG01469</t>
    <phoneticPr fontId="4" type="noConversion"/>
  </si>
  <si>
    <t>AHI5NA</t>
    <phoneticPr fontId="4" type="noConversion"/>
  </si>
  <si>
    <t>NAW3C</t>
  </si>
  <si>
    <t>SYPH101FAC</t>
    <phoneticPr fontId="4" type="noConversion"/>
  </si>
  <si>
    <t>E08B0</t>
    <phoneticPr fontId="4" type="noConversion"/>
  </si>
  <si>
    <t>HG01474</t>
    <phoneticPr fontId="4" type="noConversion"/>
  </si>
  <si>
    <t>BAV5NA</t>
    <phoneticPr fontId="4" type="noConversion"/>
  </si>
  <si>
    <t>NC337</t>
    <phoneticPr fontId="4" type="noConversion"/>
  </si>
  <si>
    <t>1#-3#</t>
    <phoneticPr fontId="4" type="noConversion"/>
  </si>
  <si>
    <t>NC337</t>
  </si>
  <si>
    <t>HG01475</t>
    <phoneticPr fontId="4" type="noConversion"/>
  </si>
  <si>
    <t>ATK5NC</t>
    <phoneticPr fontId="4" type="noConversion"/>
  </si>
  <si>
    <t>10+52</t>
    <phoneticPr fontId="4" type="noConversion"/>
  </si>
  <si>
    <t>NC182+(F0AHN+F9LC8+FW0G4)</t>
    <phoneticPr fontId="4" type="noConversion"/>
  </si>
  <si>
    <t>1#-10#+(1#-25#+1#-25#+24#-25#)</t>
    <phoneticPr fontId="4" type="noConversion"/>
  </si>
  <si>
    <t>(F0AHN+F9LC8+FW0G4);NC182</t>
  </si>
  <si>
    <t>HG01479</t>
    <phoneticPr fontId="4" type="noConversion"/>
  </si>
  <si>
    <t>ATK5NG</t>
    <phoneticPr fontId="4" type="noConversion"/>
  </si>
  <si>
    <t>10+51</t>
    <phoneticPr fontId="4" type="noConversion"/>
  </si>
  <si>
    <t>NC17Y+(FPTL0+FYST3+F0FL3)</t>
    <phoneticPr fontId="4" type="noConversion"/>
  </si>
  <si>
    <t>1#-10#+(1#-25#+1#-25#+23#)</t>
    <phoneticPr fontId="4" type="noConversion"/>
  </si>
  <si>
    <t>(FPTL0+FYST3+F0FL3);NC17Y</t>
  </si>
  <si>
    <t>SY50135FAC</t>
    <phoneticPr fontId="4" type="noConversion"/>
  </si>
  <si>
    <t>HG01482</t>
    <phoneticPr fontId="4" type="noConversion"/>
  </si>
  <si>
    <t>ATH5NB</t>
    <phoneticPr fontId="4" type="noConversion"/>
  </si>
  <si>
    <t>4+27</t>
    <phoneticPr fontId="4" type="noConversion"/>
  </si>
  <si>
    <t>NC180.05+(F7W80+FAKKS)</t>
    <phoneticPr fontId="4" type="noConversion"/>
  </si>
  <si>
    <t>6#-9#+(1#-25#+24#-25#)</t>
    <phoneticPr fontId="4" type="noConversion"/>
  </si>
  <si>
    <t>(F7W80+FAKKS);NC180.05</t>
  </si>
  <si>
    <t>SY5802AFAC</t>
    <phoneticPr fontId="4" type="noConversion"/>
  </si>
  <si>
    <t>HG01485</t>
    <phoneticPr fontId="4" type="noConversion"/>
  </si>
  <si>
    <t>AHK5NA</t>
    <phoneticPr fontId="4" type="noConversion"/>
  </si>
  <si>
    <t>NC0F2.02</t>
  </si>
  <si>
    <t>SY5840FAC</t>
    <phoneticPr fontId="4" type="noConversion"/>
  </si>
  <si>
    <t>E10EC0</t>
    <phoneticPr fontId="4" type="noConversion"/>
  </si>
  <si>
    <t>HG01486</t>
    <phoneticPr fontId="4" type="noConversion"/>
  </si>
  <si>
    <t>ARV5NA</t>
    <phoneticPr fontId="4" type="noConversion"/>
  </si>
  <si>
    <t>NA7FF</t>
  </si>
  <si>
    <t>NA7FF-1</t>
  </si>
  <si>
    <t>SY58182NFAC</t>
    <phoneticPr fontId="4" type="noConversion"/>
  </si>
  <si>
    <t>HG01488</t>
    <phoneticPr fontId="4" type="noConversion"/>
  </si>
  <si>
    <t>AZI5OA</t>
    <phoneticPr fontId="4" type="noConversion"/>
  </si>
  <si>
    <t>NAWAK+FL6CC</t>
    <phoneticPr fontId="4" type="noConversion"/>
  </si>
  <si>
    <t>FL6CC;NAWAK</t>
  </si>
  <si>
    <t>HG01490</t>
    <phoneticPr fontId="4" type="noConversion"/>
  </si>
  <si>
    <t>AZI5OC</t>
    <phoneticPr fontId="4" type="noConversion"/>
  </si>
  <si>
    <t>NAWAK+(FSM72+FWM9R)</t>
    <phoneticPr fontId="4" type="noConversion"/>
  </si>
  <si>
    <t>16#-25#+(1#-25#+1#-8#)</t>
    <phoneticPr fontId="4" type="noConversion"/>
  </si>
  <si>
    <t>(FSM72+FWM9R);NAWAK</t>
  </si>
  <si>
    <t>HG01491</t>
    <phoneticPr fontId="4" type="noConversion"/>
  </si>
  <si>
    <t>AZI5OD</t>
    <phoneticPr fontId="4" type="noConversion"/>
  </si>
  <si>
    <t>NAWAL+FYAWA</t>
    <phoneticPr fontId="4" type="noConversion"/>
  </si>
  <si>
    <t>FYAWA;NAWAL</t>
  </si>
  <si>
    <t>HG01493</t>
    <phoneticPr fontId="4" type="noConversion"/>
  </si>
  <si>
    <t>AZI5OF</t>
    <phoneticPr fontId="4" type="noConversion"/>
  </si>
  <si>
    <t>NAWAJ+(FNTHM+FWM9R)</t>
    <phoneticPr fontId="4" type="noConversion"/>
  </si>
  <si>
    <t>12#-21#+(1#-25#+9#-16#)</t>
    <phoneticPr fontId="4" type="noConversion"/>
  </si>
  <si>
    <t>(FNTHM+FWM9R);NAWAJ</t>
  </si>
  <si>
    <t>HG01494</t>
    <phoneticPr fontId="4" type="noConversion"/>
  </si>
  <si>
    <t>AZI5OG</t>
    <phoneticPr fontId="4" type="noConversion"/>
  </si>
  <si>
    <t>4+13</t>
    <phoneticPr fontId="4" type="noConversion"/>
  </si>
  <si>
    <t>NAWAJ+(FWM9R+FL6CC+FYAWA)</t>
    <phoneticPr fontId="4" type="noConversion"/>
  </si>
  <si>
    <t>22#-25#+(17#-25#+24#-25#+24#-25#)</t>
    <phoneticPr fontId="4" type="noConversion"/>
  </si>
  <si>
    <t>(FWM9R+FL6CC+FYAWA);NAWAJ</t>
  </si>
  <si>
    <t>HG01495</t>
    <phoneticPr fontId="4" type="noConversion"/>
  </si>
  <si>
    <t>AYR5OA</t>
    <phoneticPr fontId="4" type="noConversion"/>
  </si>
  <si>
    <t>NAWAL+(FLC64+FRPYL)</t>
    <phoneticPr fontId="4" type="noConversion"/>
  </si>
  <si>
    <t>(FLC64+FRPYL);NAWAL</t>
  </si>
  <si>
    <t>HG01496</t>
    <phoneticPr fontId="4" type="noConversion"/>
  </si>
  <si>
    <t>AYR5OB</t>
    <phoneticPr fontId="4" type="noConversion"/>
  </si>
  <si>
    <t>NAW62+(F08CW+FRPYL)</t>
    <phoneticPr fontId="4" type="noConversion"/>
  </si>
  <si>
    <t>1#-10#+(1#-25#+9#-16#)</t>
    <phoneticPr fontId="4" type="noConversion"/>
  </si>
  <si>
    <t>(F08CW+FRPYL);NAW62</t>
  </si>
  <si>
    <t>HG01498</t>
    <phoneticPr fontId="4" type="noConversion"/>
  </si>
  <si>
    <t>AYR5OD</t>
    <phoneticPr fontId="4" type="noConversion"/>
  </si>
  <si>
    <t>5+16</t>
    <phoneticPr fontId="4" type="noConversion"/>
  </si>
  <si>
    <t>NAW62+F6M6S</t>
    <phoneticPr fontId="4" type="noConversion"/>
  </si>
  <si>
    <t>21#-25#+1#-16#</t>
    <phoneticPr fontId="4" type="noConversion"/>
  </si>
  <si>
    <t>F6M6S;NAW62</t>
  </si>
  <si>
    <t>HG01505</t>
    <phoneticPr fontId="4" type="noConversion"/>
  </si>
  <si>
    <t>AYR5OK</t>
    <phoneticPr fontId="4" type="noConversion"/>
  </si>
  <si>
    <t>NAWAF+(FWFKP+F6WPA)</t>
    <phoneticPr fontId="4" type="noConversion"/>
  </si>
  <si>
    <t>(FWFKP+F6WPA);NAWAF</t>
  </si>
  <si>
    <t>AVA5OA</t>
    <phoneticPr fontId="4" type="noConversion"/>
  </si>
  <si>
    <t>NC17F</t>
  </si>
  <si>
    <t>SY5820ABC</t>
    <phoneticPr fontId="4" type="noConversion"/>
  </si>
  <si>
    <t>HG01510</t>
    <phoneticPr fontId="4" type="noConversion"/>
  </si>
  <si>
    <t>TB5OA</t>
    <phoneticPr fontId="4" type="noConversion"/>
  </si>
  <si>
    <t>N9JJL+01</t>
  </si>
  <si>
    <t>TR5OA</t>
    <phoneticPr fontId="4" type="noConversion"/>
  </si>
  <si>
    <t>SY8003EDFC</t>
    <phoneticPr fontId="4" type="noConversion"/>
  </si>
  <si>
    <t>HG01517</t>
    <phoneticPr fontId="4" type="noConversion"/>
  </si>
  <si>
    <t>VC5OA</t>
    <phoneticPr fontId="4" type="noConversion"/>
  </si>
  <si>
    <t>4#-8#</t>
    <phoneticPr fontId="4" type="noConversion"/>
  </si>
  <si>
    <t>NANHT-1</t>
  </si>
  <si>
    <t>SYL128QUC</t>
    <phoneticPr fontId="4" type="noConversion"/>
  </si>
  <si>
    <t>HG01533</t>
    <phoneticPr fontId="4" type="noConversion"/>
  </si>
  <si>
    <t>YG5OA</t>
    <phoneticPr fontId="4" type="noConversion"/>
  </si>
  <si>
    <t>NAQSR.02+(DFG6X70206-E07+LE1411170370)</t>
    <phoneticPr fontId="4" type="noConversion"/>
  </si>
  <si>
    <t>6#-10#</t>
    <phoneticPr fontId="4" type="noConversion"/>
  </si>
  <si>
    <t>NAQSR.02-1</t>
  </si>
  <si>
    <t>HG01535</t>
    <phoneticPr fontId="4" type="noConversion"/>
  </si>
  <si>
    <t>AOF5OA</t>
    <phoneticPr fontId="4" type="noConversion"/>
  </si>
  <si>
    <t>NATYM+SJ095400</t>
    <phoneticPr fontId="4" type="noConversion"/>
  </si>
  <si>
    <t>17#~25#+1#-25#</t>
    <phoneticPr fontId="4" type="noConversion"/>
  </si>
  <si>
    <t>NATYM;SJ095400</t>
  </si>
  <si>
    <t>SY8077AAC</t>
    <phoneticPr fontId="4" type="noConversion"/>
  </si>
  <si>
    <t>HG01537</t>
    <phoneticPr fontId="4" type="noConversion"/>
  </si>
  <si>
    <t>TR5OC</t>
    <phoneticPr fontId="4" type="noConversion"/>
  </si>
  <si>
    <t>NC29F</t>
    <phoneticPr fontId="4" type="noConversion"/>
  </si>
  <si>
    <t>NC29F</t>
  </si>
  <si>
    <t>SYD05QEC</t>
    <phoneticPr fontId="4" type="noConversion"/>
  </si>
  <si>
    <t>I45A2</t>
    <phoneticPr fontId="4" type="noConversion"/>
  </si>
  <si>
    <t>HG01545</t>
    <phoneticPr fontId="4" type="noConversion"/>
  </si>
  <si>
    <t>QFN5*5-32</t>
  </si>
  <si>
    <t>D055OA</t>
    <phoneticPr fontId="4" type="noConversion"/>
  </si>
  <si>
    <t>NAJWQ.08</t>
    <phoneticPr fontId="4" type="noConversion"/>
  </si>
  <si>
    <t>3#-6#</t>
    <phoneticPr fontId="4" type="noConversion"/>
  </si>
  <si>
    <t>NAJWQ.08</t>
  </si>
  <si>
    <t>HG01549</t>
    <phoneticPr fontId="4" type="noConversion"/>
  </si>
  <si>
    <t>TW5OB</t>
    <phoneticPr fontId="4" type="noConversion"/>
  </si>
  <si>
    <t>NAW02</t>
  </si>
  <si>
    <t>HG01553</t>
    <phoneticPr fontId="4" type="noConversion"/>
  </si>
  <si>
    <t>ASW5OA</t>
    <phoneticPr fontId="4" type="noConversion"/>
  </si>
  <si>
    <t>N9FSJ.07</t>
  </si>
  <si>
    <t>3#-11#</t>
  </si>
  <si>
    <t>HG01555</t>
    <phoneticPr fontId="4" type="noConversion"/>
  </si>
  <si>
    <t>JR5OB</t>
    <phoneticPr fontId="4" type="noConversion"/>
  </si>
  <si>
    <t>NC307</t>
    <phoneticPr fontId="4" type="noConversion"/>
  </si>
  <si>
    <t>NC307</t>
  </si>
  <si>
    <t>SY7113ABC</t>
    <phoneticPr fontId="4" type="noConversion"/>
  </si>
  <si>
    <t>B17S0</t>
    <phoneticPr fontId="4" type="noConversion"/>
  </si>
  <si>
    <t>HG01556</t>
    <phoneticPr fontId="4" type="noConversion"/>
  </si>
  <si>
    <t>NM5PA</t>
    <phoneticPr fontId="4" type="noConversion"/>
  </si>
  <si>
    <t>1#-16#</t>
  </si>
  <si>
    <t>SY7304DBC</t>
    <phoneticPr fontId="4" type="noConversion"/>
  </si>
  <si>
    <t>HG01560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</si>
  <si>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</si>
  <si>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VI5PA</t>
    <phoneticPr fontId="4" type="noConversion"/>
  </si>
  <si>
    <t>N9PR8</t>
  </si>
  <si>
    <t>N9PR8-2</t>
  </si>
  <si>
    <t>SYK871FCC</t>
    <phoneticPr fontId="4" type="noConversion"/>
  </si>
  <si>
    <t>B07J0</t>
    <phoneticPr fontId="4" type="noConversion"/>
  </si>
  <si>
    <t>HG01561</t>
    <phoneticPr fontId="4" type="noConversion"/>
  </si>
  <si>
    <t>AEP5PA</t>
    <phoneticPr fontId="4" type="noConversion"/>
  </si>
  <si>
    <t xml:space="preserve">N8CAP </t>
    <phoneticPr fontId="4" type="noConversion"/>
  </si>
  <si>
    <t>16#~18#</t>
  </si>
  <si>
    <t>N8CAP-2</t>
  </si>
  <si>
    <t>SY5864KAC</t>
    <phoneticPr fontId="4" type="noConversion"/>
  </si>
  <si>
    <t>宿迁</t>
    <phoneticPr fontId="4" type="noConversion"/>
  </si>
  <si>
    <t>H13A2</t>
    <phoneticPr fontId="4" type="noConversion"/>
  </si>
  <si>
    <t>HG01562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</si>
  <si>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</si>
  <si>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AZG5PA</t>
    <phoneticPr fontId="4" type="noConversion"/>
  </si>
  <si>
    <t>NC037.02</t>
  </si>
  <si>
    <t>SY5863JAC</t>
    <phoneticPr fontId="4" type="noConversion"/>
  </si>
  <si>
    <t>宿迁</t>
  </si>
  <si>
    <t>H13A2</t>
  </si>
  <si>
    <t>HG01563</t>
    <phoneticPr fontId="4" type="noConversion"/>
  </si>
  <si>
    <r>
      <t>TO252-3(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</si>
  <si>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AYD5PA</t>
    <phoneticPr fontId="4" type="noConversion"/>
  </si>
  <si>
    <t>NC037.02+01</t>
  </si>
  <si>
    <t>SY5805FAC</t>
    <phoneticPr fontId="4" type="noConversion"/>
  </si>
  <si>
    <t>HG01567</t>
    <phoneticPr fontId="4" type="noConversion"/>
  </si>
  <si>
    <t>ANE5PA</t>
    <phoneticPr fontId="4" type="noConversion"/>
  </si>
  <si>
    <t>NC31J</t>
  </si>
  <si>
    <t>1#-3#</t>
  </si>
  <si>
    <t>SY8016DEC</t>
    <phoneticPr fontId="4" type="noConversion"/>
  </si>
  <si>
    <t>HG01573</t>
    <phoneticPr fontId="4" type="noConversion"/>
  </si>
  <si>
    <t>QV5PA</t>
    <phoneticPr fontId="4" type="noConversion"/>
  </si>
  <si>
    <t>NAWF4</t>
  </si>
  <si>
    <t>A51A0</t>
    <phoneticPr fontId="4" type="noConversion"/>
  </si>
  <si>
    <t>HG01583</t>
    <phoneticPr fontId="4" type="noConversion"/>
  </si>
  <si>
    <t>TR5PA</t>
    <phoneticPr fontId="4" type="noConversion"/>
  </si>
  <si>
    <t>NC29A</t>
    <phoneticPr fontId="4" type="noConversion"/>
  </si>
  <si>
    <t>NC29A+01</t>
  </si>
  <si>
    <t>SY8089AAC</t>
    <phoneticPr fontId="4" type="noConversion"/>
  </si>
  <si>
    <t>A25A1</t>
    <phoneticPr fontId="4" type="noConversion"/>
  </si>
  <si>
    <t>HG01584</t>
    <phoneticPr fontId="4" type="noConversion"/>
  </si>
  <si>
    <t>JX5PA</t>
    <phoneticPr fontId="4" type="noConversion"/>
  </si>
  <si>
    <t>SY8100AABC</t>
    <phoneticPr fontId="4" type="noConversion"/>
  </si>
  <si>
    <t>mark错误，年份写成4，与去年有重复</t>
    <phoneticPr fontId="4" type="noConversion"/>
  </si>
  <si>
    <t>A21A1</t>
    <phoneticPr fontId="4" type="noConversion"/>
  </si>
  <si>
    <t>HG01585</t>
    <phoneticPr fontId="4" type="noConversion"/>
  </si>
  <si>
    <t>HB4PA</t>
    <phoneticPr fontId="4" type="noConversion"/>
  </si>
  <si>
    <t>11#-15#</t>
    <phoneticPr fontId="4" type="noConversion"/>
  </si>
  <si>
    <t>NATK7+01</t>
  </si>
  <si>
    <t>SY50136FAC</t>
    <phoneticPr fontId="4" type="noConversion"/>
  </si>
  <si>
    <t>HG01592</t>
    <phoneticPr fontId="4" type="noConversion"/>
  </si>
  <si>
    <t>AUX5PA</t>
    <phoneticPr fontId="4" type="noConversion"/>
  </si>
  <si>
    <t>3+28</t>
    <phoneticPr fontId="4" type="noConversion"/>
  </si>
  <si>
    <t>NC181+(FKT2L+FSC9A)</t>
    <phoneticPr fontId="4" type="noConversion"/>
  </si>
  <si>
    <t>17#-19#+(1#-25#+21#-23#)</t>
    <phoneticPr fontId="4" type="noConversion"/>
  </si>
  <si>
    <t>(FKT2L+FSC9A);NC181</t>
    <phoneticPr fontId="4" type="noConversion"/>
  </si>
  <si>
    <t>SY58203AFAC</t>
    <phoneticPr fontId="4" type="noConversion"/>
  </si>
  <si>
    <t>HG01593</t>
    <phoneticPr fontId="4" type="noConversion"/>
  </si>
  <si>
    <t>AMY5PA</t>
    <phoneticPr fontId="4" type="noConversion"/>
  </si>
  <si>
    <t>NC31H+(SJ091900+SJ086000)</t>
    <phoneticPr fontId="4" type="noConversion"/>
  </si>
  <si>
    <t>1#-9#+(1#~5#,7#~25#+25#)</t>
    <phoneticPr fontId="4" type="noConversion"/>
  </si>
  <si>
    <t>NC31H;(SJ091900+SJ086000)</t>
    <phoneticPr fontId="4" type="noConversion"/>
  </si>
  <si>
    <t>HG01594</t>
    <phoneticPr fontId="4" type="noConversion"/>
  </si>
  <si>
    <t>AQU5PA</t>
    <phoneticPr fontId="4" type="noConversion"/>
  </si>
  <si>
    <t>9+48</t>
    <phoneticPr fontId="4" type="noConversion"/>
  </si>
  <si>
    <t>NARYM+(SJ094000+SJ093800)</t>
    <phoneticPr fontId="4" type="noConversion"/>
  </si>
  <si>
    <t>17#-25#+(1#-25#+1#~10#,12#~24#)</t>
    <phoneticPr fontId="4" type="noConversion"/>
  </si>
  <si>
    <t>(SJ094000+SJ093800);NARYM</t>
    <phoneticPr fontId="4" type="noConversion"/>
  </si>
  <si>
    <t>SY6174FAC</t>
    <phoneticPr fontId="4" type="noConversion"/>
  </si>
  <si>
    <t>HG01597</t>
    <phoneticPr fontId="4" type="noConversion"/>
  </si>
  <si>
    <t>AKW5PB</t>
    <phoneticPr fontId="4" type="noConversion"/>
  </si>
  <si>
    <t>9+10</t>
    <phoneticPr fontId="4" type="noConversion"/>
  </si>
  <si>
    <t>NC3AP+(SJ077600+SJ077500)</t>
    <phoneticPr fontId="4" type="noConversion"/>
  </si>
  <si>
    <t>17#-25#+(19#-25#+22#-24#)</t>
    <phoneticPr fontId="4" type="noConversion"/>
  </si>
  <si>
    <t>NC3AP;(SJ077600+SJ077500)</t>
    <phoneticPr fontId="4" type="noConversion"/>
  </si>
  <si>
    <t>HG01599</t>
    <phoneticPr fontId="4" type="noConversion"/>
  </si>
  <si>
    <t>AOF5PB</t>
    <phoneticPr fontId="4" type="noConversion"/>
  </si>
  <si>
    <t>NC3AL+SJ097400</t>
    <phoneticPr fontId="4" type="noConversion"/>
  </si>
  <si>
    <t>10#-18#+1#-25#</t>
    <phoneticPr fontId="4" type="noConversion"/>
  </si>
  <si>
    <t>NC3AL;SJ097400</t>
    <phoneticPr fontId="4" type="noConversion"/>
  </si>
  <si>
    <t>SY58481FAC</t>
    <phoneticPr fontId="4" type="noConversion"/>
  </si>
  <si>
    <t>HG01601</t>
    <phoneticPr fontId="4" type="noConversion"/>
  </si>
  <si>
    <t>AVJ5PB</t>
    <phoneticPr fontId="4" type="noConversion"/>
  </si>
  <si>
    <t>5+15+28</t>
    <phoneticPr fontId="4" type="noConversion"/>
  </si>
  <si>
    <t>NC0TW.01+(F9FFH+FLRGK)+(WF56092.1+WF55265.1+WF55263.3)</t>
    <phoneticPr fontId="4" type="noConversion"/>
  </si>
  <si>
    <t>5#-9#+(13#-25#+4#~5#)+(1#-25#+24#~25#+22#)</t>
    <phoneticPr fontId="4" type="noConversion"/>
  </si>
  <si>
    <t>(F9FFH+FLRGK);(WF56092.1+WF55265.1+WF55263.3);NC0TW.01</t>
  </si>
  <si>
    <t>HG01604</t>
    <phoneticPr fontId="4" type="noConversion"/>
  </si>
  <si>
    <t>RC5PA</t>
    <phoneticPr fontId="4" type="noConversion"/>
  </si>
  <si>
    <t>NC1M7-1</t>
  </si>
  <si>
    <t>SY8011ADQC</t>
    <phoneticPr fontId="4" type="noConversion"/>
  </si>
  <si>
    <t>HG01606</t>
    <phoneticPr fontId="4" type="noConversion"/>
  </si>
  <si>
    <t>DFN1.5*1.5-6</t>
    <phoneticPr fontId="4" type="noConversion"/>
  </si>
  <si>
    <t>KF5PA</t>
    <phoneticPr fontId="4" type="noConversion"/>
  </si>
  <si>
    <t>16#-21#</t>
  </si>
  <si>
    <t>HG01612</t>
    <phoneticPr fontId="4" type="noConversion"/>
  </si>
  <si>
    <t>JR5PE</t>
    <phoneticPr fontId="4" type="noConversion"/>
  </si>
  <si>
    <t>NC307-1</t>
  </si>
  <si>
    <t>SY8105ADC</t>
    <phoneticPr fontId="4" type="noConversion"/>
  </si>
  <si>
    <t>HG01613</t>
    <phoneticPr fontId="4" type="noConversion"/>
  </si>
  <si>
    <t>NY5PA</t>
    <phoneticPr fontId="4" type="noConversion"/>
  </si>
  <si>
    <t>NC3NL</t>
    <phoneticPr fontId="4" type="noConversion"/>
  </si>
  <si>
    <t>NC3NL</t>
  </si>
  <si>
    <t>SYH615ADC</t>
    <phoneticPr fontId="4" type="noConversion"/>
  </si>
  <si>
    <t>HG01615</t>
    <phoneticPr fontId="4" type="noConversion"/>
  </si>
  <si>
    <t>NY5PC</t>
    <phoneticPr fontId="4" type="noConversion"/>
  </si>
  <si>
    <t>NC3NM</t>
    <phoneticPr fontId="4" type="noConversion"/>
  </si>
  <si>
    <t>NC3NM-1</t>
  </si>
  <si>
    <t>SY5800BFAC</t>
    <phoneticPr fontId="4" type="noConversion"/>
  </si>
  <si>
    <t>HG01616</t>
    <phoneticPr fontId="4" type="noConversion"/>
  </si>
  <si>
    <t>AGB5PA</t>
    <phoneticPr fontId="4" type="noConversion"/>
  </si>
  <si>
    <t>NATYL</t>
  </si>
  <si>
    <t>HG01619</t>
    <phoneticPr fontId="4" type="noConversion"/>
  </si>
  <si>
    <t>AIU5PB</t>
    <phoneticPr fontId="4" type="noConversion"/>
  </si>
  <si>
    <t>NC0QQ.01</t>
  </si>
  <si>
    <t>SY8213FCC</t>
    <phoneticPr fontId="4" type="noConversion"/>
  </si>
  <si>
    <t>HG01622</t>
    <phoneticPr fontId="4" type="noConversion"/>
  </si>
  <si>
    <t>AJY5PA</t>
    <phoneticPr fontId="4" type="noConversion"/>
  </si>
  <si>
    <t>NC3A6</t>
  </si>
  <si>
    <t>SY8234FCC</t>
    <phoneticPr fontId="4" type="noConversion"/>
  </si>
  <si>
    <t>HG01623</t>
    <phoneticPr fontId="4" type="noConversion"/>
  </si>
  <si>
    <t>AMN5PB</t>
    <phoneticPr fontId="4" type="noConversion"/>
  </si>
  <si>
    <t>NC3AA</t>
  </si>
  <si>
    <t>SY5861BFAC</t>
    <phoneticPr fontId="4" type="noConversion"/>
  </si>
  <si>
    <t>HG01625</t>
    <phoneticPr fontId="4" type="noConversion"/>
  </si>
  <si>
    <t>AZB5PA</t>
    <phoneticPr fontId="4" type="noConversion"/>
  </si>
  <si>
    <t>NATLA</t>
  </si>
  <si>
    <t>HG01627</t>
    <phoneticPr fontId="4" type="noConversion"/>
  </si>
  <si>
    <t>AVA5PB</t>
    <phoneticPr fontId="4" type="noConversion"/>
  </si>
  <si>
    <t>HG01628</t>
    <phoneticPr fontId="4" type="noConversion"/>
  </si>
  <si>
    <t>AVA5PC</t>
    <phoneticPr fontId="4" type="noConversion"/>
  </si>
  <si>
    <t>NC3MW</t>
  </si>
  <si>
    <t>SYH812DEC</t>
    <phoneticPr fontId="4" type="noConversion"/>
  </si>
  <si>
    <t>HG01635</t>
    <phoneticPr fontId="4" type="noConversion"/>
  </si>
  <si>
    <t>PT5PB</t>
    <phoneticPr fontId="4" type="noConversion"/>
  </si>
  <si>
    <t>SY6301DSC</t>
    <phoneticPr fontId="4" type="noConversion"/>
  </si>
  <si>
    <t>H11A0</t>
    <phoneticPr fontId="4" type="noConversion"/>
  </si>
  <si>
    <t>HG01636</t>
    <phoneticPr fontId="4" type="noConversion"/>
  </si>
  <si>
    <r>
      <t>DFN3*3-6(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</si>
  <si>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RB5PA</t>
    <phoneticPr fontId="4" type="noConversion"/>
  </si>
  <si>
    <t>NC3JQ</t>
  </si>
  <si>
    <t>6#</t>
  </si>
  <si>
    <t>SY5002ABC</t>
    <phoneticPr fontId="4" type="noConversion"/>
  </si>
  <si>
    <t>E02CA1</t>
    <phoneticPr fontId="4" type="noConversion"/>
  </si>
  <si>
    <t>HG01637</t>
    <phoneticPr fontId="4" type="noConversion"/>
  </si>
  <si>
    <t>KP5PA</t>
    <phoneticPr fontId="4" type="noConversion"/>
  </si>
  <si>
    <t>NC3AK</t>
    <phoneticPr fontId="4" type="noConversion"/>
  </si>
  <si>
    <t>NC3AK</t>
  </si>
  <si>
    <t>SY7208CABC</t>
    <phoneticPr fontId="4" type="noConversion"/>
  </si>
  <si>
    <t>HG01640</t>
    <phoneticPr fontId="4" type="noConversion"/>
  </si>
  <si>
    <t>JU5PC</t>
    <phoneticPr fontId="4" type="noConversion"/>
  </si>
  <si>
    <t>NC3MH</t>
  </si>
  <si>
    <t>SY8703ABC</t>
    <phoneticPr fontId="4" type="noConversion"/>
  </si>
  <si>
    <t>HG01644</t>
    <phoneticPr fontId="4" type="noConversion"/>
  </si>
  <si>
    <t>EF5PA</t>
    <phoneticPr fontId="4" type="noConversion"/>
  </si>
  <si>
    <t>NAWA3</t>
  </si>
  <si>
    <t>B18FA1</t>
    <phoneticPr fontId="4" type="noConversion"/>
  </si>
  <si>
    <t>HG01645</t>
    <phoneticPr fontId="4" type="noConversion"/>
  </si>
  <si>
    <t>TW5PB</t>
    <phoneticPr fontId="4" type="noConversion"/>
  </si>
  <si>
    <t>NC3G4</t>
  </si>
  <si>
    <t>SY98081CQUC</t>
    <phoneticPr fontId="4" type="noConversion"/>
  </si>
  <si>
    <t>TP5PA</t>
    <phoneticPr fontId="4" type="noConversion"/>
  </si>
  <si>
    <t>NAW3M.01+DFG5X70192-E07</t>
    <phoneticPr fontId="4" type="noConversion"/>
  </si>
  <si>
    <t>NAW3M.01</t>
  </si>
  <si>
    <t>HG01653</t>
    <phoneticPr fontId="4" type="noConversion"/>
  </si>
  <si>
    <t>YG5PA</t>
    <phoneticPr fontId="4" type="noConversion"/>
  </si>
  <si>
    <t>NAWP6.02+(DFG5X70192-E07+DFFAX70479)</t>
    <phoneticPr fontId="4" type="noConversion"/>
  </si>
  <si>
    <t>6#-15#</t>
  </si>
  <si>
    <t>NAWP6.02</t>
  </si>
  <si>
    <t>HG01654</t>
    <phoneticPr fontId="4" type="noConversion"/>
  </si>
  <si>
    <t>YG5PB</t>
    <phoneticPr fontId="4" type="noConversion"/>
  </si>
  <si>
    <t>NAQSR.02+(DFFAX70481+DFFAX70480)</t>
    <phoneticPr fontId="4" type="noConversion"/>
  </si>
  <si>
    <t>11#-12#</t>
  </si>
  <si>
    <t>NAQSR.02-2</t>
  </si>
  <si>
    <t>SY98081EQUC</t>
    <phoneticPr fontId="4" type="noConversion"/>
  </si>
  <si>
    <t>HG01655</t>
    <phoneticPr fontId="4" type="noConversion"/>
  </si>
  <si>
    <t>UP5PA</t>
    <phoneticPr fontId="4" type="noConversion"/>
  </si>
  <si>
    <t>NAW3H.01+DFG5X70193-E07</t>
    <phoneticPr fontId="4" type="noConversion"/>
  </si>
  <si>
    <t>NAW3H.01</t>
  </si>
  <si>
    <t>SY50131FAC</t>
    <phoneticPr fontId="4" type="noConversion"/>
  </si>
  <si>
    <t>HG01656</t>
    <phoneticPr fontId="4" type="noConversion"/>
  </si>
  <si>
    <t>ATS5PB</t>
    <phoneticPr fontId="4" type="noConversion"/>
  </si>
  <si>
    <t>NC1PP+FSNK7</t>
    <phoneticPr fontId="4" type="noConversion"/>
  </si>
  <si>
    <t>18#-21#+1#-11#</t>
    <phoneticPr fontId="4" type="noConversion"/>
  </si>
  <si>
    <t>FSNK7;NC1PP</t>
  </si>
  <si>
    <t>HG01657</t>
    <phoneticPr fontId="4" type="noConversion"/>
  </si>
  <si>
    <t>AZH5PA</t>
    <phoneticPr fontId="4" type="noConversion"/>
  </si>
  <si>
    <t>NATCC.03+(FT8NL+F26LM)</t>
    <phoneticPr fontId="4" type="noConversion"/>
  </si>
  <si>
    <t>(FT8NL+F26LM);NATCC.03</t>
  </si>
  <si>
    <t>SY8003LDFC</t>
    <phoneticPr fontId="4" type="noConversion"/>
  </si>
  <si>
    <t>HG01658</t>
    <phoneticPr fontId="4" type="noConversion"/>
  </si>
  <si>
    <t>PU5PA</t>
    <phoneticPr fontId="4" type="noConversion"/>
  </si>
  <si>
    <t>16#-18#</t>
    <phoneticPr fontId="4" type="noConversion"/>
  </si>
  <si>
    <t>NC201-1</t>
  </si>
  <si>
    <t>SY8502FCC</t>
    <phoneticPr fontId="4" type="noConversion"/>
  </si>
  <si>
    <t>A99B0</t>
    <phoneticPr fontId="4" type="noConversion"/>
  </si>
  <si>
    <t>HG01659</t>
    <phoneticPr fontId="4" type="noConversion"/>
  </si>
  <si>
    <t>BDX5QA</t>
    <phoneticPr fontId="4" type="noConversion"/>
  </si>
  <si>
    <t>NA7KW.01</t>
    <phoneticPr fontId="4" type="noConversion"/>
  </si>
  <si>
    <t>8#-12#</t>
  </si>
  <si>
    <t>NA7KW.01</t>
  </si>
  <si>
    <t>HG01663</t>
    <phoneticPr fontId="4" type="noConversion"/>
  </si>
  <si>
    <t>Ee5QC</t>
    <phoneticPr fontId="4" type="noConversion"/>
  </si>
  <si>
    <t>NC429</t>
  </si>
  <si>
    <t>HG01664</t>
    <phoneticPr fontId="4" type="noConversion"/>
  </si>
  <si>
    <t>Ee5QD</t>
    <phoneticPr fontId="4" type="noConversion"/>
  </si>
  <si>
    <t>NC4PA</t>
  </si>
  <si>
    <t>HG01665</t>
    <phoneticPr fontId="4" type="noConversion"/>
  </si>
  <si>
    <t>Ee5QE</t>
    <phoneticPr fontId="4" type="noConversion"/>
  </si>
  <si>
    <t>NC4PC</t>
  </si>
  <si>
    <t>HG01666</t>
    <phoneticPr fontId="4" type="noConversion"/>
  </si>
  <si>
    <t>Ee5QF</t>
    <phoneticPr fontId="4" type="noConversion"/>
  </si>
  <si>
    <t>NC4PF</t>
  </si>
  <si>
    <t>SY6702DFC</t>
    <phoneticPr fontId="4" type="noConversion"/>
  </si>
  <si>
    <t>HG01667</t>
    <phoneticPr fontId="4" type="noConversion"/>
  </si>
  <si>
    <t>Ee5QG</t>
    <phoneticPr fontId="4" type="noConversion"/>
  </si>
  <si>
    <t>NC4PG</t>
  </si>
  <si>
    <t>SY8203DBC</t>
    <phoneticPr fontId="4" type="noConversion"/>
  </si>
  <si>
    <t>HG01672</t>
    <phoneticPr fontId="4" type="noConversion"/>
  </si>
  <si>
    <t>LS5QA</t>
    <phoneticPr fontId="4" type="noConversion"/>
  </si>
  <si>
    <t>NAW3P-1</t>
  </si>
  <si>
    <t>HG01673</t>
    <phoneticPr fontId="4" type="noConversion"/>
  </si>
  <si>
    <t>AHI5QA</t>
    <phoneticPr fontId="4" type="noConversion"/>
  </si>
  <si>
    <t>SY8079AAC</t>
    <phoneticPr fontId="4" type="noConversion"/>
  </si>
  <si>
    <t>HG01675</t>
    <phoneticPr fontId="4" type="noConversion"/>
  </si>
  <si>
    <t>UH5QA</t>
    <phoneticPr fontId="4" type="noConversion"/>
  </si>
  <si>
    <t>NAQPQ</t>
    <phoneticPr fontId="4" type="noConversion"/>
  </si>
  <si>
    <t>NAQPQ</t>
  </si>
  <si>
    <t>HG01681</t>
    <phoneticPr fontId="4" type="noConversion"/>
  </si>
  <si>
    <t>TW5QC</t>
    <phoneticPr fontId="4" type="noConversion"/>
  </si>
  <si>
    <t>NC3G6</t>
    <phoneticPr fontId="4" type="noConversion"/>
  </si>
  <si>
    <t>NC3G6</t>
  </si>
  <si>
    <t>SY5019FAC</t>
    <phoneticPr fontId="4" type="noConversion"/>
  </si>
  <si>
    <t>E51D1+U1X28D</t>
  </si>
  <si>
    <t>HG01682</t>
    <phoneticPr fontId="4" type="noConversion"/>
  </si>
  <si>
    <t>BAE5QA</t>
    <phoneticPr fontId="4" type="noConversion"/>
  </si>
  <si>
    <t>2+1</t>
    <phoneticPr fontId="4" type="noConversion"/>
  </si>
  <si>
    <t>NAYP6.02+FYLKP</t>
    <phoneticPr fontId="4" type="noConversion"/>
  </si>
  <si>
    <t>11# 12#+#3</t>
    <phoneticPr fontId="4" type="noConversion"/>
  </si>
  <si>
    <t>NAYP6.02;FYLKP</t>
  </si>
  <si>
    <t>SY50101CFAC</t>
    <phoneticPr fontId="4" type="noConversion"/>
  </si>
  <si>
    <t>HG01684</t>
    <phoneticPr fontId="4" type="noConversion"/>
  </si>
  <si>
    <t>AXA5QA</t>
    <phoneticPr fontId="4" type="noConversion"/>
  </si>
  <si>
    <t>1+2</t>
    <phoneticPr fontId="4" type="noConversion"/>
  </si>
  <si>
    <t>NC01G.01+F3W9M</t>
    <phoneticPr fontId="4" type="noConversion"/>
  </si>
  <si>
    <t>1#+23#-24#</t>
    <phoneticPr fontId="4" type="noConversion"/>
  </si>
  <si>
    <t>NC01G.01;F3W9M</t>
  </si>
  <si>
    <t>SY20113ADFC</t>
    <phoneticPr fontId="4" type="noConversion"/>
  </si>
  <si>
    <t>HG01690</t>
    <phoneticPr fontId="4" type="noConversion"/>
  </si>
  <si>
    <t>KW5QA</t>
    <phoneticPr fontId="4" type="noConversion"/>
  </si>
  <si>
    <t>NC201</t>
    <phoneticPr fontId="4" type="noConversion"/>
  </si>
  <si>
    <t>NC201-2</t>
  </si>
  <si>
    <t>HG01691</t>
    <phoneticPr fontId="4" type="noConversion"/>
  </si>
  <si>
    <t>AOF5QB</t>
    <phoneticPr fontId="4" type="noConversion"/>
  </si>
  <si>
    <t>10+28</t>
    <phoneticPr fontId="4" type="noConversion"/>
  </si>
  <si>
    <t>NC3AM+(SJ102000+SJ097200)</t>
    <phoneticPr fontId="4" type="noConversion"/>
  </si>
  <si>
    <t>1#-10#+(1#-25#+22#-24#)</t>
    <phoneticPr fontId="4" type="noConversion"/>
  </si>
  <si>
    <t>NC3AM;(SJ102000+SJ097200)</t>
  </si>
  <si>
    <t>A25I0</t>
    <phoneticPr fontId="4" type="noConversion"/>
  </si>
  <si>
    <t>HG01692</t>
    <phoneticPr fontId="4" type="noConversion"/>
  </si>
  <si>
    <t>VC5QA</t>
    <phoneticPr fontId="4" type="noConversion"/>
  </si>
  <si>
    <t>N864W.01</t>
  </si>
  <si>
    <t>20#</t>
  </si>
  <si>
    <t>N864W.01-1</t>
  </si>
  <si>
    <t>SYM613DQC</t>
    <phoneticPr fontId="4" type="noConversion"/>
  </si>
  <si>
    <t>A11S0</t>
  </si>
  <si>
    <t>HG01695</t>
    <phoneticPr fontId="4" type="noConversion"/>
  </si>
  <si>
    <t>Jf5QA</t>
    <phoneticPr fontId="4" type="noConversion"/>
  </si>
  <si>
    <t>NC29M.05</t>
    <phoneticPr fontId="4" type="noConversion"/>
  </si>
  <si>
    <t>5#,8#-10#,13#</t>
  </si>
  <si>
    <t>NC29M.05</t>
  </si>
  <si>
    <t>SYPH501FCC</t>
    <phoneticPr fontId="4" type="noConversion"/>
  </si>
  <si>
    <t>HG01696</t>
    <phoneticPr fontId="4" type="noConversion"/>
  </si>
  <si>
    <t>AMA5QA</t>
    <phoneticPr fontId="4" type="noConversion"/>
  </si>
  <si>
    <t>NALL1.04</t>
  </si>
  <si>
    <t>SY8702AABC</t>
    <phoneticPr fontId="4" type="noConversion"/>
  </si>
  <si>
    <t>B07EA0</t>
  </si>
  <si>
    <t>HG01700</t>
    <phoneticPr fontId="4" type="noConversion"/>
  </si>
  <si>
    <t>UD5QA</t>
    <phoneticPr fontId="4" type="noConversion"/>
  </si>
  <si>
    <t>NA61J</t>
  </si>
  <si>
    <t>SY5862FAC</t>
    <phoneticPr fontId="4" type="noConversion"/>
  </si>
  <si>
    <t>H13B1</t>
  </si>
  <si>
    <t>HG01701</t>
    <phoneticPr fontId="4" type="noConversion"/>
  </si>
  <si>
    <t>AYE5QA</t>
    <phoneticPr fontId="4" type="noConversion"/>
  </si>
  <si>
    <t>NC57C.03</t>
  </si>
  <si>
    <t>14#,25#</t>
  </si>
  <si>
    <t>SY8821SAC</t>
    <phoneticPr fontId="4" type="noConversion"/>
  </si>
  <si>
    <t>A70B0</t>
  </si>
  <si>
    <t>HG01702</t>
    <phoneticPr fontId="4" type="noConversion"/>
  </si>
  <si>
    <t>DFN2*1.5-8</t>
    <phoneticPr fontId="4" type="noConversion"/>
  </si>
  <si>
    <t>In5QA</t>
    <phoneticPr fontId="4" type="noConversion"/>
  </si>
  <si>
    <t>NARSM.03</t>
  </si>
  <si>
    <t>1#,2#</t>
  </si>
  <si>
    <t>HG01703</t>
    <phoneticPr fontId="4" type="noConversion"/>
  </si>
  <si>
    <t>AYR5QA</t>
    <phoneticPr fontId="4" type="noConversion"/>
  </si>
  <si>
    <t>1+3</t>
    <phoneticPr fontId="4" type="noConversion"/>
  </si>
  <si>
    <t>NAWAH+FPMAS</t>
    <phoneticPr fontId="4" type="noConversion"/>
  </si>
  <si>
    <t>22#+1#-3#</t>
    <phoneticPr fontId="4" type="noConversion"/>
  </si>
  <si>
    <t>FPMAS;NAWAH</t>
  </si>
  <si>
    <t>A42B3</t>
    <phoneticPr fontId="4" type="noConversion"/>
  </si>
  <si>
    <t>HG01704</t>
    <phoneticPr fontId="4" type="noConversion"/>
  </si>
  <si>
    <t>KT5QA</t>
    <phoneticPr fontId="4" type="noConversion"/>
  </si>
  <si>
    <t>NANPM</t>
    <phoneticPr fontId="4" type="noConversion"/>
  </si>
  <si>
    <t>NANPM</t>
  </si>
  <si>
    <t>HG01707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</si>
  <si>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</si>
  <si>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TR5QC</t>
    <phoneticPr fontId="4" type="noConversion"/>
  </si>
  <si>
    <t>NC57L</t>
    <phoneticPr fontId="4" type="noConversion"/>
  </si>
  <si>
    <t>NC57L</t>
  </si>
  <si>
    <t>HG01708</t>
    <phoneticPr fontId="4" type="noConversion"/>
  </si>
  <si>
    <t>TR5QD</t>
    <phoneticPr fontId="4" type="noConversion"/>
  </si>
  <si>
    <t>NC57M</t>
    <phoneticPr fontId="4" type="noConversion"/>
  </si>
  <si>
    <t>NC57M</t>
  </si>
  <si>
    <t>HG01709</t>
    <phoneticPr fontId="4" type="noConversion"/>
  </si>
  <si>
    <t>TR5QE</t>
    <phoneticPr fontId="4" type="noConversion"/>
  </si>
  <si>
    <t>NC57N</t>
    <phoneticPr fontId="4" type="noConversion"/>
  </si>
  <si>
    <t>NC57N</t>
  </si>
  <si>
    <t>SYH407AAC</t>
    <phoneticPr fontId="4" type="noConversion"/>
  </si>
  <si>
    <t>HG01710</t>
    <phoneticPr fontId="4" type="noConversion"/>
  </si>
  <si>
    <t>TR5QF</t>
    <phoneticPr fontId="4" type="noConversion"/>
  </si>
  <si>
    <t>NC57Q</t>
    <phoneticPr fontId="4" type="noConversion"/>
  </si>
  <si>
    <t>NC57Q</t>
  </si>
  <si>
    <t>SY8288BRAC</t>
    <phoneticPr fontId="4" type="noConversion"/>
  </si>
  <si>
    <t>HG01711</t>
    <phoneticPr fontId="4" type="noConversion"/>
  </si>
  <si>
    <t>BAB5RA</t>
    <phoneticPr fontId="4" type="noConversion"/>
  </si>
  <si>
    <t>NAQ33.08</t>
  </si>
  <si>
    <t>15#-19#</t>
  </si>
  <si>
    <t>SY58120BAAC</t>
    <phoneticPr fontId="4" type="noConversion"/>
  </si>
  <si>
    <t>E24E1+U2X10A</t>
    <phoneticPr fontId="4" type="noConversion"/>
  </si>
  <si>
    <t>HG01714</t>
    <phoneticPr fontId="4" type="noConversion"/>
  </si>
  <si>
    <t>Gq5RA</t>
    <phoneticPr fontId="4" type="noConversion"/>
  </si>
  <si>
    <t>NC5RA+(F4C0W+F3W9M)</t>
    <phoneticPr fontId="4" type="noConversion"/>
  </si>
  <si>
    <t>11#-14#+16#-25+25#</t>
    <phoneticPr fontId="4" type="noConversion"/>
  </si>
  <si>
    <t>(F4C0W+F3W9M);NC5RA</t>
  </si>
  <si>
    <t>SY5814AABC</t>
    <phoneticPr fontId="4" type="noConversion"/>
  </si>
  <si>
    <t>E02D1</t>
    <phoneticPr fontId="4" type="noConversion"/>
  </si>
  <si>
    <t>HG01715</t>
    <phoneticPr fontId="4" type="noConversion"/>
  </si>
  <si>
    <t>HH5RA</t>
    <phoneticPr fontId="4" type="noConversion"/>
  </si>
  <si>
    <t>N8CC0</t>
  </si>
  <si>
    <t>3#~12#</t>
  </si>
  <si>
    <t>SY8071AAC</t>
    <phoneticPr fontId="4" type="noConversion"/>
  </si>
  <si>
    <t>HG01718</t>
    <phoneticPr fontId="4" type="noConversion"/>
  </si>
  <si>
    <t>NA5RA</t>
    <phoneticPr fontId="4" type="noConversion"/>
  </si>
  <si>
    <t>NAWF3</t>
    <phoneticPr fontId="4" type="noConversion"/>
  </si>
  <si>
    <t>22#-25#</t>
    <phoneticPr fontId="4" type="noConversion"/>
  </si>
  <si>
    <t>NAWF3+02</t>
  </si>
  <si>
    <t>HG01719</t>
    <phoneticPr fontId="4" type="noConversion"/>
  </si>
  <si>
    <t>UH5RA</t>
    <phoneticPr fontId="4" type="noConversion"/>
  </si>
  <si>
    <t>NC62C</t>
    <phoneticPr fontId="4" type="noConversion"/>
  </si>
  <si>
    <t>NC62C</t>
  </si>
  <si>
    <t>mark，年份写成4，与去年没有重复</t>
    <phoneticPr fontId="4" type="noConversion"/>
  </si>
  <si>
    <t>HG01720</t>
    <phoneticPr fontId="4" type="noConversion"/>
  </si>
  <si>
    <t>HB4RA</t>
    <phoneticPr fontId="4" type="noConversion"/>
  </si>
  <si>
    <t>NATK7</t>
    <phoneticPr fontId="4" type="noConversion"/>
  </si>
  <si>
    <t>16#-25#</t>
    <phoneticPr fontId="4" type="noConversion"/>
  </si>
  <si>
    <t>NATK7+02</t>
  </si>
  <si>
    <t>分档测试，Bin1:标签上品名为SY8703BABC,Bin2:标签上品名为SY8703ABC</t>
    <phoneticPr fontId="4" type="noConversion"/>
  </si>
  <si>
    <t>HG01721</t>
    <phoneticPr fontId="4" type="noConversion"/>
  </si>
  <si>
    <t>EF5RA</t>
    <phoneticPr fontId="4" type="noConversion"/>
  </si>
  <si>
    <t>NAWA3</t>
    <phoneticPr fontId="4" type="noConversion"/>
  </si>
  <si>
    <t>1#-10#</t>
    <phoneticPr fontId="4" type="noConversion"/>
  </si>
  <si>
    <t>NAWA3+01</t>
  </si>
  <si>
    <t>SY8708ABC</t>
    <phoneticPr fontId="4" type="noConversion"/>
  </si>
  <si>
    <t>B43A0</t>
    <phoneticPr fontId="4" type="noConversion"/>
  </si>
  <si>
    <t>HG01722</t>
    <phoneticPr fontId="4" type="noConversion"/>
  </si>
  <si>
    <t>Dq5RA</t>
    <phoneticPr fontId="4" type="noConversion"/>
  </si>
  <si>
    <t>NC0TS</t>
  </si>
  <si>
    <t>HG01723</t>
    <phoneticPr fontId="4" type="noConversion"/>
  </si>
  <si>
    <t>Dq5RB</t>
    <phoneticPr fontId="4" type="noConversion"/>
  </si>
  <si>
    <t>NC3MM</t>
    <phoneticPr fontId="4" type="noConversion"/>
  </si>
  <si>
    <t>NC3MM</t>
  </si>
  <si>
    <t>SYT112AAC</t>
    <phoneticPr fontId="4" type="noConversion"/>
  </si>
  <si>
    <t>E24E1</t>
  </si>
  <si>
    <t>HG01724</t>
    <phoneticPr fontId="4" type="noConversion"/>
  </si>
  <si>
    <t>Fq5RA</t>
    <phoneticPr fontId="4" type="noConversion"/>
  </si>
  <si>
    <t>NC5RA</t>
    <phoneticPr fontId="4" type="noConversion"/>
  </si>
  <si>
    <t>15#-17#</t>
    <phoneticPr fontId="4" type="noConversion"/>
  </si>
  <si>
    <t>NC5RA</t>
  </si>
  <si>
    <t>HG01726</t>
    <phoneticPr fontId="4" type="noConversion"/>
  </si>
  <si>
    <t>VC5RB</t>
    <phoneticPr fontId="4" type="noConversion"/>
  </si>
  <si>
    <t>NAP4H</t>
  </si>
  <si>
    <t>SYH803EDFC</t>
    <phoneticPr fontId="4" type="noConversion"/>
  </si>
  <si>
    <t>HG01727</t>
    <phoneticPr fontId="4" type="noConversion"/>
  </si>
  <si>
    <t>VC5RC</t>
    <phoneticPr fontId="4" type="noConversion"/>
  </si>
  <si>
    <t>NAP4J</t>
  </si>
  <si>
    <t>HG01729</t>
    <phoneticPr fontId="4" type="noConversion"/>
  </si>
  <si>
    <t>UW5RA</t>
    <phoneticPr fontId="4" type="noConversion"/>
  </si>
  <si>
    <t>NC62F</t>
  </si>
  <si>
    <t>SYH634LDFC</t>
    <phoneticPr fontId="4" type="noConversion"/>
  </si>
  <si>
    <t>HG01730</t>
    <phoneticPr fontId="4" type="noConversion"/>
  </si>
  <si>
    <t>UV5RA</t>
    <phoneticPr fontId="4" type="noConversion"/>
  </si>
  <si>
    <t>NC62F-1</t>
  </si>
  <si>
    <t>HG01732</t>
    <phoneticPr fontId="4" type="noConversion"/>
  </si>
  <si>
    <t>VT5RA</t>
    <phoneticPr fontId="4" type="noConversion"/>
  </si>
  <si>
    <t>NC0QJ</t>
  </si>
  <si>
    <t>SY7065AQMC</t>
    <phoneticPr fontId="4" type="noConversion"/>
  </si>
  <si>
    <t>HG01735</t>
    <phoneticPr fontId="4" type="noConversion"/>
  </si>
  <si>
    <t>VL5RA</t>
    <phoneticPr fontId="4" type="noConversion"/>
  </si>
  <si>
    <t>NC4RW</t>
    <phoneticPr fontId="4" type="noConversion"/>
  </si>
  <si>
    <t>NC4RW</t>
  </si>
  <si>
    <t>SY8205FCC</t>
    <phoneticPr fontId="4" type="noConversion"/>
  </si>
  <si>
    <t>HG01737</t>
    <phoneticPr fontId="4" type="noConversion"/>
  </si>
  <si>
    <t>AHH5RA</t>
    <phoneticPr fontId="4" type="noConversion"/>
  </si>
  <si>
    <t>NC4K0</t>
  </si>
  <si>
    <t>SY8233FCC</t>
    <phoneticPr fontId="4" type="noConversion"/>
  </si>
  <si>
    <t>HG01738</t>
    <phoneticPr fontId="4" type="noConversion"/>
  </si>
  <si>
    <t>AIV5RA</t>
    <phoneticPr fontId="4" type="noConversion"/>
  </si>
  <si>
    <t>NAW3P-2</t>
  </si>
  <si>
    <t>HG01739</t>
    <phoneticPr fontId="4" type="noConversion"/>
  </si>
  <si>
    <t>AVA5RA</t>
    <phoneticPr fontId="4" type="noConversion"/>
  </si>
  <si>
    <t>NC5HG</t>
  </si>
  <si>
    <t>1#-21#</t>
  </si>
  <si>
    <t>E50F0</t>
    <phoneticPr fontId="4" type="noConversion"/>
  </si>
  <si>
    <t>HG01740</t>
    <phoneticPr fontId="4" type="noConversion"/>
  </si>
  <si>
    <t>AUD5RA</t>
    <phoneticPr fontId="4" type="noConversion"/>
  </si>
  <si>
    <t>E08B0</t>
  </si>
  <si>
    <t>HG01742</t>
    <phoneticPr fontId="4" type="noConversion"/>
  </si>
  <si>
    <t>BAV5RA</t>
    <phoneticPr fontId="4" type="noConversion"/>
  </si>
  <si>
    <t>NC337.03</t>
  </si>
  <si>
    <t>SY5018FAC</t>
    <phoneticPr fontId="4" type="noConversion"/>
  </si>
  <si>
    <t>HG01743</t>
    <phoneticPr fontId="4" type="noConversion"/>
  </si>
  <si>
    <t>BAV5RB</t>
    <phoneticPr fontId="4" type="noConversion"/>
  </si>
  <si>
    <t>NC337.03-1</t>
  </si>
  <si>
    <t>SY58573QFAC</t>
    <phoneticPr fontId="4" type="noConversion"/>
  </si>
  <si>
    <t>E20A1+U2X12A</t>
    <phoneticPr fontId="4" type="noConversion"/>
  </si>
  <si>
    <t>HG01744</t>
    <phoneticPr fontId="4" type="noConversion"/>
  </si>
  <si>
    <t>BCM5RA</t>
    <phoneticPr fontId="4" type="noConversion"/>
  </si>
  <si>
    <t>1+5</t>
    <phoneticPr fontId="4" type="noConversion"/>
  </si>
  <si>
    <t>NAY3S.05+F3P0S</t>
    <phoneticPr fontId="4" type="noConversion"/>
  </si>
  <si>
    <t>4#+21#-25#</t>
    <phoneticPr fontId="4" type="noConversion"/>
  </si>
  <si>
    <t>F3P0S;NAY3S.05</t>
  </si>
  <si>
    <t>SY58283NFAC</t>
    <phoneticPr fontId="4" type="noConversion"/>
  </si>
  <si>
    <t>HG01747</t>
    <phoneticPr fontId="4" type="noConversion"/>
  </si>
  <si>
    <t>AYJ5RA</t>
    <phoneticPr fontId="4" type="noConversion"/>
  </si>
  <si>
    <t>NAWAM+SJ095900</t>
    <phoneticPr fontId="4" type="noConversion"/>
  </si>
  <si>
    <t>1#-4#+1#-13#</t>
    <phoneticPr fontId="4" type="noConversion"/>
  </si>
  <si>
    <t>SJ095900;NAWAM</t>
  </si>
  <si>
    <t>HG01750</t>
    <phoneticPr fontId="4" type="noConversion"/>
  </si>
  <si>
    <t>AOF5RA</t>
    <phoneticPr fontId="4" type="noConversion"/>
  </si>
  <si>
    <t>NC3AM+SJ102300</t>
    <phoneticPr fontId="4" type="noConversion"/>
  </si>
  <si>
    <t>11#-19#+1#-25#</t>
    <phoneticPr fontId="4" type="noConversion"/>
  </si>
  <si>
    <t>NC3AM;SJ102300</t>
  </si>
  <si>
    <t>HG01751</t>
    <phoneticPr fontId="4" type="noConversion"/>
  </si>
  <si>
    <t>AOF5RB</t>
    <phoneticPr fontId="4" type="noConversion"/>
  </si>
  <si>
    <t>6+17</t>
    <phoneticPr fontId="4" type="noConversion"/>
  </si>
  <si>
    <t>NC3AM+SJ103400</t>
    <phoneticPr fontId="4" type="noConversion"/>
  </si>
  <si>
    <t>20#-25#+1#-17#</t>
    <phoneticPr fontId="4" type="noConversion"/>
  </si>
  <si>
    <t>NC3AM;SJ103400</t>
  </si>
  <si>
    <t>SY8816DFC</t>
    <phoneticPr fontId="4" type="noConversion"/>
  </si>
  <si>
    <t>HG01752</t>
    <phoneticPr fontId="4" type="noConversion"/>
  </si>
  <si>
    <t>VW5RA</t>
    <phoneticPr fontId="4" type="noConversion"/>
  </si>
  <si>
    <t>NC6SJ</t>
    <phoneticPr fontId="4" type="noConversion"/>
  </si>
  <si>
    <t>NC6SJ</t>
  </si>
  <si>
    <t>HG01753</t>
    <phoneticPr fontId="4" type="noConversion"/>
  </si>
  <si>
    <t>UH5RB</t>
    <phoneticPr fontId="4" type="noConversion"/>
  </si>
  <si>
    <t>NC62F</t>
    <phoneticPr fontId="4" type="noConversion"/>
  </si>
  <si>
    <t>13#-18#</t>
    <phoneticPr fontId="4" type="noConversion"/>
  </si>
  <si>
    <t>NC62F+01</t>
  </si>
  <si>
    <t>HG01755</t>
    <phoneticPr fontId="4" type="noConversion"/>
  </si>
  <si>
    <t>PT5RA</t>
    <phoneticPr fontId="4" type="noConversion"/>
  </si>
  <si>
    <t>NC6J4</t>
  </si>
  <si>
    <t>HG01757</t>
    <phoneticPr fontId="4" type="noConversion"/>
  </si>
  <si>
    <t>HU5RB</t>
    <phoneticPr fontId="4" type="noConversion"/>
  </si>
  <si>
    <t>NC44L</t>
  </si>
  <si>
    <t>HG01760</t>
    <phoneticPr fontId="4" type="noConversion"/>
  </si>
  <si>
    <t>JD5RB</t>
    <phoneticPr fontId="4" type="noConversion"/>
  </si>
  <si>
    <t>NC44K</t>
  </si>
  <si>
    <t>SY8003DFC</t>
    <phoneticPr fontId="4" type="noConversion"/>
  </si>
  <si>
    <t>HG01761</t>
    <phoneticPr fontId="4" type="noConversion"/>
  </si>
  <si>
    <t>JD5RC</t>
    <phoneticPr fontId="4" type="noConversion"/>
  </si>
  <si>
    <t>NC44N-2</t>
  </si>
  <si>
    <t>HG01764</t>
    <phoneticPr fontId="4" type="noConversion"/>
  </si>
  <si>
    <t>VT5RD</t>
    <phoneticPr fontId="4" type="noConversion"/>
  </si>
  <si>
    <t>NC375</t>
  </si>
  <si>
    <t>SY7203DBC</t>
  </si>
  <si>
    <t>B18L0</t>
  </si>
  <si>
    <t>HG01765</t>
    <phoneticPr fontId="4" type="noConversion"/>
  </si>
  <si>
    <t>NZ5RA</t>
    <phoneticPr fontId="4" type="noConversion"/>
  </si>
  <si>
    <t>NA634</t>
  </si>
  <si>
    <t>9#-13#</t>
  </si>
  <si>
    <t>NA634-1</t>
  </si>
  <si>
    <t>D</t>
    <phoneticPr fontId="4" type="noConversion"/>
  </si>
  <si>
    <t>HG01766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</si>
  <si>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</si>
  <si>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LX5RB</t>
    <phoneticPr fontId="4" type="noConversion"/>
  </si>
  <si>
    <t>4#-7#</t>
  </si>
  <si>
    <t>NAWNQ-1</t>
  </si>
  <si>
    <t>SY8205DNC</t>
    <phoneticPr fontId="4" type="noConversion"/>
  </si>
  <si>
    <t>HG01768</t>
    <phoneticPr fontId="4" type="noConversion"/>
  </si>
  <si>
    <t>DFN4*3-12</t>
    <phoneticPr fontId="4" type="noConversion"/>
  </si>
  <si>
    <t>ADS5RA</t>
    <phoneticPr fontId="4" type="noConversion"/>
  </si>
  <si>
    <t>NC591-1</t>
  </si>
  <si>
    <t>HG01769</t>
    <phoneticPr fontId="4" type="noConversion"/>
  </si>
  <si>
    <t>AIV5RB</t>
    <phoneticPr fontId="4" type="noConversion"/>
  </si>
  <si>
    <t>NAW3P-3</t>
  </si>
  <si>
    <t>HG01770</t>
    <phoneticPr fontId="4" type="noConversion"/>
  </si>
  <si>
    <t>AHI5RA</t>
    <phoneticPr fontId="4" type="noConversion"/>
  </si>
  <si>
    <t>NC592</t>
  </si>
  <si>
    <t>HG01771</t>
    <phoneticPr fontId="4" type="noConversion"/>
  </si>
  <si>
    <t>AHI5RB</t>
    <phoneticPr fontId="4" type="noConversion"/>
  </si>
  <si>
    <t>NC593</t>
    <phoneticPr fontId="4" type="noConversion"/>
  </si>
  <si>
    <t>NC593</t>
  </si>
  <si>
    <t>SY5011FAC</t>
    <phoneticPr fontId="4" type="noConversion"/>
  </si>
  <si>
    <t>HG01773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</si>
  <si>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</si>
  <si>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AJE5RA</t>
    <phoneticPr fontId="4" type="noConversion"/>
  </si>
  <si>
    <t>NC49N.02</t>
  </si>
  <si>
    <t>SY50132FAC</t>
    <phoneticPr fontId="4" type="noConversion"/>
  </si>
  <si>
    <t>HG01774</t>
    <phoneticPr fontId="4" type="noConversion"/>
  </si>
  <si>
    <t>ATR5RB</t>
    <phoneticPr fontId="4" type="noConversion"/>
  </si>
  <si>
    <t>5+18</t>
    <phoneticPr fontId="4" type="noConversion"/>
  </si>
  <si>
    <t>NC5RC+FMTWA</t>
    <phoneticPr fontId="4" type="noConversion"/>
  </si>
  <si>
    <t>6#-10#+1#-2#,4#-19#</t>
    <phoneticPr fontId="4" type="noConversion"/>
  </si>
  <si>
    <t>FMTWA;NC5RC</t>
  </si>
  <si>
    <t>HG01776</t>
    <phoneticPr fontId="4" type="noConversion"/>
  </si>
  <si>
    <t>AQU5RB</t>
    <phoneticPr fontId="4" type="noConversion"/>
  </si>
  <si>
    <t>4+21</t>
    <phoneticPr fontId="4" type="noConversion"/>
  </si>
  <si>
    <t>NAW5T+SJ093700</t>
    <phoneticPr fontId="4" type="noConversion"/>
  </si>
  <si>
    <t>20#-23#+2#~6#,8#~13#,15#~20#,22#~25#</t>
    <phoneticPr fontId="4" type="noConversion"/>
  </si>
  <si>
    <t>SJ093700;NAW5T</t>
  </si>
  <si>
    <t>SY7063QMC</t>
    <phoneticPr fontId="4" type="noConversion"/>
  </si>
  <si>
    <t>HG01782</t>
    <phoneticPr fontId="4" type="noConversion"/>
  </si>
  <si>
    <t>UJ5RA</t>
    <phoneticPr fontId="4" type="noConversion"/>
  </si>
  <si>
    <t>NC1M4</t>
    <phoneticPr fontId="4" type="noConversion"/>
  </si>
  <si>
    <t>NC1M4</t>
  </si>
  <si>
    <t>HG01783</t>
    <phoneticPr fontId="4" type="noConversion"/>
  </si>
  <si>
    <t>KF5RA</t>
    <phoneticPr fontId="4" type="noConversion"/>
  </si>
  <si>
    <t>NC5R6.01</t>
    <phoneticPr fontId="4" type="noConversion"/>
  </si>
  <si>
    <t>NC5R6.01</t>
  </si>
  <si>
    <t>XD5RA</t>
    <phoneticPr fontId="4" type="noConversion"/>
  </si>
  <si>
    <t>NC57F</t>
    <phoneticPr fontId="4" type="noConversion"/>
  </si>
  <si>
    <t>5#-16#</t>
  </si>
  <si>
    <t>HG01785</t>
    <phoneticPr fontId="4" type="noConversion"/>
  </si>
  <si>
    <t>JR5RA</t>
    <phoneticPr fontId="4" type="noConversion"/>
  </si>
  <si>
    <t>NC30A</t>
    <phoneticPr fontId="4" type="noConversion"/>
  </si>
  <si>
    <t>NC30A</t>
  </si>
  <si>
    <t>HG01786</t>
    <phoneticPr fontId="4" type="noConversion"/>
  </si>
  <si>
    <t>JR5RB</t>
    <phoneticPr fontId="4" type="noConversion"/>
  </si>
  <si>
    <t>NC3NG</t>
    <phoneticPr fontId="4" type="noConversion"/>
  </si>
  <si>
    <t>NC3NG</t>
  </si>
  <si>
    <t>HG01787</t>
    <phoneticPr fontId="4" type="noConversion"/>
  </si>
  <si>
    <t>JR5RC</t>
    <phoneticPr fontId="4" type="noConversion"/>
  </si>
  <si>
    <t>NC3NH</t>
    <phoneticPr fontId="4" type="noConversion"/>
  </si>
  <si>
    <t>NC3NH</t>
  </si>
  <si>
    <t>HG01788</t>
    <phoneticPr fontId="4" type="noConversion"/>
  </si>
  <si>
    <t>JR5RD</t>
    <phoneticPr fontId="4" type="noConversion"/>
  </si>
  <si>
    <t>NC3NJ</t>
    <phoneticPr fontId="4" type="noConversion"/>
  </si>
  <si>
    <t>NC3NJ</t>
  </si>
  <si>
    <t>HG01789</t>
    <phoneticPr fontId="4" type="noConversion"/>
  </si>
  <si>
    <t>JR5RE</t>
    <phoneticPr fontId="4" type="noConversion"/>
  </si>
  <si>
    <t>NC3NK</t>
    <phoneticPr fontId="4" type="noConversion"/>
  </si>
  <si>
    <t>NC3NK</t>
  </si>
  <si>
    <t>HG01790</t>
    <phoneticPr fontId="4" type="noConversion"/>
  </si>
  <si>
    <t>JR5RF</t>
    <phoneticPr fontId="4" type="noConversion"/>
  </si>
  <si>
    <t>NC6W6</t>
    <phoneticPr fontId="4" type="noConversion"/>
  </si>
  <si>
    <t>NC6W6</t>
  </si>
  <si>
    <t>HG01791</t>
    <phoneticPr fontId="4" type="noConversion"/>
  </si>
  <si>
    <t>ZT5RB</t>
    <phoneticPr fontId="4" type="noConversion"/>
  </si>
  <si>
    <t>NC59Y+01</t>
  </si>
  <si>
    <t>HG01794</t>
    <phoneticPr fontId="4" type="noConversion"/>
  </si>
  <si>
    <t>NA5RB</t>
    <phoneticPr fontId="4" type="noConversion"/>
  </si>
  <si>
    <t>NC5R7</t>
    <phoneticPr fontId="4" type="noConversion"/>
  </si>
  <si>
    <t>16#-17#</t>
    <phoneticPr fontId="4" type="noConversion"/>
  </si>
  <si>
    <t>NC5R7</t>
  </si>
  <si>
    <t>HG01796</t>
    <phoneticPr fontId="4" type="noConversion"/>
  </si>
  <si>
    <t>TR5RB</t>
    <phoneticPr fontId="4" type="noConversion"/>
  </si>
  <si>
    <t>NC6HG</t>
    <phoneticPr fontId="4" type="noConversion"/>
  </si>
  <si>
    <t>NC6HG</t>
  </si>
  <si>
    <t>HG01797</t>
    <phoneticPr fontId="4" type="noConversion"/>
  </si>
  <si>
    <t>TR5RC</t>
    <phoneticPr fontId="4" type="noConversion"/>
  </si>
  <si>
    <t>NC6HC</t>
    <phoneticPr fontId="4" type="noConversion"/>
  </si>
  <si>
    <t>NC6HC</t>
  </si>
  <si>
    <t>HG01799</t>
    <phoneticPr fontId="4" type="noConversion"/>
  </si>
  <si>
    <t>UH5RC</t>
    <phoneticPr fontId="4" type="noConversion"/>
  </si>
  <si>
    <t>19#-25#</t>
    <phoneticPr fontId="4" type="noConversion"/>
  </si>
  <si>
    <t>HG01801</t>
    <phoneticPr fontId="4" type="noConversion"/>
  </si>
  <si>
    <t>EF5RB</t>
    <phoneticPr fontId="4" type="noConversion"/>
  </si>
  <si>
    <t>NC4NT</t>
    <phoneticPr fontId="4" type="noConversion"/>
  </si>
  <si>
    <t>NC4NT</t>
  </si>
  <si>
    <t>SY5830BABC</t>
    <phoneticPr fontId="4" type="noConversion"/>
  </si>
  <si>
    <t>E19E1</t>
    <phoneticPr fontId="4" type="noConversion"/>
  </si>
  <si>
    <t>HG01802</t>
    <phoneticPr fontId="4" type="noConversion"/>
  </si>
  <si>
    <t>Jy5RA</t>
    <phoneticPr fontId="4" type="noConversion"/>
  </si>
  <si>
    <t>NAMR2.01</t>
    <phoneticPr fontId="4" type="noConversion"/>
  </si>
  <si>
    <t>5#-17#</t>
    <phoneticPr fontId="4" type="noConversion"/>
  </si>
  <si>
    <t>NAMR2.01</t>
  </si>
  <si>
    <t>SY8672BQPC</t>
    <phoneticPr fontId="4" type="noConversion"/>
  </si>
  <si>
    <r>
      <t>需</t>
    </r>
    <r>
      <rPr>
        <sz val="10"/>
        <rFont val="Arial"/>
        <family val="2"/>
      </rPr>
      <t>Bumping</t>
    </r>
    <phoneticPr fontId="4" type="noConversion"/>
  </si>
  <si>
    <r>
      <t>7</t>
    </r>
    <r>
      <rPr>
        <sz val="10"/>
        <rFont val="宋体"/>
        <family val="3"/>
        <charset val="134"/>
      </rPr>
      <t>片分成</t>
    </r>
    <r>
      <rPr>
        <sz val="10"/>
        <rFont val="Arial"/>
        <family val="2"/>
        <charset val="134"/>
      </rPr>
      <t>2</t>
    </r>
    <r>
      <rPr>
        <sz val="10"/>
        <rFont val="宋体"/>
        <family val="3"/>
        <charset val="134"/>
      </rPr>
      <t>部分下线</t>
    </r>
    <r>
      <rPr>
        <sz val="10"/>
        <rFont val="Arial"/>
        <family val="2"/>
        <charset val="134"/>
      </rPr>
      <t>6+1</t>
    </r>
    <phoneticPr fontId="4" type="noConversion"/>
  </si>
  <si>
    <t xml:space="preserve">I55A3 </t>
    <phoneticPr fontId="4" type="noConversion"/>
  </si>
  <si>
    <t>HG01803</t>
    <phoneticPr fontId="4" type="noConversion"/>
  </si>
  <si>
    <t>QFN5*5-36</t>
    <phoneticPr fontId="4" type="noConversion"/>
  </si>
  <si>
    <t>AZF5RB</t>
    <phoneticPr fontId="4" type="noConversion"/>
  </si>
  <si>
    <t>NC686.04</t>
    <phoneticPr fontId="4" type="noConversion"/>
  </si>
  <si>
    <t>12#-18#</t>
    <phoneticPr fontId="4" type="noConversion"/>
  </si>
  <si>
    <t>NC686.04/NC686.04-1</t>
    <phoneticPr fontId="4" type="noConversion"/>
  </si>
  <si>
    <t>SY58206YFAC</t>
    <phoneticPr fontId="4" type="noConversion"/>
  </si>
  <si>
    <t>E10J0+A1X06B</t>
    <phoneticPr fontId="4" type="noConversion"/>
  </si>
  <si>
    <t>HG01804</t>
    <phoneticPr fontId="4" type="noConversion"/>
  </si>
  <si>
    <t>AYV5RA</t>
    <phoneticPr fontId="4" type="noConversion"/>
  </si>
  <si>
    <t>1+8</t>
    <phoneticPr fontId="4" type="noConversion"/>
  </si>
  <si>
    <t>NAPFY.02+SJ080300</t>
    <phoneticPr fontId="4" type="noConversion"/>
  </si>
  <si>
    <t>2#+1#~4#,6#~8#,10#</t>
    <phoneticPr fontId="4" type="noConversion"/>
  </si>
  <si>
    <t>HG01806</t>
    <phoneticPr fontId="4" type="noConversion"/>
  </si>
  <si>
    <t>VC5SA</t>
    <phoneticPr fontId="4" type="noConversion"/>
  </si>
  <si>
    <t>NAP4K</t>
  </si>
  <si>
    <t>HG01807</t>
    <phoneticPr fontId="4" type="noConversion"/>
  </si>
  <si>
    <t>VT5SA</t>
    <phoneticPr fontId="4" type="noConversion"/>
  </si>
  <si>
    <t>NC373</t>
  </si>
  <si>
    <t>SY8203DBC</t>
  </si>
  <si>
    <t>HG01808</t>
    <phoneticPr fontId="4" type="noConversion"/>
  </si>
  <si>
    <t>LS5SA</t>
    <phoneticPr fontId="4" type="noConversion"/>
  </si>
  <si>
    <t>NC6JK</t>
  </si>
  <si>
    <t>HG01809</t>
    <phoneticPr fontId="4" type="noConversion"/>
  </si>
  <si>
    <t>AMA5SA</t>
    <phoneticPr fontId="4" type="noConversion"/>
  </si>
  <si>
    <t>7#-13#</t>
  </si>
  <si>
    <t>NALL1.04-1</t>
  </si>
  <si>
    <t>SY8743FCC</t>
  </si>
  <si>
    <t>HG01810</t>
    <phoneticPr fontId="4" type="noConversion"/>
  </si>
  <si>
    <t>ARJ5SA</t>
    <phoneticPr fontId="4" type="noConversion"/>
  </si>
  <si>
    <t>NC771</t>
  </si>
  <si>
    <t>SY8232FAC</t>
  </si>
  <si>
    <t>HG01811</t>
    <phoneticPr fontId="4" type="noConversion"/>
  </si>
  <si>
    <t>AIU5SA</t>
    <phoneticPr fontId="4" type="noConversion"/>
  </si>
  <si>
    <t>NC5KP</t>
  </si>
  <si>
    <t>SY50136FAC</t>
  </si>
  <si>
    <t>HG01812</t>
    <phoneticPr fontId="4" type="noConversion"/>
  </si>
  <si>
    <t>AUX5SA</t>
    <phoneticPr fontId="4" type="noConversion"/>
  </si>
  <si>
    <t>3+27</t>
    <phoneticPr fontId="4" type="noConversion"/>
  </si>
  <si>
    <t>NC181+(F334L+FSC9A)</t>
    <phoneticPr fontId="4" type="noConversion"/>
  </si>
  <si>
    <t>20#-22#+(1#-25#+24#-25#)</t>
    <phoneticPr fontId="4" type="noConversion"/>
  </si>
  <si>
    <t>(F334L+FSC9A);NC181</t>
  </si>
  <si>
    <t>E50B1</t>
    <phoneticPr fontId="4" type="noConversion"/>
  </si>
  <si>
    <t>HG01813</t>
    <phoneticPr fontId="4" type="noConversion"/>
  </si>
  <si>
    <t>ARU5SA</t>
    <phoneticPr fontId="4" type="noConversion"/>
  </si>
  <si>
    <t>NC5HG.02</t>
  </si>
  <si>
    <t>HG01814</t>
    <phoneticPr fontId="4" type="noConversion"/>
  </si>
  <si>
    <t>ZW5SA</t>
    <phoneticPr fontId="4" type="noConversion"/>
  </si>
  <si>
    <t>SY7215RDC</t>
    <phoneticPr fontId="4" type="noConversion"/>
  </si>
  <si>
    <t>B45A1</t>
  </si>
  <si>
    <t>HG01815</t>
    <phoneticPr fontId="4" type="noConversion"/>
  </si>
  <si>
    <t>QFN4*4-18</t>
    <phoneticPr fontId="4" type="noConversion"/>
  </si>
  <si>
    <t>BDU5SA</t>
    <phoneticPr fontId="4" type="noConversion"/>
  </si>
  <si>
    <t>NC31S.02</t>
    <phoneticPr fontId="4" type="noConversion"/>
  </si>
  <si>
    <t>18#-23#</t>
  </si>
  <si>
    <t>NC31S.02</t>
  </si>
  <si>
    <t>SY7315RDC</t>
    <phoneticPr fontId="4" type="noConversion"/>
  </si>
  <si>
    <t>B45A1</t>
    <phoneticPr fontId="4" type="noConversion"/>
  </si>
  <si>
    <t>HG01816</t>
    <phoneticPr fontId="4" type="noConversion"/>
  </si>
  <si>
    <t>AVZ5SA</t>
    <phoneticPr fontId="4" type="noConversion"/>
  </si>
  <si>
    <t>NC31S.04</t>
    <phoneticPr fontId="4" type="noConversion"/>
  </si>
  <si>
    <t>3#-17#</t>
  </si>
  <si>
    <t>NC31S.04</t>
  </si>
  <si>
    <t>SY58120BAAC</t>
  </si>
  <si>
    <t>HG01817</t>
    <phoneticPr fontId="4" type="noConversion"/>
  </si>
  <si>
    <t>Gq5SA</t>
    <phoneticPr fontId="4" type="noConversion"/>
  </si>
  <si>
    <t>NC5RA+F8TWR</t>
    <phoneticPr fontId="4" type="noConversion"/>
  </si>
  <si>
    <t>18#-20#+18#-25#</t>
    <phoneticPr fontId="4" type="noConversion"/>
  </si>
  <si>
    <t>F8TWR;NC5RA</t>
  </si>
  <si>
    <t>HG01818</t>
    <phoneticPr fontId="4" type="noConversion"/>
  </si>
  <si>
    <t>UH5SA</t>
    <phoneticPr fontId="4" type="noConversion"/>
  </si>
  <si>
    <t>HG01819</t>
    <phoneticPr fontId="4" type="noConversion"/>
  </si>
  <si>
    <t>JW5SA</t>
    <phoneticPr fontId="4" type="noConversion"/>
  </si>
  <si>
    <t>SYLS25ABC</t>
    <phoneticPr fontId="4" type="noConversion"/>
  </si>
  <si>
    <t>HG01820</t>
    <phoneticPr fontId="4" type="noConversion"/>
  </si>
  <si>
    <t>MH5SA</t>
    <phoneticPr fontId="4" type="noConversion"/>
  </si>
  <si>
    <t>NC4KQ</t>
  </si>
  <si>
    <t>HG01822</t>
    <phoneticPr fontId="4" type="noConversion"/>
  </si>
  <si>
    <t>VC5SB</t>
    <phoneticPr fontId="4" type="noConversion"/>
  </si>
  <si>
    <t>NAP4J-1</t>
  </si>
  <si>
    <t>HG01824</t>
    <phoneticPr fontId="4" type="noConversion"/>
  </si>
  <si>
    <t>UV5SB</t>
    <phoneticPr fontId="4" type="noConversion"/>
  </si>
  <si>
    <t>NC7Q7</t>
  </si>
  <si>
    <t>SY8246DNC</t>
    <phoneticPr fontId="4" type="noConversion"/>
  </si>
  <si>
    <t>HG01826</t>
    <phoneticPr fontId="4" type="noConversion"/>
  </si>
  <si>
    <t>AFZ5SB</t>
    <phoneticPr fontId="4" type="noConversion"/>
  </si>
  <si>
    <t>NC6HN-1</t>
  </si>
  <si>
    <t>SY5806FAC</t>
    <phoneticPr fontId="4" type="noConversion"/>
  </si>
  <si>
    <t>HG01827</t>
    <phoneticPr fontId="4" type="noConversion"/>
  </si>
  <si>
    <t>ALH5SA</t>
    <phoneticPr fontId="4" type="noConversion"/>
  </si>
  <si>
    <t>NC1PK</t>
  </si>
  <si>
    <t>SY58294ZFAC</t>
    <phoneticPr fontId="4" type="noConversion"/>
  </si>
  <si>
    <t>HG01830</t>
    <phoneticPr fontId="4" type="noConversion"/>
  </si>
  <si>
    <t>APQ5SB</t>
    <phoneticPr fontId="4" type="noConversion"/>
  </si>
  <si>
    <t>7+48</t>
    <phoneticPr fontId="4" type="noConversion"/>
  </si>
  <si>
    <t>NAPFY+(F82FS+FN7LK)</t>
    <phoneticPr fontId="4" type="noConversion"/>
  </si>
  <si>
    <t>17#-23#+(1#-25#+1#-23#)</t>
    <phoneticPr fontId="4" type="noConversion"/>
  </si>
  <si>
    <t>NAPFY;(F82FS+FN7LK)</t>
  </si>
  <si>
    <t>HG01832</t>
    <phoneticPr fontId="4" type="noConversion"/>
  </si>
  <si>
    <t>APQ5SD</t>
    <phoneticPr fontId="4" type="noConversion"/>
  </si>
  <si>
    <t>2+13</t>
    <phoneticPr fontId="4" type="noConversion"/>
  </si>
  <si>
    <t>NAPFY+FCGS0</t>
    <phoneticPr fontId="4" type="noConversion"/>
  </si>
  <si>
    <t>24#-25#+1#-13#</t>
    <phoneticPr fontId="4" type="noConversion"/>
  </si>
  <si>
    <t>NAPFY;FCGS0</t>
  </si>
  <si>
    <t>SY58594ZFAC</t>
    <phoneticPr fontId="4" type="noConversion"/>
  </si>
  <si>
    <t>HG01835</t>
    <phoneticPr fontId="4" type="noConversion"/>
  </si>
  <si>
    <t>AXT5SC</t>
    <phoneticPr fontId="4" type="noConversion"/>
  </si>
  <si>
    <t>4+28</t>
    <phoneticPr fontId="4" type="noConversion"/>
  </si>
  <si>
    <t>NALM8+(FW74K+FR6W7)</t>
    <phoneticPr fontId="4" type="noConversion"/>
  </si>
  <si>
    <t>5#-8#+(1#-25#+23#-25#)</t>
    <phoneticPr fontId="4" type="noConversion"/>
  </si>
  <si>
    <t>NALM8;(FW74K+FR6W7)</t>
  </si>
  <si>
    <t>HG01838</t>
    <phoneticPr fontId="4" type="noConversion"/>
  </si>
  <si>
    <t>MH5SB</t>
    <phoneticPr fontId="4" type="noConversion"/>
  </si>
  <si>
    <t>NC4KQ+01</t>
  </si>
  <si>
    <t>HG01839</t>
    <phoneticPr fontId="4" type="noConversion"/>
  </si>
  <si>
    <t>MH5SC</t>
    <phoneticPr fontId="4" type="noConversion"/>
  </si>
  <si>
    <t>NC6M8</t>
  </si>
  <si>
    <t>HG01840</t>
    <phoneticPr fontId="4" type="noConversion"/>
  </si>
  <si>
    <t>AZG5SA</t>
    <phoneticPr fontId="4" type="noConversion"/>
  </si>
  <si>
    <t>NC57C</t>
  </si>
  <si>
    <t>SY98001RCC</t>
    <phoneticPr fontId="4" type="noConversion"/>
  </si>
  <si>
    <t>A11Q0+MPM201606SR82MT</t>
    <phoneticPr fontId="4" type="noConversion"/>
  </si>
  <si>
    <t>HG01841</t>
    <phoneticPr fontId="4" type="noConversion"/>
  </si>
  <si>
    <t>QFN2.5*2-8</t>
    <phoneticPr fontId="4" type="noConversion"/>
  </si>
  <si>
    <t>Dt5SA</t>
    <phoneticPr fontId="4" type="noConversion"/>
  </si>
  <si>
    <t>NC5R8+LE1505180397</t>
    <phoneticPr fontId="4" type="noConversion"/>
  </si>
  <si>
    <t>1#</t>
    <phoneticPr fontId="4" type="noConversion"/>
  </si>
  <si>
    <t>NC5R8/NC5R8-A/NC5R8-B</t>
    <phoneticPr fontId="4" type="noConversion"/>
  </si>
  <si>
    <t>HG01845</t>
    <phoneticPr fontId="4" type="noConversion"/>
  </si>
  <si>
    <t>BAC5SC</t>
    <phoneticPr fontId="4" type="noConversion"/>
  </si>
  <si>
    <t>NC875</t>
    <phoneticPr fontId="4" type="noConversion"/>
  </si>
  <si>
    <t>NC875</t>
  </si>
  <si>
    <t>SY8061DEC</t>
    <phoneticPr fontId="4" type="noConversion"/>
  </si>
  <si>
    <t>HG01847</t>
    <phoneticPr fontId="4" type="noConversion"/>
  </si>
  <si>
    <t>LH5SA</t>
    <phoneticPr fontId="4" type="noConversion"/>
  </si>
  <si>
    <t>8#-15#</t>
  </si>
  <si>
    <t>NAWNQ-2</t>
  </si>
  <si>
    <t>HG01848</t>
    <phoneticPr fontId="4" type="noConversion"/>
  </si>
  <si>
    <t>PT5SC</t>
    <phoneticPr fontId="4" type="noConversion"/>
  </si>
  <si>
    <t>NC81W</t>
  </si>
  <si>
    <t>11#-25#</t>
    <phoneticPr fontId="4" type="noConversion"/>
  </si>
  <si>
    <t>HG01849</t>
    <phoneticPr fontId="4" type="noConversion"/>
  </si>
  <si>
    <t>Ee5SA</t>
    <phoneticPr fontId="4" type="noConversion"/>
  </si>
  <si>
    <t>NC5T9</t>
  </si>
  <si>
    <t>SY8003ADFC</t>
    <phoneticPr fontId="4" type="noConversion"/>
  </si>
  <si>
    <t>HG01851</t>
    <phoneticPr fontId="4" type="noConversion"/>
  </si>
  <si>
    <t>KW5SB</t>
    <phoneticPr fontId="4" type="noConversion"/>
  </si>
  <si>
    <t>NC4HF</t>
  </si>
  <si>
    <t>HG01852</t>
    <phoneticPr fontId="4" type="noConversion"/>
  </si>
  <si>
    <t>JD5SA</t>
    <phoneticPr fontId="4" type="noConversion"/>
  </si>
  <si>
    <t>NC44J</t>
  </si>
  <si>
    <t>HG01853</t>
    <phoneticPr fontId="4" type="noConversion"/>
  </si>
  <si>
    <t>VT5SB</t>
    <phoneticPr fontId="4" type="noConversion"/>
  </si>
  <si>
    <t>NC374</t>
  </si>
  <si>
    <t>HG01854</t>
    <phoneticPr fontId="4" type="noConversion"/>
  </si>
  <si>
    <t>ASW5SA</t>
    <phoneticPr fontId="4" type="noConversion"/>
  </si>
  <si>
    <t>NC25F</t>
  </si>
  <si>
    <t>HG01855</t>
    <phoneticPr fontId="4" type="noConversion"/>
  </si>
  <si>
    <t>AVA5SA</t>
    <phoneticPr fontId="4" type="noConversion"/>
  </si>
  <si>
    <t>NC3MT</t>
  </si>
  <si>
    <t>HG01856</t>
    <phoneticPr fontId="4" type="noConversion"/>
  </si>
  <si>
    <t>AJE5SA</t>
    <phoneticPr fontId="4" type="noConversion"/>
  </si>
  <si>
    <t>HG01857</t>
    <phoneticPr fontId="4" type="noConversion"/>
  </si>
  <si>
    <t>BAV5SA</t>
    <phoneticPr fontId="4" type="noConversion"/>
  </si>
  <si>
    <t>HG01858</t>
    <phoneticPr fontId="4" type="noConversion"/>
  </si>
  <si>
    <t>AFB5SA</t>
    <phoneticPr fontId="4" type="noConversion"/>
  </si>
  <si>
    <t>HG01859</t>
    <phoneticPr fontId="4" type="noConversion"/>
  </si>
  <si>
    <t>AHK5SA</t>
    <phoneticPr fontId="4" type="noConversion"/>
  </si>
  <si>
    <t>4#-10#</t>
  </si>
  <si>
    <t>HG01860</t>
    <phoneticPr fontId="4" type="noConversion"/>
  </si>
  <si>
    <t>ALH5SB</t>
    <phoneticPr fontId="4" type="noConversion"/>
  </si>
  <si>
    <t>NAW60</t>
  </si>
  <si>
    <t>SY8069FAC</t>
    <phoneticPr fontId="4" type="noConversion"/>
  </si>
  <si>
    <t>HG01861</t>
    <phoneticPr fontId="4" type="noConversion"/>
  </si>
  <si>
    <t>ALK5SA</t>
    <phoneticPr fontId="4" type="noConversion"/>
  </si>
  <si>
    <t>NAFG1</t>
  </si>
  <si>
    <t>18#-21#</t>
  </si>
  <si>
    <t>HG01862</t>
    <phoneticPr fontId="4" type="noConversion"/>
  </si>
  <si>
    <t>AIU5SB</t>
    <phoneticPr fontId="4" type="noConversion"/>
  </si>
  <si>
    <t>4#-15#</t>
    <phoneticPr fontId="4" type="noConversion"/>
  </si>
  <si>
    <t>HG01863</t>
    <phoneticPr fontId="4" type="noConversion"/>
  </si>
  <si>
    <t>BAV5SB</t>
    <phoneticPr fontId="4" type="noConversion"/>
  </si>
  <si>
    <t>NC82G</t>
  </si>
  <si>
    <t>SYV719FAC</t>
    <phoneticPr fontId="4" type="noConversion"/>
  </si>
  <si>
    <t>HG01864</t>
    <phoneticPr fontId="4" type="noConversion"/>
  </si>
  <si>
    <t>AFS5SA</t>
    <phoneticPr fontId="4" type="noConversion"/>
  </si>
  <si>
    <t>13#~19#</t>
  </si>
  <si>
    <t>HG01865</t>
    <phoneticPr fontId="4" type="noConversion"/>
  </si>
  <si>
    <t>AHH5SA</t>
    <phoneticPr fontId="4" type="noConversion"/>
  </si>
  <si>
    <t>NC6HP</t>
  </si>
  <si>
    <t>HG01866</t>
    <phoneticPr fontId="4" type="noConversion"/>
  </si>
  <si>
    <t>AJY5SA</t>
    <phoneticPr fontId="4" type="noConversion"/>
  </si>
  <si>
    <t>NC594</t>
  </si>
  <si>
    <t>SYC813FCC</t>
    <phoneticPr fontId="4" type="noConversion"/>
  </si>
  <si>
    <t>HG01867</t>
    <phoneticPr fontId="4" type="noConversion"/>
  </si>
  <si>
    <t>AIV5SA</t>
    <phoneticPr fontId="4" type="noConversion"/>
  </si>
  <si>
    <t>NC3A9</t>
  </si>
  <si>
    <t>3#-15#</t>
  </si>
  <si>
    <t>HG01868</t>
    <phoneticPr fontId="4" type="noConversion"/>
  </si>
  <si>
    <t>AMA5SB</t>
    <phoneticPr fontId="4" type="noConversion"/>
  </si>
  <si>
    <t>NC76T.50</t>
  </si>
  <si>
    <t>13#-17#</t>
  </si>
  <si>
    <t>SY8105ADC</t>
  </si>
  <si>
    <t>HG01870</t>
    <phoneticPr fontId="4" type="noConversion"/>
  </si>
  <si>
    <t>NY5SA</t>
    <phoneticPr fontId="4" type="noConversion"/>
  </si>
  <si>
    <t>NC75Y</t>
    <phoneticPr fontId="4" type="noConversion"/>
  </si>
  <si>
    <t>1#-24#</t>
  </si>
  <si>
    <t>NC75Y</t>
  </si>
  <si>
    <t>HG01871</t>
    <phoneticPr fontId="4" type="noConversion"/>
  </si>
  <si>
    <t>NY5SB</t>
    <phoneticPr fontId="4" type="noConversion"/>
  </si>
  <si>
    <t>NC762</t>
    <phoneticPr fontId="4" type="noConversion"/>
  </si>
  <si>
    <t>NC762</t>
  </si>
  <si>
    <t>SY50103C1FAC</t>
    <phoneticPr fontId="4" type="noConversion"/>
  </si>
  <si>
    <t>HG01872</t>
    <phoneticPr fontId="4" type="noConversion"/>
  </si>
  <si>
    <t>BDB5SA</t>
    <phoneticPr fontId="4" type="noConversion"/>
  </si>
  <si>
    <t>5+25</t>
    <phoneticPr fontId="4" type="noConversion"/>
  </si>
  <si>
    <t>NC3J6+FNGSP</t>
    <phoneticPr fontId="4" type="noConversion"/>
  </si>
  <si>
    <t>21#-25#+1#-25#</t>
    <phoneticPr fontId="4" type="noConversion"/>
  </si>
  <si>
    <t>NC3J6;FNGSP</t>
  </si>
  <si>
    <t>HG01873</t>
    <phoneticPr fontId="4" type="noConversion"/>
  </si>
  <si>
    <t>BDB5SB</t>
    <phoneticPr fontId="4" type="noConversion"/>
  </si>
  <si>
    <t>NC3J7+FNLCM</t>
    <phoneticPr fontId="4" type="noConversion"/>
  </si>
  <si>
    <t>1#-5#+1#-25#</t>
    <phoneticPr fontId="4" type="noConversion"/>
  </si>
  <si>
    <t>NC3J7;FNLCM</t>
  </si>
  <si>
    <t>HG01874</t>
    <phoneticPr fontId="4" type="noConversion"/>
  </si>
  <si>
    <t>BDB5SC</t>
    <phoneticPr fontId="4" type="noConversion"/>
  </si>
  <si>
    <t>NC3J7+FRFW9</t>
    <phoneticPr fontId="4" type="noConversion"/>
  </si>
  <si>
    <t>6#-10#+1#-25#</t>
    <phoneticPr fontId="4" type="noConversion"/>
  </si>
  <si>
    <t>NC3J7;FRFW9</t>
  </si>
  <si>
    <t>HG01875</t>
    <phoneticPr fontId="4" type="noConversion"/>
  </si>
  <si>
    <t>ATS5SA</t>
    <phoneticPr fontId="4" type="noConversion"/>
  </si>
  <si>
    <t>NC5RG+FSNK7</t>
    <phoneticPr fontId="4" type="noConversion"/>
  </si>
  <si>
    <t>1#-5#+12#-25#</t>
    <phoneticPr fontId="4" type="noConversion"/>
  </si>
  <si>
    <t>FSNK7;NC5RG</t>
  </si>
  <si>
    <t>HG01876</t>
    <phoneticPr fontId="4" type="noConversion"/>
  </si>
  <si>
    <t>ATR5SA</t>
    <phoneticPr fontId="4" type="noConversion"/>
  </si>
  <si>
    <t>6+22</t>
    <phoneticPr fontId="4" type="noConversion"/>
  </si>
  <si>
    <t>NC5RC+FYWTN</t>
    <phoneticPr fontId="4" type="noConversion"/>
  </si>
  <si>
    <t>11#-16#+1#-22#</t>
    <phoneticPr fontId="4" type="noConversion"/>
  </si>
  <si>
    <t>FYWTN;NC5RC</t>
  </si>
  <si>
    <t>HG01877</t>
    <phoneticPr fontId="4" type="noConversion"/>
  </si>
  <si>
    <t>ATR5SB</t>
    <phoneticPr fontId="4" type="noConversion"/>
  </si>
  <si>
    <t>9+33</t>
    <phoneticPr fontId="4" type="noConversion"/>
  </si>
  <si>
    <t>NC5RC+(F8NLT+FLYM2+FYWTN)</t>
    <phoneticPr fontId="4" type="noConversion"/>
  </si>
  <si>
    <t>17#-25#+(1#-25#+19#-25#+23#)</t>
    <phoneticPr fontId="4" type="noConversion"/>
  </si>
  <si>
    <t>((F8NLT+FLYM2+FYWTN);NC5RC</t>
  </si>
  <si>
    <t>HG01878</t>
    <phoneticPr fontId="4" type="noConversion"/>
  </si>
  <si>
    <t>AUX5SB</t>
    <phoneticPr fontId="4" type="noConversion"/>
  </si>
  <si>
    <t>4+38</t>
    <phoneticPr fontId="4" type="noConversion"/>
  </si>
  <si>
    <t>NC5RH+(F6LN9+F7NL2)</t>
    <phoneticPr fontId="4" type="noConversion"/>
  </si>
  <si>
    <t>7#-10#+(1#-25#+1#-13#)</t>
    <phoneticPr fontId="4" type="noConversion"/>
  </si>
  <si>
    <t>(F6LN9+F7NL2);NC5RH</t>
  </si>
  <si>
    <t>HG01879</t>
    <phoneticPr fontId="4" type="noConversion"/>
  </si>
  <si>
    <t>APQ5SE</t>
    <phoneticPr fontId="4" type="noConversion"/>
  </si>
  <si>
    <t>NALM6+(FKL44+FLNTG)</t>
    <phoneticPr fontId="4" type="noConversion"/>
  </si>
  <si>
    <t>19#-25#+(1#-25#+1#-23#)</t>
    <phoneticPr fontId="4" type="noConversion"/>
  </si>
  <si>
    <t>NALM6;(FKL44+FLNTG)</t>
  </si>
  <si>
    <t>HG01881</t>
    <phoneticPr fontId="4" type="noConversion"/>
  </si>
  <si>
    <t>AYJ5SA</t>
    <phoneticPr fontId="4" type="noConversion"/>
  </si>
  <si>
    <t>HG01882</t>
    <phoneticPr fontId="4" type="noConversion"/>
  </si>
  <si>
    <t>AYJ5SB</t>
    <phoneticPr fontId="4" type="noConversion"/>
  </si>
  <si>
    <t>NC186+(SJ097800+SJ096703)</t>
    <phoneticPr fontId="4" type="noConversion"/>
  </si>
  <si>
    <t>9#-16#+(1#-25#+7#)</t>
    <phoneticPr fontId="4" type="noConversion"/>
  </si>
  <si>
    <t>(SJ097800+SJ096703);NC186</t>
  </si>
  <si>
    <t>SY5002ABC</t>
  </si>
  <si>
    <t>HG01883</t>
    <phoneticPr fontId="4" type="noConversion"/>
  </si>
  <si>
    <t>KP5SA</t>
    <phoneticPr fontId="4" type="noConversion"/>
  </si>
  <si>
    <t>NC3AK+01</t>
  </si>
  <si>
    <t>HG01884</t>
    <phoneticPr fontId="4" type="noConversion"/>
  </si>
  <si>
    <t>Gq5SB</t>
    <phoneticPr fontId="4" type="noConversion"/>
  </si>
  <si>
    <t>NC5RA+F93GW</t>
    <phoneticPr fontId="4" type="noConversion"/>
  </si>
  <si>
    <t>21#-23#+1#-8#</t>
    <phoneticPr fontId="4" type="noConversion"/>
  </si>
  <si>
    <t>F93GW;NC5RA</t>
  </si>
  <si>
    <t>SY5839ABC</t>
    <phoneticPr fontId="4" type="noConversion"/>
  </si>
  <si>
    <t>E10G4</t>
    <phoneticPr fontId="4" type="noConversion"/>
  </si>
  <si>
    <t>HG01885</t>
    <phoneticPr fontId="4" type="noConversion"/>
  </si>
  <si>
    <t>ZT5SA</t>
    <phoneticPr fontId="4" type="noConversion"/>
  </si>
  <si>
    <t>NC59Y</t>
    <phoneticPr fontId="4" type="noConversion"/>
  </si>
  <si>
    <t>NC59Y+02</t>
  </si>
  <si>
    <t>A11E0</t>
    <phoneticPr fontId="4" type="noConversion"/>
  </si>
  <si>
    <t>HG01887</t>
    <phoneticPr fontId="4" type="noConversion"/>
  </si>
  <si>
    <t>NA5SA</t>
    <phoneticPr fontId="4" type="noConversion"/>
  </si>
  <si>
    <t>18#-21#</t>
    <phoneticPr fontId="4" type="noConversion"/>
  </si>
  <si>
    <t>NC5R7+01</t>
  </si>
  <si>
    <t>HG01888</t>
    <phoneticPr fontId="4" type="noConversion"/>
  </si>
  <si>
    <t>TR5SA</t>
    <phoneticPr fontId="4" type="noConversion"/>
  </si>
  <si>
    <t>NC74W</t>
    <phoneticPr fontId="4" type="noConversion"/>
  </si>
  <si>
    <t>#1,4,5,8,10-12,14,15,18,20,23,25</t>
  </si>
  <si>
    <t>NC74W</t>
  </si>
  <si>
    <t>HG01889</t>
    <phoneticPr fontId="4" type="noConversion"/>
  </si>
  <si>
    <t>TR5SB</t>
    <phoneticPr fontId="4" type="noConversion"/>
  </si>
  <si>
    <t>NC74W.02</t>
    <phoneticPr fontId="4" type="noConversion"/>
  </si>
  <si>
    <t>#1,2,9-16,23-25</t>
  </si>
  <si>
    <t>NC74W.02</t>
  </si>
  <si>
    <t>A52G0</t>
    <phoneticPr fontId="4" type="noConversion"/>
  </si>
  <si>
    <t>HG01890</t>
  </si>
  <si>
    <t>UH5SB</t>
    <phoneticPr fontId="4" type="noConversion"/>
  </si>
  <si>
    <t>HG01891</t>
  </si>
  <si>
    <t>JX5SA</t>
    <phoneticPr fontId="4" type="noConversion"/>
  </si>
  <si>
    <t>NC44J</t>
    <phoneticPr fontId="4" type="noConversion"/>
  </si>
  <si>
    <t>SY8120ABC</t>
    <phoneticPr fontId="4" type="noConversion"/>
  </si>
  <si>
    <t>HG01893</t>
  </si>
  <si>
    <t>HT5SA</t>
    <phoneticPr fontId="4" type="noConversion"/>
  </si>
  <si>
    <t>NC4WJ</t>
    <phoneticPr fontId="4" type="noConversion"/>
  </si>
  <si>
    <t>8#-15#</t>
    <phoneticPr fontId="4" type="noConversion"/>
  </si>
  <si>
    <t>NC4WJ+01</t>
  </si>
  <si>
    <t>HG01894</t>
  </si>
  <si>
    <t>TW5SA</t>
    <phoneticPr fontId="4" type="noConversion"/>
  </si>
  <si>
    <t>NC4L9</t>
    <phoneticPr fontId="4" type="noConversion"/>
  </si>
  <si>
    <t>NC4L9</t>
  </si>
  <si>
    <t>HG01895</t>
  </si>
  <si>
    <t>TW5SB</t>
    <phoneticPr fontId="4" type="noConversion"/>
  </si>
  <si>
    <t>NC4L6</t>
    <phoneticPr fontId="4" type="noConversion"/>
  </si>
  <si>
    <r>
      <t>1#-7#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9#-14#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16#-25#</t>
    </r>
    <phoneticPr fontId="4" type="noConversion"/>
  </si>
  <si>
    <t>NC4L6</t>
  </si>
  <si>
    <t>HG01896</t>
    <phoneticPr fontId="4" type="noConversion"/>
  </si>
  <si>
    <t>TW5SC</t>
    <phoneticPr fontId="4" type="noConversion"/>
  </si>
  <si>
    <t>NC4L8</t>
    <phoneticPr fontId="4" type="noConversion"/>
  </si>
  <si>
    <t>NC4L8</t>
  </si>
  <si>
    <t>SY50133HFAC</t>
    <phoneticPr fontId="4" type="noConversion"/>
  </si>
  <si>
    <t>E51H1+U1X27A</t>
  </si>
  <si>
    <t>HG01897</t>
    <phoneticPr fontId="4" type="noConversion"/>
  </si>
  <si>
    <t>BDI5SA</t>
    <phoneticPr fontId="4" type="noConversion"/>
  </si>
  <si>
    <t>7+49</t>
    <phoneticPr fontId="4" type="noConversion"/>
  </si>
  <si>
    <t>NC3J5+(FN3L7+FN8HY)</t>
    <phoneticPr fontId="4" type="noConversion"/>
  </si>
  <si>
    <t>1#-7#+(1#-25#+1#-20#,22#~25#)</t>
    <phoneticPr fontId="4" type="noConversion"/>
  </si>
  <si>
    <t>(FN3L7+FN8HY);NC3J5</t>
  </si>
  <si>
    <t>HG01898</t>
    <phoneticPr fontId="4" type="noConversion"/>
  </si>
  <si>
    <t>BDI5SB</t>
    <phoneticPr fontId="4" type="noConversion"/>
  </si>
  <si>
    <t>5+35</t>
    <phoneticPr fontId="4" type="noConversion"/>
  </si>
  <si>
    <t>NC3J5+(F2ATW+F6Y3S)</t>
    <phoneticPr fontId="4" type="noConversion"/>
  </si>
  <si>
    <t>8#-12#+(1#-25#+1#-10#)</t>
    <phoneticPr fontId="4" type="noConversion"/>
  </si>
  <si>
    <t>(F2ATW+F6Y3S);NC3J5</t>
  </si>
  <si>
    <t>E10J0+A1X06B</t>
  </si>
  <si>
    <t>HG01899</t>
    <phoneticPr fontId="4" type="noConversion"/>
  </si>
  <si>
    <t>AYV5SA</t>
    <phoneticPr fontId="4" type="noConversion"/>
  </si>
  <si>
    <t>2+16</t>
    <phoneticPr fontId="4" type="noConversion"/>
  </si>
  <si>
    <t>NC7P6+(SJ080300+SJ081001)</t>
    <phoneticPr fontId="4" type="noConversion"/>
  </si>
  <si>
    <t>24#-25#+(11#~25#+22#)</t>
    <phoneticPr fontId="4" type="noConversion"/>
  </si>
  <si>
    <t>(SJ080300+SJ081001);NC7P6</t>
  </si>
  <si>
    <t>HG01900</t>
    <phoneticPr fontId="4" type="noConversion"/>
  </si>
  <si>
    <t>AFB5SB</t>
    <phoneticPr fontId="4" type="noConversion"/>
  </si>
  <si>
    <t>NATYQ</t>
  </si>
  <si>
    <t>HG01901</t>
    <phoneticPr fontId="4" type="noConversion"/>
  </si>
  <si>
    <t>JD5SB</t>
    <phoneticPr fontId="4" type="noConversion"/>
  </si>
  <si>
    <t>NC8SA</t>
  </si>
  <si>
    <t>SY8243DBC</t>
    <phoneticPr fontId="4" type="noConversion"/>
  </si>
  <si>
    <t>A46B1</t>
  </si>
  <si>
    <t>HG01902</t>
    <phoneticPr fontId="4" type="noConversion"/>
  </si>
  <si>
    <t>DFN3*3-10</t>
    <phoneticPr fontId="4" type="noConversion"/>
  </si>
  <si>
    <t>QA5SA</t>
    <phoneticPr fontId="4" type="noConversion"/>
  </si>
  <si>
    <t>N8CWG.02</t>
  </si>
  <si>
    <t>N8CWG.02-1</t>
  </si>
  <si>
    <t>SY8868QMC</t>
  </si>
  <si>
    <t>HG01903</t>
    <phoneticPr fontId="4" type="noConversion"/>
  </si>
  <si>
    <t>KT5SA</t>
    <phoneticPr fontId="4" type="noConversion"/>
  </si>
  <si>
    <t>NANPP</t>
    <phoneticPr fontId="4" type="noConversion"/>
  </si>
  <si>
    <t>NANPP</t>
  </si>
  <si>
    <t>HG01904</t>
    <phoneticPr fontId="4" type="noConversion"/>
  </si>
  <si>
    <t>QFN2*2-10</t>
  </si>
  <si>
    <t>KT5SB</t>
    <phoneticPr fontId="4" type="noConversion"/>
  </si>
  <si>
    <t>NANPP.02</t>
  </si>
  <si>
    <t>11#-22#,24#,25#</t>
  </si>
  <si>
    <t>HG01905</t>
    <phoneticPr fontId="4" type="noConversion"/>
  </si>
  <si>
    <t>KT5SC</t>
    <phoneticPr fontId="4" type="noConversion"/>
  </si>
  <si>
    <t>N9FK4.09</t>
  </si>
  <si>
    <t>5# 6#</t>
  </si>
  <si>
    <t>SY8288BRAC</t>
  </si>
  <si>
    <t>HG01906</t>
    <phoneticPr fontId="4" type="noConversion"/>
  </si>
  <si>
    <t>BAB5SB</t>
    <phoneticPr fontId="4" type="noConversion"/>
  </si>
  <si>
    <t>NC872</t>
  </si>
  <si>
    <t>HG01907</t>
    <phoneticPr fontId="4" type="noConversion"/>
  </si>
  <si>
    <t>BAB5SC</t>
    <phoneticPr fontId="4" type="noConversion"/>
  </si>
  <si>
    <t>NC873</t>
  </si>
  <si>
    <t>HG01908</t>
    <phoneticPr fontId="4" type="noConversion"/>
  </si>
  <si>
    <t>BAB5SD</t>
    <phoneticPr fontId="4" type="noConversion"/>
  </si>
  <si>
    <t>NC892</t>
  </si>
  <si>
    <t>SYB822AIC</t>
    <phoneticPr fontId="4" type="noConversion"/>
  </si>
  <si>
    <t>HG01909</t>
    <phoneticPr fontId="4" type="noConversion"/>
  </si>
  <si>
    <t>ZY5SA</t>
    <phoneticPr fontId="4" type="noConversion"/>
  </si>
  <si>
    <t>NARSM-1</t>
  </si>
  <si>
    <t>HG01910</t>
    <phoneticPr fontId="4" type="noConversion"/>
  </si>
  <si>
    <t>VC5SC</t>
    <phoneticPr fontId="4" type="noConversion"/>
  </si>
  <si>
    <t>NC8S7.02</t>
  </si>
  <si>
    <t>SY6811PDC</t>
    <phoneticPr fontId="4" type="noConversion"/>
  </si>
  <si>
    <t>C16A0</t>
    <phoneticPr fontId="4" type="noConversion"/>
  </si>
  <si>
    <t>JCAP</t>
    <phoneticPr fontId="4" type="noConversion"/>
  </si>
  <si>
    <t>DG00003</t>
    <phoneticPr fontId="4" type="noConversion"/>
  </si>
  <si>
    <t>CSP0.9*0.9-4</t>
    <phoneticPr fontId="4" type="noConversion"/>
  </si>
  <si>
    <t>TI5SA</t>
    <phoneticPr fontId="4" type="noConversion"/>
  </si>
  <si>
    <t>N8CFK</t>
  </si>
  <si>
    <t>DG00004</t>
    <phoneticPr fontId="4" type="noConversion"/>
  </si>
  <si>
    <t>TI5SB</t>
    <phoneticPr fontId="4" type="noConversion"/>
  </si>
  <si>
    <t>N8CFJ</t>
  </si>
  <si>
    <t>E36F2</t>
    <phoneticPr fontId="4" type="noConversion"/>
  </si>
  <si>
    <t>HG01911</t>
    <phoneticPr fontId="4" type="noConversion"/>
  </si>
  <si>
    <t xml:space="preserve">SOT89-3   </t>
    <phoneticPr fontId="4" type="noConversion"/>
  </si>
  <si>
    <t>BDT5TA</t>
    <phoneticPr fontId="4" type="noConversion"/>
  </si>
  <si>
    <t>NC4M1.04</t>
  </si>
  <si>
    <t>13#</t>
  </si>
  <si>
    <t>NC4M1.04+02</t>
  </si>
  <si>
    <t>HG01912</t>
    <phoneticPr fontId="4" type="noConversion"/>
  </si>
  <si>
    <t>PT5TA</t>
    <phoneticPr fontId="4" type="noConversion"/>
  </si>
  <si>
    <t>NC81W.01</t>
  </si>
  <si>
    <t>HG01913</t>
    <phoneticPr fontId="4" type="noConversion"/>
  </si>
  <si>
    <t>Ee5TA</t>
    <phoneticPr fontId="4" type="noConversion"/>
  </si>
  <si>
    <t>NC58R</t>
  </si>
  <si>
    <t>HG01914</t>
    <phoneticPr fontId="4" type="noConversion"/>
  </si>
  <si>
    <t>Ee5TB</t>
    <phoneticPr fontId="4" type="noConversion"/>
  </si>
  <si>
    <t>NC58S</t>
  </si>
  <si>
    <t>HG01915</t>
    <phoneticPr fontId="4" type="noConversion"/>
  </si>
  <si>
    <t>KW5TA</t>
    <phoneticPr fontId="4" type="noConversion"/>
  </si>
  <si>
    <t>NC201-3</t>
  </si>
  <si>
    <t>HG01916</t>
    <phoneticPr fontId="4" type="noConversion"/>
  </si>
  <si>
    <t>KW5TB</t>
    <phoneticPr fontId="4" type="noConversion"/>
  </si>
  <si>
    <t>NC4HJ</t>
  </si>
  <si>
    <t>HG01917</t>
    <phoneticPr fontId="4" type="noConversion"/>
  </si>
  <si>
    <t>JD5TA</t>
    <phoneticPr fontId="4" type="noConversion"/>
  </si>
  <si>
    <t>NC8SC</t>
  </si>
  <si>
    <t>HG01919</t>
    <phoneticPr fontId="4" type="noConversion"/>
  </si>
  <si>
    <t>UW5TA</t>
    <phoneticPr fontId="4" type="noConversion"/>
  </si>
  <si>
    <t>NC7Q8</t>
  </si>
  <si>
    <t>HG01920</t>
    <phoneticPr fontId="4" type="noConversion"/>
  </si>
  <si>
    <t>UV5TA</t>
    <phoneticPr fontId="4" type="noConversion"/>
  </si>
  <si>
    <t>NC7Q8-1</t>
  </si>
  <si>
    <t>HG01921</t>
    <phoneticPr fontId="4" type="noConversion"/>
  </si>
  <si>
    <t>VC5TB</t>
    <phoneticPr fontId="4" type="noConversion"/>
  </si>
  <si>
    <t>NAP8A-1</t>
  </si>
  <si>
    <t>HG01922</t>
    <phoneticPr fontId="4" type="noConversion"/>
  </si>
  <si>
    <t>VT5TA</t>
    <phoneticPr fontId="4" type="noConversion"/>
  </si>
  <si>
    <t>NC373-1</t>
  </si>
  <si>
    <t>HG01923</t>
    <phoneticPr fontId="4" type="noConversion"/>
  </si>
  <si>
    <t>VT5TB</t>
    <phoneticPr fontId="4" type="noConversion"/>
  </si>
  <si>
    <t>NC376</t>
  </si>
  <si>
    <t>SY8060DCC</t>
    <phoneticPr fontId="4" type="noConversion"/>
  </si>
  <si>
    <t>HG01924</t>
    <phoneticPr fontId="4" type="noConversion"/>
  </si>
  <si>
    <t>LX5TA</t>
    <phoneticPr fontId="4" type="noConversion"/>
  </si>
  <si>
    <t>NAWP6</t>
  </si>
  <si>
    <t>HG01925</t>
    <phoneticPr fontId="4" type="noConversion"/>
  </si>
  <si>
    <t>AFZ5TA</t>
    <phoneticPr fontId="4" type="noConversion"/>
  </si>
  <si>
    <t>NC75R</t>
  </si>
  <si>
    <t>HG01926</t>
    <phoneticPr fontId="4" type="noConversion"/>
  </si>
  <si>
    <t>AVA5TA</t>
    <phoneticPr fontId="4" type="noConversion"/>
  </si>
  <si>
    <t>NC5HF</t>
  </si>
  <si>
    <t>HG01927</t>
    <phoneticPr fontId="4" type="noConversion"/>
  </si>
  <si>
    <t>AVA5TB</t>
    <phoneticPr fontId="4" type="noConversion"/>
  </si>
  <si>
    <t>NC6GC</t>
  </si>
  <si>
    <t>HG01928</t>
    <phoneticPr fontId="4" type="noConversion"/>
  </si>
  <si>
    <t>ZW5TA</t>
    <phoneticPr fontId="4" type="noConversion"/>
  </si>
  <si>
    <t>D94LG.1</t>
  </si>
  <si>
    <t>SY7306FCC</t>
    <phoneticPr fontId="4" type="noConversion"/>
  </si>
  <si>
    <t>HG01929</t>
    <phoneticPr fontId="4" type="noConversion"/>
  </si>
  <si>
    <t>AYG5TA</t>
    <phoneticPr fontId="4" type="noConversion"/>
  </si>
  <si>
    <t>NC01A-3</t>
  </si>
  <si>
    <t>SY8025FCC</t>
    <phoneticPr fontId="4" type="noConversion"/>
  </si>
  <si>
    <t>HG01930</t>
    <phoneticPr fontId="4" type="noConversion"/>
  </si>
  <si>
    <t>ALY5TA</t>
    <phoneticPr fontId="4" type="noConversion"/>
  </si>
  <si>
    <t>13#-16#</t>
  </si>
  <si>
    <t>D94LG.1-1</t>
  </si>
  <si>
    <t>HG01931</t>
    <phoneticPr fontId="4" type="noConversion"/>
  </si>
  <si>
    <t>AHI5TA</t>
    <phoneticPr fontId="4" type="noConversion"/>
  </si>
  <si>
    <t>NC75T</t>
  </si>
  <si>
    <t>HG01932</t>
    <phoneticPr fontId="4" type="noConversion"/>
  </si>
  <si>
    <t>AHH5TA</t>
    <phoneticPr fontId="4" type="noConversion"/>
  </si>
  <si>
    <t>NC75R-1</t>
  </si>
  <si>
    <t>HG01933</t>
    <phoneticPr fontId="4" type="noConversion"/>
  </si>
  <si>
    <t>AHH5TB</t>
    <phoneticPr fontId="4" type="noConversion"/>
  </si>
  <si>
    <t>NC75T-1</t>
  </si>
  <si>
    <t>HG01934</t>
    <phoneticPr fontId="4" type="noConversion"/>
  </si>
  <si>
    <t>AJY5TA</t>
    <phoneticPr fontId="4" type="noConversion"/>
  </si>
  <si>
    <t>NC594-1</t>
  </si>
  <si>
    <t>HG01935</t>
    <phoneticPr fontId="4" type="noConversion"/>
  </si>
  <si>
    <t>AIV5TA</t>
    <phoneticPr fontId="4" type="noConversion"/>
  </si>
  <si>
    <t>NC6JK-1</t>
  </si>
  <si>
    <t>SY5810ABC</t>
  </si>
  <si>
    <t>E02F1</t>
    <phoneticPr fontId="4" type="noConversion"/>
  </si>
  <si>
    <t>HG01936</t>
  </si>
  <si>
    <t>GZ5TA</t>
    <phoneticPr fontId="4" type="noConversion"/>
  </si>
  <si>
    <t>NC0CW</t>
    <phoneticPr fontId="4" type="noConversion"/>
  </si>
  <si>
    <t>21#-25#</t>
    <phoneticPr fontId="4" type="noConversion"/>
  </si>
  <si>
    <t>NC0CW+01</t>
  </si>
  <si>
    <t>HG01937</t>
  </si>
  <si>
    <t>HH5TA</t>
    <phoneticPr fontId="4" type="noConversion"/>
  </si>
  <si>
    <t>N8CC0</t>
    <phoneticPr fontId="4" type="noConversion"/>
  </si>
  <si>
    <t>20#-22#</t>
    <phoneticPr fontId="4" type="noConversion"/>
  </si>
  <si>
    <t>N8CC0+01</t>
  </si>
  <si>
    <t>SY5824AABC</t>
    <phoneticPr fontId="4" type="noConversion"/>
  </si>
  <si>
    <t>E02QB0</t>
    <phoneticPr fontId="4" type="noConversion"/>
  </si>
  <si>
    <t>HG01938</t>
  </si>
  <si>
    <t>TC5TA</t>
    <phoneticPr fontId="4" type="noConversion"/>
  </si>
  <si>
    <t>NA12G.01+01</t>
  </si>
  <si>
    <t>E35B0+U3X13A</t>
    <phoneticPr fontId="4" type="noConversion"/>
  </si>
  <si>
    <t>HG01939</t>
  </si>
  <si>
    <t>Hv5TA</t>
    <phoneticPr fontId="4" type="noConversion"/>
  </si>
  <si>
    <t>2+6</t>
    <phoneticPr fontId="4" type="noConversion"/>
  </si>
  <si>
    <t>NC186+FLPN3</t>
    <phoneticPr fontId="4" type="noConversion"/>
  </si>
  <si>
    <t>17#-18#+20#-25#</t>
    <phoneticPr fontId="4" type="noConversion"/>
  </si>
  <si>
    <t>FLPN3;NC186</t>
  </si>
  <si>
    <t>HG01940</t>
  </si>
  <si>
    <t>ZT5TA</t>
    <phoneticPr fontId="4" type="noConversion"/>
  </si>
  <si>
    <t>NC59W</t>
    <phoneticPr fontId="4" type="noConversion"/>
  </si>
  <si>
    <t>NC59W</t>
  </si>
  <si>
    <t>HG01941</t>
  </si>
  <si>
    <t>NM5TA</t>
    <phoneticPr fontId="4" type="noConversion"/>
  </si>
  <si>
    <t>NC75Q</t>
    <phoneticPr fontId="4" type="noConversion"/>
  </si>
  <si>
    <t>17#-25#</t>
    <phoneticPr fontId="4" type="noConversion"/>
  </si>
  <si>
    <t>NC75Q+01</t>
  </si>
  <si>
    <t>HG01942</t>
  </si>
  <si>
    <t>NM5TB</t>
    <phoneticPr fontId="4" type="noConversion"/>
  </si>
  <si>
    <t>NC75Q.01</t>
    <phoneticPr fontId="4" type="noConversion"/>
  </si>
  <si>
    <t>NC75Q.01</t>
  </si>
  <si>
    <t>B27P0</t>
    <phoneticPr fontId="4" type="noConversion"/>
  </si>
  <si>
    <t>HG01943</t>
  </si>
  <si>
    <t>JU5TA</t>
    <phoneticPr fontId="4" type="noConversion"/>
  </si>
  <si>
    <t>NC508</t>
    <phoneticPr fontId="4" type="noConversion"/>
  </si>
  <si>
    <t>NC508</t>
  </si>
  <si>
    <t>HG01944</t>
  </si>
  <si>
    <t>TR5TA</t>
    <phoneticPr fontId="4" type="noConversion"/>
  </si>
  <si>
    <t>NC78A</t>
  </si>
  <si>
    <t>HG01945</t>
  </si>
  <si>
    <t>TR5TB</t>
    <phoneticPr fontId="4" type="noConversion"/>
  </si>
  <si>
    <t>NC78C</t>
    <phoneticPr fontId="4" type="noConversion"/>
  </si>
  <si>
    <t>NC78C</t>
  </si>
  <si>
    <t>HG01946</t>
  </si>
  <si>
    <t>TR5TC</t>
    <phoneticPr fontId="4" type="noConversion"/>
  </si>
  <si>
    <t>NC78G</t>
    <phoneticPr fontId="4" type="noConversion"/>
  </si>
  <si>
    <t>NC78G</t>
  </si>
  <si>
    <t>HG01947</t>
  </si>
  <si>
    <t>UH5TA</t>
    <phoneticPr fontId="4" type="noConversion"/>
  </si>
  <si>
    <t>NC7QT</t>
    <phoneticPr fontId="4" type="noConversion"/>
  </si>
  <si>
    <t>NC7QT</t>
  </si>
  <si>
    <t>HG01949</t>
  </si>
  <si>
    <t>HB5TA</t>
    <phoneticPr fontId="4" type="noConversion"/>
  </si>
  <si>
    <t>NC4WJ+02</t>
  </si>
  <si>
    <t>HG01950</t>
  </si>
  <si>
    <t>HT5TA</t>
    <phoneticPr fontId="4" type="noConversion"/>
  </si>
  <si>
    <t>NC1GQ</t>
    <phoneticPr fontId="4" type="noConversion"/>
  </si>
  <si>
    <t>NC1GQ</t>
  </si>
  <si>
    <t>B07EA0</t>
    <phoneticPr fontId="4" type="noConversion"/>
  </si>
  <si>
    <t>HG01951</t>
  </si>
  <si>
    <t>UD5TA</t>
    <phoneticPr fontId="4" type="noConversion"/>
  </si>
  <si>
    <t>NC7AJ</t>
    <phoneticPr fontId="4" type="noConversion"/>
  </si>
  <si>
    <t>NC7AJ</t>
  </si>
  <si>
    <t>B28E0</t>
    <phoneticPr fontId="4" type="noConversion"/>
  </si>
  <si>
    <t>HG01952</t>
    <phoneticPr fontId="4" type="noConversion"/>
  </si>
  <si>
    <t>EF5TA</t>
    <phoneticPr fontId="4" type="noConversion"/>
  </si>
  <si>
    <t>NC4NT+01</t>
  </si>
  <si>
    <t>HG01953</t>
  </si>
  <si>
    <t>TW5TA</t>
    <phoneticPr fontId="4" type="noConversion"/>
  </si>
  <si>
    <t>NC4MA</t>
    <phoneticPr fontId="4" type="noConversion"/>
  </si>
  <si>
    <t>NC4MA</t>
  </si>
  <si>
    <t>E02Q1</t>
    <phoneticPr fontId="4" type="noConversion"/>
  </si>
  <si>
    <t>HG01954</t>
    <phoneticPr fontId="4" type="noConversion"/>
  </si>
  <si>
    <t>MH5TA</t>
    <phoneticPr fontId="4" type="noConversion"/>
  </si>
  <si>
    <t>NC6M8</t>
    <phoneticPr fontId="4" type="noConversion"/>
  </si>
  <si>
    <t>NC6M8+01</t>
  </si>
  <si>
    <t>A11Q0+MPM201606SR82MT</t>
  </si>
  <si>
    <t>HG01955</t>
    <phoneticPr fontId="4" type="noConversion"/>
  </si>
  <si>
    <t>Dt5TA</t>
    <phoneticPr fontId="4" type="noConversion"/>
  </si>
  <si>
    <t>NC5R8+DFG8X60645</t>
    <phoneticPr fontId="4" type="noConversion"/>
  </si>
  <si>
    <t>2#</t>
    <phoneticPr fontId="4" type="noConversion"/>
  </si>
  <si>
    <t>NC5R8-1</t>
  </si>
  <si>
    <t>C16A0</t>
  </si>
  <si>
    <t>DG00005</t>
    <phoneticPr fontId="4" type="noConversion"/>
  </si>
  <si>
    <t>TI5TA</t>
    <phoneticPr fontId="4" type="noConversion"/>
  </si>
  <si>
    <t>N8CFL</t>
  </si>
  <si>
    <t>N/A</t>
    <phoneticPr fontId="3" type="noConversion"/>
  </si>
  <si>
    <t>HG01957</t>
    <phoneticPr fontId="4" type="noConversion"/>
  </si>
  <si>
    <t>HT5TB</t>
    <phoneticPr fontId="4" type="noConversion"/>
  </si>
  <si>
    <t>NC1GN</t>
  </si>
  <si>
    <t>HG01958</t>
    <phoneticPr fontId="4" type="noConversion"/>
  </si>
  <si>
    <t>ANE5TA</t>
    <phoneticPr fontId="4" type="noConversion"/>
  </si>
  <si>
    <t>NC31J-1</t>
  </si>
  <si>
    <t>HG01959</t>
    <phoneticPr fontId="4" type="noConversion"/>
  </si>
  <si>
    <t>ALH5TA</t>
    <phoneticPr fontId="4" type="noConversion"/>
  </si>
  <si>
    <t>NC6MF.03</t>
  </si>
  <si>
    <t>HG01960</t>
    <phoneticPr fontId="4" type="noConversion"/>
  </si>
  <si>
    <t>BDB5TA</t>
    <phoneticPr fontId="4" type="noConversion"/>
  </si>
  <si>
    <t>NC3J7+FWY3N</t>
    <phoneticPr fontId="4" type="noConversion"/>
  </si>
  <si>
    <t>11#-15#+1#-25#</t>
    <phoneticPr fontId="4" type="noConversion"/>
  </si>
  <si>
    <t>NC3J7;FWY3N</t>
  </si>
  <si>
    <t>HG01961</t>
    <phoneticPr fontId="4" type="noConversion"/>
  </si>
  <si>
    <t>BDB5TB</t>
    <phoneticPr fontId="4" type="noConversion"/>
  </si>
  <si>
    <t>NC3J7+F4S9G</t>
    <phoneticPr fontId="4" type="noConversion"/>
  </si>
  <si>
    <t>16#-20#+1#-25#</t>
    <phoneticPr fontId="4" type="noConversion"/>
  </si>
  <si>
    <t>NC3J7;F4S9G</t>
  </si>
  <si>
    <t>HG01962</t>
    <phoneticPr fontId="4" type="noConversion"/>
  </si>
  <si>
    <t>AUX5TA</t>
    <phoneticPr fontId="4" type="noConversion"/>
  </si>
  <si>
    <t>5+48</t>
    <phoneticPr fontId="4" type="noConversion"/>
  </si>
  <si>
    <t>NC5RH+(FRMLC+FKY2S)</t>
    <phoneticPr fontId="4" type="noConversion"/>
  </si>
  <si>
    <t>11#-15#+(1#-25#+3#-25#)</t>
    <phoneticPr fontId="4" type="noConversion"/>
  </si>
  <si>
    <t>(FRMLC+FKY2S);NC5RH</t>
  </si>
  <si>
    <t>HG01963</t>
    <phoneticPr fontId="4" type="noConversion"/>
  </si>
  <si>
    <t>AMY5TA</t>
    <phoneticPr fontId="4" type="noConversion"/>
  </si>
  <si>
    <t>NC31H+SJ100900</t>
    <phoneticPr fontId="4" type="noConversion"/>
  </si>
  <si>
    <t>10#-15#+1#-4#,6#-18#</t>
    <phoneticPr fontId="4" type="noConversion"/>
  </si>
  <si>
    <t>NC31H;SJ100900</t>
  </si>
  <si>
    <t>HG01964</t>
    <phoneticPr fontId="4" type="noConversion"/>
  </si>
  <si>
    <t>AMM5TA</t>
    <phoneticPr fontId="4" type="noConversion"/>
  </si>
  <si>
    <t>NATYR+(SJ027900+SJ037300)</t>
    <phoneticPr fontId="4" type="noConversion"/>
  </si>
  <si>
    <t>7#-8#+(24#~25#+23#~25#)</t>
    <phoneticPr fontId="4" type="noConversion"/>
  </si>
  <si>
    <t>NATYR;(SJ027900+SJ037300)</t>
  </si>
  <si>
    <t>HG01965</t>
    <phoneticPr fontId="4" type="noConversion"/>
  </si>
  <si>
    <t>AXT5TA</t>
    <phoneticPr fontId="4" type="noConversion"/>
  </si>
  <si>
    <t>3+20</t>
    <phoneticPr fontId="4" type="noConversion"/>
  </si>
  <si>
    <t>NALM8+FP2SC</t>
    <phoneticPr fontId="4" type="noConversion"/>
  </si>
  <si>
    <t>18#-20#+1#-5#,7#-13#,15#-22#</t>
    <phoneticPr fontId="4" type="noConversion"/>
  </si>
  <si>
    <t>NALM8;FP2SC</t>
  </si>
  <si>
    <t>HG01966</t>
    <phoneticPr fontId="4" type="noConversion"/>
  </si>
  <si>
    <t>AQU5TA</t>
    <phoneticPr fontId="4" type="noConversion"/>
  </si>
  <si>
    <t>5+26</t>
    <phoneticPr fontId="4" type="noConversion"/>
  </si>
  <si>
    <t>NAW5Y+(SJ094400+SJ093702)</t>
    <phoneticPr fontId="4" type="noConversion"/>
  </si>
  <si>
    <t>21#-25#+(1#-25#+21#)</t>
    <phoneticPr fontId="4" type="noConversion"/>
  </si>
  <si>
    <t>(SJ094400+SJ093702);NAW5Y</t>
  </si>
  <si>
    <t>HG01967</t>
    <phoneticPr fontId="4" type="noConversion"/>
  </si>
  <si>
    <t>AQU5TB</t>
    <phoneticPr fontId="4" type="noConversion"/>
  </si>
  <si>
    <t>NC31C+(SJ093200+SJ093202)</t>
    <phoneticPr fontId="4" type="noConversion"/>
  </si>
  <si>
    <t>1#-4#+(1#-5#,7#-18#,21#,22#+19#,23#)</t>
    <phoneticPr fontId="4" type="noConversion"/>
  </si>
  <si>
    <t>(SJ093200+SJ093202);NC31C</t>
  </si>
  <si>
    <t>HG01968</t>
    <phoneticPr fontId="4" type="noConversion"/>
  </si>
  <si>
    <t>AOF5TA</t>
    <phoneticPr fontId="4" type="noConversion"/>
  </si>
  <si>
    <t>NC1PJ+SJ103700</t>
    <phoneticPr fontId="4" type="noConversion"/>
  </si>
  <si>
    <t>20#-25#+1#-4#,6#-15#,17#-19#</t>
    <phoneticPr fontId="4" type="noConversion"/>
  </si>
  <si>
    <t>NC1PJ;SJ103700</t>
  </si>
  <si>
    <t>HG01969</t>
    <phoneticPr fontId="4" type="noConversion"/>
  </si>
  <si>
    <t>AWU5TA</t>
    <phoneticPr fontId="4" type="noConversion"/>
  </si>
  <si>
    <t>NC0WK+F4GSC</t>
    <phoneticPr fontId="4" type="noConversion"/>
  </si>
  <si>
    <t>1#-7#+6#-25#</t>
    <phoneticPr fontId="4" type="noConversion"/>
  </si>
  <si>
    <t>F4GSC;NC0WK</t>
  </si>
  <si>
    <t>HG01970</t>
    <phoneticPr fontId="4" type="noConversion"/>
  </si>
  <si>
    <t>AWU5TB</t>
    <phoneticPr fontId="4" type="noConversion"/>
  </si>
  <si>
    <t>9+26</t>
    <phoneticPr fontId="4" type="noConversion"/>
  </si>
  <si>
    <t>NC0WK+(F9SGG+FTRS6)</t>
    <phoneticPr fontId="4" type="noConversion"/>
  </si>
  <si>
    <t>8#-16#+(1#-25#+8#)</t>
    <phoneticPr fontId="4" type="noConversion"/>
  </si>
  <si>
    <t>(F9SGG+FTRS6);NC0WK</t>
  </si>
  <si>
    <t>HG01971</t>
    <phoneticPr fontId="4" type="noConversion"/>
  </si>
  <si>
    <t>AWU5TC</t>
    <phoneticPr fontId="4" type="noConversion"/>
  </si>
  <si>
    <t>NC0WK+(FLC6M+FSAAC)</t>
    <phoneticPr fontId="4" type="noConversion"/>
  </si>
  <si>
    <t>17#-25#+(1#-25#+25#)</t>
    <phoneticPr fontId="4" type="noConversion"/>
  </si>
  <si>
    <t>(FLC6M+FSAAC);NC0WK</t>
  </si>
  <si>
    <t>HG01972</t>
    <phoneticPr fontId="4" type="noConversion"/>
  </si>
  <si>
    <t>AWU5TD</t>
    <phoneticPr fontId="4" type="noConversion"/>
  </si>
  <si>
    <t>NC0WJ+F4YL4</t>
    <phoneticPr fontId="4" type="noConversion"/>
  </si>
  <si>
    <t>1#-5#+2#-15#</t>
    <phoneticPr fontId="4" type="noConversion"/>
  </si>
  <si>
    <t>F4YL4;NC0WJ</t>
  </si>
  <si>
    <t>HG01973</t>
    <phoneticPr fontId="4" type="noConversion"/>
  </si>
  <si>
    <t>AYJ5TA</t>
    <phoneticPr fontId="4" type="noConversion"/>
  </si>
  <si>
    <t>NC186+SJ096900</t>
    <phoneticPr fontId="4" type="noConversion"/>
  </si>
  <si>
    <t>19#-25#+1#-3#,5#,7#-25#</t>
    <phoneticPr fontId="4" type="noConversion"/>
  </si>
  <si>
    <t>SJ096900;NC186</t>
  </si>
  <si>
    <t>HG01974</t>
    <phoneticPr fontId="4" type="noConversion"/>
  </si>
  <si>
    <t>AYJ5TB</t>
    <phoneticPr fontId="4" type="noConversion"/>
  </si>
  <si>
    <t>10+32</t>
    <phoneticPr fontId="4" type="noConversion"/>
  </si>
  <si>
    <t>NC187+(SJ097700+SJ096100)</t>
    <phoneticPr fontId="4" type="noConversion"/>
  </si>
  <si>
    <t>1#-10#+(1#-18#,20#-25#+17#-24#)</t>
    <phoneticPr fontId="4" type="noConversion"/>
  </si>
  <si>
    <t>(SJ097700+SJ096100);NC187</t>
  </si>
  <si>
    <t>SY7063QMC</t>
    <phoneticPr fontId="3" type="noConversion"/>
  </si>
  <si>
    <t>HG01975</t>
    <phoneticPr fontId="4" type="noConversion"/>
  </si>
  <si>
    <t>UJ5TA</t>
    <phoneticPr fontId="4" type="noConversion"/>
  </si>
  <si>
    <t>NC1M4-1</t>
  </si>
  <si>
    <t>HG01976</t>
    <phoneticPr fontId="4" type="noConversion"/>
  </si>
  <si>
    <t>JR5TA</t>
    <phoneticPr fontId="4" type="noConversion"/>
  </si>
  <si>
    <t>NC6W7</t>
    <phoneticPr fontId="4" type="noConversion"/>
  </si>
  <si>
    <t>NC6W7</t>
  </si>
  <si>
    <t>HG01977</t>
    <phoneticPr fontId="4" type="noConversion"/>
  </si>
  <si>
    <t>JR5TB</t>
    <phoneticPr fontId="4" type="noConversion"/>
  </si>
  <si>
    <t>NC6WC</t>
  </si>
  <si>
    <t>HG01978</t>
    <phoneticPr fontId="4" type="noConversion"/>
  </si>
  <si>
    <t>JR5TC</t>
    <phoneticPr fontId="4" type="noConversion"/>
  </si>
  <si>
    <t>NC6W8</t>
  </si>
  <si>
    <t>SY8104ADC</t>
    <phoneticPr fontId="3" type="noConversion"/>
  </si>
  <si>
    <t>HG01979</t>
    <phoneticPr fontId="4" type="noConversion"/>
  </si>
  <si>
    <t>JR5TD</t>
    <phoneticPr fontId="4" type="noConversion"/>
  </si>
  <si>
    <t>NC6WA</t>
  </si>
  <si>
    <t>HG01980</t>
    <phoneticPr fontId="4" type="noConversion"/>
  </si>
  <si>
    <t>JR5TE</t>
    <phoneticPr fontId="4" type="noConversion"/>
  </si>
  <si>
    <t>NC6W9</t>
  </si>
  <si>
    <t>1#-9#,11#-25#</t>
  </si>
  <si>
    <t>SYK614ADC</t>
  </si>
  <si>
    <t>HG01981</t>
    <phoneticPr fontId="4" type="noConversion"/>
  </si>
  <si>
    <t>JR5TF</t>
    <phoneticPr fontId="4" type="noConversion"/>
  </si>
  <si>
    <t>NC761</t>
  </si>
  <si>
    <t>HG01982</t>
    <phoneticPr fontId="4" type="noConversion"/>
  </si>
  <si>
    <t>JR5TG</t>
    <phoneticPr fontId="4" type="noConversion"/>
  </si>
  <si>
    <t>NC7QN</t>
  </si>
  <si>
    <t>HG01983</t>
    <phoneticPr fontId="4" type="noConversion"/>
  </si>
  <si>
    <t>NY5TA</t>
    <phoneticPr fontId="4" type="noConversion"/>
  </si>
  <si>
    <t>NC760</t>
  </si>
  <si>
    <t>HG01984</t>
    <phoneticPr fontId="4" type="noConversion"/>
  </si>
  <si>
    <t>NY5TB</t>
    <phoneticPr fontId="4" type="noConversion"/>
  </si>
  <si>
    <t>NC89M</t>
  </si>
  <si>
    <t>XD5TA</t>
    <phoneticPr fontId="4" type="noConversion"/>
  </si>
  <si>
    <t>NC8K7</t>
    <phoneticPr fontId="4" type="noConversion"/>
  </si>
  <si>
    <t>HG01986</t>
    <phoneticPr fontId="4" type="noConversion"/>
  </si>
  <si>
    <t>DFN2*2-8L</t>
    <phoneticPr fontId="4" type="noConversion"/>
  </si>
  <si>
    <t>VW5TA</t>
    <phoneticPr fontId="4" type="noConversion"/>
  </si>
  <si>
    <t>NC6SJ-1</t>
  </si>
  <si>
    <t>H05A0</t>
    <phoneticPr fontId="4" type="noConversion"/>
  </si>
  <si>
    <t>NC9FF</t>
  </si>
  <si>
    <t>1#,2#</t>
    <phoneticPr fontId="4" type="noConversion"/>
  </si>
  <si>
    <t>HG01989</t>
    <phoneticPr fontId="4" type="noConversion"/>
  </si>
  <si>
    <t>QV5TA</t>
    <phoneticPr fontId="4" type="noConversion"/>
  </si>
  <si>
    <t>NAWF4-1</t>
  </si>
  <si>
    <t>HG01990</t>
    <phoneticPr fontId="4" type="noConversion"/>
  </si>
  <si>
    <t>VC5TC</t>
    <phoneticPr fontId="4" type="noConversion"/>
  </si>
  <si>
    <t>NAP8C</t>
  </si>
  <si>
    <t>HG01991</t>
    <phoneticPr fontId="4" type="noConversion"/>
  </si>
  <si>
    <t>VC5TD</t>
    <phoneticPr fontId="4" type="noConversion"/>
  </si>
  <si>
    <t>NAP8A-2</t>
  </si>
  <si>
    <t>HG01992</t>
    <phoneticPr fontId="4" type="noConversion"/>
  </si>
  <si>
    <t>UW5TB</t>
    <phoneticPr fontId="4" type="noConversion"/>
  </si>
  <si>
    <t>NC7Q8-2</t>
  </si>
  <si>
    <t>HG01993</t>
    <phoneticPr fontId="4" type="noConversion"/>
  </si>
  <si>
    <t>UV5TB</t>
    <phoneticPr fontId="4" type="noConversion"/>
  </si>
  <si>
    <t>NC7QW</t>
  </si>
  <si>
    <t>B22A0</t>
    <phoneticPr fontId="4" type="noConversion"/>
  </si>
  <si>
    <t>HG01994</t>
    <phoneticPr fontId="4" type="noConversion"/>
  </si>
  <si>
    <t>VT5TC</t>
    <phoneticPr fontId="4" type="noConversion"/>
  </si>
  <si>
    <t>NA6K5</t>
  </si>
  <si>
    <t>HG01995</t>
    <phoneticPr fontId="4" type="noConversion"/>
  </si>
  <si>
    <t>AMN5TA</t>
    <phoneticPr fontId="4" type="noConversion"/>
  </si>
  <si>
    <t>NC3AA-1</t>
  </si>
  <si>
    <t>SYP851FCC</t>
    <phoneticPr fontId="4" type="noConversion"/>
  </si>
  <si>
    <t>A99A3</t>
    <phoneticPr fontId="4" type="noConversion"/>
  </si>
  <si>
    <t>HG01996</t>
    <phoneticPr fontId="4" type="noConversion"/>
  </si>
  <si>
    <t>AMA5TA</t>
    <phoneticPr fontId="4" type="noConversion"/>
  </si>
  <si>
    <t>18#-20#</t>
  </si>
  <si>
    <t>NC76T.50-1</t>
  </si>
  <si>
    <t>SY58122FAC</t>
    <phoneticPr fontId="4" type="noConversion"/>
  </si>
  <si>
    <t>HG01997</t>
    <phoneticPr fontId="4" type="noConversion"/>
  </si>
  <si>
    <t>AVN5TA</t>
    <phoneticPr fontId="4" type="noConversion"/>
  </si>
  <si>
    <t>2+7</t>
    <phoneticPr fontId="4" type="noConversion"/>
  </si>
  <si>
    <t>(N9T91+N9T92.04)+FW2TK</t>
    <phoneticPr fontId="4" type="noConversion"/>
  </si>
  <si>
    <t>(25#+5#)+18#-24#</t>
    <phoneticPr fontId="4" type="noConversion"/>
  </si>
  <si>
    <t>(N9T91+N9T92.04);FW2TK</t>
  </si>
  <si>
    <t>HG01998</t>
    <phoneticPr fontId="4" type="noConversion"/>
  </si>
  <si>
    <t>AMY5TB</t>
    <phoneticPr fontId="4" type="noConversion"/>
  </si>
  <si>
    <t>NAW5Y.03+SJ092902</t>
    <phoneticPr fontId="4" type="noConversion"/>
  </si>
  <si>
    <t>14#-15#+#3,4,6,11,21</t>
    <phoneticPr fontId="4" type="noConversion"/>
  </si>
  <si>
    <t>NAW5Y.03;SJ092902</t>
  </si>
  <si>
    <t>HG01999</t>
    <phoneticPr fontId="4" type="noConversion"/>
  </si>
  <si>
    <t>AXT5TB</t>
    <phoneticPr fontId="4" type="noConversion"/>
  </si>
  <si>
    <t>NALM9+(FW6Y3+FP2SC)</t>
    <phoneticPr fontId="4" type="noConversion"/>
  </si>
  <si>
    <t>1#-4#+(1#-25#+23#-24#)</t>
    <phoneticPr fontId="4" type="noConversion"/>
  </si>
  <si>
    <t>NALM9;(FW6Y3+FP2SC)</t>
  </si>
  <si>
    <t>HG02000</t>
    <phoneticPr fontId="4" type="noConversion"/>
  </si>
  <si>
    <t>AXT5TC</t>
    <phoneticPr fontId="4" type="noConversion"/>
  </si>
  <si>
    <t>NALM9+(FWFK6+F0FL3+FP2SC)</t>
    <phoneticPr fontId="4" type="noConversion"/>
  </si>
  <si>
    <t>5#-8#+(1#-25#+25#+25#)</t>
    <phoneticPr fontId="4" type="noConversion"/>
  </si>
  <si>
    <t>NALM9;(FWFK6+F0FL3+FP2SC)</t>
  </si>
  <si>
    <t>SYJ137FAC</t>
    <phoneticPr fontId="4" type="noConversion"/>
  </si>
  <si>
    <t>HG02001</t>
    <phoneticPr fontId="4" type="noConversion"/>
  </si>
  <si>
    <t>AXA5TA</t>
    <phoneticPr fontId="4" type="noConversion"/>
  </si>
  <si>
    <t>13+26</t>
    <phoneticPr fontId="4" type="noConversion"/>
  </si>
  <si>
    <t>NC01G.01+(FNS29+FL7R2)</t>
    <phoneticPr fontId="4" type="noConversion"/>
  </si>
  <si>
    <t>2#-14#+(1#-25#+25#)</t>
    <phoneticPr fontId="4" type="noConversion"/>
  </si>
  <si>
    <t>NC01G.01;(FNS29+FL7R2)</t>
  </si>
  <si>
    <t>E24D0+U2X14A</t>
    <phoneticPr fontId="4" type="noConversion"/>
  </si>
  <si>
    <t>HG02002</t>
    <phoneticPr fontId="4" type="noConversion"/>
  </si>
  <si>
    <t>AVN5TB</t>
    <phoneticPr fontId="4" type="noConversion"/>
  </si>
  <si>
    <t>(N9T8Y+N9TR7)+F328L</t>
    <phoneticPr fontId="4" type="noConversion"/>
  </si>
  <si>
    <t>(25#+25#)+1#-7#</t>
    <phoneticPr fontId="4" type="noConversion"/>
  </si>
  <si>
    <t>(N9T8Y+N9TR7);F328L</t>
  </si>
  <si>
    <t>SY8011BDQC</t>
    <phoneticPr fontId="4" type="noConversion"/>
  </si>
  <si>
    <t>A11B1</t>
    <phoneticPr fontId="4" type="noConversion"/>
  </si>
  <si>
    <t>HG02003</t>
    <phoneticPr fontId="4" type="noConversion"/>
  </si>
  <si>
    <t>MC5TA</t>
    <phoneticPr fontId="4" type="noConversion"/>
  </si>
  <si>
    <t>NC5R6.01-1</t>
  </si>
  <si>
    <t>SY8881DQC</t>
  </si>
  <si>
    <t>A11D0</t>
    <phoneticPr fontId="4" type="noConversion"/>
  </si>
  <si>
    <t>HG02004</t>
    <phoneticPr fontId="4" type="noConversion"/>
  </si>
  <si>
    <t>MN5TA</t>
    <phoneticPr fontId="4" type="noConversion"/>
  </si>
  <si>
    <t>NAWF0-1</t>
  </si>
  <si>
    <t>HG02005</t>
    <phoneticPr fontId="4" type="noConversion"/>
  </si>
  <si>
    <t>MN5TB</t>
    <phoneticPr fontId="4" type="noConversion"/>
  </si>
  <si>
    <t>NAWF2</t>
    <phoneticPr fontId="4" type="noConversion"/>
  </si>
  <si>
    <t>NAWF2</t>
  </si>
  <si>
    <t>XD5TB</t>
    <phoneticPr fontId="4" type="noConversion"/>
  </si>
  <si>
    <t>17#-24#</t>
  </si>
  <si>
    <t>HG02008</t>
    <phoneticPr fontId="4" type="noConversion"/>
  </si>
  <si>
    <t>Dt5TB</t>
    <phoneticPr fontId="4" type="noConversion"/>
  </si>
  <si>
    <t>NC5R8+(DFG5X75197+DFG4X75169+LE1504200561+LE1505180397)</t>
    <phoneticPr fontId="4" type="noConversion"/>
  </si>
  <si>
    <t>3#-4#</t>
    <phoneticPr fontId="4" type="noConversion"/>
  </si>
  <si>
    <t>NC5R8-2</t>
  </si>
  <si>
    <t>HG02009</t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</si>
  <si>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</si>
  <si>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Gq5TA</t>
    <phoneticPr fontId="4" type="noConversion"/>
  </si>
  <si>
    <t>12+33</t>
    <phoneticPr fontId="4" type="noConversion"/>
  </si>
  <si>
    <t>(NC5RA+NC5RA.02)+(F93GW+FNWAY)</t>
    <phoneticPr fontId="4" type="noConversion"/>
  </si>
  <si>
    <t>(24#-25#+1#-10#)+(9#-25#+1#-16#)</t>
    <phoneticPr fontId="4" type="noConversion"/>
  </si>
  <si>
    <t>(F93GW+FNWAY);(NC5RA+NC5RA.02);</t>
  </si>
  <si>
    <t>HG02010</t>
  </si>
  <si>
    <t>HH5TB</t>
    <phoneticPr fontId="4" type="noConversion"/>
  </si>
  <si>
    <t>23#-25#</t>
    <phoneticPr fontId="4" type="noConversion"/>
  </si>
  <si>
    <t>N8CC0+02</t>
  </si>
  <si>
    <t>HG02011</t>
  </si>
  <si>
    <t>NM5TC</t>
    <phoneticPr fontId="4" type="noConversion"/>
  </si>
  <si>
    <t>4#-6#</t>
    <phoneticPr fontId="4" type="noConversion"/>
  </si>
  <si>
    <t>NC75Q.01+01</t>
  </si>
  <si>
    <t>HG02012</t>
  </si>
  <si>
    <t>JU5TB</t>
    <phoneticPr fontId="4" type="noConversion"/>
  </si>
  <si>
    <t>NC58P</t>
    <phoneticPr fontId="4" type="noConversion"/>
  </si>
  <si>
    <t>NC58P</t>
  </si>
  <si>
    <t>HG02013</t>
  </si>
  <si>
    <t>UH5TB</t>
    <phoneticPr fontId="4" type="noConversion"/>
  </si>
  <si>
    <t>NC7Q8</t>
    <phoneticPr fontId="4" type="noConversion"/>
  </si>
  <si>
    <t>14#-25#</t>
    <phoneticPr fontId="4" type="noConversion"/>
  </si>
  <si>
    <t>HG02014</t>
  </si>
  <si>
    <t>UH5TC</t>
    <phoneticPr fontId="4" type="noConversion"/>
  </si>
  <si>
    <t>NC7QW</t>
    <phoneticPr fontId="4" type="noConversion"/>
  </si>
  <si>
    <t>15#-25#</t>
    <phoneticPr fontId="4" type="noConversion"/>
  </si>
  <si>
    <t>HG02015</t>
  </si>
  <si>
    <t>JX5TB</t>
    <phoneticPr fontId="4" type="noConversion"/>
  </si>
  <si>
    <t>NC8SG</t>
    <phoneticPr fontId="4" type="noConversion"/>
  </si>
  <si>
    <t>NC8SG+01</t>
  </si>
  <si>
    <t>SY8745FCC</t>
    <phoneticPr fontId="4" type="noConversion"/>
  </si>
  <si>
    <t>B62B2</t>
    <phoneticPr fontId="4" type="noConversion"/>
  </si>
  <si>
    <t>HG02016</t>
    <phoneticPr fontId="4" type="noConversion"/>
  </si>
  <si>
    <t>AZT5UA</t>
    <phoneticPr fontId="4" type="noConversion"/>
  </si>
  <si>
    <t>NC2PT.03</t>
  </si>
  <si>
    <t>2#-4#</t>
  </si>
  <si>
    <t>NC2PT.03-1</t>
  </si>
  <si>
    <t>SY7611RKC</t>
    <phoneticPr fontId="4" type="noConversion"/>
  </si>
  <si>
    <t>I13A1</t>
    <phoneticPr fontId="4" type="noConversion"/>
  </si>
  <si>
    <t>HG02017</t>
    <phoneticPr fontId="4" type="noConversion"/>
  </si>
  <si>
    <r>
      <t>QFN6*6-52(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</si>
  <si>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BBA5UA</t>
    <phoneticPr fontId="4" type="noConversion"/>
  </si>
  <si>
    <t>NCA17</t>
  </si>
  <si>
    <t>HG02018</t>
    <phoneticPr fontId="4" type="noConversion"/>
  </si>
  <si>
    <t>QV5UA</t>
    <phoneticPr fontId="4" type="noConversion"/>
  </si>
  <si>
    <t>NC5R7.01</t>
  </si>
  <si>
    <t>HG02019</t>
    <phoneticPr fontId="4" type="noConversion"/>
  </si>
  <si>
    <t>BDU5UA</t>
    <phoneticPr fontId="4" type="noConversion"/>
  </si>
  <si>
    <t>NCA3G</t>
    <phoneticPr fontId="4" type="noConversion"/>
  </si>
  <si>
    <t>NCA3G</t>
  </si>
  <si>
    <t>A70A0</t>
    <phoneticPr fontId="4" type="noConversion"/>
  </si>
  <si>
    <t>HG02020</t>
    <phoneticPr fontId="4" type="noConversion"/>
  </si>
  <si>
    <t>ZY5UA</t>
    <phoneticPr fontId="4" type="noConversion"/>
  </si>
  <si>
    <t>NARSM.09</t>
    <phoneticPr fontId="4" type="noConversion"/>
  </si>
  <si>
    <t>3#</t>
  </si>
  <si>
    <t>NARSM.09</t>
  </si>
  <si>
    <t>HG02021</t>
    <phoneticPr fontId="4" type="noConversion"/>
  </si>
  <si>
    <t>ZY5UB</t>
    <phoneticPr fontId="4" type="noConversion"/>
  </si>
  <si>
    <t>4#-15#</t>
  </si>
  <si>
    <t>NARSM.09-1</t>
  </si>
  <si>
    <t>RL5UA</t>
    <phoneticPr fontId="4" type="noConversion"/>
  </si>
  <si>
    <t>NC8SJ.02</t>
    <phoneticPr fontId="4" type="noConversion"/>
  </si>
  <si>
    <t>NC8SJ.02</t>
  </si>
  <si>
    <t>SYD104ADC</t>
    <phoneticPr fontId="4" type="noConversion"/>
  </si>
  <si>
    <t>HG02023</t>
    <phoneticPr fontId="4" type="noConversion"/>
  </si>
  <si>
    <t>JR5UA</t>
    <phoneticPr fontId="4" type="noConversion"/>
  </si>
  <si>
    <t>NCA49</t>
    <phoneticPr fontId="4" type="noConversion"/>
  </si>
  <si>
    <t>NCA49</t>
  </si>
  <si>
    <t>HG02024</t>
    <phoneticPr fontId="4" type="noConversion"/>
  </si>
  <si>
    <t>JR5UB</t>
    <phoneticPr fontId="4" type="noConversion"/>
  </si>
  <si>
    <t>NCA4A</t>
    <phoneticPr fontId="4" type="noConversion"/>
  </si>
  <si>
    <t>NCA4A</t>
  </si>
  <si>
    <t>HG02025</t>
    <phoneticPr fontId="4" type="noConversion"/>
  </si>
  <si>
    <t>JR5UC</t>
    <phoneticPr fontId="4" type="noConversion"/>
  </si>
  <si>
    <t>6#-12#</t>
  </si>
  <si>
    <t>NCA4A-1</t>
  </si>
  <si>
    <t>HG02026</t>
    <phoneticPr fontId="4" type="noConversion"/>
  </si>
  <si>
    <t>AYV5UA</t>
    <phoneticPr fontId="4" type="noConversion"/>
  </si>
  <si>
    <t>NCAHL+SJ081000</t>
    <phoneticPr fontId="4" type="noConversion"/>
  </si>
  <si>
    <t>1#-2#+1#~3#,5#~17#</t>
    <phoneticPr fontId="4" type="noConversion"/>
  </si>
  <si>
    <t>SJ081000;NCAHL</t>
  </si>
  <si>
    <t>HG02027</t>
    <phoneticPr fontId="4" type="noConversion"/>
  </si>
  <si>
    <t>AXT5UA</t>
    <phoneticPr fontId="4" type="noConversion"/>
  </si>
  <si>
    <t>5+34</t>
    <phoneticPr fontId="4" type="noConversion"/>
  </si>
  <si>
    <t>NALM8+(FYS93+FCNSP)</t>
    <phoneticPr fontId="4" type="noConversion"/>
  </si>
  <si>
    <t>21#-25#+(1#-25#+1#-9#)</t>
    <phoneticPr fontId="4" type="noConversion"/>
  </si>
  <si>
    <t>NALM8;(FYS93+FCNSP)</t>
  </si>
  <si>
    <t>HG02028</t>
    <phoneticPr fontId="4" type="noConversion"/>
  </si>
  <si>
    <t>AXT5UB</t>
    <phoneticPr fontId="4" type="noConversion"/>
  </si>
  <si>
    <t>NALM9+FCNSP</t>
    <phoneticPr fontId="4" type="noConversion"/>
  </si>
  <si>
    <t>9#-10#+10#-22#</t>
    <phoneticPr fontId="4" type="noConversion"/>
  </si>
  <si>
    <t>NALM9;FCNSP</t>
  </si>
  <si>
    <t>SY5830BABC</t>
  </si>
  <si>
    <t>HG02029</t>
  </si>
  <si>
    <t>Jy5UA</t>
    <phoneticPr fontId="4" type="noConversion"/>
  </si>
  <si>
    <t>NCA12</t>
  </si>
  <si>
    <t>11#-13#</t>
    <phoneticPr fontId="4" type="noConversion"/>
  </si>
  <si>
    <t>HG02030</t>
  </si>
  <si>
    <t>UH5UA</t>
    <phoneticPr fontId="4" type="noConversion"/>
  </si>
  <si>
    <t>NCA4P</t>
    <phoneticPr fontId="4" type="noConversion"/>
  </si>
  <si>
    <t>NCA4P</t>
  </si>
  <si>
    <t>A21B2</t>
    <phoneticPr fontId="4" type="noConversion"/>
  </si>
  <si>
    <t>HG02031</t>
  </si>
  <si>
    <t>JW5UA</t>
    <phoneticPr fontId="4" type="noConversion"/>
  </si>
  <si>
    <t>NCA0N</t>
    <phoneticPr fontId="4" type="noConversion"/>
  </si>
  <si>
    <t>NCA0N</t>
  </si>
  <si>
    <t>SY6404RGC</t>
    <phoneticPr fontId="4" type="noConversion"/>
  </si>
  <si>
    <t>K14A3</t>
    <phoneticPr fontId="4" type="noConversion"/>
  </si>
  <si>
    <t>HG02032</t>
    <phoneticPr fontId="4" type="noConversion"/>
  </si>
  <si>
    <t>QFN4*4-25</t>
    <phoneticPr fontId="4" type="noConversion"/>
  </si>
  <si>
    <t>BCG5UA</t>
    <phoneticPr fontId="4" type="noConversion"/>
  </si>
  <si>
    <t>NC4YW.02</t>
  </si>
  <si>
    <t>SY8121ABC</t>
    <phoneticPr fontId="4" type="noConversion"/>
  </si>
  <si>
    <t>HG02033</t>
    <phoneticPr fontId="4" type="noConversion"/>
  </si>
  <si>
    <t>JW5UB</t>
    <phoneticPr fontId="4" type="noConversion"/>
  </si>
  <si>
    <t>NCA0N+01</t>
  </si>
  <si>
    <t>SYW232DFC</t>
    <phoneticPr fontId="4" type="noConversion"/>
  </si>
  <si>
    <t>HG02034</t>
    <phoneticPr fontId="4" type="noConversion"/>
  </si>
  <si>
    <t>HU5UA</t>
    <phoneticPr fontId="4" type="noConversion"/>
  </si>
  <si>
    <t>HG02035</t>
    <phoneticPr fontId="4" type="noConversion"/>
  </si>
  <si>
    <t>AXT5UC</t>
    <phoneticPr fontId="4" type="noConversion"/>
  </si>
  <si>
    <t>NALM9+(FKSK0+F9MHC)</t>
    <phoneticPr fontId="4" type="noConversion"/>
  </si>
  <si>
    <t>11#-17#+(1#-25#+1#-23#)</t>
    <phoneticPr fontId="4" type="noConversion"/>
  </si>
  <si>
    <t>NALM9;(FKSK0+F9MHC)</t>
  </si>
  <si>
    <t>HG02036</t>
    <phoneticPr fontId="4" type="noConversion"/>
  </si>
  <si>
    <t>AXT5UD</t>
    <phoneticPr fontId="4" type="noConversion"/>
  </si>
  <si>
    <t>NALM9+(FCP7L+F9MHC)</t>
    <phoneticPr fontId="4" type="noConversion"/>
  </si>
  <si>
    <t>18#-21#+(1#-25#+24#-25#)</t>
    <phoneticPr fontId="4" type="noConversion"/>
  </si>
  <si>
    <t>NALM9;(FCP7L+F9MHC)</t>
  </si>
  <si>
    <t>HG02037</t>
    <phoneticPr fontId="4" type="noConversion"/>
  </si>
  <si>
    <t>APQ5VA</t>
    <phoneticPr fontId="4" type="noConversion"/>
  </si>
  <si>
    <t>NALM9+(FS3PF+FLNTG)</t>
    <phoneticPr fontId="4" type="noConversion"/>
  </si>
  <si>
    <t>22#-25#+(1#-25#+24#-25#)</t>
    <phoneticPr fontId="4" type="noConversion"/>
  </si>
  <si>
    <t>NALM9;(FS3PF+FLNTG)</t>
  </si>
  <si>
    <t>HG02038</t>
    <phoneticPr fontId="4" type="noConversion"/>
  </si>
  <si>
    <t>APQ5VB</t>
    <phoneticPr fontId="4" type="noConversion"/>
  </si>
  <si>
    <t>NALMA+(FST28+F77YS)</t>
    <phoneticPr fontId="4" type="noConversion"/>
  </si>
  <si>
    <t>1#-7#+(2#-25#+1#-5#,7#-25#)</t>
    <phoneticPr fontId="4" type="noConversion"/>
  </si>
  <si>
    <t>NALMA;(FST28+F77YS)</t>
  </si>
  <si>
    <t>HG02039</t>
    <phoneticPr fontId="4" type="noConversion"/>
  </si>
  <si>
    <t>APQ5VC</t>
    <phoneticPr fontId="4" type="noConversion"/>
  </si>
  <si>
    <t>NALMA+(F822S+FPS36)</t>
    <phoneticPr fontId="4" type="noConversion"/>
  </si>
  <si>
    <t>8#-14#+(1#-25#+1#-23#)</t>
    <phoneticPr fontId="4" type="noConversion"/>
  </si>
  <si>
    <t>NALMA;(F822S+FPS36)</t>
  </si>
  <si>
    <t>HG02040</t>
    <phoneticPr fontId="4" type="noConversion"/>
  </si>
  <si>
    <t>APQ5VD</t>
    <phoneticPr fontId="4" type="noConversion"/>
  </si>
  <si>
    <t>NALMA+(F9NSF+FPS36)</t>
    <phoneticPr fontId="4" type="noConversion"/>
  </si>
  <si>
    <t>15#-18#+(1#-25#+24#-25#)</t>
    <phoneticPr fontId="4" type="noConversion"/>
  </si>
  <si>
    <t>NALMA;(F9NSF+FPS36)</t>
  </si>
  <si>
    <t>E50B1</t>
  </si>
  <si>
    <t>HG02041</t>
    <phoneticPr fontId="4" type="noConversion"/>
  </si>
  <si>
    <t>ARU5VA</t>
    <phoneticPr fontId="4" type="noConversion"/>
  </si>
  <si>
    <t>NC8L4</t>
  </si>
  <si>
    <t>HG02042</t>
    <phoneticPr fontId="4" type="noConversion"/>
  </si>
  <si>
    <t>AUD5VA</t>
    <phoneticPr fontId="4" type="noConversion"/>
  </si>
  <si>
    <t>NC8L5</t>
  </si>
  <si>
    <t>HG02043</t>
    <phoneticPr fontId="4" type="noConversion"/>
  </si>
  <si>
    <t>QV5VA</t>
    <phoneticPr fontId="4" type="noConversion"/>
  </si>
  <si>
    <t>NAWF4-2</t>
  </si>
  <si>
    <t>SY8016DEC</t>
  </si>
  <si>
    <t>HG02044</t>
    <phoneticPr fontId="4" type="noConversion"/>
  </si>
  <si>
    <t>QV5VB</t>
    <phoneticPr fontId="4" type="noConversion"/>
  </si>
  <si>
    <t>NAWP9</t>
  </si>
  <si>
    <t>HG02045</t>
    <phoneticPr fontId="4" type="noConversion"/>
  </si>
  <si>
    <t>PT5VB</t>
    <phoneticPr fontId="4" type="noConversion"/>
  </si>
  <si>
    <t>NCA0P</t>
  </si>
  <si>
    <t>1#-5#,10#-19#</t>
  </si>
  <si>
    <t>HG02046</t>
    <phoneticPr fontId="4" type="noConversion"/>
  </si>
  <si>
    <t>PT5VA</t>
    <phoneticPr fontId="4" type="noConversion"/>
  </si>
  <si>
    <t>NCA0Q</t>
  </si>
  <si>
    <t>HG02047</t>
    <phoneticPr fontId="4" type="noConversion"/>
  </si>
  <si>
    <t>VC5VA</t>
    <phoneticPr fontId="4" type="noConversion"/>
  </si>
  <si>
    <t>NCASR</t>
  </si>
  <si>
    <t>HG02048</t>
    <phoneticPr fontId="4" type="noConversion"/>
  </si>
  <si>
    <t>UW5VA</t>
    <phoneticPr fontId="4" type="noConversion"/>
  </si>
  <si>
    <t>NCA4N</t>
  </si>
  <si>
    <t>HG02049</t>
    <phoneticPr fontId="4" type="noConversion"/>
  </si>
  <si>
    <t>UV5VA</t>
    <phoneticPr fontId="4" type="noConversion"/>
  </si>
  <si>
    <t>NCCNM</t>
  </si>
  <si>
    <t>HG02050</t>
    <phoneticPr fontId="4" type="noConversion"/>
  </si>
  <si>
    <t>HU5VA</t>
    <phoneticPr fontId="4" type="noConversion"/>
  </si>
  <si>
    <t>NC8S9</t>
  </si>
  <si>
    <t>HG02051</t>
    <phoneticPr fontId="4" type="noConversion"/>
  </si>
  <si>
    <t>LS5VA</t>
    <phoneticPr fontId="4" type="noConversion"/>
  </si>
  <si>
    <t>NC6JK-3</t>
  </si>
  <si>
    <t>HG02052</t>
    <phoneticPr fontId="4" type="noConversion"/>
  </si>
  <si>
    <t>QA5VA</t>
    <phoneticPr fontId="4" type="noConversion"/>
  </si>
  <si>
    <t>NCA1C</t>
  </si>
  <si>
    <t>24#,25#</t>
  </si>
  <si>
    <t>HG02053</t>
    <phoneticPr fontId="4" type="noConversion"/>
  </si>
  <si>
    <t>JD5VA</t>
    <phoneticPr fontId="4" type="noConversion"/>
  </si>
  <si>
    <t>NC8S8</t>
  </si>
  <si>
    <t>HG02054</t>
    <phoneticPr fontId="4" type="noConversion"/>
  </si>
  <si>
    <t>AHI5VA</t>
    <phoneticPr fontId="4" type="noConversion"/>
  </si>
  <si>
    <t>NC7QQ</t>
  </si>
  <si>
    <t>HG02055</t>
    <phoneticPr fontId="4" type="noConversion"/>
  </si>
  <si>
    <t>AHH5VA</t>
    <phoneticPr fontId="4" type="noConversion"/>
  </si>
  <si>
    <t>NC75W</t>
  </si>
  <si>
    <t>HG02056</t>
    <phoneticPr fontId="4" type="noConversion"/>
  </si>
  <si>
    <t>AJY5VA</t>
    <phoneticPr fontId="4" type="noConversion"/>
  </si>
  <si>
    <t>NC7QP</t>
  </si>
  <si>
    <t>HG02057</t>
    <phoneticPr fontId="4" type="noConversion"/>
  </si>
  <si>
    <t>AIV5VA</t>
    <phoneticPr fontId="4" type="noConversion"/>
  </si>
  <si>
    <t>NC6JK-2</t>
  </si>
  <si>
    <t>SY8234FCC</t>
  </si>
  <si>
    <t>HG02058</t>
    <phoneticPr fontId="4" type="noConversion"/>
  </si>
  <si>
    <t>AMN5VA</t>
    <phoneticPr fontId="4" type="noConversion"/>
  </si>
  <si>
    <t>NC3AA-2</t>
  </si>
  <si>
    <t>HG02059</t>
    <phoneticPr fontId="4" type="noConversion"/>
  </si>
  <si>
    <t>AMN5VB</t>
    <phoneticPr fontId="4" type="noConversion"/>
  </si>
  <si>
    <t>NC3A9.02</t>
  </si>
  <si>
    <t>HG02060</t>
    <phoneticPr fontId="4" type="noConversion"/>
  </si>
  <si>
    <t>BDU5VA</t>
    <phoneticPr fontId="4" type="noConversion"/>
  </si>
  <si>
    <t>NCC71</t>
  </si>
  <si>
    <t>SY5019AFAC</t>
    <phoneticPr fontId="4" type="noConversion"/>
  </si>
  <si>
    <t>E51Q0+U1X28D</t>
    <phoneticPr fontId="4" type="noConversion"/>
  </si>
  <si>
    <t>HG02061</t>
    <phoneticPr fontId="4" type="noConversion"/>
  </si>
  <si>
    <t>BBC5VA</t>
    <phoneticPr fontId="4" type="noConversion"/>
  </si>
  <si>
    <t>NCF45.02+FYLKP</t>
    <phoneticPr fontId="4" type="noConversion"/>
  </si>
  <si>
    <t>16#-17#+#4</t>
    <phoneticPr fontId="4" type="noConversion"/>
  </si>
  <si>
    <t>NCF45.02;FYLKP</t>
  </si>
  <si>
    <t>HG02062</t>
    <phoneticPr fontId="4" type="noConversion"/>
  </si>
  <si>
    <t>AFB5VA</t>
    <phoneticPr fontId="4" type="noConversion"/>
  </si>
  <si>
    <t>NC49P</t>
  </si>
  <si>
    <t>SY5800DFAC</t>
    <phoneticPr fontId="4" type="noConversion"/>
  </si>
  <si>
    <t>E02U1</t>
  </si>
  <si>
    <t>HG02063</t>
    <phoneticPr fontId="4" type="noConversion"/>
  </si>
  <si>
    <t>AHS5VA</t>
    <phoneticPr fontId="4" type="noConversion"/>
  </si>
  <si>
    <t>N8QM8.03</t>
  </si>
  <si>
    <t>13#~16#</t>
  </si>
  <si>
    <t>HG02064</t>
    <phoneticPr fontId="4" type="noConversion"/>
  </si>
  <si>
    <t>AHS5VB</t>
    <phoneticPr fontId="4" type="noConversion"/>
  </si>
  <si>
    <t>NC6MF.04</t>
  </si>
  <si>
    <t>HG02065</t>
    <phoneticPr fontId="4" type="noConversion"/>
  </si>
  <si>
    <t>ANE5VA</t>
    <phoneticPr fontId="4" type="noConversion"/>
  </si>
  <si>
    <t>NC31J-2</t>
  </si>
  <si>
    <t>HG02066</t>
    <phoneticPr fontId="4" type="noConversion"/>
  </si>
  <si>
    <t>ALH5VA</t>
    <phoneticPr fontId="4" type="noConversion"/>
  </si>
  <si>
    <t>NC31K</t>
  </si>
  <si>
    <t>HG02067</t>
    <phoneticPr fontId="4" type="noConversion"/>
  </si>
  <si>
    <t>APQ5VE</t>
    <phoneticPr fontId="4" type="noConversion"/>
  </si>
  <si>
    <t>NALMA+(FAGS7+FMSCT)</t>
    <phoneticPr fontId="4" type="noConversion"/>
  </si>
  <si>
    <t>NALMA;(FAGS7+FMSCT)</t>
  </si>
  <si>
    <t>HG02068</t>
    <phoneticPr fontId="4" type="noConversion"/>
  </si>
  <si>
    <t>NC31G</t>
  </si>
  <si>
    <t>HG02069</t>
    <phoneticPr fontId="4" type="noConversion"/>
  </si>
  <si>
    <t>TC5VA</t>
    <phoneticPr fontId="4" type="noConversion"/>
  </si>
  <si>
    <t>NC0CY</t>
  </si>
  <si>
    <t>HG02070</t>
    <phoneticPr fontId="4" type="noConversion"/>
  </si>
  <si>
    <t>Jy5VA</t>
    <phoneticPr fontId="4" type="noConversion"/>
  </si>
  <si>
    <t>NCA12+01</t>
  </si>
  <si>
    <t>HG02071</t>
    <phoneticPr fontId="4" type="noConversion"/>
  </si>
  <si>
    <t>ZT5VA</t>
    <phoneticPr fontId="4" type="noConversion"/>
  </si>
  <si>
    <t>8#-25#</t>
  </si>
  <si>
    <t>NC59W+01</t>
  </si>
  <si>
    <t>HG02072</t>
    <phoneticPr fontId="4" type="noConversion"/>
  </si>
  <si>
    <t>NM5VA</t>
    <phoneticPr fontId="4" type="noConversion"/>
  </si>
  <si>
    <t>NCAQN</t>
  </si>
  <si>
    <t>HG02073</t>
    <phoneticPr fontId="4" type="noConversion"/>
  </si>
  <si>
    <t>JU5VA</t>
    <phoneticPr fontId="4" type="noConversion"/>
  </si>
  <si>
    <t>NC58Q</t>
  </si>
  <si>
    <t>HG02074</t>
    <phoneticPr fontId="4" type="noConversion"/>
  </si>
  <si>
    <t>JU5VB</t>
    <phoneticPr fontId="4" type="noConversion"/>
  </si>
  <si>
    <t>NCCNQ</t>
  </si>
  <si>
    <t>HG02075</t>
    <phoneticPr fontId="4" type="noConversion"/>
  </si>
  <si>
    <t>NA5VA</t>
    <phoneticPr fontId="4" type="noConversion"/>
  </si>
  <si>
    <t>NC5R7+02</t>
  </si>
  <si>
    <t>HG02076</t>
    <phoneticPr fontId="4" type="noConversion"/>
  </si>
  <si>
    <t>UH5VA</t>
    <phoneticPr fontId="4" type="noConversion"/>
  </si>
  <si>
    <t>8#-23#,25#</t>
  </si>
  <si>
    <t>HG02077</t>
    <phoneticPr fontId="4" type="noConversion"/>
  </si>
  <si>
    <t>UH5VB</t>
    <phoneticPr fontId="4" type="noConversion"/>
  </si>
  <si>
    <t>NCCNN</t>
  </si>
  <si>
    <t>HG02078</t>
    <phoneticPr fontId="4" type="noConversion"/>
  </si>
  <si>
    <t>JX5VA</t>
    <phoneticPr fontId="4" type="noConversion"/>
  </si>
  <si>
    <t>NCAST</t>
  </si>
  <si>
    <t>HG02079</t>
    <phoneticPr fontId="4" type="noConversion"/>
  </si>
  <si>
    <t>JW5VA</t>
    <phoneticPr fontId="4" type="noConversion"/>
  </si>
  <si>
    <t>NCA0N+02</t>
  </si>
  <si>
    <t>HG02080</t>
    <phoneticPr fontId="4" type="noConversion"/>
  </si>
  <si>
    <t>JW5VB</t>
    <phoneticPr fontId="4" type="noConversion"/>
  </si>
  <si>
    <t>HG02081</t>
    <phoneticPr fontId="4" type="noConversion"/>
  </si>
  <si>
    <t>TW5VA</t>
    <phoneticPr fontId="4" type="noConversion"/>
  </si>
  <si>
    <t>NC4L7</t>
  </si>
  <si>
    <t>HG02082</t>
    <phoneticPr fontId="4" type="noConversion"/>
  </si>
  <si>
    <t>TW5VB</t>
    <phoneticPr fontId="4" type="noConversion"/>
  </si>
  <si>
    <t>NC4M9</t>
  </si>
  <si>
    <t>TR5VA</t>
    <phoneticPr fontId="4" type="noConversion"/>
  </si>
  <si>
    <t>NC74Y</t>
  </si>
  <si>
    <t>HG02084</t>
    <phoneticPr fontId="4" type="noConversion"/>
  </si>
  <si>
    <t>TR5VB</t>
    <phoneticPr fontId="4" type="noConversion"/>
  </si>
  <si>
    <t>NC74Y.02</t>
  </si>
  <si>
    <t>#3-8</t>
  </si>
  <si>
    <t>E51D1</t>
  </si>
  <si>
    <t>HG02085</t>
    <phoneticPr fontId="4" type="noConversion"/>
  </si>
  <si>
    <t>Bd5VA</t>
    <phoneticPr fontId="4" type="noConversion"/>
  </si>
  <si>
    <t>NCF48</t>
  </si>
  <si>
    <t>21#-22#</t>
  </si>
  <si>
    <t>SY5850DFHC</t>
    <phoneticPr fontId="4" type="noConversion"/>
  </si>
  <si>
    <t>E50C2</t>
  </si>
  <si>
    <t>HG02086</t>
    <phoneticPr fontId="4" type="noConversion"/>
  </si>
  <si>
    <t>BCS5VA</t>
    <phoneticPr fontId="4" type="noConversion"/>
  </si>
  <si>
    <t>NC17C.02</t>
  </si>
  <si>
    <t>E50E1</t>
    <phoneticPr fontId="4" type="noConversion"/>
  </si>
  <si>
    <t>HG02087</t>
    <phoneticPr fontId="4" type="noConversion"/>
  </si>
  <si>
    <t>BCT5VA</t>
    <phoneticPr fontId="4" type="noConversion"/>
  </si>
  <si>
    <t>NC17C.05</t>
  </si>
  <si>
    <r>
      <t>需</t>
    </r>
    <r>
      <rPr>
        <sz val="10"/>
        <rFont val="Arial"/>
        <family val="2"/>
      </rPr>
      <t>Bumping</t>
    </r>
  </si>
  <si>
    <t>HG02088</t>
    <phoneticPr fontId="4" type="noConversion"/>
  </si>
  <si>
    <t>KT5VA</t>
    <phoneticPr fontId="4" type="noConversion"/>
  </si>
  <si>
    <t>NCF1A</t>
  </si>
  <si>
    <t>HG02089</t>
    <phoneticPr fontId="4" type="noConversion"/>
  </si>
  <si>
    <t>KT5VB</t>
    <phoneticPr fontId="4" type="noConversion"/>
  </si>
  <si>
    <t>NCF1C</t>
  </si>
  <si>
    <t>1#-6#,9#-25#</t>
  </si>
  <si>
    <t>HG02090</t>
    <phoneticPr fontId="4" type="noConversion"/>
  </si>
  <si>
    <t>QV5VC</t>
    <phoneticPr fontId="4" type="noConversion"/>
  </si>
  <si>
    <t>NCFLG</t>
  </si>
  <si>
    <t>HG02091</t>
    <phoneticPr fontId="4" type="noConversion"/>
  </si>
  <si>
    <t>UV5VB</t>
    <phoneticPr fontId="4" type="noConversion"/>
  </si>
  <si>
    <t>NCGL6</t>
  </si>
  <si>
    <t>HG02092</t>
    <phoneticPr fontId="4" type="noConversion"/>
  </si>
  <si>
    <t>HU5VB</t>
    <phoneticPr fontId="4" type="noConversion"/>
  </si>
  <si>
    <t>SY7203DBC</t>
    <phoneticPr fontId="4" type="noConversion"/>
  </si>
  <si>
    <t>HG02093</t>
    <phoneticPr fontId="4" type="noConversion"/>
  </si>
  <si>
    <t>NZ5VA</t>
    <phoneticPr fontId="4" type="noConversion"/>
  </si>
  <si>
    <t>14#-18#</t>
  </si>
  <si>
    <t>NA634-2</t>
  </si>
  <si>
    <t>HG02094</t>
    <phoneticPr fontId="4" type="noConversion"/>
  </si>
  <si>
    <t>LX5VA</t>
    <phoneticPr fontId="4" type="noConversion"/>
  </si>
  <si>
    <t>NAWP6-1</t>
  </si>
  <si>
    <t>HG02095</t>
    <phoneticPr fontId="4" type="noConversion"/>
  </si>
  <si>
    <t>ASW5VA</t>
    <phoneticPr fontId="4" type="noConversion"/>
  </si>
  <si>
    <t>NC25F-1</t>
  </si>
  <si>
    <t>SY8660CDPC</t>
  </si>
  <si>
    <t>HG02096</t>
    <phoneticPr fontId="4" type="noConversion"/>
  </si>
  <si>
    <t>ASW5VB</t>
    <phoneticPr fontId="4" type="noConversion"/>
  </si>
  <si>
    <t>NC25G</t>
  </si>
  <si>
    <t>HG02097</t>
    <phoneticPr fontId="4" type="noConversion"/>
  </si>
  <si>
    <t>ADS5VA</t>
    <phoneticPr fontId="4" type="noConversion"/>
  </si>
  <si>
    <t>NC75S</t>
  </si>
  <si>
    <t>HG02098</t>
    <phoneticPr fontId="4" type="noConversion"/>
  </si>
  <si>
    <t>AHI5VB</t>
    <phoneticPr fontId="4" type="noConversion"/>
  </si>
  <si>
    <t>NC75S-1</t>
  </si>
  <si>
    <t>HG02099</t>
    <phoneticPr fontId="4" type="noConversion"/>
  </si>
  <si>
    <t>AHI5VC</t>
    <phoneticPr fontId="4" type="noConversion"/>
  </si>
  <si>
    <t>NC9FY</t>
  </si>
  <si>
    <t>HG02100</t>
    <phoneticPr fontId="4" type="noConversion"/>
  </si>
  <si>
    <t>AHH5VB</t>
    <phoneticPr fontId="4" type="noConversion"/>
  </si>
  <si>
    <t>NCAQ5</t>
  </si>
  <si>
    <t>HG02101</t>
    <phoneticPr fontId="4" type="noConversion"/>
  </si>
  <si>
    <t>AYG5VA</t>
    <phoneticPr fontId="4" type="noConversion"/>
  </si>
  <si>
    <t>NC01A-4</t>
  </si>
  <si>
    <t>B99E2</t>
  </si>
  <si>
    <t>HG02102</t>
    <phoneticPr fontId="4" type="noConversion"/>
  </si>
  <si>
    <t>AQW5VA</t>
    <phoneticPr fontId="4" type="noConversion"/>
  </si>
  <si>
    <t>NC1M9</t>
  </si>
  <si>
    <t>HG02103</t>
    <phoneticPr fontId="4" type="noConversion"/>
  </si>
  <si>
    <t>HH5VA</t>
    <phoneticPr fontId="4" type="noConversion"/>
  </si>
  <si>
    <t>N8C7A.01</t>
  </si>
  <si>
    <t>3#~18#</t>
    <phoneticPr fontId="4" type="noConversion"/>
  </si>
  <si>
    <t>E02FE0</t>
    <phoneticPr fontId="4" type="noConversion"/>
  </si>
  <si>
    <t>HG02104</t>
    <phoneticPr fontId="4" type="noConversion"/>
  </si>
  <si>
    <t>TB5VA</t>
    <phoneticPr fontId="4" type="noConversion"/>
  </si>
  <si>
    <t>NC0CW.01</t>
  </si>
  <si>
    <t>HG02105</t>
    <phoneticPr fontId="4" type="noConversion"/>
  </si>
  <si>
    <t>ZT5VB</t>
    <phoneticPr fontId="4" type="noConversion"/>
  </si>
  <si>
    <t>NC5A0</t>
  </si>
  <si>
    <t>HG02106</t>
    <phoneticPr fontId="4" type="noConversion"/>
  </si>
  <si>
    <t>JW5VC</t>
    <phoneticPr fontId="4" type="noConversion"/>
  </si>
  <si>
    <t>NCA0R</t>
  </si>
  <si>
    <t>HG02107</t>
    <phoneticPr fontId="4" type="noConversion"/>
  </si>
  <si>
    <t>JW5VD</t>
    <phoneticPr fontId="4" type="noConversion"/>
  </si>
  <si>
    <t>NCA0S</t>
  </si>
  <si>
    <t>HG02108</t>
    <phoneticPr fontId="4" type="noConversion"/>
  </si>
  <si>
    <t>TR5VC</t>
    <phoneticPr fontId="4" type="noConversion"/>
  </si>
  <si>
    <t>NC88S</t>
  </si>
  <si>
    <t>1#-9#,11#-15#</t>
  </si>
  <si>
    <t>HG02109</t>
    <phoneticPr fontId="4" type="noConversion"/>
  </si>
  <si>
    <t>TR5VD</t>
    <phoneticPr fontId="4" type="noConversion"/>
  </si>
  <si>
    <t>NC8A7</t>
  </si>
  <si>
    <t>HG02110</t>
    <phoneticPr fontId="4" type="noConversion"/>
  </si>
  <si>
    <t>UH5VC</t>
    <phoneticPr fontId="4" type="noConversion"/>
  </si>
  <si>
    <t>7#-12#</t>
  </si>
  <si>
    <t>HG02111</t>
    <phoneticPr fontId="4" type="noConversion"/>
  </si>
  <si>
    <t>AFB5VB</t>
    <phoneticPr fontId="4" type="noConversion"/>
  </si>
  <si>
    <t>NATYQ-1</t>
  </si>
  <si>
    <t>HG02112</t>
    <phoneticPr fontId="4" type="noConversion"/>
  </si>
  <si>
    <t>AHS5VC</t>
    <phoneticPr fontId="4" type="noConversion"/>
  </si>
  <si>
    <t>NCFAM.01</t>
  </si>
  <si>
    <t>HG02113</t>
    <phoneticPr fontId="4" type="noConversion"/>
  </si>
  <si>
    <t>ALH5VB</t>
    <phoneticPr fontId="4" type="noConversion"/>
  </si>
  <si>
    <t>NCFAM</t>
  </si>
  <si>
    <t>HG02114</t>
    <phoneticPr fontId="4" type="noConversion"/>
  </si>
  <si>
    <t>AWU5VA</t>
    <phoneticPr fontId="4" type="noConversion"/>
  </si>
  <si>
    <t>NC0WJ+FAMS2</t>
    <phoneticPr fontId="4" type="noConversion"/>
  </si>
  <si>
    <t>6#-12#+1#-2#,4#~21#</t>
    <phoneticPr fontId="4" type="noConversion"/>
  </si>
  <si>
    <t>FAMS2;NC0WJ</t>
  </si>
  <si>
    <t>HG02115</t>
    <phoneticPr fontId="4" type="noConversion"/>
  </si>
  <si>
    <t>AWU5VB</t>
    <phoneticPr fontId="4" type="noConversion"/>
  </si>
  <si>
    <t>NC0WJ+(F4YL4+FAMS2)</t>
    <phoneticPr fontId="4" type="noConversion"/>
  </si>
  <si>
    <t>13#-17#+(16#-25#+22#~25#)</t>
    <phoneticPr fontId="4" type="noConversion"/>
  </si>
  <si>
    <t>(F4YL4+FAMS2);NC0WJ</t>
  </si>
  <si>
    <t>HG02116</t>
    <phoneticPr fontId="4" type="noConversion"/>
  </si>
  <si>
    <t>AWU5VC</t>
    <phoneticPr fontId="4" type="noConversion"/>
  </si>
  <si>
    <t>NC0WJ+FSM9R</t>
    <phoneticPr fontId="4" type="noConversion"/>
  </si>
  <si>
    <t>18#-25#+1#-22#,24#</t>
    <phoneticPr fontId="4" type="noConversion"/>
  </si>
  <si>
    <t>FSM9R;NC0WJ</t>
  </si>
  <si>
    <r>
      <rPr>
        <sz val="10"/>
        <rFont val="宋体"/>
        <family val="3"/>
        <charset val="134"/>
      </rPr>
      <t>杰进首次</t>
    </r>
    <r>
      <rPr>
        <sz val="10"/>
        <rFont val="Arial"/>
        <family val="2"/>
      </rPr>
      <t>mapping</t>
    </r>
    <r>
      <rPr>
        <sz val="10"/>
        <rFont val="宋体"/>
        <family val="3"/>
        <charset val="134"/>
      </rPr>
      <t>出货</t>
    </r>
    <phoneticPr fontId="4" type="noConversion"/>
  </si>
  <si>
    <t>HG02117</t>
    <phoneticPr fontId="4" type="noConversion"/>
  </si>
  <si>
    <t>ATK5VA</t>
    <phoneticPr fontId="4" type="noConversion"/>
  </si>
  <si>
    <t>NC3J7+F8CRS</t>
    <phoneticPr fontId="4" type="noConversion"/>
  </si>
  <si>
    <t>F8CRS;NC3J7</t>
  </si>
  <si>
    <t>HG02118</t>
    <phoneticPr fontId="4" type="noConversion"/>
  </si>
  <si>
    <t>ATK5VB</t>
    <phoneticPr fontId="4" type="noConversion"/>
  </si>
  <si>
    <t>NC3J8+(FW43F+FPSC4+FCNSP)</t>
    <phoneticPr fontId="4" type="noConversion"/>
  </si>
  <si>
    <t>(FW43F+FPSC4+FCNSP);NC3J8</t>
  </si>
  <si>
    <t>HG02119</t>
    <phoneticPr fontId="4" type="noConversion"/>
  </si>
  <si>
    <t>ATK5VC</t>
    <phoneticPr fontId="4" type="noConversion"/>
  </si>
  <si>
    <t>NC3J8+(FANLT+FLP86+FCNSP)</t>
    <phoneticPr fontId="4" type="noConversion"/>
  </si>
  <si>
    <t>11#-20#+(1#-25#+1#-25#+24#)</t>
    <phoneticPr fontId="4" type="noConversion"/>
  </si>
  <si>
    <t>(FANLT+FLP86+FCNSP);NC3J8</t>
  </si>
  <si>
    <t>HG02120</t>
    <phoneticPr fontId="4" type="noConversion"/>
  </si>
  <si>
    <t>ATK5VD</t>
    <phoneticPr fontId="4" type="noConversion"/>
  </si>
  <si>
    <t>NC3J8+FKLKG</t>
    <phoneticPr fontId="4" type="noConversion"/>
  </si>
  <si>
    <t>FKLKG;NC3J8</t>
  </si>
  <si>
    <t>HG02121</t>
    <phoneticPr fontId="4" type="noConversion"/>
  </si>
  <si>
    <t>ATK5VE</t>
    <phoneticPr fontId="4" type="noConversion"/>
  </si>
  <si>
    <t>NC76R+(F6SMG+FWA62+FCNSP)</t>
    <phoneticPr fontId="4" type="noConversion"/>
  </si>
  <si>
    <t>1#-10#+(1#-25#+1#-25#+25#)</t>
    <phoneticPr fontId="4" type="noConversion"/>
  </si>
  <si>
    <t>(F6SMG+FWA62+FCNSP);NC76R</t>
  </si>
  <si>
    <t>HG02122</t>
    <phoneticPr fontId="4" type="noConversion"/>
  </si>
  <si>
    <t>ATK5VF</t>
    <phoneticPr fontId="4" type="noConversion"/>
  </si>
  <si>
    <t>10+50</t>
    <phoneticPr fontId="4" type="noConversion"/>
  </si>
  <si>
    <t>NC76R+(F9ALF+F79FL)</t>
    <phoneticPr fontId="4" type="noConversion"/>
  </si>
  <si>
    <t>11#-20#+(1#-25#+1#-25#)</t>
    <phoneticPr fontId="4" type="noConversion"/>
  </si>
  <si>
    <t>(F9ALF+F79FL);NC76R</t>
  </si>
  <si>
    <t>HG02123</t>
    <phoneticPr fontId="4" type="noConversion"/>
  </si>
  <si>
    <t>ATK5VG</t>
    <phoneticPr fontId="4" type="noConversion"/>
  </si>
  <si>
    <t>NC76R+F8AS6</t>
    <phoneticPr fontId="4" type="noConversion"/>
  </si>
  <si>
    <t>F8AS6;NC76R</t>
  </si>
  <si>
    <t>HG02124</t>
    <phoneticPr fontId="4" type="noConversion"/>
  </si>
  <si>
    <t>ATK5VH</t>
    <phoneticPr fontId="4" type="noConversion"/>
  </si>
  <si>
    <t>NC76Q+(F2GSA+FLRK3)</t>
    <phoneticPr fontId="4" type="noConversion"/>
  </si>
  <si>
    <t>1#-10#+(1#-25#+1#-25#)</t>
    <phoneticPr fontId="4" type="noConversion"/>
  </si>
  <si>
    <t>(F2GSA+FLRK3);NC76Q</t>
  </si>
  <si>
    <t>HG02125</t>
    <phoneticPr fontId="4" type="noConversion"/>
  </si>
  <si>
    <t>ATK5VI</t>
    <phoneticPr fontId="4" type="noConversion"/>
  </si>
  <si>
    <t>NC76Q+FS2T4</t>
    <phoneticPr fontId="4" type="noConversion"/>
  </si>
  <si>
    <t>FS2T4;NC76Q</t>
  </si>
  <si>
    <t>VC5VB</t>
    <phoneticPr fontId="4" type="noConversion"/>
  </si>
  <si>
    <t>SP0017</t>
  </si>
  <si>
    <t>#2,6,7,9,12,13,15-20,22-25</t>
  </si>
  <si>
    <t>KW5VA</t>
    <phoneticPr fontId="4" type="noConversion"/>
  </si>
  <si>
    <t>SP0017.06</t>
  </si>
  <si>
    <t>#3,10</t>
  </si>
  <si>
    <t>HG02128</t>
    <phoneticPr fontId="4" type="noConversion"/>
  </si>
  <si>
    <t>JD5VB</t>
    <phoneticPr fontId="4" type="noConversion"/>
  </si>
  <si>
    <t>SP0017.07</t>
  </si>
  <si>
    <t>#4,11</t>
  </si>
  <si>
    <t>SY8246ADNC</t>
    <phoneticPr fontId="4" type="noConversion"/>
  </si>
  <si>
    <t>A10B1</t>
  </si>
  <si>
    <t>HG02129</t>
    <phoneticPr fontId="4" type="noConversion"/>
  </si>
  <si>
    <t>DFN3*4-12</t>
    <phoneticPr fontId="4" type="noConversion"/>
  </si>
  <si>
    <t>AIE5VA</t>
    <phoneticPr fontId="4" type="noConversion"/>
  </si>
  <si>
    <t>N8GNT</t>
  </si>
  <si>
    <t>21# ~25#</t>
  </si>
  <si>
    <t>N8GNT-1</t>
  </si>
  <si>
    <t>SY8876DFC</t>
    <phoneticPr fontId="4" type="noConversion"/>
  </si>
  <si>
    <t>A83A3</t>
    <phoneticPr fontId="4" type="noConversion"/>
  </si>
  <si>
    <t>HG02130</t>
    <phoneticPr fontId="4" type="noConversion"/>
  </si>
  <si>
    <t>DFN2*2-8(FC)</t>
    <phoneticPr fontId="4" type="noConversion"/>
  </si>
  <si>
    <t>5#-6#</t>
  </si>
  <si>
    <t>SY7215RDC</t>
  </si>
  <si>
    <t>HG02131</t>
    <phoneticPr fontId="4" type="noConversion"/>
  </si>
  <si>
    <t>BDU5WA</t>
    <phoneticPr fontId="4" type="noConversion"/>
  </si>
  <si>
    <t>HG02132</t>
    <phoneticPr fontId="4" type="noConversion"/>
  </si>
  <si>
    <t>HG02133</t>
    <phoneticPr fontId="4" type="noConversion"/>
  </si>
  <si>
    <t>BDU5WB</t>
    <phoneticPr fontId="4" type="noConversion"/>
  </si>
  <si>
    <t>BDU5WC</t>
    <phoneticPr fontId="4" type="noConversion"/>
  </si>
  <si>
    <t>NCC73</t>
  </si>
  <si>
    <t>HG02134</t>
    <phoneticPr fontId="4" type="noConversion"/>
  </si>
  <si>
    <t>NY5WA</t>
    <phoneticPr fontId="4" type="noConversion"/>
  </si>
  <si>
    <t>HG02135</t>
    <phoneticPr fontId="4" type="noConversion"/>
  </si>
  <si>
    <t>NY5WB</t>
    <phoneticPr fontId="4" type="noConversion"/>
  </si>
  <si>
    <t>XD5WA</t>
    <phoneticPr fontId="4" type="noConversion"/>
  </si>
  <si>
    <t>A57A1</t>
    <phoneticPr fontId="4" type="noConversion"/>
  </si>
  <si>
    <t>HG02137</t>
    <phoneticPr fontId="4" type="noConversion"/>
  </si>
  <si>
    <t>SY8303AIC</t>
    <phoneticPr fontId="4" type="noConversion"/>
  </si>
  <si>
    <t>TSOT23-8</t>
    <phoneticPr fontId="4" type="noConversion"/>
  </si>
  <si>
    <t>SYD104ADC</t>
    <phoneticPr fontId="4" type="noConversion"/>
  </si>
  <si>
    <t>JR5WA</t>
    <phoneticPr fontId="4" type="noConversion"/>
  </si>
  <si>
    <t>JR5WB</t>
    <phoneticPr fontId="4" type="noConversion"/>
  </si>
  <si>
    <t>JR5WC</t>
    <phoneticPr fontId="4" type="noConversion"/>
  </si>
  <si>
    <t>NCA4C</t>
  </si>
  <si>
    <t>HG02138</t>
    <phoneticPr fontId="4" type="noConversion"/>
  </si>
  <si>
    <t>HG02139</t>
    <phoneticPr fontId="4" type="noConversion"/>
  </si>
  <si>
    <t>TSOT23-6</t>
    <phoneticPr fontId="4" type="noConversion"/>
  </si>
  <si>
    <t>SY50135AFAC</t>
    <phoneticPr fontId="4" type="noConversion"/>
  </si>
  <si>
    <t>E51X0+U2X17A</t>
    <phoneticPr fontId="4" type="noConversion"/>
  </si>
  <si>
    <t>SO8(铜线)</t>
  </si>
  <si>
    <t>2+14</t>
    <phoneticPr fontId="4" type="noConversion"/>
  </si>
  <si>
    <t>SY50135AFAC</t>
    <phoneticPr fontId="4" type="noConversion"/>
  </si>
  <si>
    <t>BEA5WA</t>
    <phoneticPr fontId="4" type="noConversion"/>
  </si>
  <si>
    <t>BEA5WB</t>
    <phoneticPr fontId="4" type="noConversion"/>
  </si>
  <si>
    <t>NC5RH.03+F90GW</t>
    <phoneticPr fontId="4" type="noConversion"/>
  </si>
  <si>
    <t>HG02141</t>
    <phoneticPr fontId="4" type="noConversion"/>
  </si>
  <si>
    <t>NCF47+(F90GW+FMTW3)</t>
    <phoneticPr fontId="4" type="noConversion"/>
  </si>
  <si>
    <t>1#-2#+1#-14#</t>
    <phoneticPr fontId="4" type="noConversion"/>
  </si>
  <si>
    <t>24#-25#+(15#-25#+18#-20#)</t>
    <phoneticPr fontId="4" type="noConversion"/>
  </si>
  <si>
    <t>HG02142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</si>
  <si>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</si>
  <si>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AWU5WA</t>
    <phoneticPr fontId="4" type="noConversion"/>
  </si>
  <si>
    <t>AWU5WB</t>
    <phoneticPr fontId="4" type="noConversion"/>
  </si>
  <si>
    <t>AWU5WC</t>
    <phoneticPr fontId="4" type="noConversion"/>
  </si>
  <si>
    <t>NC0WL+FCY7L</t>
    <phoneticPr fontId="4" type="noConversion"/>
  </si>
  <si>
    <t>1#-8#+1#~19#,21#~24#</t>
    <phoneticPr fontId="4" type="noConversion"/>
  </si>
  <si>
    <t>HG02143</t>
    <phoneticPr fontId="4" type="noConversion"/>
  </si>
  <si>
    <t>SY58282LFAC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</si>
  <si>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</si>
  <si>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NC0WL+FN6RS</t>
    <phoneticPr fontId="4" type="noConversion"/>
  </si>
  <si>
    <t>HG02144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</si>
  <si>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</si>
  <si>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9#-16#+1#-23#</t>
    <phoneticPr fontId="4" type="noConversion"/>
  </si>
  <si>
    <t>NC0WL+(FPS2G+FCY7L)</t>
    <phoneticPr fontId="4" type="noConversion"/>
  </si>
  <si>
    <t>HG02145</t>
    <phoneticPr fontId="4" type="noConversion"/>
  </si>
  <si>
    <t>HG02147</t>
    <phoneticPr fontId="4" type="noConversion"/>
  </si>
  <si>
    <t>AWU5WD</t>
    <phoneticPr fontId="4" type="noConversion"/>
  </si>
  <si>
    <t>AWU5WE</t>
    <phoneticPr fontId="4" type="noConversion"/>
  </si>
  <si>
    <t>AWU5WF</t>
    <phoneticPr fontId="4" type="noConversion"/>
  </si>
  <si>
    <t>NC0WN+(FR8L2+FN6RS)</t>
    <phoneticPr fontId="4" type="noConversion"/>
  </si>
  <si>
    <t>1#-9#+(1#-25#+24#)</t>
    <phoneticPr fontId="4" type="noConversion"/>
  </si>
  <si>
    <t>10#-18#+(1#-25#+25#)</t>
    <phoneticPr fontId="4" type="noConversion"/>
  </si>
  <si>
    <t>HG02146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</si>
  <si>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</si>
  <si>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NC0WN+FSYGG</t>
    <phoneticPr fontId="4" type="noConversion"/>
  </si>
  <si>
    <t>HG02148</t>
    <phoneticPr fontId="4" type="noConversion"/>
  </si>
  <si>
    <t>ATN5WA</t>
    <phoneticPr fontId="4" type="noConversion"/>
  </si>
  <si>
    <t>H15A0</t>
    <phoneticPr fontId="4" type="noConversion"/>
  </si>
  <si>
    <t>NA7HJ.50</t>
  </si>
  <si>
    <t>10#-12#</t>
  </si>
  <si>
    <t>HG02149</t>
    <phoneticPr fontId="4" type="noConversion"/>
  </si>
  <si>
    <t>SY5861FAC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</si>
  <si>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</si>
  <si>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HG02150</t>
    <phoneticPr fontId="4" type="noConversion"/>
  </si>
  <si>
    <t>SY8232FAC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</si>
  <si>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</si>
  <si>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Gb5WA</t>
    <phoneticPr fontId="4" type="noConversion"/>
  </si>
  <si>
    <t>XD5WB</t>
    <phoneticPr fontId="4" type="noConversion"/>
  </si>
  <si>
    <t>E51X0+U2X17A</t>
    <phoneticPr fontId="4" type="noConversion"/>
  </si>
  <si>
    <t>AIU5WA</t>
    <phoneticPr fontId="4" type="noConversion"/>
  </si>
  <si>
    <t>SY8868QMC</t>
    <phoneticPr fontId="4" type="noConversion"/>
  </si>
  <si>
    <t>A42B3</t>
    <phoneticPr fontId="4" type="noConversion"/>
  </si>
  <si>
    <t>HG02151</t>
    <phoneticPr fontId="4" type="noConversion"/>
  </si>
  <si>
    <t>KT5WA</t>
    <phoneticPr fontId="4" type="noConversion"/>
  </si>
  <si>
    <t>HG02152</t>
    <phoneticPr fontId="4" type="noConversion"/>
  </si>
  <si>
    <t>HG02153</t>
    <phoneticPr fontId="4" type="noConversion"/>
  </si>
  <si>
    <t>HG02154</t>
    <phoneticPr fontId="4" type="noConversion"/>
  </si>
  <si>
    <t>HG02155</t>
    <phoneticPr fontId="4" type="noConversion"/>
  </si>
  <si>
    <t>KT5WB</t>
    <phoneticPr fontId="4" type="noConversion"/>
  </si>
  <si>
    <t>KT5WC</t>
    <phoneticPr fontId="4" type="noConversion"/>
  </si>
  <si>
    <t>KT5WD</t>
    <phoneticPr fontId="4" type="noConversion"/>
  </si>
  <si>
    <t>KT5WE</t>
    <phoneticPr fontId="4" type="noConversion"/>
  </si>
  <si>
    <t>NCG53</t>
  </si>
  <si>
    <t>NCG54</t>
  </si>
  <si>
    <t>NCG55</t>
  </si>
  <si>
    <t>NCG56</t>
  </si>
  <si>
    <t>1#-11#,13#-25#</t>
  </si>
  <si>
    <t>KW5WA</t>
    <phoneticPr fontId="4" type="noConversion"/>
  </si>
  <si>
    <t>NCASS</t>
  </si>
  <si>
    <t>HG02156</t>
    <phoneticPr fontId="4" type="noConversion"/>
  </si>
  <si>
    <t>SY8003ADFC</t>
    <phoneticPr fontId="4" type="noConversion"/>
  </si>
  <si>
    <t>DFN2*2-8</t>
    <phoneticPr fontId="4" type="noConversion"/>
  </si>
  <si>
    <t>PU5WA</t>
    <phoneticPr fontId="4" type="noConversion"/>
  </si>
  <si>
    <t>HG02157</t>
    <phoneticPr fontId="4" type="noConversion"/>
  </si>
  <si>
    <t>SY8003LDFC</t>
    <phoneticPr fontId="4" type="noConversion"/>
  </si>
  <si>
    <t>HU5WA</t>
    <phoneticPr fontId="4" type="noConversion"/>
  </si>
  <si>
    <t>HG02158</t>
    <phoneticPr fontId="4" type="noConversion"/>
  </si>
  <si>
    <t>SYW232DFC</t>
    <phoneticPr fontId="4" type="noConversion"/>
  </si>
  <si>
    <t>AHI5WA</t>
    <phoneticPr fontId="4" type="noConversion"/>
  </si>
  <si>
    <t>NC7QQ.01</t>
  </si>
  <si>
    <t>HG02159</t>
    <phoneticPr fontId="4" type="noConversion"/>
  </si>
  <si>
    <t>SY8204FCC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</si>
  <si>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</si>
  <si>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SY58280AAC</t>
  </si>
  <si>
    <t>Fr5WA</t>
    <phoneticPr fontId="4" type="noConversion"/>
  </si>
  <si>
    <t>10+31</t>
    <phoneticPr fontId="4" type="noConversion"/>
  </si>
  <si>
    <t>4+12</t>
    <phoneticPr fontId="4" type="noConversion"/>
  </si>
  <si>
    <t>Fr5WB</t>
    <phoneticPr fontId="4" type="noConversion"/>
  </si>
  <si>
    <t>NAW3S.04+(FP90W+FLRGK)</t>
    <phoneticPr fontId="4" type="noConversion"/>
  </si>
  <si>
    <t>1#-10#+(1#-25#+18#,19#,22#~25#)</t>
    <phoneticPr fontId="4" type="noConversion"/>
  </si>
  <si>
    <t>HG02160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</si>
  <si>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</si>
  <si>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NAW3S.04+FS732</t>
    <phoneticPr fontId="4" type="noConversion"/>
  </si>
  <si>
    <t>11#-14#+1#-12#</t>
    <phoneticPr fontId="4" type="noConversion"/>
  </si>
  <si>
    <t>HG02161</t>
    <phoneticPr fontId="4" type="noConversion"/>
  </si>
  <si>
    <t>SY58280AAC</t>
    <phoneticPr fontId="4" type="noConversion"/>
  </si>
  <si>
    <t>ZT5WA</t>
    <phoneticPr fontId="4" type="noConversion"/>
  </si>
  <si>
    <t>HG02162</t>
    <phoneticPr fontId="4" type="noConversion"/>
  </si>
  <si>
    <t>SY5839ABC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</si>
  <si>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</si>
  <si>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SY8121ABC</t>
    <phoneticPr fontId="4" type="noConversion"/>
  </si>
  <si>
    <t>JW5WA</t>
    <phoneticPr fontId="4" type="noConversion"/>
  </si>
  <si>
    <t>NCH0S</t>
  </si>
  <si>
    <t>HG02163</t>
    <phoneticPr fontId="4" type="noConversion"/>
  </si>
  <si>
    <t>TR5WA</t>
    <phoneticPr fontId="4" type="noConversion"/>
  </si>
  <si>
    <t>17#-22#</t>
    <phoneticPr fontId="4" type="noConversion"/>
  </si>
  <si>
    <t>SYH407AAC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</si>
  <si>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</si>
  <si>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TR5WB</t>
    <phoneticPr fontId="4" type="noConversion"/>
  </si>
  <si>
    <t>NC750</t>
  </si>
  <si>
    <t>HG02165</t>
    <phoneticPr fontId="4" type="noConversion"/>
  </si>
  <si>
    <t>SY8077AAC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</si>
  <si>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</si>
  <si>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AFB5WA</t>
    <phoneticPr fontId="4" type="noConversion"/>
  </si>
  <si>
    <t>NC4KP</t>
  </si>
  <si>
    <t>HG02166</t>
    <phoneticPr fontId="4" type="noConversion"/>
  </si>
  <si>
    <t>SY5800AFAC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</si>
  <si>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</si>
  <si>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SY5800DFAC</t>
    <phoneticPr fontId="4" type="noConversion"/>
  </si>
  <si>
    <t>AHS5WA</t>
    <phoneticPr fontId="4" type="noConversion"/>
  </si>
  <si>
    <t>HG02167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</si>
  <si>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</si>
  <si>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HG02168</t>
    <phoneticPr fontId="4" type="noConversion"/>
  </si>
  <si>
    <t>AUX5WA</t>
    <phoneticPr fontId="4" type="noConversion"/>
  </si>
  <si>
    <t>3+28</t>
    <phoneticPr fontId="4" type="noConversion"/>
  </si>
  <si>
    <t>SY50136FAC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</si>
  <si>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</si>
  <si>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NC181+(FSGA4+F7NL2)</t>
    <phoneticPr fontId="4" type="noConversion"/>
  </si>
  <si>
    <t>23#-25#+(1#-25#+14#-16#)</t>
    <phoneticPr fontId="4" type="noConversion"/>
  </si>
  <si>
    <t>ARC5WA</t>
    <phoneticPr fontId="4" type="noConversion"/>
  </si>
  <si>
    <t>7+13</t>
    <phoneticPr fontId="4" type="noConversion"/>
  </si>
  <si>
    <t>SY58282FAC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</si>
  <si>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</si>
  <si>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JR5WD</t>
    <phoneticPr fontId="4" type="noConversion"/>
  </si>
  <si>
    <t>NCAAS</t>
  </si>
  <si>
    <t>SY8104ADC</t>
    <phoneticPr fontId="4" type="noConversion"/>
  </si>
  <si>
    <t>TSOT23-6</t>
    <phoneticPr fontId="4" type="noConversion"/>
  </si>
  <si>
    <t>ZY5WA</t>
    <phoneticPr fontId="4" type="noConversion"/>
  </si>
  <si>
    <t>NCG2A</t>
  </si>
  <si>
    <t>3#-7#</t>
  </si>
  <si>
    <t>SYB822AIC</t>
    <phoneticPr fontId="4" type="noConversion"/>
  </si>
  <si>
    <t>NC0WN+(FRWPF+FN6RS)</t>
    <phoneticPr fontId="4" type="noConversion"/>
  </si>
  <si>
    <t>NAK2S+SJ094700</t>
    <phoneticPr fontId="4" type="noConversion"/>
  </si>
  <si>
    <t>1#-7#+1#-13#</t>
    <phoneticPr fontId="4" type="noConversion"/>
  </si>
  <si>
    <t>HG02169</t>
  </si>
  <si>
    <t>HG02170</t>
  </si>
  <si>
    <t>HG02171</t>
  </si>
  <si>
    <t>SJ080300;NAPFY.02</t>
    <phoneticPr fontId="4" type="noConversion"/>
  </si>
  <si>
    <t>FCY7L;NC0WL</t>
  </si>
  <si>
    <t>FN6RS;NC0WL</t>
  </si>
  <si>
    <t>(FPS2G+FCY7L);NC0WL</t>
  </si>
  <si>
    <t>(FR8L2+FN6RS);NC0WN</t>
  </si>
  <si>
    <t>(FRWPF+FN6RS);NC0WN</t>
  </si>
  <si>
    <t>FSYGG;NC0WN</t>
  </si>
  <si>
    <t>NCC71</t>
    <phoneticPr fontId="4" type="noConversion"/>
  </si>
  <si>
    <t>NCC72</t>
    <phoneticPr fontId="4" type="noConversion"/>
  </si>
  <si>
    <t>NC89N</t>
    <phoneticPr fontId="4" type="noConversion"/>
  </si>
  <si>
    <t>NCAAR</t>
    <phoneticPr fontId="4" type="noConversion"/>
  </si>
  <si>
    <t>NCFM4</t>
    <phoneticPr fontId="4" type="noConversion"/>
  </si>
  <si>
    <t>NCGLF</t>
    <phoneticPr fontId="4" type="noConversion"/>
  </si>
  <si>
    <t>NCA4A</t>
    <phoneticPr fontId="4" type="noConversion"/>
  </si>
  <si>
    <t>NCG52</t>
    <phoneticPr fontId="4" type="noConversion"/>
  </si>
  <si>
    <t>NCFAM.01-1</t>
  </si>
  <si>
    <t>(FSGA4+F7NL2);NC181</t>
  </si>
  <si>
    <t>(FP90W+FLRGK);NAW3S.04</t>
  </si>
  <si>
    <t>FS732;NAW3S.04</t>
  </si>
  <si>
    <t>NC5A0+01</t>
  </si>
  <si>
    <t>SY6811PDC</t>
  </si>
  <si>
    <t>SY6811PDC</t>
    <phoneticPr fontId="4" type="noConversion"/>
  </si>
  <si>
    <t>TI5WA</t>
    <phoneticPr fontId="4" type="noConversion"/>
  </si>
  <si>
    <t>DG00006</t>
    <phoneticPr fontId="4" type="noConversion"/>
  </si>
  <si>
    <t>TI5WB</t>
    <phoneticPr fontId="4" type="noConversion"/>
  </si>
  <si>
    <t>N8CFP</t>
  </si>
  <si>
    <t>N8CFM</t>
  </si>
  <si>
    <t>DG00007</t>
    <phoneticPr fontId="4" type="noConversion"/>
  </si>
  <si>
    <t>TI5WC</t>
    <phoneticPr fontId="4" type="noConversion"/>
  </si>
  <si>
    <t>N8CNL</t>
  </si>
  <si>
    <t>SY6811PDC</t>
    <phoneticPr fontId="4" type="noConversion"/>
  </si>
  <si>
    <t>CSP0.9*0.9-4</t>
    <phoneticPr fontId="4" type="noConversion"/>
  </si>
  <si>
    <t>DG00008</t>
    <phoneticPr fontId="4" type="noConversion"/>
  </si>
  <si>
    <t>NCASS-1</t>
  </si>
  <si>
    <t>NC8SG-1</t>
  </si>
  <si>
    <t>F90GW;NC5RH.03</t>
  </si>
  <si>
    <t>(F90GW+FMTW3);NCF47</t>
  </si>
  <si>
    <t>NC5KP-1</t>
  </si>
  <si>
    <t>NC5P6</t>
    <phoneticPr fontId="4" type="noConversion"/>
  </si>
  <si>
    <t>NAK2S;SJ094700</t>
  </si>
  <si>
    <t>N/A</t>
    <phoneticPr fontId="4" type="noConversion"/>
  </si>
  <si>
    <t>SY58182NFAC</t>
    <phoneticPr fontId="4" type="noConversion"/>
  </si>
  <si>
    <t>AZI5WA</t>
    <phoneticPr fontId="4" type="noConversion"/>
  </si>
  <si>
    <t>7+23</t>
    <phoneticPr fontId="4" type="noConversion"/>
  </si>
  <si>
    <t>8+26</t>
    <phoneticPr fontId="4" type="noConversion"/>
  </si>
  <si>
    <t>AZI5WB</t>
    <phoneticPr fontId="4" type="noConversion"/>
  </si>
  <si>
    <t>NC187+FS866</t>
    <phoneticPr fontId="4" type="noConversion"/>
  </si>
  <si>
    <t>11#-17#+1#-23#</t>
    <phoneticPr fontId="4" type="noConversion"/>
  </si>
  <si>
    <t>HG02172</t>
    <phoneticPr fontId="4" type="noConversion"/>
  </si>
  <si>
    <t>SY58182NFAC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</si>
  <si>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</si>
  <si>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NC187+(F4NW3+FS866)</t>
    <phoneticPr fontId="4" type="noConversion"/>
  </si>
  <si>
    <t>18#-25#+(1#-25#+24#)</t>
    <phoneticPr fontId="4" type="noConversion"/>
  </si>
  <si>
    <t>HG02173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</si>
  <si>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</si>
  <si>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AZI5WC</t>
    <phoneticPr fontId="4" type="noConversion"/>
  </si>
  <si>
    <t>AZI5WD</t>
    <phoneticPr fontId="4" type="noConversion"/>
  </si>
  <si>
    <t>AZI5WE</t>
    <phoneticPr fontId="4" type="noConversion"/>
  </si>
  <si>
    <t>10+33</t>
    <phoneticPr fontId="4" type="noConversion"/>
  </si>
  <si>
    <t>1#-7#+1#-23#</t>
    <phoneticPr fontId="4" type="noConversion"/>
  </si>
  <si>
    <t>HG02174</t>
    <phoneticPr fontId="4" type="noConversion"/>
  </si>
  <si>
    <t>NC188+(FNS3Y+FS866)</t>
    <phoneticPr fontId="4" type="noConversion"/>
  </si>
  <si>
    <t>8#-15#+(1#-25#+25#)</t>
    <phoneticPr fontId="4" type="noConversion"/>
  </si>
  <si>
    <t>HG02175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</si>
  <si>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</si>
  <si>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NC188+(FK4RL+FWKRN+FKP8H)</t>
    <phoneticPr fontId="4" type="noConversion"/>
  </si>
  <si>
    <t>16#-25#+(1#-25#+24#-25#+20#-25#)</t>
    <phoneticPr fontId="4" type="noConversion"/>
  </si>
  <si>
    <t>HG02176</t>
    <phoneticPr fontId="4" type="noConversion"/>
  </si>
  <si>
    <t>AZI5WF</t>
    <phoneticPr fontId="4" type="noConversion"/>
  </si>
  <si>
    <t>AZI5WG</t>
    <phoneticPr fontId="4" type="noConversion"/>
  </si>
  <si>
    <t>AZI5WH</t>
    <phoneticPr fontId="4" type="noConversion"/>
  </si>
  <si>
    <t>1#-7#+1#-23#</t>
    <phoneticPr fontId="4" type="noConversion"/>
  </si>
  <si>
    <t>NC189+FR4LM</t>
    <phoneticPr fontId="4" type="noConversion"/>
  </si>
  <si>
    <t>HG02177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</si>
  <si>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</si>
  <si>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8#-15#+(1#-25#+1#)</t>
    <phoneticPr fontId="4" type="noConversion"/>
  </si>
  <si>
    <t>NC189+(F9WPN+F9TST)</t>
    <phoneticPr fontId="4" type="noConversion"/>
  </si>
  <si>
    <t>HG02178</t>
    <phoneticPr fontId="4" type="noConversion"/>
  </si>
  <si>
    <t>HG02179</t>
    <phoneticPr fontId="4" type="noConversion"/>
  </si>
  <si>
    <t>AZI5WI</t>
    <phoneticPr fontId="4" type="noConversion"/>
  </si>
  <si>
    <t>AZI5WJ</t>
    <phoneticPr fontId="4" type="noConversion"/>
  </si>
  <si>
    <t>AZI5WK</t>
    <phoneticPr fontId="4" type="noConversion"/>
  </si>
  <si>
    <t>NC183+(F46W9+F9TST)</t>
    <phoneticPr fontId="4" type="noConversion"/>
  </si>
  <si>
    <t>1#-10#+(1#-25#+10#-17#)</t>
    <phoneticPr fontId="4" type="noConversion"/>
  </si>
  <si>
    <t>HG02180</t>
    <phoneticPr fontId="4" type="noConversion"/>
  </si>
  <si>
    <t>5+16</t>
    <phoneticPr fontId="4" type="noConversion"/>
  </si>
  <si>
    <t>NC183+(F7KHP+F9TST)</t>
    <phoneticPr fontId="4" type="noConversion"/>
  </si>
  <si>
    <t>11#-20#+(1#-25#+18#-25#)</t>
    <phoneticPr fontId="4" type="noConversion"/>
  </si>
  <si>
    <t>HG02181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</si>
  <si>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</si>
  <si>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AZI5WL</t>
    <phoneticPr fontId="4" type="noConversion"/>
  </si>
  <si>
    <t>AZI5WM</t>
    <phoneticPr fontId="4" type="noConversion"/>
  </si>
  <si>
    <t>10+33</t>
    <phoneticPr fontId="4" type="noConversion"/>
  </si>
  <si>
    <t>1#-10#+(1#-25#+17#-24#)</t>
    <phoneticPr fontId="4" type="noConversion"/>
  </si>
  <si>
    <t>NC184+(FL2T4+F9W78)</t>
    <phoneticPr fontId="4" type="noConversion"/>
  </si>
  <si>
    <t>HG02183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</si>
  <si>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</si>
  <si>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NC184+(FNCAW+F9W78)</t>
    <phoneticPr fontId="4" type="noConversion"/>
  </si>
  <si>
    <t>HG02184</t>
    <phoneticPr fontId="4" type="noConversion"/>
  </si>
  <si>
    <t>APQ5WA</t>
    <phoneticPr fontId="4" type="noConversion"/>
  </si>
  <si>
    <t>APQ5WB</t>
    <phoneticPr fontId="4" type="noConversion"/>
  </si>
  <si>
    <t>APQ5WC</t>
    <phoneticPr fontId="4" type="noConversion"/>
  </si>
  <si>
    <t>4+27</t>
    <phoneticPr fontId="4" type="noConversion"/>
  </si>
  <si>
    <t>4+27</t>
    <phoneticPr fontId="4" type="noConversion"/>
  </si>
  <si>
    <t>7+48</t>
    <phoneticPr fontId="4" type="noConversion"/>
  </si>
  <si>
    <t>NAPFQ+(FKS7K+FMSCT)</t>
    <phoneticPr fontId="4" type="noConversion"/>
  </si>
  <si>
    <t>1#-4#+(1#-25#+24#-25#)</t>
    <phoneticPr fontId="4" type="noConversion"/>
  </si>
  <si>
    <t>HG02185</t>
    <phoneticPr fontId="4" type="noConversion"/>
  </si>
  <si>
    <t>SY58294ZFAC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</si>
  <si>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</si>
  <si>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NAPFQ+(FC0CL+FMGLN)</t>
    <phoneticPr fontId="4" type="noConversion"/>
  </si>
  <si>
    <t>5#-8#+(1#-25#+1#-2#)</t>
    <phoneticPr fontId="4" type="noConversion"/>
  </si>
  <si>
    <t>HG02186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</si>
  <si>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</si>
  <si>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NAPFQ+(FMGLN+FW3GN)</t>
    <phoneticPr fontId="4" type="noConversion"/>
  </si>
  <si>
    <t>9#-15#+(3#-25#+1#-25#)</t>
    <phoneticPr fontId="4" type="noConversion"/>
  </si>
  <si>
    <t>HG02187</t>
    <phoneticPr fontId="4" type="noConversion"/>
  </si>
  <si>
    <t>APQ5WD</t>
    <phoneticPr fontId="4" type="noConversion"/>
  </si>
  <si>
    <t>HG02188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</si>
  <si>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</si>
  <si>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NAPFQ+(FWT4R+F6TAS)</t>
    <phoneticPr fontId="4" type="noConversion"/>
  </si>
  <si>
    <t>HG02022</t>
    <phoneticPr fontId="4" type="noConversion"/>
  </si>
  <si>
    <t>BEM5WA</t>
    <phoneticPr fontId="4" type="noConversion"/>
  </si>
  <si>
    <t>1+2</t>
    <phoneticPr fontId="4" type="noConversion"/>
  </si>
  <si>
    <t>NCF47.02+ZFF1510279</t>
    <phoneticPr fontId="4" type="noConversion"/>
  </si>
  <si>
    <t>1#+28#,30#</t>
    <phoneticPr fontId="4" type="noConversion"/>
  </si>
  <si>
    <t>E51A0+B105H</t>
    <phoneticPr fontId="4" type="noConversion"/>
  </si>
  <si>
    <t>KW5WB</t>
    <phoneticPr fontId="4" type="noConversion"/>
  </si>
  <si>
    <t>KW5WC</t>
    <phoneticPr fontId="4" type="noConversion"/>
  </si>
  <si>
    <t>NCCGY</t>
  </si>
  <si>
    <t>HG02190</t>
    <phoneticPr fontId="4" type="noConversion"/>
  </si>
  <si>
    <t>HG02191</t>
    <phoneticPr fontId="4" type="noConversion"/>
  </si>
  <si>
    <t>SY8003ADFC</t>
    <phoneticPr fontId="4" type="noConversion"/>
  </si>
  <si>
    <t>DFN2*2-8</t>
    <phoneticPr fontId="4" type="noConversion"/>
  </si>
  <si>
    <t>JD5WA</t>
    <phoneticPr fontId="4" type="noConversion"/>
  </si>
  <si>
    <t>NC8SF</t>
  </si>
  <si>
    <t>HG02192</t>
    <phoneticPr fontId="4" type="noConversion"/>
  </si>
  <si>
    <t>SY8003DFC</t>
    <phoneticPr fontId="4" type="noConversion"/>
  </si>
  <si>
    <t>HU5WB</t>
    <phoneticPr fontId="4" type="noConversion"/>
  </si>
  <si>
    <t>NC8S6</t>
  </si>
  <si>
    <t>HG02193</t>
    <phoneticPr fontId="4" type="noConversion"/>
  </si>
  <si>
    <t>SYW232DFC</t>
    <phoneticPr fontId="4" type="noConversion"/>
  </si>
  <si>
    <t>B39A0</t>
  </si>
  <si>
    <t>BAM5WA</t>
    <phoneticPr fontId="4" type="noConversion"/>
  </si>
  <si>
    <t>NC23A.02</t>
  </si>
  <si>
    <t>DFN3*3-10</t>
    <phoneticPr fontId="4" type="noConversion"/>
  </si>
  <si>
    <t>LX5WA</t>
    <phoneticPr fontId="4" type="noConversion"/>
  </si>
  <si>
    <t>NC5R6</t>
  </si>
  <si>
    <t>HG02195</t>
    <phoneticPr fontId="4" type="noConversion"/>
  </si>
  <si>
    <t>SY8060DCC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</si>
  <si>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</si>
  <si>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ADS5WA</t>
    <phoneticPr fontId="4" type="noConversion"/>
  </si>
  <si>
    <t>NCAQ6</t>
  </si>
  <si>
    <t>HG02196</t>
    <phoneticPr fontId="4" type="noConversion"/>
  </si>
  <si>
    <t>SY8205DNC</t>
    <phoneticPr fontId="4" type="noConversion"/>
  </si>
  <si>
    <t>DFN4*3-12</t>
    <phoneticPr fontId="4" type="noConversion"/>
  </si>
  <si>
    <t>Gq5WA</t>
    <phoneticPr fontId="4" type="noConversion"/>
  </si>
  <si>
    <t>10+28</t>
    <phoneticPr fontId="4" type="noConversion"/>
  </si>
  <si>
    <t>5+14</t>
    <phoneticPr fontId="4" type="noConversion"/>
  </si>
  <si>
    <t>Gq5WB</t>
    <phoneticPr fontId="4" type="noConversion"/>
  </si>
  <si>
    <t>Gq5WC</t>
    <phoneticPr fontId="4" type="noConversion"/>
  </si>
  <si>
    <t>NCHAR+(FPW9M+FNWAY)</t>
    <phoneticPr fontId="4" type="noConversion"/>
  </si>
  <si>
    <t>1#-10#+(1#-25#+17#-19#)</t>
    <phoneticPr fontId="4" type="noConversion"/>
  </si>
  <si>
    <t>HG02197</t>
    <phoneticPr fontId="4" type="noConversion"/>
  </si>
  <si>
    <t>SY58120BAAC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</si>
  <si>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</si>
  <si>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NCHAR+(FSNMK+FNWAY)</t>
    <phoneticPr fontId="4" type="noConversion"/>
  </si>
  <si>
    <t>11#-20#+(1#-25#+20#-22#)</t>
    <phoneticPr fontId="4" type="noConversion"/>
  </si>
  <si>
    <t>HG02198</t>
    <phoneticPr fontId="4" type="noConversion"/>
  </si>
  <si>
    <t>HG02199</t>
    <phoneticPr fontId="4" type="noConversion"/>
  </si>
  <si>
    <t>NCHAR+F8SMT</t>
    <phoneticPr fontId="4" type="noConversion"/>
  </si>
  <si>
    <t>21#-25#+1#-14#</t>
    <phoneticPr fontId="4" type="noConversion"/>
  </si>
  <si>
    <t>TB5WA</t>
    <phoneticPr fontId="4" type="noConversion"/>
  </si>
  <si>
    <t>HG02200</t>
    <phoneticPr fontId="4" type="noConversion"/>
  </si>
  <si>
    <t>SY5820ABC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</si>
  <si>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</si>
  <si>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Ef5WA</t>
    <phoneticPr fontId="4" type="noConversion"/>
  </si>
  <si>
    <t>NC5T4</t>
  </si>
  <si>
    <t>HG02201</t>
    <phoneticPr fontId="4" type="noConversion"/>
  </si>
  <si>
    <t>SY6712ABC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</si>
  <si>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</si>
  <si>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UD5WA</t>
    <phoneticPr fontId="4" type="noConversion"/>
  </si>
  <si>
    <t>HG02202</t>
    <phoneticPr fontId="4" type="noConversion"/>
  </si>
  <si>
    <t>SY8702AABC</t>
    <phoneticPr fontId="4" type="noConversion"/>
  </si>
  <si>
    <t>BDU5WD</t>
    <phoneticPr fontId="4" type="noConversion"/>
  </si>
  <si>
    <t>NCC74</t>
  </si>
  <si>
    <t>HG02203</t>
    <phoneticPr fontId="4" type="noConversion"/>
  </si>
  <si>
    <t>SY7215RDC</t>
    <phoneticPr fontId="4" type="noConversion"/>
  </si>
  <si>
    <t>QFN4*4-18</t>
    <phoneticPr fontId="4" type="noConversion"/>
  </si>
  <si>
    <t>SYD104ADC</t>
  </si>
  <si>
    <t>HG02204</t>
    <phoneticPr fontId="4" type="noConversion"/>
  </si>
  <si>
    <t>HG02205</t>
    <phoneticPr fontId="4" type="noConversion"/>
  </si>
  <si>
    <t>HG02206</t>
    <phoneticPr fontId="4" type="noConversion"/>
  </si>
  <si>
    <t>HG02207</t>
    <phoneticPr fontId="4" type="noConversion"/>
  </si>
  <si>
    <t>HG02208</t>
    <phoneticPr fontId="4" type="noConversion"/>
  </si>
  <si>
    <t>HG02209</t>
    <phoneticPr fontId="4" type="noConversion"/>
  </si>
  <si>
    <t>JR5WE</t>
    <phoneticPr fontId="4" type="noConversion"/>
  </si>
  <si>
    <t>JR5WF</t>
    <phoneticPr fontId="4" type="noConversion"/>
  </si>
  <si>
    <t>JR5WG</t>
    <phoneticPr fontId="4" type="noConversion"/>
  </si>
  <si>
    <t>JR5WH</t>
    <phoneticPr fontId="4" type="noConversion"/>
  </si>
  <si>
    <t>JR5WI</t>
    <phoneticPr fontId="4" type="noConversion"/>
  </si>
  <si>
    <t>JR5WJ</t>
    <phoneticPr fontId="4" type="noConversion"/>
  </si>
  <si>
    <t>JR5WK</t>
    <phoneticPr fontId="4" type="noConversion"/>
  </si>
  <si>
    <t>NCAAT</t>
  </si>
  <si>
    <t>NCG17</t>
  </si>
  <si>
    <t>SYD104ADC</t>
    <phoneticPr fontId="4" type="noConversion"/>
  </si>
  <si>
    <t>TSOT23-6</t>
    <phoneticPr fontId="4" type="noConversion"/>
  </si>
  <si>
    <t>K14A3</t>
    <phoneticPr fontId="4" type="noConversion"/>
  </si>
  <si>
    <t>JCET</t>
    <phoneticPr fontId="4" type="noConversion"/>
  </si>
  <si>
    <t>BCG5WA</t>
    <phoneticPr fontId="4" type="noConversion"/>
  </si>
  <si>
    <t>HG02211</t>
    <phoneticPr fontId="4" type="noConversion"/>
  </si>
  <si>
    <t>SY6404RGC</t>
    <phoneticPr fontId="4" type="noConversion"/>
  </si>
  <si>
    <t>QFN4*4-25</t>
    <phoneticPr fontId="4" type="noConversion"/>
  </si>
  <si>
    <t>NC5P6</t>
  </si>
  <si>
    <t>NAPFQ;(FKS7K+FMSCT)</t>
  </si>
  <si>
    <t>NAPFQ;(FC0CL+FMGLN)</t>
  </si>
  <si>
    <t>NAPFQ;(FMGLN+FW3GN)</t>
  </si>
  <si>
    <t>NAPFQ;(FWT4R+F6TAS)</t>
  </si>
  <si>
    <t>SY8079AAC</t>
    <phoneticPr fontId="4" type="noConversion"/>
  </si>
  <si>
    <t>UH5WA</t>
    <phoneticPr fontId="4" type="noConversion"/>
  </si>
  <si>
    <t>UH5WB</t>
    <phoneticPr fontId="4" type="noConversion"/>
  </si>
  <si>
    <t>NCGL7</t>
  </si>
  <si>
    <t>HG02212</t>
    <phoneticPr fontId="4" type="noConversion"/>
  </si>
  <si>
    <t>HG02213</t>
    <phoneticPr fontId="4" type="noConversion"/>
  </si>
  <si>
    <t>SY8079AAC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</si>
  <si>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</si>
  <si>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JW5WB</t>
    <phoneticPr fontId="4" type="noConversion"/>
  </si>
  <si>
    <t>HG02214</t>
    <phoneticPr fontId="4" type="noConversion"/>
  </si>
  <si>
    <t>SY8121ABC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</si>
  <si>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</si>
  <si>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B18FA2</t>
  </si>
  <si>
    <t>HG02215</t>
    <phoneticPr fontId="4" type="noConversion"/>
  </si>
  <si>
    <t>TW5WA</t>
    <phoneticPr fontId="4" type="noConversion"/>
  </si>
  <si>
    <t>HG02216</t>
    <phoneticPr fontId="4" type="noConversion"/>
  </si>
  <si>
    <t>HG02218</t>
    <phoneticPr fontId="4" type="noConversion"/>
  </si>
  <si>
    <t>TW5WB</t>
    <phoneticPr fontId="4" type="noConversion"/>
  </si>
  <si>
    <t>TW5WC</t>
    <phoneticPr fontId="4" type="noConversion"/>
  </si>
  <si>
    <t>TW5WD</t>
    <phoneticPr fontId="4" type="noConversion"/>
  </si>
  <si>
    <t>NC59C</t>
  </si>
  <si>
    <t>NC59F</t>
  </si>
  <si>
    <t>NC59G</t>
  </si>
  <si>
    <t>NC59H</t>
  </si>
  <si>
    <t>10+50</t>
    <phoneticPr fontId="4" type="noConversion"/>
  </si>
  <si>
    <t>10+50</t>
    <phoneticPr fontId="4" type="noConversion"/>
  </si>
  <si>
    <t>ATK5WA</t>
    <phoneticPr fontId="4" type="noConversion"/>
  </si>
  <si>
    <t>HG02220</t>
    <phoneticPr fontId="4" type="noConversion"/>
  </si>
  <si>
    <t>SY50133FAC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</si>
  <si>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</si>
  <si>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16#-25#+(1#-25#+1#-25#)</t>
    <phoneticPr fontId="4" type="noConversion"/>
  </si>
  <si>
    <t>NC8LH+(FL832+FAWKN)</t>
    <phoneticPr fontId="4" type="noConversion"/>
  </si>
  <si>
    <t>NC76Q+(FW48K+FTTKW)</t>
    <phoneticPr fontId="4" type="noConversion"/>
  </si>
  <si>
    <t>HG02219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</si>
  <si>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</si>
  <si>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AVJ5WA</t>
    <phoneticPr fontId="4" type="noConversion"/>
  </si>
  <si>
    <t>7+22+41</t>
    <phoneticPr fontId="4" type="noConversion"/>
  </si>
  <si>
    <t>SY58481FAC</t>
    <phoneticPr fontId="4" type="noConversion"/>
  </si>
  <si>
    <t>NC5PW+FY3CL+(WF56097.1+WF56096.1+WF55264.3)</t>
    <phoneticPr fontId="4" type="noConversion"/>
  </si>
  <si>
    <t>11#-17#+1#-22#+(1#-25#+12#-25#+23#-24#)</t>
    <phoneticPr fontId="4" type="noConversion"/>
  </si>
  <si>
    <t>HG02221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</si>
  <si>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</si>
  <si>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SY5806FAC</t>
  </si>
  <si>
    <t>NCFAN.01</t>
  </si>
  <si>
    <t>NAQ0T.04</t>
  </si>
  <si>
    <t>ALH5WA</t>
    <phoneticPr fontId="4" type="noConversion"/>
  </si>
  <si>
    <t>ALH5WB</t>
    <phoneticPr fontId="4" type="noConversion"/>
  </si>
  <si>
    <t>E02S1</t>
    <phoneticPr fontId="4" type="noConversion"/>
  </si>
  <si>
    <t>HG02222</t>
    <phoneticPr fontId="4" type="noConversion"/>
  </si>
  <si>
    <t>HG02223</t>
    <phoneticPr fontId="4" type="noConversion"/>
  </si>
  <si>
    <t>SY5806FAC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</si>
  <si>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</si>
  <si>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H15A0</t>
    <phoneticPr fontId="4" type="noConversion"/>
  </si>
  <si>
    <t>ATN5WB</t>
    <phoneticPr fontId="4" type="noConversion"/>
  </si>
  <si>
    <t>HG02224</t>
    <phoneticPr fontId="4" type="noConversion"/>
  </si>
  <si>
    <t>SY5861FAC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</si>
  <si>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</si>
  <si>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AZG5WA</t>
    <phoneticPr fontId="4" type="noConversion"/>
  </si>
  <si>
    <t>HG02225</t>
    <phoneticPr fontId="4" type="noConversion"/>
  </si>
  <si>
    <t>SY5864KAC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</si>
  <si>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</si>
  <si>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r>
      <t>需</t>
    </r>
    <r>
      <rPr>
        <sz val="10"/>
        <rFont val="Arial"/>
        <family val="2"/>
        <charset val="134"/>
      </rPr>
      <t>Bumping</t>
    </r>
    <phoneticPr fontId="4" type="noConversion"/>
  </si>
  <si>
    <t>需Bumping</t>
    <phoneticPr fontId="4" type="noConversion"/>
  </si>
  <si>
    <t>需Bumping</t>
    <phoneticPr fontId="4" type="noConversion"/>
  </si>
  <si>
    <t>需Bumping</t>
    <phoneticPr fontId="4" type="noConversion"/>
  </si>
  <si>
    <t>ATK5WB</t>
    <phoneticPr fontId="4" type="noConversion"/>
  </si>
  <si>
    <t>NCG52</t>
  </si>
  <si>
    <t>NCASS-2</t>
  </si>
  <si>
    <t>(FPW9M+FNWAY);NCHAR</t>
  </si>
  <si>
    <t>(FSNMK+FNWAY);NCHAR</t>
  </si>
  <si>
    <t>F8SMT;NCHAR</t>
  </si>
  <si>
    <t>NC0CW.01+01</t>
  </si>
  <si>
    <t>NC7AJ+01</t>
  </si>
  <si>
    <t>FS866;NC187</t>
  </si>
  <si>
    <t>(F4NW3+FS866);NC187</t>
  </si>
  <si>
    <t>(FNS3Y+FS866);NC188</t>
  </si>
  <si>
    <t>(FK4RL+FWKRN+FKP8H);NC188</t>
  </si>
  <si>
    <t>FR4LM;NC189</t>
  </si>
  <si>
    <t>(F9WPN+F9TST);NC189</t>
  </si>
  <si>
    <t>(F46W9+F9TST);NC183</t>
  </si>
  <si>
    <t>(F7KHP+F9TST);NC183</t>
  </si>
  <si>
    <t>F9W78;NC183</t>
  </si>
  <si>
    <t>(FL2T4+F9W78);NC184</t>
  </si>
  <si>
    <t>(FNCAW+F9W78);NC184</t>
  </si>
  <si>
    <t>NCF47.02;ZFF1510279</t>
  </si>
  <si>
    <t>SY7205DBC</t>
    <phoneticPr fontId="4" type="noConversion"/>
  </si>
  <si>
    <t>HG02194</t>
    <phoneticPr fontId="4" type="noConversion"/>
  </si>
  <si>
    <t>SY58182NFAC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</si>
  <si>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</si>
  <si>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VC5WA</t>
    <phoneticPr fontId="4" type="noConversion"/>
  </si>
  <si>
    <t>SP0017.16</t>
  </si>
  <si>
    <t>#1,8,14,21</t>
  </si>
  <si>
    <t>SY8003EDFC</t>
    <phoneticPr fontId="4" type="noConversion"/>
  </si>
  <si>
    <t>DFN2*2-8</t>
    <phoneticPr fontId="4" type="noConversion"/>
  </si>
  <si>
    <t>HG02226</t>
    <phoneticPr fontId="4" type="noConversion"/>
  </si>
  <si>
    <t>AVE5WA</t>
    <phoneticPr fontId="4" type="noConversion"/>
  </si>
  <si>
    <t>需Bumping</t>
    <phoneticPr fontId="4" type="noConversion"/>
  </si>
  <si>
    <t>SY6402QVC</t>
    <phoneticPr fontId="4" type="noConversion"/>
  </si>
  <si>
    <t>K13A1</t>
    <phoneticPr fontId="4" type="noConversion"/>
  </si>
  <si>
    <t>SY8707ABC</t>
    <phoneticPr fontId="4" type="noConversion"/>
  </si>
  <si>
    <t>B18FA2</t>
    <phoneticPr fontId="4" type="noConversion"/>
  </si>
  <si>
    <t>HG02227</t>
    <phoneticPr fontId="4" type="noConversion"/>
  </si>
  <si>
    <t>N9THQ.08</t>
  </si>
  <si>
    <t>NCH19</t>
  </si>
  <si>
    <t>SY6402QVC</t>
    <phoneticPr fontId="4" type="noConversion"/>
  </si>
  <si>
    <t>QFN3*4-19</t>
    <phoneticPr fontId="4" type="noConversion"/>
  </si>
  <si>
    <t>AVE5WB</t>
    <phoneticPr fontId="4" type="noConversion"/>
  </si>
  <si>
    <t>HG02228</t>
    <phoneticPr fontId="4" type="noConversion"/>
  </si>
  <si>
    <t>F0LF7;NC188</t>
  </si>
  <si>
    <t>NCGL6+01</t>
  </si>
  <si>
    <t>NCH0S+01</t>
  </si>
  <si>
    <t>(FW48K+FTTKW);NC76Q</t>
  </si>
  <si>
    <t>(FL832+FAWKN);NC8LH</t>
  </si>
  <si>
    <t>FY3CL;(WF56097.1+WF56096.1+WF55264.3);NC5PW</t>
  </si>
  <si>
    <t>NA7HJ.50-1</t>
  </si>
  <si>
    <t>NC57C+01</t>
  </si>
  <si>
    <t>NCC71-1</t>
  </si>
  <si>
    <t>NCC72</t>
  </si>
  <si>
    <t>NC89N</t>
  </si>
  <si>
    <t>NCAAR</t>
  </si>
  <si>
    <t>QV5XA</t>
    <phoneticPr fontId="4" type="noConversion"/>
  </si>
  <si>
    <t>HG02229</t>
    <phoneticPr fontId="4" type="noConversion"/>
  </si>
  <si>
    <t>SY8016DEC</t>
    <phoneticPr fontId="4" type="noConversion"/>
  </si>
  <si>
    <t>DFN2*2-6</t>
    <phoneticPr fontId="4" type="noConversion"/>
  </si>
  <si>
    <t>KW5XA</t>
    <phoneticPr fontId="4" type="noConversion"/>
  </si>
  <si>
    <t>NCCH0</t>
  </si>
  <si>
    <t>HG02230</t>
    <phoneticPr fontId="4" type="noConversion"/>
  </si>
  <si>
    <t>SY8003ADFC</t>
    <phoneticPr fontId="4" type="noConversion"/>
  </si>
  <si>
    <t>DFN2*2-8</t>
    <phoneticPr fontId="4" type="noConversion"/>
  </si>
  <si>
    <t>JD5XA</t>
    <phoneticPr fontId="4" type="noConversion"/>
  </si>
  <si>
    <t>NCASW</t>
  </si>
  <si>
    <t>HG02231</t>
    <phoneticPr fontId="4" type="noConversion"/>
  </si>
  <si>
    <t>SY8003DFC</t>
    <phoneticPr fontId="4" type="noConversion"/>
  </si>
  <si>
    <t>UV5XA</t>
    <phoneticPr fontId="4" type="noConversion"/>
  </si>
  <si>
    <t>NCGLA</t>
  </si>
  <si>
    <t>HG02232</t>
    <phoneticPr fontId="4" type="noConversion"/>
  </si>
  <si>
    <t>SYH634LDFC</t>
    <phoneticPr fontId="4" type="noConversion"/>
  </si>
  <si>
    <t>HU5XA</t>
    <phoneticPr fontId="4" type="noConversion"/>
  </si>
  <si>
    <t>NCCNK</t>
  </si>
  <si>
    <t>HG02233</t>
    <phoneticPr fontId="4" type="noConversion"/>
  </si>
  <si>
    <t>SYW232DFC</t>
    <phoneticPr fontId="4" type="noConversion"/>
  </si>
  <si>
    <t>NZ5XA</t>
    <phoneticPr fontId="4" type="noConversion"/>
  </si>
  <si>
    <t>HG02234</t>
    <phoneticPr fontId="4" type="noConversion"/>
  </si>
  <si>
    <t>SY7203DBC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</si>
  <si>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</si>
  <si>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ASW5XA</t>
    <phoneticPr fontId="4" type="noConversion"/>
  </si>
  <si>
    <t>NC3N1</t>
  </si>
  <si>
    <t>HG02235</t>
    <phoneticPr fontId="4" type="noConversion"/>
  </si>
  <si>
    <t>SY8660CDPC</t>
    <phoneticPr fontId="4" type="noConversion"/>
  </si>
  <si>
    <t>DFN3x3-14</t>
    <phoneticPr fontId="4" type="noConversion"/>
  </si>
  <si>
    <t>AYG5XA</t>
    <phoneticPr fontId="4" type="noConversion"/>
  </si>
  <si>
    <t>NC78P</t>
  </si>
  <si>
    <t>HG02236</t>
    <phoneticPr fontId="4" type="noConversion"/>
  </si>
  <si>
    <t>SY7306FCC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</si>
  <si>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</si>
  <si>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AHI5XA</t>
    <phoneticPr fontId="4" type="noConversion"/>
  </si>
  <si>
    <t>AHI5XB</t>
    <phoneticPr fontId="4" type="noConversion"/>
  </si>
  <si>
    <t>NCAQ7</t>
  </si>
  <si>
    <t>NCG72</t>
  </si>
  <si>
    <t>HG02237</t>
    <phoneticPr fontId="4" type="noConversion"/>
  </si>
  <si>
    <t>HG02238</t>
    <phoneticPr fontId="4" type="noConversion"/>
  </si>
  <si>
    <t>SY8204FCC</t>
    <phoneticPr fontId="4" type="noConversion"/>
  </si>
  <si>
    <t>AHH5XA</t>
    <phoneticPr fontId="4" type="noConversion"/>
  </si>
  <si>
    <t>AHH5XB</t>
    <phoneticPr fontId="4" type="noConversion"/>
  </si>
  <si>
    <t>NCG74</t>
  </si>
  <si>
    <t>NCG73</t>
  </si>
  <si>
    <t>HG02239</t>
    <phoneticPr fontId="4" type="noConversion"/>
  </si>
  <si>
    <t>HG02240</t>
    <phoneticPr fontId="4" type="noConversion"/>
  </si>
  <si>
    <t>SY8205FCC</t>
    <phoneticPr fontId="4" type="noConversion"/>
  </si>
  <si>
    <t>AJY5XA</t>
    <phoneticPr fontId="4" type="noConversion"/>
  </si>
  <si>
    <t>HG02241</t>
    <phoneticPr fontId="4" type="noConversion"/>
  </si>
  <si>
    <t>SY8213FCC</t>
    <phoneticPr fontId="4" type="noConversion"/>
  </si>
  <si>
    <t>N8HS3</t>
  </si>
  <si>
    <t>HG02242</t>
    <phoneticPr fontId="4" type="noConversion"/>
  </si>
  <si>
    <t>ZW5XA</t>
    <phoneticPr fontId="4" type="noConversion"/>
  </si>
  <si>
    <t>NC9S3</t>
  </si>
  <si>
    <t>HG02243</t>
    <phoneticPr fontId="4" type="noConversion"/>
  </si>
  <si>
    <t>SY8088LACC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</si>
  <si>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</si>
  <si>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SY8868QMC</t>
    <phoneticPr fontId="4" type="noConversion"/>
  </si>
  <si>
    <t>HG02244</t>
    <phoneticPr fontId="4" type="noConversion"/>
  </si>
  <si>
    <t>KT5XA</t>
    <phoneticPr fontId="4" type="noConversion"/>
  </si>
  <si>
    <t>HG02245</t>
    <phoneticPr fontId="4" type="noConversion"/>
  </si>
  <si>
    <t>HG02246</t>
    <phoneticPr fontId="4" type="noConversion"/>
  </si>
  <si>
    <t>KT5XB</t>
    <phoneticPr fontId="4" type="noConversion"/>
  </si>
  <si>
    <t>KT5XC</t>
    <phoneticPr fontId="4" type="noConversion"/>
  </si>
  <si>
    <t>NCHMR</t>
  </si>
  <si>
    <t>NCHMS</t>
  </si>
  <si>
    <t>NCJFL</t>
  </si>
  <si>
    <t>QFN2*2-10</t>
    <phoneticPr fontId="4" type="noConversion"/>
  </si>
  <si>
    <t>MN5XA</t>
    <phoneticPr fontId="4" type="noConversion"/>
  </si>
  <si>
    <t>HG02247</t>
    <phoneticPr fontId="4" type="noConversion"/>
  </si>
  <si>
    <t>SY8881DQC</t>
    <phoneticPr fontId="4" type="noConversion"/>
  </si>
  <si>
    <t>DFN1.5*1.5-6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</si>
  <si>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</si>
  <si>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需Bumping</t>
    <phoneticPr fontId="4" type="noConversion"/>
  </si>
  <si>
    <t>NY5XA</t>
    <phoneticPr fontId="4" type="noConversion"/>
  </si>
  <si>
    <t>HG02248</t>
    <phoneticPr fontId="4" type="noConversion"/>
  </si>
  <si>
    <t>SYH615ADC</t>
    <phoneticPr fontId="4" type="noConversion"/>
  </si>
  <si>
    <t>TSOT23-6</t>
    <phoneticPr fontId="4" type="noConversion"/>
  </si>
  <si>
    <t>ARC5XA</t>
    <phoneticPr fontId="4" type="noConversion"/>
  </si>
  <si>
    <t>9+17</t>
    <phoneticPr fontId="4" type="noConversion"/>
  </si>
  <si>
    <t>HG02249</t>
    <phoneticPr fontId="4" type="noConversion"/>
  </si>
  <si>
    <t>SY58282FAC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</si>
  <si>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</si>
  <si>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NAK2S+SJ095000</t>
    <phoneticPr fontId="4" type="noConversion"/>
  </si>
  <si>
    <t>8#-16#+1#-17#</t>
    <phoneticPr fontId="4" type="noConversion"/>
  </si>
  <si>
    <t>HG02250</t>
    <phoneticPr fontId="4" type="noConversion"/>
  </si>
  <si>
    <t>ARC5XB</t>
    <phoneticPr fontId="4" type="noConversion"/>
  </si>
  <si>
    <t>NAK2S+(SJ094700+SJ095000)</t>
    <phoneticPr fontId="4" type="noConversion"/>
  </si>
  <si>
    <t>17#-25#+(14#-25#+18#-22#)</t>
    <phoneticPr fontId="4" type="noConversion"/>
  </si>
  <si>
    <t>HG02251</t>
    <phoneticPr fontId="4" type="noConversion"/>
  </si>
  <si>
    <t>AYJ5XA</t>
    <phoneticPr fontId="4" type="noConversion"/>
  </si>
  <si>
    <t>(SJ098400+SJ069500);NC186</t>
    <phoneticPr fontId="4" type="noConversion"/>
  </si>
  <si>
    <t>NC186+(SJ098400+SJ069500)</t>
    <phoneticPr fontId="4" type="noConversion"/>
  </si>
  <si>
    <t>7+23</t>
    <phoneticPr fontId="4" type="noConversion"/>
  </si>
  <si>
    <t>8+26</t>
    <phoneticPr fontId="4" type="noConversion"/>
  </si>
  <si>
    <t>HG02252</t>
    <phoneticPr fontId="4" type="noConversion"/>
  </si>
  <si>
    <t>NC184+SJ097000</t>
    <phoneticPr fontId="4" type="noConversion"/>
  </si>
  <si>
    <t>19#-25#+1#-23#</t>
    <phoneticPr fontId="4" type="noConversion"/>
  </si>
  <si>
    <t>NC2KT+(SJ099200+SJ096100)</t>
    <phoneticPr fontId="4" type="noConversion"/>
  </si>
  <si>
    <t>1#-8#+(1#-25#+25#)</t>
    <phoneticPr fontId="4" type="noConversion"/>
  </si>
  <si>
    <t>1#-8#+(1#-25#+25#)</t>
    <phoneticPr fontId="4" type="noConversion"/>
  </si>
  <si>
    <t>SY6819FAC</t>
  </si>
  <si>
    <t>AUG5XA</t>
    <phoneticPr fontId="4" type="noConversion"/>
  </si>
  <si>
    <t>HG02253</t>
    <phoneticPr fontId="4" type="noConversion"/>
  </si>
  <si>
    <t>I36A1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</si>
  <si>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</si>
  <si>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AVO5XA</t>
    <phoneticPr fontId="4" type="noConversion"/>
  </si>
  <si>
    <t>AVO5XB</t>
    <phoneticPr fontId="4" type="noConversion"/>
  </si>
  <si>
    <t>NCAR9.03</t>
  </si>
  <si>
    <t>8#</t>
  </si>
  <si>
    <t>9#-10#</t>
  </si>
  <si>
    <t>HG02254</t>
    <phoneticPr fontId="4" type="noConversion"/>
  </si>
  <si>
    <t>HG02255</t>
    <phoneticPr fontId="4" type="noConversion"/>
  </si>
  <si>
    <t>SY7686DCC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</si>
  <si>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</si>
  <si>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SY7686DCC</t>
    <phoneticPr fontId="4" type="noConversion"/>
  </si>
  <si>
    <t>AJY5XB</t>
    <phoneticPr fontId="4" type="noConversion"/>
  </si>
  <si>
    <t>AYJ5XB</t>
    <phoneticPr fontId="4" type="noConversion"/>
  </si>
  <si>
    <t>NC188+F0LF7</t>
    <phoneticPr fontId="4" type="noConversion"/>
  </si>
  <si>
    <t>NCAR9.05</t>
    <phoneticPr fontId="4" type="noConversion"/>
  </si>
  <si>
    <t>AJE5XA</t>
    <phoneticPr fontId="4" type="noConversion"/>
  </si>
  <si>
    <t>NC6M7</t>
  </si>
  <si>
    <t>HG02256</t>
    <phoneticPr fontId="4" type="noConversion"/>
  </si>
  <si>
    <t>SY5011FAC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</si>
  <si>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</si>
  <si>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SY50131FAC</t>
  </si>
  <si>
    <t>ATS5XA</t>
    <phoneticPr fontId="4" type="noConversion"/>
  </si>
  <si>
    <t>4+11</t>
    <phoneticPr fontId="4" type="noConversion"/>
  </si>
  <si>
    <t>5+14</t>
    <phoneticPr fontId="4" type="noConversion"/>
  </si>
  <si>
    <t>8+23</t>
    <phoneticPr fontId="4" type="noConversion"/>
  </si>
  <si>
    <t>ATS5XB</t>
    <phoneticPr fontId="4" type="noConversion"/>
  </si>
  <si>
    <t>ATS5XC</t>
    <phoneticPr fontId="4" type="noConversion"/>
  </si>
  <si>
    <t>HG02257</t>
    <phoneticPr fontId="4" type="noConversion"/>
  </si>
  <si>
    <t>SY50131FAC</t>
    <phoneticPr fontId="4" type="noConversion"/>
  </si>
  <si>
    <t>NC1PP+FPWG9</t>
    <phoneticPr fontId="4" type="noConversion"/>
  </si>
  <si>
    <t>NCF45+FPWG9</t>
    <phoneticPr fontId="4" type="noConversion"/>
  </si>
  <si>
    <t>22#-25#+1#-11#</t>
    <phoneticPr fontId="4" type="noConversion"/>
  </si>
  <si>
    <t>21#-25#+12#-25#</t>
    <phoneticPr fontId="4" type="noConversion"/>
  </si>
  <si>
    <t>HG02258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</si>
  <si>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</si>
  <si>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NC76P.01+FSYTN</t>
    <phoneticPr fontId="4" type="noConversion"/>
  </si>
  <si>
    <t>1#-8#+1#-23#</t>
    <phoneticPr fontId="4" type="noConversion"/>
  </si>
  <si>
    <t>HG02259</t>
    <phoneticPr fontId="4" type="noConversion"/>
  </si>
  <si>
    <t>ATK5XA</t>
    <phoneticPr fontId="4" type="noConversion"/>
  </si>
  <si>
    <t>10+50</t>
    <phoneticPr fontId="4" type="noConversion"/>
  </si>
  <si>
    <t>5+25</t>
    <phoneticPr fontId="4" type="noConversion"/>
  </si>
  <si>
    <t>ATK5XB</t>
    <phoneticPr fontId="4" type="noConversion"/>
  </si>
  <si>
    <t>ATK5XC</t>
    <phoneticPr fontId="4" type="noConversion"/>
  </si>
  <si>
    <t>ATK5XD</t>
    <phoneticPr fontId="4" type="noConversion"/>
  </si>
  <si>
    <t>ATK5XE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</si>
  <si>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</si>
  <si>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1#-10#+(1#-25#+1#-25#)</t>
    <phoneticPr fontId="4" type="noConversion"/>
  </si>
  <si>
    <t>11#-20#+(1#-25#+1#-25#)</t>
    <phoneticPr fontId="4" type="noConversion"/>
  </si>
  <si>
    <t>NC8LH+(FTYH6+FMWA6)</t>
    <phoneticPr fontId="4" type="noConversion"/>
  </si>
  <si>
    <t>HG02260</t>
    <phoneticPr fontId="4" type="noConversion"/>
  </si>
  <si>
    <t>SY50133FAC</t>
    <phoneticPr fontId="4" type="noConversion"/>
  </si>
  <si>
    <t>NC8LH+F0HY0</t>
    <phoneticPr fontId="4" type="noConversion"/>
  </si>
  <si>
    <t>21#-25#+1#-25#</t>
    <phoneticPr fontId="4" type="noConversion"/>
  </si>
  <si>
    <t>HG02261</t>
    <phoneticPr fontId="4" type="noConversion"/>
  </si>
  <si>
    <t>SY50133FAC</t>
    <phoneticPr fontId="4" type="noConversion"/>
  </si>
  <si>
    <t>NC8LJ+(F3FKW+FCWR8)</t>
    <phoneticPr fontId="4" type="noConversion"/>
  </si>
  <si>
    <t>11#-20#+(1#-25#+1#-25#)</t>
    <phoneticPr fontId="4" type="noConversion"/>
  </si>
  <si>
    <t>HG02262</t>
    <phoneticPr fontId="4" type="noConversion"/>
  </si>
  <si>
    <t>NC8LJ+(F0L8F+F60KW)</t>
    <phoneticPr fontId="4" type="noConversion"/>
  </si>
  <si>
    <t>1#-10#+(1#-25#+1#-25#)</t>
    <phoneticPr fontId="4" type="noConversion"/>
  </si>
  <si>
    <t>HG02263</t>
    <phoneticPr fontId="4" type="noConversion"/>
  </si>
  <si>
    <t>NC8LJ+F86WK</t>
    <phoneticPr fontId="4" type="noConversion"/>
  </si>
  <si>
    <t>HG02264</t>
    <phoneticPr fontId="4" type="noConversion"/>
  </si>
  <si>
    <t>UMC</t>
    <phoneticPr fontId="4" type="noConversion"/>
  </si>
  <si>
    <t>ATH5XA</t>
    <phoneticPr fontId="4" type="noConversion"/>
  </si>
  <si>
    <t>6+41</t>
    <phoneticPr fontId="4" type="noConversion"/>
  </si>
  <si>
    <t>7+48</t>
    <phoneticPr fontId="4" type="noConversion"/>
  </si>
  <si>
    <t>ATH5XB</t>
    <phoneticPr fontId="4" type="noConversion"/>
  </si>
  <si>
    <t>SY50135FAC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</si>
  <si>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</si>
  <si>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NC3J5+(FTWYR+FWTGY)</t>
    <phoneticPr fontId="4" type="noConversion"/>
  </si>
  <si>
    <t>13#-18#+(1#-25#+1#-16#)</t>
    <phoneticPr fontId="4" type="noConversion"/>
  </si>
  <si>
    <t>HG02265</t>
    <phoneticPr fontId="4" type="noConversion"/>
  </si>
  <si>
    <t>NC3J5+(FSC6Y+F9W2R)</t>
    <phoneticPr fontId="4" type="noConversion"/>
  </si>
  <si>
    <t>19#-25#+(1#-25#+1#-23#)</t>
    <phoneticPr fontId="4" type="noConversion"/>
  </si>
  <si>
    <t>HG02266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</si>
  <si>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</si>
  <si>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AUX5XA</t>
    <phoneticPr fontId="4" type="noConversion"/>
  </si>
  <si>
    <t>4+38</t>
    <phoneticPr fontId="4" type="noConversion"/>
  </si>
  <si>
    <t>HG02267</t>
    <phoneticPr fontId="4" type="noConversion"/>
  </si>
  <si>
    <t>SY50136FAC</t>
    <phoneticPr fontId="4" type="noConversion"/>
  </si>
  <si>
    <t>16#-19#+(1#-25#+21#-25#+17#-24#)</t>
    <phoneticPr fontId="4" type="noConversion"/>
  </si>
  <si>
    <t>AMY5XA</t>
    <phoneticPr fontId="4" type="noConversion"/>
  </si>
  <si>
    <t>5+14</t>
    <phoneticPr fontId="4" type="noConversion"/>
  </si>
  <si>
    <t>HG02268</t>
    <phoneticPr fontId="4" type="noConversion"/>
  </si>
  <si>
    <t>SY58203AFAC</t>
    <phoneticPr fontId="4" type="noConversion"/>
  </si>
  <si>
    <t>NC31H+SJ092900</t>
    <phoneticPr fontId="4" type="noConversion"/>
  </si>
  <si>
    <t>16#-20#+#1,2,9,12-16,18-20,22-24</t>
    <phoneticPr fontId="4" type="noConversion"/>
  </si>
  <si>
    <t>BAV5XA</t>
    <phoneticPr fontId="4" type="noConversion"/>
  </si>
  <si>
    <t>HG02269</t>
    <phoneticPr fontId="4" type="noConversion"/>
  </si>
  <si>
    <t>SY5018FAC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</si>
  <si>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</si>
  <si>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AFB5XA</t>
    <phoneticPr fontId="4" type="noConversion"/>
  </si>
  <si>
    <t>AFB5XB</t>
    <phoneticPr fontId="4" type="noConversion"/>
  </si>
  <si>
    <t>HG02270</t>
    <phoneticPr fontId="4" type="noConversion"/>
  </si>
  <si>
    <t>SY5800AFAC</t>
    <phoneticPr fontId="4" type="noConversion"/>
  </si>
  <si>
    <t>HG02271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</si>
  <si>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</si>
  <si>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ANE5XA</t>
    <phoneticPr fontId="4" type="noConversion"/>
  </si>
  <si>
    <t>NC6MF.01</t>
  </si>
  <si>
    <t>HG02272</t>
    <phoneticPr fontId="4" type="noConversion"/>
  </si>
  <si>
    <t>SY5805FAC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</si>
  <si>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</si>
  <si>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SP0017.16</t>
    <phoneticPr fontId="4" type="noConversion"/>
  </si>
  <si>
    <t>(NC189+NC2KT)+(FYYGS+F9TST)</t>
  </si>
  <si>
    <t>(16#,18#,20#-25#+9#-10#)+(1#-25#+2#-9#)</t>
  </si>
  <si>
    <t>NCFLG-1</t>
  </si>
  <si>
    <t>NA634-3</t>
  </si>
  <si>
    <t>NC7QP-1</t>
  </si>
  <si>
    <t>N8HS3-1</t>
  </si>
  <si>
    <t>SJ095000;NAK2S</t>
  </si>
  <si>
    <t>(SJ094700+SJ095000);NAK2S</t>
  </si>
  <si>
    <t>SJ097000;NC184</t>
  </si>
  <si>
    <t>(SJ099200+SJ096100);NC2KT</t>
  </si>
  <si>
    <t>YG5XA</t>
    <phoneticPr fontId="4" type="noConversion"/>
  </si>
  <si>
    <t>5#-8#</t>
    <phoneticPr fontId="4" type="noConversion"/>
  </si>
  <si>
    <t>QFN2*1.5-8</t>
    <phoneticPr fontId="4" type="noConversion"/>
  </si>
  <si>
    <t>NC5R8+DFG5X70193-E07</t>
    <phoneticPr fontId="4" type="noConversion"/>
  </si>
  <si>
    <t>SY98081QUC</t>
    <phoneticPr fontId="4" type="noConversion"/>
  </si>
  <si>
    <t>Dt5XA</t>
    <phoneticPr fontId="4" type="noConversion"/>
  </si>
  <si>
    <t>9#-10#</t>
    <phoneticPr fontId="4" type="noConversion"/>
  </si>
  <si>
    <t>QFN2.5*2-8</t>
    <phoneticPr fontId="4" type="noConversion"/>
  </si>
  <si>
    <t>NC5R8+(DFG8X60645+DFGAX99024)</t>
    <phoneticPr fontId="4" type="noConversion"/>
  </si>
  <si>
    <t>HG02274</t>
    <phoneticPr fontId="4" type="noConversion"/>
  </si>
  <si>
    <t>SY98001RCC</t>
    <phoneticPr fontId="4" type="noConversion"/>
  </si>
  <si>
    <t>HG02273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</si>
  <si>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</si>
  <si>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NCA4A-2</t>
  </si>
  <si>
    <t>NCAR9.05</t>
  </si>
  <si>
    <t>FPWG9;NC1PP</t>
  </si>
  <si>
    <t>FPWG9;NCF45</t>
  </si>
  <si>
    <t>FSYTN;NC76P.01</t>
  </si>
  <si>
    <t>(FTYH6+FMWA6);NC8LH</t>
  </si>
  <si>
    <t>F0HY0;NC8LH</t>
  </si>
  <si>
    <t>(F3FKW+FCWR8);NC8LJ</t>
  </si>
  <si>
    <t>(F0L8F+F60KW);NC8LJ</t>
  </si>
  <si>
    <t>F86WK;NC8LJ</t>
  </si>
  <si>
    <t>(FTWYR+FWTGY);NC3J5</t>
  </si>
  <si>
    <t>(FSC6Y+F9W2R);NC3J5</t>
  </si>
  <si>
    <t>(FW98R+FMLAG+F7NL2);NC5RH</t>
  </si>
  <si>
    <t>NC31H;SJ092900</t>
  </si>
  <si>
    <t>NC82G-1</t>
  </si>
  <si>
    <t>NC49P-1</t>
  </si>
  <si>
    <t>NC4KP-1</t>
  </si>
  <si>
    <t>NC5R8-4</t>
  </si>
  <si>
    <t>NC5R8-3</t>
  </si>
  <si>
    <t>(FYYGS+F9TST);NC189</t>
  </si>
  <si>
    <t>NCA47</t>
    <phoneticPr fontId="4" type="noConversion"/>
  </si>
  <si>
    <t>NCA48</t>
    <phoneticPr fontId="4" type="noConversion"/>
  </si>
  <si>
    <t>NCG13</t>
    <phoneticPr fontId="4" type="noConversion"/>
  </si>
  <si>
    <t>NCG18</t>
    <phoneticPr fontId="4" type="noConversion"/>
  </si>
  <si>
    <t>NCG1A</t>
    <phoneticPr fontId="4" type="noConversion"/>
  </si>
  <si>
    <t>NCHSY</t>
    <phoneticPr fontId="4" type="noConversion"/>
  </si>
  <si>
    <t>NCHMP</t>
    <phoneticPr fontId="4" type="noConversion"/>
  </si>
  <si>
    <t>A25J0</t>
  </si>
  <si>
    <t>VB5XA</t>
    <phoneticPr fontId="4" type="noConversion"/>
  </si>
  <si>
    <t>N9HP3</t>
  </si>
  <si>
    <t>HG02275</t>
    <phoneticPr fontId="4" type="noConversion"/>
  </si>
  <si>
    <t>SY8003CDFC</t>
    <phoneticPr fontId="4" type="noConversion"/>
  </si>
  <si>
    <t>VC5XA</t>
    <phoneticPr fontId="4" type="noConversion"/>
  </si>
  <si>
    <t>NCASY</t>
  </si>
  <si>
    <t>HG02276</t>
    <phoneticPr fontId="4" type="noConversion"/>
  </si>
  <si>
    <t>SY8003EDFC</t>
    <phoneticPr fontId="4" type="noConversion"/>
  </si>
  <si>
    <t>DFN2*2-8</t>
    <phoneticPr fontId="4" type="noConversion"/>
  </si>
  <si>
    <t>ASW5XB</t>
    <phoneticPr fontId="4" type="noConversion"/>
  </si>
  <si>
    <t>NCCNH</t>
  </si>
  <si>
    <t>HG02277</t>
    <phoneticPr fontId="4" type="noConversion"/>
  </si>
  <si>
    <t>SY8660CDPC</t>
    <phoneticPr fontId="4" type="noConversion"/>
  </si>
  <si>
    <t>DFN3x3-14</t>
    <phoneticPr fontId="4" type="noConversion"/>
  </si>
  <si>
    <t>AHI5XC</t>
    <phoneticPr fontId="4" type="noConversion"/>
  </si>
  <si>
    <t>NCHMN</t>
  </si>
  <si>
    <t>HG02278</t>
    <phoneticPr fontId="4" type="noConversion"/>
  </si>
  <si>
    <t>SY8204FCC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</si>
  <si>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</si>
  <si>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AHH5XC</t>
    <phoneticPr fontId="4" type="noConversion"/>
  </si>
  <si>
    <t>HG02279</t>
    <phoneticPr fontId="4" type="noConversion"/>
  </si>
  <si>
    <t>SY8205FCC</t>
    <phoneticPr fontId="4" type="noConversion"/>
  </si>
  <si>
    <t>AJY5XC</t>
    <phoneticPr fontId="4" type="noConversion"/>
  </si>
  <si>
    <t>NCG75</t>
  </si>
  <si>
    <t>HG02280</t>
    <phoneticPr fontId="4" type="noConversion"/>
  </si>
  <si>
    <t>SY8213FCC</t>
    <phoneticPr fontId="4" type="noConversion"/>
  </si>
  <si>
    <t>AIV5XA</t>
    <phoneticPr fontId="4" type="noConversion"/>
  </si>
  <si>
    <t>NC7QS</t>
  </si>
  <si>
    <t>HG02281</t>
    <phoneticPr fontId="4" type="noConversion"/>
  </si>
  <si>
    <t>SYC813FCC</t>
    <phoneticPr fontId="4" type="noConversion"/>
  </si>
  <si>
    <t>AMA5XA</t>
    <phoneticPr fontId="4" type="noConversion"/>
  </si>
  <si>
    <t>HG02282</t>
    <phoneticPr fontId="4" type="noConversion"/>
  </si>
  <si>
    <t>SYPH501FCC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</si>
  <si>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</si>
  <si>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ZW5XB</t>
    <phoneticPr fontId="4" type="noConversion"/>
  </si>
  <si>
    <t>SY8088LACC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</si>
  <si>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</si>
  <si>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I01B1</t>
    <phoneticPr fontId="4" type="noConversion"/>
  </si>
  <si>
    <t>BCO5XA</t>
    <phoneticPr fontId="4" type="noConversion"/>
  </si>
  <si>
    <t>NC3MY</t>
  </si>
  <si>
    <r>
      <t>QFN4*4-24(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</si>
  <si>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Ln5XA</t>
    <phoneticPr fontId="4" type="noConversion"/>
  </si>
  <si>
    <t>SY6282ACC</t>
    <phoneticPr fontId="4" type="noConversion"/>
  </si>
  <si>
    <t>HG02285</t>
    <phoneticPr fontId="4" type="noConversion"/>
  </si>
  <si>
    <t>TSOT23-5(FC)</t>
    <phoneticPr fontId="4" type="noConversion"/>
  </si>
  <si>
    <t>KP5XA</t>
    <phoneticPr fontId="4" type="noConversion"/>
  </si>
  <si>
    <t>HG02286</t>
    <phoneticPr fontId="4" type="noConversion"/>
  </si>
  <si>
    <t>SY5002ABC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</si>
  <si>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</si>
  <si>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HG02287</t>
    <phoneticPr fontId="4" type="noConversion"/>
  </si>
  <si>
    <t>GZ5VA</t>
  </si>
  <si>
    <t>GZ5XA</t>
    <phoneticPr fontId="4" type="noConversion"/>
  </si>
  <si>
    <t>HH5XA</t>
    <phoneticPr fontId="4" type="noConversion"/>
  </si>
  <si>
    <t>19#~25#</t>
  </si>
  <si>
    <t>HG02288</t>
    <phoneticPr fontId="4" type="noConversion"/>
  </si>
  <si>
    <t>SY5814AABC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</si>
  <si>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</si>
  <si>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E02QB0</t>
    <phoneticPr fontId="4" type="noConversion"/>
  </si>
  <si>
    <t>TC5XA</t>
    <phoneticPr fontId="4" type="noConversion"/>
  </si>
  <si>
    <t>HG02289</t>
    <phoneticPr fontId="4" type="noConversion"/>
  </si>
  <si>
    <t>SY5824AABC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</si>
  <si>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</si>
  <si>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ZT5XA</t>
    <phoneticPr fontId="4" type="noConversion"/>
  </si>
  <si>
    <t>ZT5XB</t>
    <phoneticPr fontId="4" type="noConversion"/>
  </si>
  <si>
    <t>NC7P6.01</t>
  </si>
  <si>
    <t>HG02290</t>
    <phoneticPr fontId="4" type="noConversion"/>
  </si>
  <si>
    <t>HG02291</t>
    <phoneticPr fontId="4" type="noConversion"/>
  </si>
  <si>
    <t>SY5839ABC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</si>
  <si>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</si>
  <si>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SY7113ABC</t>
    <phoneticPr fontId="4" type="noConversion"/>
  </si>
  <si>
    <t>NM5XA</t>
    <phoneticPr fontId="4" type="noConversion"/>
  </si>
  <si>
    <t>B17S0</t>
    <phoneticPr fontId="4" type="noConversion"/>
  </si>
  <si>
    <t>NM5XB</t>
    <phoneticPr fontId="4" type="noConversion"/>
  </si>
  <si>
    <t>HG02293</t>
    <phoneticPr fontId="4" type="noConversion"/>
  </si>
  <si>
    <t>HG02292</t>
    <phoneticPr fontId="4" type="noConversion"/>
  </si>
  <si>
    <t>SY7113ABC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</si>
  <si>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</si>
  <si>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7#-10#</t>
  </si>
  <si>
    <t>JU5XA</t>
    <phoneticPr fontId="4" type="noConversion"/>
  </si>
  <si>
    <t>JU5XB</t>
    <phoneticPr fontId="4" type="noConversion"/>
  </si>
  <si>
    <t>HG02294</t>
    <phoneticPr fontId="4" type="noConversion"/>
  </si>
  <si>
    <t>NCF1F</t>
  </si>
  <si>
    <t>HG02295</t>
    <phoneticPr fontId="4" type="noConversion"/>
  </si>
  <si>
    <t>SY7208CABC</t>
    <phoneticPr fontId="4" type="noConversion"/>
  </si>
  <si>
    <t>HM5XA</t>
    <phoneticPr fontId="4" type="noConversion"/>
  </si>
  <si>
    <t>B07I0</t>
    <phoneticPr fontId="4" type="noConversion"/>
  </si>
  <si>
    <t>NA363</t>
  </si>
  <si>
    <t>HG02296</t>
    <phoneticPr fontId="4" type="noConversion"/>
  </si>
  <si>
    <t>SY7302ABC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</si>
  <si>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</si>
  <si>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A21A1</t>
    <phoneticPr fontId="4" type="noConversion"/>
  </si>
  <si>
    <t>HT5XA</t>
    <phoneticPr fontId="4" type="noConversion"/>
  </si>
  <si>
    <t>NC820</t>
  </si>
  <si>
    <t>HG02297</t>
    <phoneticPr fontId="4" type="noConversion"/>
  </si>
  <si>
    <t>SY8120ABC</t>
    <phoneticPr fontId="4" type="noConversion"/>
  </si>
  <si>
    <t>JW5XA</t>
    <phoneticPr fontId="4" type="noConversion"/>
  </si>
  <si>
    <t>NCJM1</t>
  </si>
  <si>
    <t>HG02298</t>
    <phoneticPr fontId="4" type="noConversion"/>
  </si>
  <si>
    <t>SY8121ABC</t>
    <phoneticPr fontId="4" type="noConversion"/>
  </si>
  <si>
    <t>TW5XA</t>
    <phoneticPr fontId="4" type="noConversion"/>
  </si>
  <si>
    <t>NC59J</t>
  </si>
  <si>
    <t>SY8707ABC</t>
    <phoneticPr fontId="4" type="noConversion"/>
  </si>
  <si>
    <t>HG02299</t>
    <phoneticPr fontId="4" type="noConversion"/>
  </si>
  <si>
    <t>MH5XA</t>
    <phoneticPr fontId="4" type="noConversion"/>
  </si>
  <si>
    <t>E02Q1</t>
    <phoneticPr fontId="4" type="noConversion"/>
  </si>
  <si>
    <t>NC6M6</t>
  </si>
  <si>
    <t>SYLS25ABC</t>
    <phoneticPr fontId="4" type="noConversion"/>
  </si>
  <si>
    <t>HG02300</t>
    <phoneticPr fontId="4" type="noConversion"/>
  </si>
  <si>
    <t>NA5XA</t>
    <phoneticPr fontId="4" type="noConversion"/>
  </si>
  <si>
    <t>A11E0</t>
    <phoneticPr fontId="4" type="noConversion"/>
  </si>
  <si>
    <t>NC8SJ</t>
  </si>
  <si>
    <t>SY8071AAC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</si>
  <si>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</si>
  <si>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HG02301</t>
    <phoneticPr fontId="4" type="noConversion"/>
  </si>
  <si>
    <t>UH5XA</t>
    <phoneticPr fontId="4" type="noConversion"/>
  </si>
  <si>
    <t>NCGL9</t>
  </si>
  <si>
    <t>SY8079AAC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</si>
  <si>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</si>
  <si>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HG02302</t>
    <phoneticPr fontId="4" type="noConversion"/>
  </si>
  <si>
    <t>TR5XA</t>
    <phoneticPr fontId="4" type="noConversion"/>
  </si>
  <si>
    <t>A51A0</t>
    <phoneticPr fontId="4" type="noConversion"/>
  </si>
  <si>
    <t>HG02303</t>
    <phoneticPr fontId="4" type="noConversion"/>
  </si>
  <si>
    <t>HG02304</t>
    <phoneticPr fontId="4" type="noConversion"/>
  </si>
  <si>
    <t>TR5XB</t>
    <phoneticPr fontId="4" type="noConversion"/>
  </si>
  <si>
    <t>TR5XC</t>
    <phoneticPr fontId="4" type="noConversion"/>
  </si>
  <si>
    <t>NC750.02</t>
  </si>
  <si>
    <t>NC74R</t>
  </si>
  <si>
    <t>#2,3,6,7,9,13,16,17,19,21,22,24</t>
  </si>
  <si>
    <t>11#-25#</t>
    <phoneticPr fontId="4" type="noConversion"/>
  </si>
  <si>
    <t>SYH407AAC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</si>
  <si>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</si>
  <si>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HG02305</t>
    <phoneticPr fontId="4" type="noConversion"/>
  </si>
  <si>
    <t>Fr5XA</t>
    <phoneticPr fontId="4" type="noConversion"/>
  </si>
  <si>
    <t>10+31</t>
    <phoneticPr fontId="4" type="noConversion"/>
  </si>
  <si>
    <t>SY58280AAC</t>
    <phoneticPr fontId="4" type="noConversion"/>
  </si>
  <si>
    <t>NC5PW.04+(F24WF+FS732)</t>
    <phoneticPr fontId="4" type="noConversion"/>
  </si>
  <si>
    <t>1#-10#+(1#-25#+13#-18#)</t>
    <phoneticPr fontId="4" type="noConversion"/>
  </si>
  <si>
    <t>HG02306</t>
    <phoneticPr fontId="4" type="noConversion"/>
  </si>
  <si>
    <t>E54D0</t>
  </si>
  <si>
    <t>HG02307</t>
    <phoneticPr fontId="4" type="noConversion"/>
  </si>
  <si>
    <t>AYX5XA</t>
    <phoneticPr fontId="4" type="noConversion"/>
  </si>
  <si>
    <t>NCJ1G</t>
  </si>
  <si>
    <t>SY5025FHC</t>
    <phoneticPr fontId="4" type="noConversion"/>
  </si>
  <si>
    <t>ARU5XA</t>
    <phoneticPr fontId="4" type="noConversion"/>
  </si>
  <si>
    <t>NC8L5.01</t>
  </si>
  <si>
    <t>HG02308</t>
    <phoneticPr fontId="4" type="noConversion"/>
  </si>
  <si>
    <t>SY5850AFHC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</si>
  <si>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</si>
  <si>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AHS5XA</t>
    <phoneticPr fontId="4" type="noConversion"/>
  </si>
  <si>
    <t>E02U1</t>
    <phoneticPr fontId="4" type="noConversion"/>
  </si>
  <si>
    <t>NCJLC.01</t>
  </si>
  <si>
    <t>HG02309</t>
    <phoneticPr fontId="4" type="noConversion"/>
  </si>
  <si>
    <t>SY5800DFAC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</si>
  <si>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</si>
  <si>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AZW5XA</t>
    <phoneticPr fontId="4" type="noConversion"/>
  </si>
  <si>
    <t>E02JA0</t>
    <phoneticPr fontId="4" type="noConversion"/>
  </si>
  <si>
    <t>NC6MF.02</t>
  </si>
  <si>
    <t>HG02310</t>
    <phoneticPr fontId="4" type="noConversion"/>
  </si>
  <si>
    <t>SY5802BFAC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</si>
  <si>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</si>
  <si>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ALH5XA</t>
    <phoneticPr fontId="4" type="noConversion"/>
  </si>
  <si>
    <t>ALH5XB</t>
    <phoneticPr fontId="4" type="noConversion"/>
  </si>
  <si>
    <t>NCJLC</t>
  </si>
  <si>
    <t>NCJLA</t>
  </si>
  <si>
    <t>HG02311</t>
    <phoneticPr fontId="4" type="noConversion"/>
  </si>
  <si>
    <t>HG02312</t>
    <phoneticPr fontId="4" type="noConversion"/>
  </si>
  <si>
    <t>SY5806FAC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</si>
  <si>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</si>
  <si>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ALK5XA</t>
    <phoneticPr fontId="4" type="noConversion"/>
  </si>
  <si>
    <t>HG02313</t>
    <phoneticPr fontId="4" type="noConversion"/>
  </si>
  <si>
    <t>SY8069FAC</t>
    <phoneticPr fontId="4" type="noConversion"/>
  </si>
  <si>
    <t>AIU5XA</t>
    <phoneticPr fontId="4" type="noConversion"/>
  </si>
  <si>
    <t>NC7QR</t>
  </si>
  <si>
    <t>HG02314</t>
    <phoneticPr fontId="4" type="noConversion"/>
  </si>
  <si>
    <t>SYC812FAC</t>
    <phoneticPr fontId="4" type="noConversion"/>
  </si>
  <si>
    <t>1#-13#</t>
    <phoneticPr fontId="4" type="noConversion"/>
  </si>
  <si>
    <t>ATK5XF</t>
    <phoneticPr fontId="4" type="noConversion"/>
  </si>
  <si>
    <t>10+50</t>
    <phoneticPr fontId="4" type="noConversion"/>
  </si>
  <si>
    <t>5+25</t>
    <phoneticPr fontId="4" type="noConversion"/>
  </si>
  <si>
    <t>ATK5XG</t>
    <phoneticPr fontId="4" type="noConversion"/>
  </si>
  <si>
    <t>ATK5XH</t>
    <phoneticPr fontId="4" type="noConversion"/>
  </si>
  <si>
    <t>ATK5XI</t>
    <phoneticPr fontId="4" type="noConversion"/>
  </si>
  <si>
    <t>SY50133FAC</t>
    <phoneticPr fontId="4" type="noConversion"/>
  </si>
  <si>
    <t>NCF46.03+(FWRC0+FM4L2)</t>
    <phoneticPr fontId="4" type="noConversion"/>
  </si>
  <si>
    <t>HG02315</t>
    <phoneticPr fontId="4" type="noConversion"/>
  </si>
  <si>
    <t>SY50133FAC</t>
    <phoneticPr fontId="4" type="noConversion"/>
  </si>
  <si>
    <t>NCF46.03+FRL9Y</t>
    <phoneticPr fontId="4" type="noConversion"/>
  </si>
  <si>
    <t>HG02316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</si>
  <si>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</si>
  <si>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NCF47.01+(F9MWF+F6YWM)</t>
    <phoneticPr fontId="4" type="noConversion"/>
  </si>
  <si>
    <t>1#-10#+(1#-25#+1#-25#)</t>
    <phoneticPr fontId="4" type="noConversion"/>
  </si>
  <si>
    <t>HG02317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</si>
  <si>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</si>
  <si>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NCF47.01+FK4L3</t>
    <phoneticPr fontId="4" type="noConversion"/>
  </si>
  <si>
    <t>11#-15#+1#-25#</t>
    <phoneticPr fontId="4" type="noConversion"/>
  </si>
  <si>
    <t>19#-23#+1#-25#</t>
    <phoneticPr fontId="4" type="noConversion"/>
  </si>
  <si>
    <t>HG02318</t>
    <phoneticPr fontId="4" type="noConversion"/>
  </si>
  <si>
    <t>E51T0+U2X11A</t>
    <phoneticPr fontId="4" type="noConversion"/>
  </si>
  <si>
    <t>AUX5XB</t>
    <phoneticPr fontId="4" type="noConversion"/>
  </si>
  <si>
    <t>3+28</t>
    <phoneticPr fontId="4" type="noConversion"/>
  </si>
  <si>
    <t>SY50136FAC</t>
    <phoneticPr fontId="4" type="noConversion"/>
  </si>
  <si>
    <t>NC5RH+(FK4HP+FKY2S.01+F7NL2)</t>
    <phoneticPr fontId="4" type="noConversion"/>
  </si>
  <si>
    <t>20#-22#+(1#-25#+1#-2#+25#)</t>
    <phoneticPr fontId="4" type="noConversion"/>
  </si>
  <si>
    <t>HG02319</t>
    <phoneticPr fontId="4" type="noConversion"/>
  </si>
  <si>
    <t>5+48</t>
    <phoneticPr fontId="4" type="noConversion"/>
  </si>
  <si>
    <t>NCF45.01+(FKSNP+F9GSY)</t>
    <phoneticPr fontId="4" type="noConversion"/>
  </si>
  <si>
    <t>1#-5#+(1#-25#+1#-23#)</t>
    <phoneticPr fontId="4" type="noConversion"/>
  </si>
  <si>
    <t>HG02320</t>
    <phoneticPr fontId="4" type="noConversion"/>
  </si>
  <si>
    <t>ARC5XC</t>
    <phoneticPr fontId="4" type="noConversion"/>
  </si>
  <si>
    <t>8+15</t>
    <phoneticPr fontId="4" type="noConversion"/>
  </si>
  <si>
    <t>7+13</t>
    <phoneticPr fontId="4" type="noConversion"/>
  </si>
  <si>
    <t>1#-8#+1#-15#</t>
    <phoneticPr fontId="4" type="noConversion"/>
  </si>
  <si>
    <t>HG02322</t>
    <phoneticPr fontId="4" type="noConversion"/>
  </si>
  <si>
    <t>SY58282FAC</t>
    <phoneticPr fontId="4" type="noConversion"/>
  </si>
  <si>
    <t>NAK2T+(SJ094800+SJ095000)</t>
    <phoneticPr fontId="4" type="noConversion"/>
  </si>
  <si>
    <t>1#-7#+(16#-25#+23#-25#)</t>
    <phoneticPr fontId="4" type="noConversion"/>
  </si>
  <si>
    <t>AYJ5XC</t>
    <phoneticPr fontId="4" type="noConversion"/>
  </si>
  <si>
    <t>5+16</t>
    <phoneticPr fontId="4" type="noConversion"/>
  </si>
  <si>
    <t>SY58283NFAC</t>
    <phoneticPr fontId="4" type="noConversion"/>
  </si>
  <si>
    <t>NC2KT+(SJ096800+SJ097000)</t>
    <phoneticPr fontId="4" type="noConversion"/>
  </si>
  <si>
    <t>11#-15#+(1#,6#-14#,17#-21#+24#)</t>
    <phoneticPr fontId="4" type="noConversion"/>
  </si>
  <si>
    <t>HG02323</t>
    <phoneticPr fontId="4" type="noConversion"/>
  </si>
  <si>
    <t>AVJ5XA</t>
    <phoneticPr fontId="4" type="noConversion"/>
  </si>
  <si>
    <t>4+12+22</t>
    <phoneticPr fontId="4" type="noConversion"/>
  </si>
  <si>
    <t>SY58481FAC</t>
    <phoneticPr fontId="4" type="noConversion"/>
  </si>
  <si>
    <t>NC5PW+F2AKS+WF56098.1</t>
    <phoneticPr fontId="4" type="noConversion"/>
  </si>
  <si>
    <t>18#-21#+1#-12#+1#-22#</t>
    <phoneticPr fontId="4" type="noConversion"/>
  </si>
  <si>
    <t>HG02324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</si>
  <si>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</si>
  <si>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AZH5XA</t>
    <phoneticPr fontId="4" type="noConversion"/>
  </si>
  <si>
    <t>SY58596YFAC</t>
    <phoneticPr fontId="4" type="noConversion"/>
  </si>
  <si>
    <t>19#-22#+(1#-25#+1#-25#)</t>
    <phoneticPr fontId="4" type="noConversion"/>
  </si>
  <si>
    <t>4+52</t>
    <phoneticPr fontId="4" type="noConversion"/>
  </si>
  <si>
    <t>NC5A1+(FP7GW+F37WN+F9GSY)</t>
    <phoneticPr fontId="4" type="noConversion"/>
  </si>
  <si>
    <t>1#-4#+(1#-25#+1#-25#+24#-25#)</t>
    <phoneticPr fontId="4" type="noConversion"/>
  </si>
  <si>
    <t>HG02325</t>
    <phoneticPr fontId="4" type="noConversion"/>
  </si>
  <si>
    <t>AUX5XC</t>
    <phoneticPr fontId="4" type="noConversion"/>
  </si>
  <si>
    <t>ARC5XD</t>
    <phoneticPr fontId="4" type="noConversion"/>
  </si>
  <si>
    <t>18+20</t>
    <phoneticPr fontId="4" type="noConversion"/>
  </si>
  <si>
    <t>AKW5XA</t>
    <phoneticPr fontId="4" type="noConversion"/>
  </si>
  <si>
    <t>HG02326</t>
    <phoneticPr fontId="4" type="noConversion"/>
  </si>
  <si>
    <t>SY6174FAC</t>
    <phoneticPr fontId="4" type="noConversion"/>
  </si>
  <si>
    <t>NC3AN+SJ104200</t>
    <phoneticPr fontId="4" type="noConversion"/>
  </si>
  <si>
    <t>1#-18#+1#-20#</t>
    <phoneticPr fontId="4" type="noConversion"/>
  </si>
  <si>
    <t>NCA47</t>
  </si>
  <si>
    <t>NCA48</t>
  </si>
  <si>
    <t>NC76T.50-2</t>
  </si>
  <si>
    <t>D94LG.1-2</t>
  </si>
  <si>
    <t>NC3AK+02</t>
  </si>
  <si>
    <t>NC31G+01</t>
  </si>
  <si>
    <t>NAA2R+01</t>
  </si>
  <si>
    <t>NC5A0+02</t>
  </si>
  <si>
    <t>NC75Q.01+02</t>
  </si>
  <si>
    <t>NCAQN+01</t>
  </si>
  <si>
    <t>NCCNQ+01</t>
  </si>
  <si>
    <t>NC8A7+01</t>
  </si>
  <si>
    <t>(F24WF+FS732);NC5PW.04</t>
  </si>
  <si>
    <t>MC5XA</t>
    <phoneticPr fontId="4" type="noConversion"/>
  </si>
  <si>
    <t>SY8011BDQC</t>
    <phoneticPr fontId="4" type="noConversion"/>
  </si>
  <si>
    <t>DFN1.5*1.5-6</t>
    <phoneticPr fontId="4" type="noConversion"/>
  </si>
  <si>
    <t>SY8303AIC</t>
    <phoneticPr fontId="4" type="noConversion"/>
  </si>
  <si>
    <t>XD5XA</t>
    <phoneticPr fontId="4" type="noConversion"/>
  </si>
  <si>
    <t>NCGLC</t>
  </si>
  <si>
    <t>JR5XA</t>
    <phoneticPr fontId="4" type="noConversion"/>
  </si>
  <si>
    <t>JR5XB</t>
    <phoneticPr fontId="4" type="noConversion"/>
  </si>
  <si>
    <t>JR5XC</t>
    <phoneticPr fontId="4" type="noConversion"/>
  </si>
  <si>
    <t>JR5XD</t>
    <phoneticPr fontId="4" type="noConversion"/>
  </si>
  <si>
    <t>NCG1C</t>
  </si>
  <si>
    <t>NCG15</t>
  </si>
  <si>
    <t>NCG14</t>
  </si>
  <si>
    <t>NCG16</t>
  </si>
  <si>
    <t>HG02327</t>
    <phoneticPr fontId="4" type="noConversion"/>
  </si>
  <si>
    <t>HG02328</t>
    <phoneticPr fontId="4" type="noConversion"/>
  </si>
  <si>
    <t>HG02329</t>
    <phoneticPr fontId="4" type="noConversion"/>
  </si>
  <si>
    <t>HG02330</t>
    <phoneticPr fontId="4" type="noConversion"/>
  </si>
  <si>
    <t>SY8104ADC</t>
    <phoneticPr fontId="4" type="noConversion"/>
  </si>
  <si>
    <t>TSOT23-6</t>
    <phoneticPr fontId="4" type="noConversion"/>
  </si>
  <si>
    <t>JR5XE</t>
    <phoneticPr fontId="4" type="noConversion"/>
  </si>
  <si>
    <t>NCJGK</t>
  </si>
  <si>
    <t>HG02331</t>
    <phoneticPr fontId="4" type="noConversion"/>
  </si>
  <si>
    <t>SYD104ADC</t>
    <phoneticPr fontId="4" type="noConversion"/>
  </si>
  <si>
    <t>JR5XF</t>
    <phoneticPr fontId="4" type="noConversion"/>
  </si>
  <si>
    <t>JR5XG</t>
    <phoneticPr fontId="4" type="noConversion"/>
  </si>
  <si>
    <t>NCG19</t>
  </si>
  <si>
    <t>NCJGJ</t>
  </si>
  <si>
    <t>2#-18#,20#-25#</t>
  </si>
  <si>
    <t>HG02332</t>
    <phoneticPr fontId="4" type="noConversion"/>
  </si>
  <si>
    <t>HG02333</t>
    <phoneticPr fontId="4" type="noConversion"/>
  </si>
  <si>
    <t>SYK614ADC</t>
    <phoneticPr fontId="4" type="noConversion"/>
  </si>
  <si>
    <t>HG02334</t>
    <phoneticPr fontId="4" type="noConversion"/>
  </si>
  <si>
    <t>HG02335</t>
    <phoneticPr fontId="4" type="noConversion"/>
  </si>
  <si>
    <t>NCHMQ</t>
  </si>
  <si>
    <t>NY5XB</t>
    <phoneticPr fontId="4" type="noConversion"/>
  </si>
  <si>
    <t>HG02336</t>
    <phoneticPr fontId="4" type="noConversion"/>
  </si>
  <si>
    <t>HG02337</t>
    <phoneticPr fontId="4" type="noConversion"/>
  </si>
  <si>
    <t>NCK0A</t>
  </si>
  <si>
    <t>SY8105ADC</t>
    <phoneticPr fontId="4" type="noConversion"/>
  </si>
  <si>
    <t>SYH615ADC</t>
    <phoneticPr fontId="4" type="noConversion"/>
  </si>
  <si>
    <t>NY5XC</t>
    <phoneticPr fontId="4" type="noConversion"/>
  </si>
  <si>
    <t>HG02189</t>
    <phoneticPr fontId="4" type="noConversion"/>
  </si>
  <si>
    <t>SY50131DFAC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</si>
  <si>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</si>
  <si>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NCAQ6-1</t>
  </si>
  <si>
    <t>NCG18</t>
  </si>
  <si>
    <t>NCHMP</t>
  </si>
  <si>
    <t>N8C7A.01+01</t>
  </si>
  <si>
    <t>(FWRC0+FM4L2);NCF46.03</t>
  </si>
  <si>
    <t>FRL9Y;NCF46.03</t>
  </si>
  <si>
    <t>(F9MWF+F6YWM);NCF47.01</t>
  </si>
  <si>
    <t>FK4L3;NCF47.01</t>
  </si>
  <si>
    <t>(FK4HP+FKY2S.01+F7NL2);NC5RH</t>
  </si>
  <si>
    <t>(FKSNP+F9GSY);NCF45.01</t>
  </si>
  <si>
    <t>(SJ094800+SJ095000);NAK2T</t>
  </si>
  <si>
    <t>(SJ096800+SJ097000);NC2KT</t>
  </si>
  <si>
    <t>F2AKS;WF56098.1;NC5PW</t>
  </si>
  <si>
    <t>SY7630BQCC</t>
    <phoneticPr fontId="4" type="noConversion"/>
  </si>
  <si>
    <t>C42A0</t>
    <phoneticPr fontId="4" type="noConversion"/>
  </si>
  <si>
    <t>NC1ML.05</t>
    <phoneticPr fontId="4" type="noConversion"/>
  </si>
  <si>
    <t>PU5YA</t>
    <phoneticPr fontId="4" type="noConversion"/>
  </si>
  <si>
    <t>NCCNL</t>
  </si>
  <si>
    <t>HG02338</t>
    <phoneticPr fontId="4" type="noConversion"/>
  </si>
  <si>
    <t>SY8003LDFC</t>
    <phoneticPr fontId="4" type="noConversion"/>
  </si>
  <si>
    <t>DFN2*2-8</t>
    <phoneticPr fontId="4" type="noConversion"/>
  </si>
  <si>
    <t>1#-10#</t>
    <phoneticPr fontId="4" type="noConversion"/>
  </si>
  <si>
    <t>LS5YA</t>
    <phoneticPr fontId="4" type="noConversion"/>
  </si>
  <si>
    <t>HG02339</t>
    <phoneticPr fontId="4" type="noConversion"/>
  </si>
  <si>
    <t>SY8203DBC</t>
    <phoneticPr fontId="4" type="noConversion"/>
  </si>
  <si>
    <t>AKT5YA</t>
    <phoneticPr fontId="4" type="noConversion"/>
  </si>
  <si>
    <t>10+10</t>
    <phoneticPr fontId="4" type="noConversion"/>
  </si>
  <si>
    <t>NC6JF+NC6JF.01</t>
    <phoneticPr fontId="4" type="noConversion"/>
  </si>
  <si>
    <t>16#-25#+1#-10#</t>
    <phoneticPr fontId="4" type="noConversion"/>
  </si>
  <si>
    <t>HG02340</t>
    <phoneticPr fontId="4" type="noConversion"/>
  </si>
  <si>
    <t>Es5YA</t>
    <phoneticPr fontId="4" type="noConversion"/>
  </si>
  <si>
    <t>NCFLK</t>
  </si>
  <si>
    <t>HG02341</t>
    <phoneticPr fontId="4" type="noConversion"/>
  </si>
  <si>
    <t>SY8061ADEC</t>
    <phoneticPr fontId="4" type="noConversion"/>
  </si>
  <si>
    <t>DFN2*2-6</t>
    <phoneticPr fontId="4" type="noConversion"/>
  </si>
  <si>
    <t>BDU5YA</t>
    <phoneticPr fontId="4" type="noConversion"/>
  </si>
  <si>
    <t>BDU5YB</t>
    <phoneticPr fontId="4" type="noConversion"/>
  </si>
  <si>
    <t>NCC76</t>
  </si>
  <si>
    <t>NCC75</t>
  </si>
  <si>
    <t>HG02342</t>
    <phoneticPr fontId="4" type="noConversion"/>
  </si>
  <si>
    <t>HG02343</t>
    <phoneticPr fontId="4" type="noConversion"/>
  </si>
  <si>
    <t>SY7215RDC</t>
    <phoneticPr fontId="4" type="noConversion"/>
  </si>
  <si>
    <t>QFN4*4-18</t>
    <phoneticPr fontId="4" type="noConversion"/>
  </si>
  <si>
    <t>BAC5YA</t>
    <phoneticPr fontId="4" type="noConversion"/>
  </si>
  <si>
    <t>NC895</t>
  </si>
  <si>
    <t>HG02344</t>
    <phoneticPr fontId="4" type="noConversion"/>
  </si>
  <si>
    <t>SY8288CRAC</t>
    <phoneticPr fontId="4" type="noConversion"/>
  </si>
  <si>
    <t>QFN3*3-20</t>
    <phoneticPr fontId="4" type="noConversion"/>
  </si>
  <si>
    <t>JR5YA</t>
    <phoneticPr fontId="4" type="noConversion"/>
  </si>
  <si>
    <t>JR5YB</t>
    <phoneticPr fontId="4" type="noConversion"/>
  </si>
  <si>
    <t>NCJWQ</t>
  </si>
  <si>
    <t>NCJWS</t>
  </si>
  <si>
    <t>HG02345</t>
    <phoneticPr fontId="4" type="noConversion"/>
  </si>
  <si>
    <t>HG02346</t>
    <phoneticPr fontId="4" type="noConversion"/>
  </si>
  <si>
    <t>SYD104ADC</t>
    <phoneticPr fontId="4" type="noConversion"/>
  </si>
  <si>
    <t>TSOT23-6</t>
    <phoneticPr fontId="4" type="noConversion"/>
  </si>
  <si>
    <t>SY5003CABC</t>
    <phoneticPr fontId="4" type="noConversion"/>
  </si>
  <si>
    <t>Bd5YA</t>
    <phoneticPr fontId="4" type="noConversion"/>
  </si>
  <si>
    <t>HG02347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</si>
  <si>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</si>
  <si>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TC5YA</t>
    <phoneticPr fontId="4" type="noConversion"/>
  </si>
  <si>
    <t>HG02348</t>
    <phoneticPr fontId="4" type="noConversion"/>
  </si>
  <si>
    <t>SY5824AABC</t>
    <phoneticPr fontId="4" type="noConversion"/>
  </si>
  <si>
    <t>ZT5YA</t>
    <phoneticPr fontId="4" type="noConversion"/>
  </si>
  <si>
    <t>16#-23#</t>
  </si>
  <si>
    <t>HG02349</t>
    <phoneticPr fontId="4" type="noConversion"/>
  </si>
  <si>
    <t>SY5839ABC</t>
    <phoneticPr fontId="4" type="noConversion"/>
  </si>
  <si>
    <t>JW5YA</t>
    <phoneticPr fontId="4" type="noConversion"/>
  </si>
  <si>
    <t>NCJM2</t>
  </si>
  <si>
    <t>HG02350</t>
    <phoneticPr fontId="4" type="noConversion"/>
  </si>
  <si>
    <t>SY8121ABC</t>
    <phoneticPr fontId="4" type="noConversion"/>
  </si>
  <si>
    <t>SYPH83AABC</t>
    <phoneticPr fontId="4" type="noConversion"/>
  </si>
  <si>
    <t>XO5YA</t>
    <phoneticPr fontId="4" type="noConversion"/>
  </si>
  <si>
    <t>HJTC</t>
    <phoneticPr fontId="4" type="noConversion"/>
  </si>
  <si>
    <t>NA9RC</t>
  </si>
  <si>
    <t>HG02351</t>
    <phoneticPr fontId="4" type="noConversion"/>
  </si>
  <si>
    <t>UH5YA</t>
    <phoneticPr fontId="4" type="noConversion"/>
  </si>
  <si>
    <t>NCGL8</t>
  </si>
  <si>
    <t>HG02352</t>
    <phoneticPr fontId="4" type="noConversion"/>
  </si>
  <si>
    <t>SY8079AAC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</si>
  <si>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</si>
  <si>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E02K1</t>
  </si>
  <si>
    <t>AGM5YA</t>
    <phoneticPr fontId="4" type="noConversion"/>
  </si>
  <si>
    <t>N9H4L.02</t>
  </si>
  <si>
    <t>2#</t>
  </si>
  <si>
    <t>AUG5YA</t>
    <phoneticPr fontId="4" type="noConversion"/>
  </si>
  <si>
    <t>HG02353</t>
    <phoneticPr fontId="4" type="noConversion"/>
  </si>
  <si>
    <t>SY5070FAC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</si>
  <si>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</si>
  <si>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19#-23#</t>
  </si>
  <si>
    <t>HG02354</t>
    <phoneticPr fontId="4" type="noConversion"/>
  </si>
  <si>
    <t>SY6819FAC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</si>
  <si>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</si>
  <si>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AIU5YA</t>
    <phoneticPr fontId="4" type="noConversion"/>
  </si>
  <si>
    <t>HG02355</t>
    <phoneticPr fontId="4" type="noConversion"/>
  </si>
  <si>
    <t>SY8232FAC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</si>
  <si>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</si>
  <si>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BAV5YA</t>
    <phoneticPr fontId="4" type="noConversion"/>
  </si>
  <si>
    <t>HG02356</t>
    <phoneticPr fontId="4" type="noConversion"/>
  </si>
  <si>
    <t>SYPH101FAC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</si>
  <si>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</si>
  <si>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AQT5YA</t>
    <phoneticPr fontId="4" type="noConversion"/>
  </si>
  <si>
    <t>E02GC0+A2X06B</t>
    <phoneticPr fontId="4" type="noConversion"/>
  </si>
  <si>
    <t>4+21</t>
    <phoneticPr fontId="4" type="noConversion"/>
  </si>
  <si>
    <t>SY58106AFAC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</si>
  <si>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</si>
  <si>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HG02357</t>
    <phoneticPr fontId="4" type="noConversion"/>
  </si>
  <si>
    <t>N9RCH+SJ093600</t>
    <phoneticPr fontId="4" type="noConversion"/>
  </si>
  <si>
    <t>19#-22#+#3#-6#,8#-24#</t>
    <phoneticPr fontId="4" type="noConversion"/>
  </si>
  <si>
    <t>SY58596YFAC</t>
  </si>
  <si>
    <t>AZH5YA</t>
    <phoneticPr fontId="4" type="noConversion"/>
  </si>
  <si>
    <t>2+25</t>
    <phoneticPr fontId="4" type="noConversion"/>
  </si>
  <si>
    <t>AZH5YB</t>
    <phoneticPr fontId="4" type="noConversion"/>
  </si>
  <si>
    <t>HG02358</t>
    <phoneticPr fontId="4" type="noConversion"/>
  </si>
  <si>
    <t>HG02359</t>
    <phoneticPr fontId="4" type="noConversion"/>
  </si>
  <si>
    <t>SY58596YFAC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</si>
  <si>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</si>
  <si>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NATCC.03+FY8W3</t>
    <phoneticPr fontId="4" type="noConversion"/>
  </si>
  <si>
    <t>24#-25#+1#-25#</t>
    <phoneticPr fontId="4" type="noConversion"/>
  </si>
  <si>
    <t>NC5A1+FW2C6</t>
    <phoneticPr fontId="4" type="noConversion"/>
  </si>
  <si>
    <t>AKW5YA</t>
    <phoneticPr fontId="4" type="noConversion"/>
  </si>
  <si>
    <t>E02CD0+A5X03A</t>
    <phoneticPr fontId="4" type="noConversion"/>
  </si>
  <si>
    <t>9+10</t>
    <phoneticPr fontId="4" type="noConversion"/>
  </si>
  <si>
    <t>SY6174FAC</t>
    <phoneticPr fontId="4" type="noConversion"/>
  </si>
  <si>
    <t>1#-9#+1#-10#</t>
    <phoneticPr fontId="4" type="noConversion"/>
  </si>
  <si>
    <t>HG02360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</si>
  <si>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</si>
  <si>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NC3AQ+SJ104000</t>
    <phoneticPr fontId="4" type="noConversion"/>
  </si>
  <si>
    <t>5#-6#+1#-25#</t>
    <phoneticPr fontId="4" type="noConversion"/>
  </si>
  <si>
    <t>NCG13</t>
  </si>
  <si>
    <t>NAWF2-1</t>
  </si>
  <si>
    <t>(FP7GW+F37WN+F9GSY);NC5A1</t>
  </si>
  <si>
    <t>NC3AN;SJ104200</t>
  </si>
  <si>
    <t>B62B2</t>
    <phoneticPr fontId="4" type="noConversion"/>
  </si>
  <si>
    <t>NCAF6</t>
  </si>
  <si>
    <t>HG02361</t>
    <phoneticPr fontId="4" type="noConversion"/>
  </si>
  <si>
    <t>AZT5YA</t>
    <phoneticPr fontId="4" type="noConversion"/>
  </si>
  <si>
    <t>SY8745FCC</t>
    <phoneticPr fontId="4" type="noConversion"/>
  </si>
  <si>
    <t>E36F2</t>
    <phoneticPr fontId="4" type="noConversion"/>
  </si>
  <si>
    <t>Lg5YA</t>
    <phoneticPr fontId="4" type="noConversion"/>
  </si>
  <si>
    <t>14#</t>
    <phoneticPr fontId="4" type="noConversion"/>
  </si>
  <si>
    <t>NC4M1.04</t>
    <phoneticPr fontId="4" type="noConversion"/>
  </si>
  <si>
    <t>SY58583AFC</t>
    <phoneticPr fontId="4" type="noConversion"/>
  </si>
  <si>
    <t>SY58582AEC</t>
    <phoneticPr fontId="4" type="noConversion"/>
  </si>
  <si>
    <r>
      <t>SOT23-3(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</si>
  <si>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</si>
  <si>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r>
      <t>QFN4*4-16(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</si>
  <si>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SY8724QIC</t>
    <phoneticPr fontId="4" type="noConversion"/>
  </si>
  <si>
    <t>重测,原批次HG00974</t>
    <phoneticPr fontId="4" type="noConversion"/>
  </si>
  <si>
    <t>XD5JA</t>
    <phoneticPr fontId="4" type="noConversion"/>
  </si>
  <si>
    <t>SY8303AIC</t>
    <phoneticPr fontId="4" type="noConversion"/>
  </si>
  <si>
    <t>NC1ML.05</t>
  </si>
  <si>
    <t>NC7QS-1</t>
  </si>
  <si>
    <t>NAK2W+SJ094900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</si>
  <si>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</si>
  <si>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HG02321</t>
    <phoneticPr fontId="4" type="noConversion"/>
  </si>
  <si>
    <t>SJ094800;NAK2W</t>
  </si>
  <si>
    <t>NC6JF;NC6JF.01</t>
  </si>
  <si>
    <t>NCF48+01</t>
  </si>
  <si>
    <t>NC0CY+01</t>
  </si>
  <si>
    <t>NC7P6.01+01</t>
  </si>
  <si>
    <t>NC4M1.04+04</t>
  </si>
  <si>
    <t>JCETNAQ9Y</t>
  </si>
  <si>
    <t>HG02140</t>
    <phoneticPr fontId="4" type="noConversion"/>
  </si>
  <si>
    <t>SYD104ADC</t>
    <phoneticPr fontId="4" type="noConversion"/>
  </si>
  <si>
    <t>NCA4F</t>
    <phoneticPr fontId="4" type="noConversion"/>
  </si>
  <si>
    <t>SY7076QMC</t>
  </si>
  <si>
    <t>NAPG0</t>
    <phoneticPr fontId="4" type="noConversion"/>
  </si>
  <si>
    <t>NCA4F</t>
  </si>
  <si>
    <t>NC5KP-12</t>
  </si>
  <si>
    <t>NC82G-2</t>
  </si>
  <si>
    <t>SJ093600;N9RCH</t>
  </si>
  <si>
    <t>FY8W3;NATCC.03</t>
  </si>
  <si>
    <t>NC3AQ;SJ104000</t>
  </si>
  <si>
    <t>JCETNAPG0</t>
  </si>
  <si>
    <t>SY58294ZFAC</t>
    <phoneticPr fontId="4" type="noConversion"/>
  </si>
  <si>
    <t>APQ5YA</t>
    <phoneticPr fontId="4" type="noConversion"/>
  </si>
  <si>
    <t>4+27</t>
    <phoneticPr fontId="4" type="noConversion"/>
  </si>
  <si>
    <t>4+27</t>
    <phoneticPr fontId="4" type="noConversion"/>
  </si>
  <si>
    <t>APQ5YB</t>
    <phoneticPr fontId="4" type="noConversion"/>
  </si>
  <si>
    <t>HG02365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</si>
  <si>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</si>
  <si>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NAPFR+(FR6PL+FCGS0)</t>
    <phoneticPr fontId="4" type="noConversion"/>
  </si>
  <si>
    <t>1#-4#+(1#-25#+23#-24#)</t>
    <phoneticPr fontId="4" type="noConversion"/>
  </si>
  <si>
    <t>HG02366</t>
    <phoneticPr fontId="4" type="noConversion"/>
  </si>
  <si>
    <t>NAPFR+(FASAN+F6TAS)</t>
    <phoneticPr fontId="4" type="noConversion"/>
  </si>
  <si>
    <t>SY58294ZFAC</t>
    <phoneticPr fontId="4" type="noConversion"/>
  </si>
  <si>
    <t>SY58294ZFAC</t>
    <phoneticPr fontId="4" type="noConversion"/>
  </si>
  <si>
    <t>APQ5YC</t>
    <phoneticPr fontId="4" type="noConversion"/>
  </si>
  <si>
    <t>7+48</t>
    <phoneticPr fontId="4" type="noConversion"/>
  </si>
  <si>
    <t>APQ5YD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</si>
  <si>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</si>
  <si>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4+27</t>
    <phoneticPr fontId="4" type="noConversion"/>
  </si>
  <si>
    <t>APQ5YE</t>
    <phoneticPr fontId="4" type="noConversion"/>
  </si>
  <si>
    <t>APQ5YF</t>
    <phoneticPr fontId="4" type="noConversion"/>
  </si>
  <si>
    <t>APQ5YG</t>
    <phoneticPr fontId="4" type="noConversion"/>
  </si>
  <si>
    <t>APQ5YH</t>
    <phoneticPr fontId="4" type="noConversion"/>
  </si>
  <si>
    <t>APQ5YI</t>
    <phoneticPr fontId="4" type="noConversion"/>
  </si>
  <si>
    <t>3+20</t>
    <phoneticPr fontId="4" type="noConversion"/>
  </si>
  <si>
    <t>NAPFR+(F20LG+FW366)</t>
    <phoneticPr fontId="4" type="noConversion"/>
  </si>
  <si>
    <t>16#-22#+(1#-25#+1#-23#)</t>
    <phoneticPr fontId="4" type="noConversion"/>
  </si>
  <si>
    <t>HG02367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</si>
  <si>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</si>
  <si>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NAPFR+(FWT24+FL8KK)</t>
    <phoneticPr fontId="4" type="noConversion"/>
  </si>
  <si>
    <t>5#-8#+(1#-25#+24#-25#)</t>
    <phoneticPr fontId="4" type="noConversion"/>
  </si>
  <si>
    <t>9#-15#+(1#-25#+1#-23#)</t>
    <phoneticPr fontId="4" type="noConversion"/>
  </si>
  <si>
    <t>HG02368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</si>
  <si>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</si>
  <si>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NAPFR+FY8LC</t>
    <phoneticPr fontId="4" type="noConversion"/>
  </si>
  <si>
    <t>23#-25#+1#-20#</t>
    <phoneticPr fontId="4" type="noConversion"/>
  </si>
  <si>
    <t>HG02369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</si>
  <si>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</si>
  <si>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4+27</t>
    <phoneticPr fontId="4" type="noConversion"/>
  </si>
  <si>
    <t>7+48</t>
    <phoneticPr fontId="4" type="noConversion"/>
  </si>
  <si>
    <t>NAPFS+(FSK20+FW366)</t>
    <phoneticPr fontId="4" type="noConversion"/>
  </si>
  <si>
    <t>HG02370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</si>
  <si>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</si>
  <si>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NAPFS+(F3LFF+FL8KK)</t>
    <phoneticPr fontId="4" type="noConversion"/>
  </si>
  <si>
    <t>1#-4#+(1#-25#+24#-25#)</t>
    <phoneticPr fontId="4" type="noConversion"/>
  </si>
  <si>
    <t>HG02371</t>
    <phoneticPr fontId="4" type="noConversion"/>
  </si>
  <si>
    <t>NAPFS+(F674S+F88S2)</t>
    <phoneticPr fontId="4" type="noConversion"/>
  </si>
  <si>
    <t>16#-22#+(1#-25#+1#-23#)</t>
    <phoneticPr fontId="4" type="noConversion"/>
  </si>
  <si>
    <t>9#-15#+(1#-25#+1#-23#)</t>
    <phoneticPr fontId="4" type="noConversion"/>
  </si>
  <si>
    <t>HG02372</t>
    <phoneticPr fontId="4" type="noConversion"/>
  </si>
  <si>
    <t>NAPFS+(FPWC3+F88S2)</t>
    <phoneticPr fontId="4" type="noConversion"/>
  </si>
  <si>
    <t>5#-8#+(1#-25#+24#-25#)</t>
    <phoneticPr fontId="4" type="noConversion"/>
  </si>
  <si>
    <t>16#-19#+(1#-25#+24#-25#)</t>
    <phoneticPr fontId="4" type="noConversion"/>
  </si>
  <si>
    <t>HG02373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</si>
  <si>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</si>
  <si>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AZI5YA</t>
    <phoneticPr fontId="4" type="noConversion"/>
  </si>
  <si>
    <t>HG02182</t>
    <phoneticPr fontId="4" type="noConversion"/>
  </si>
  <si>
    <t>(NC183+NC2KT)+F9W78</t>
    <phoneticPr fontId="4" type="noConversion"/>
  </si>
  <si>
    <t>(21#,23#-25#+16#)+1#-16#</t>
    <phoneticPr fontId="4" type="noConversion"/>
  </si>
  <si>
    <t>8+26</t>
    <phoneticPr fontId="4" type="noConversion"/>
  </si>
  <si>
    <t>HG02374</t>
    <phoneticPr fontId="4" type="noConversion"/>
  </si>
  <si>
    <t>SY58182NFAC</t>
    <phoneticPr fontId="4" type="noConversion"/>
  </si>
  <si>
    <t>NC2KT+(FRL9M+F0LF7)</t>
    <phoneticPr fontId="4" type="noConversion"/>
  </si>
  <si>
    <t>E02J1</t>
    <phoneticPr fontId="4" type="noConversion"/>
  </si>
  <si>
    <t>AHK5YA</t>
    <phoneticPr fontId="4" type="noConversion"/>
  </si>
  <si>
    <t>NCLSL</t>
  </si>
  <si>
    <t>HG02375</t>
    <phoneticPr fontId="4" type="noConversion"/>
  </si>
  <si>
    <t>SY5802AFAC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</si>
  <si>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</si>
  <si>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AZB5YA</t>
    <phoneticPr fontId="4" type="noConversion"/>
  </si>
  <si>
    <t>HG02376</t>
    <phoneticPr fontId="4" type="noConversion"/>
  </si>
  <si>
    <t>SY5861BFAC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</si>
  <si>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</si>
  <si>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KT5YA</t>
    <phoneticPr fontId="4" type="noConversion"/>
  </si>
  <si>
    <t>NCLJR</t>
  </si>
  <si>
    <t>HG02377</t>
    <phoneticPr fontId="4" type="noConversion"/>
  </si>
  <si>
    <t>SY8868QMC</t>
    <phoneticPr fontId="4" type="noConversion"/>
  </si>
  <si>
    <t>QFN2*2-10</t>
    <phoneticPr fontId="4" type="noConversion"/>
  </si>
  <si>
    <t>AMA5YA</t>
    <phoneticPr fontId="4" type="noConversion"/>
  </si>
  <si>
    <t>NC76T.53</t>
  </si>
  <si>
    <t>1#-6#</t>
    <phoneticPr fontId="4" type="noConversion"/>
  </si>
  <si>
    <t>HG02378</t>
    <phoneticPr fontId="4" type="noConversion"/>
  </si>
  <si>
    <t>SYP851FCC</t>
    <phoneticPr fontId="4" type="noConversion"/>
  </si>
  <si>
    <t>TI5YA</t>
    <phoneticPr fontId="4" type="noConversion"/>
  </si>
  <si>
    <t>TI5YB</t>
    <phoneticPr fontId="4" type="noConversion"/>
  </si>
  <si>
    <t>TI5YC</t>
    <phoneticPr fontId="4" type="noConversion"/>
  </si>
  <si>
    <t>TI5YD</t>
    <phoneticPr fontId="4" type="noConversion"/>
  </si>
  <si>
    <t>N8CNP</t>
  </si>
  <si>
    <t>N8CNP.02</t>
  </si>
  <si>
    <t>NCKHS</t>
  </si>
  <si>
    <t>NCKHT</t>
  </si>
  <si>
    <t>11#-15#,17#-25#</t>
  </si>
  <si>
    <t>SY6811PDC</t>
    <phoneticPr fontId="4" type="noConversion"/>
  </si>
  <si>
    <t>重测,原批次HG00991</t>
    <phoneticPr fontId="4" type="noConversion"/>
  </si>
  <si>
    <t>NCGLF</t>
    <phoneticPr fontId="4" type="noConversion"/>
  </si>
  <si>
    <t>重测</t>
    <phoneticPr fontId="4" type="noConversion"/>
  </si>
  <si>
    <t>Fn5JA</t>
    <phoneticPr fontId="4" type="noConversion"/>
  </si>
  <si>
    <t>KT5YB</t>
    <phoneticPr fontId="4" type="noConversion"/>
  </si>
  <si>
    <t>NCLJS</t>
  </si>
  <si>
    <t>1#-2#,4#-25#</t>
  </si>
  <si>
    <t>HG02380</t>
    <phoneticPr fontId="4" type="noConversion"/>
  </si>
  <si>
    <t>SY8868QMC</t>
    <phoneticPr fontId="4" type="noConversion"/>
  </si>
  <si>
    <t>QFN2*2-10</t>
    <phoneticPr fontId="4" type="noConversion"/>
  </si>
  <si>
    <t>SY8501FCC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</si>
  <si>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</si>
  <si>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HG02381</t>
    <phoneticPr fontId="4" type="noConversion"/>
  </si>
  <si>
    <t>TC5YB</t>
    <phoneticPr fontId="4" type="noConversion"/>
  </si>
  <si>
    <t>NCM7W</t>
  </si>
  <si>
    <t>HG02382</t>
    <phoneticPr fontId="4" type="noConversion"/>
  </si>
  <si>
    <t>SY5824AABC</t>
    <phoneticPr fontId="4" type="noConversion"/>
  </si>
  <si>
    <t>AYE5YA</t>
    <phoneticPr fontId="4" type="noConversion"/>
  </si>
  <si>
    <t>NC57C.08</t>
  </si>
  <si>
    <t>HG02383</t>
    <phoneticPr fontId="4" type="noConversion"/>
  </si>
  <si>
    <t>SY5862FAC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</si>
  <si>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</si>
  <si>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JCET</t>
    <phoneticPr fontId="4" type="noConversion"/>
  </si>
  <si>
    <t>B61D1</t>
    <phoneticPr fontId="4" type="noConversion"/>
  </si>
  <si>
    <t>Lq5YA</t>
    <phoneticPr fontId="4" type="noConversion"/>
  </si>
  <si>
    <t>AMA5YB</t>
    <phoneticPr fontId="4" type="noConversion"/>
  </si>
  <si>
    <t>NAQPW.03</t>
  </si>
  <si>
    <t>#9</t>
    <phoneticPr fontId="4" type="noConversion"/>
  </si>
  <si>
    <t>HG02384</t>
    <phoneticPr fontId="4" type="noConversion"/>
  </si>
  <si>
    <t>SY7400LABC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</si>
  <si>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</si>
  <si>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AYQ5YA</t>
    <phoneticPr fontId="4" type="noConversion"/>
  </si>
  <si>
    <t>NAQPW.02</t>
  </si>
  <si>
    <t>#10</t>
  </si>
  <si>
    <t>HG02385</t>
    <phoneticPr fontId="4" type="noConversion"/>
  </si>
  <si>
    <t>SY7400FCC</t>
    <phoneticPr fontId="4" type="noConversion"/>
  </si>
  <si>
    <t>BCM5YA</t>
    <phoneticPr fontId="4" type="noConversion"/>
  </si>
  <si>
    <t>E20A3+U2X12A</t>
    <phoneticPr fontId="4" type="noConversion"/>
  </si>
  <si>
    <t>1+5</t>
    <phoneticPr fontId="4" type="noConversion"/>
  </si>
  <si>
    <t>HG02386</t>
    <phoneticPr fontId="4" type="noConversion"/>
  </si>
  <si>
    <t>SY58573QFAC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</si>
  <si>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</si>
  <si>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NC83M+FMTWA</t>
    <phoneticPr fontId="4" type="noConversion"/>
  </si>
  <si>
    <t>25#+20#-24#</t>
    <phoneticPr fontId="4" type="noConversion"/>
  </si>
  <si>
    <t>NCG19-1</t>
  </si>
  <si>
    <t>FW2C6;NC5A1</t>
  </si>
  <si>
    <t>NAPFR;(FR6PL+FCGS0)</t>
  </si>
  <si>
    <t>NAPFR;(FASAN+F6TAS)</t>
  </si>
  <si>
    <t>NAPFR;(F20LG+FW366)</t>
  </si>
  <si>
    <t>NAPFR;(FWT24+FL8KK)</t>
  </si>
  <si>
    <t>NAPFR;FY8LC</t>
  </si>
  <si>
    <t>NAPFS;(FSK20+FW366)</t>
  </si>
  <si>
    <t>NAPFS;(F3LFF+FL8KK)</t>
  </si>
  <si>
    <t>NAPFS;(F674S+F88S2)</t>
  </si>
  <si>
    <t>NAPFS;(FPWC3+F88S2)</t>
  </si>
  <si>
    <t>(FRL9M+F0LF7);NC2KT</t>
  </si>
  <si>
    <t>N/A</t>
    <phoneticPr fontId="4" type="noConversion"/>
  </si>
  <si>
    <t>PC5ZA</t>
    <phoneticPr fontId="4" type="noConversion"/>
  </si>
  <si>
    <t>NCFAL</t>
  </si>
  <si>
    <t>HG02387</t>
    <phoneticPr fontId="4" type="noConversion"/>
  </si>
  <si>
    <t>SY5810DABC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</si>
  <si>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</si>
  <si>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Jy5ZA</t>
    <phoneticPr fontId="4" type="noConversion"/>
  </si>
  <si>
    <t>Jy5ZB</t>
    <phoneticPr fontId="4" type="noConversion"/>
  </si>
  <si>
    <t>NAMR2.05</t>
  </si>
  <si>
    <t>HG02388</t>
    <phoneticPr fontId="4" type="noConversion"/>
  </si>
  <si>
    <t>HG02389</t>
    <phoneticPr fontId="4" type="noConversion"/>
  </si>
  <si>
    <t>SY5830BABC</t>
    <phoneticPr fontId="4" type="noConversion"/>
  </si>
  <si>
    <t>ZT5ZA</t>
    <phoneticPr fontId="4" type="noConversion"/>
  </si>
  <si>
    <t>E10G4</t>
    <phoneticPr fontId="4" type="noConversion"/>
  </si>
  <si>
    <t>NCAHL.01</t>
  </si>
  <si>
    <t>HG02390</t>
    <phoneticPr fontId="4" type="noConversion"/>
  </si>
  <si>
    <t>SY5839ABC</t>
    <phoneticPr fontId="4" type="noConversion"/>
  </si>
  <si>
    <t>Hb5ZA</t>
    <phoneticPr fontId="4" type="noConversion"/>
  </si>
  <si>
    <t>NC1GT</t>
  </si>
  <si>
    <t>HG02391</t>
    <phoneticPr fontId="4" type="noConversion"/>
  </si>
  <si>
    <t>SY7305ABC</t>
    <phoneticPr fontId="4" type="noConversion"/>
  </si>
  <si>
    <t>JW5ZA</t>
    <phoneticPr fontId="4" type="noConversion"/>
  </si>
  <si>
    <t>NCMFQ</t>
  </si>
  <si>
    <t>HG02392</t>
    <phoneticPr fontId="4" type="noConversion"/>
  </si>
  <si>
    <t>SY8121ABC</t>
    <phoneticPr fontId="4" type="noConversion"/>
  </si>
  <si>
    <t>BAV5ZA</t>
    <phoneticPr fontId="4" type="noConversion"/>
  </si>
  <si>
    <t>HG02393</t>
    <phoneticPr fontId="4" type="noConversion"/>
  </si>
  <si>
    <t>SY5018FAC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</si>
  <si>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</si>
  <si>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AIV5ZA</t>
    <phoneticPr fontId="4" type="noConversion"/>
  </si>
  <si>
    <t>SY8233FCC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</si>
  <si>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</si>
  <si>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NCA10</t>
  </si>
  <si>
    <t>HG02394</t>
    <phoneticPr fontId="4" type="noConversion"/>
  </si>
  <si>
    <t>HG01988</t>
    <phoneticPr fontId="4" type="noConversion"/>
  </si>
  <si>
    <t>SY6345AAC</t>
    <phoneticPr fontId="4" type="noConversion"/>
  </si>
  <si>
    <t>E19E1</t>
    <phoneticPr fontId="4" type="noConversion"/>
  </si>
  <si>
    <t>NC5R6.01-2</t>
  </si>
  <si>
    <t>NC76T.53-1</t>
  </si>
  <si>
    <t>FMTWA;NC83M</t>
  </si>
  <si>
    <t>B62B2</t>
    <phoneticPr fontId="4" type="noConversion"/>
  </si>
  <si>
    <t>AZT5ZA</t>
    <phoneticPr fontId="4" type="noConversion"/>
  </si>
  <si>
    <t>NCAF6.02</t>
  </si>
  <si>
    <t>HG02395</t>
    <phoneticPr fontId="4" type="noConversion"/>
  </si>
  <si>
    <t>SY8745FCC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</si>
  <si>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</si>
  <si>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BBA5ZA</t>
    <phoneticPr fontId="4" type="noConversion"/>
  </si>
  <si>
    <t>NCMA8</t>
  </si>
  <si>
    <t>HG02396</t>
    <phoneticPr fontId="4" type="noConversion"/>
  </si>
  <si>
    <t>APQ5ZA</t>
    <phoneticPr fontId="4" type="noConversion"/>
  </si>
  <si>
    <t>6+41</t>
    <phoneticPr fontId="4" type="noConversion"/>
  </si>
  <si>
    <t>3+20</t>
    <phoneticPr fontId="4" type="noConversion"/>
  </si>
  <si>
    <t>APQ5ZB</t>
    <phoneticPr fontId="4" type="noConversion"/>
  </si>
  <si>
    <t>APQ5ZC</t>
    <phoneticPr fontId="4" type="noConversion"/>
  </si>
  <si>
    <t>SY58294ZFAC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</si>
  <si>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</si>
  <si>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HG02399</t>
    <phoneticPr fontId="4" type="noConversion"/>
  </si>
  <si>
    <t>HG02397</t>
    <phoneticPr fontId="4" type="noConversion"/>
  </si>
  <si>
    <t>NAPFS+(FMGWC+FPPLK)</t>
    <phoneticPr fontId="4" type="noConversion"/>
  </si>
  <si>
    <t>1#-6#+(1#-25#+1#-16#)</t>
    <phoneticPr fontId="4" type="noConversion"/>
  </si>
  <si>
    <t>20#-25#+(1#-25#+1#-16#)</t>
    <phoneticPr fontId="4" type="noConversion"/>
  </si>
  <si>
    <t>HG02398</t>
    <phoneticPr fontId="4" type="noConversion"/>
  </si>
  <si>
    <t>23#-25#+(17#-25#+17#-25#+21#-22#)</t>
    <phoneticPr fontId="4" type="noConversion"/>
  </si>
  <si>
    <t>NAPFT+(F6CHR+FLYGP)</t>
    <phoneticPr fontId="4" type="noConversion"/>
  </si>
  <si>
    <t>NAPFQ+(FLYGP+FPPLK+FY8LC)</t>
    <phoneticPr fontId="4" type="noConversion"/>
  </si>
  <si>
    <t>NCA12+02</t>
  </si>
  <si>
    <t>NC82G-3</t>
  </si>
  <si>
    <t>JCET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</si>
  <si>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</si>
  <si>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HJTC</t>
    <phoneticPr fontId="4" type="noConversion"/>
  </si>
  <si>
    <t>NCJ0K.03</t>
    <phoneticPr fontId="4" type="noConversion"/>
  </si>
  <si>
    <t>2#</t>
    <phoneticPr fontId="4" type="noConversion"/>
  </si>
  <si>
    <t>HG02400</t>
    <phoneticPr fontId="4" type="noConversion"/>
  </si>
  <si>
    <t>F5ZA</t>
    <phoneticPr fontId="4" type="noConversion"/>
  </si>
  <si>
    <t>QFN1.2*1.2-4(FC)</t>
    <phoneticPr fontId="4" type="noConversion"/>
  </si>
  <si>
    <t>PC5ZB</t>
    <phoneticPr fontId="4" type="noConversion"/>
  </si>
  <si>
    <t>E02UA0</t>
    <phoneticPr fontId="4" type="noConversion"/>
  </si>
  <si>
    <t>NC1PK.03</t>
  </si>
  <si>
    <t>HG02401</t>
    <phoneticPr fontId="4" type="noConversion"/>
  </si>
  <si>
    <t>SY5810DABC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</si>
  <si>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</si>
  <si>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ZT5ZB</t>
    <phoneticPr fontId="4" type="noConversion"/>
  </si>
  <si>
    <t>E10G4</t>
    <phoneticPr fontId="4" type="noConversion"/>
  </si>
  <si>
    <t>NCLKF</t>
  </si>
  <si>
    <t>HG02402</t>
    <phoneticPr fontId="4" type="noConversion"/>
  </si>
  <si>
    <t>SY5839ABC</t>
    <phoneticPr fontId="4" type="noConversion"/>
  </si>
  <si>
    <t>Hb5ZB</t>
    <phoneticPr fontId="4" type="noConversion"/>
  </si>
  <si>
    <t>B40GA1</t>
    <phoneticPr fontId="4" type="noConversion"/>
  </si>
  <si>
    <t>HG02403</t>
    <phoneticPr fontId="4" type="noConversion"/>
  </si>
  <si>
    <t>SY7305ABC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</si>
  <si>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</si>
  <si>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JW5ZB</t>
    <phoneticPr fontId="4" type="noConversion"/>
  </si>
  <si>
    <t>NCMFR</t>
  </si>
  <si>
    <t>HG02404</t>
    <phoneticPr fontId="4" type="noConversion"/>
  </si>
  <si>
    <t>SY8121ABC</t>
    <phoneticPr fontId="4" type="noConversion"/>
  </si>
  <si>
    <t>HG02405</t>
    <phoneticPr fontId="4" type="noConversion"/>
  </si>
  <si>
    <t>SYP513ABC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</si>
  <si>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</si>
  <si>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XO5ZA</t>
    <phoneticPr fontId="4" type="noConversion"/>
  </si>
  <si>
    <t>SY23502BRSC</t>
    <phoneticPr fontId="4" type="noConversion"/>
  </si>
  <si>
    <t>E10EC0</t>
    <phoneticPr fontId="4" type="noConversion"/>
  </si>
  <si>
    <t>C41B0</t>
    <phoneticPr fontId="4" type="noConversion"/>
  </si>
  <si>
    <r>
      <t>QFN6*6-52(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</si>
  <si>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I12A1</t>
    <phoneticPr fontId="4" type="noConversion"/>
  </si>
  <si>
    <t>SY7611RKC</t>
    <phoneticPr fontId="4" type="noConversion"/>
  </si>
  <si>
    <t>HG02380</t>
  </si>
  <si>
    <t>NAPFT;(F6CHR+FLYGP)</t>
  </si>
  <si>
    <t>NAPFS;(FMGWC+FPPLK)</t>
  </si>
  <si>
    <t>NAPFQ;(FLYGP+FPPLK+FY8LC)</t>
  </si>
  <si>
    <t>NCJ0K.03-D</t>
  </si>
  <si>
    <t>NC1GT+01</t>
  </si>
  <si>
    <t>NA9RC+01</t>
  </si>
  <si>
    <t>SY8016DEC</t>
    <phoneticPr fontId="4" type="noConversion"/>
  </si>
  <si>
    <t>QV5ZA</t>
    <phoneticPr fontId="4" type="noConversion"/>
  </si>
  <si>
    <t>A11I0</t>
    <phoneticPr fontId="4" type="noConversion"/>
  </si>
  <si>
    <t>HG02406</t>
    <phoneticPr fontId="4" type="noConversion"/>
  </si>
  <si>
    <t>DFN2*2-6</t>
    <phoneticPr fontId="4" type="noConversion"/>
  </si>
  <si>
    <t>LH5ZA</t>
    <phoneticPr fontId="4" type="noConversion"/>
  </si>
  <si>
    <t>NC8SH</t>
  </si>
  <si>
    <t>HG02407</t>
    <phoneticPr fontId="4" type="noConversion"/>
  </si>
  <si>
    <t>SY8061DEC</t>
    <phoneticPr fontId="4" type="noConversion"/>
  </si>
  <si>
    <t>KW5ZA</t>
    <phoneticPr fontId="4" type="noConversion"/>
  </si>
  <si>
    <t>A25C1</t>
    <phoneticPr fontId="4" type="noConversion"/>
  </si>
  <si>
    <t>NCFLW</t>
  </si>
  <si>
    <t>HG02408</t>
    <phoneticPr fontId="4" type="noConversion"/>
  </si>
  <si>
    <t>SY8003ADFC</t>
    <phoneticPr fontId="4" type="noConversion"/>
  </si>
  <si>
    <t>DFN2*2-8</t>
    <phoneticPr fontId="4" type="noConversion"/>
  </si>
  <si>
    <t>VB5ZA</t>
    <phoneticPr fontId="4" type="noConversion"/>
  </si>
  <si>
    <t>HG02409</t>
    <phoneticPr fontId="4" type="noConversion"/>
  </si>
  <si>
    <t>A25J0</t>
    <phoneticPr fontId="4" type="noConversion"/>
  </si>
  <si>
    <t>SY8003CDFC</t>
    <phoneticPr fontId="4" type="noConversion"/>
  </si>
  <si>
    <t>DFN2*2-8</t>
    <phoneticPr fontId="4" type="noConversion"/>
  </si>
  <si>
    <t>UW5ZA</t>
    <phoneticPr fontId="4" type="noConversion"/>
  </si>
  <si>
    <t>NCGL5</t>
  </si>
  <si>
    <t>HG02410</t>
    <phoneticPr fontId="4" type="noConversion"/>
  </si>
  <si>
    <t>SY8034DFC</t>
    <phoneticPr fontId="4" type="noConversion"/>
  </si>
  <si>
    <t>9#-12#</t>
  </si>
  <si>
    <t>HG02411</t>
    <phoneticPr fontId="4" type="noConversion"/>
  </si>
  <si>
    <t>SYH634DFC</t>
    <phoneticPr fontId="4" type="noConversion"/>
  </si>
  <si>
    <t>DFN2*2-8</t>
    <phoneticPr fontId="4" type="noConversion"/>
  </si>
  <si>
    <t>UV5ZA</t>
    <phoneticPr fontId="4" type="noConversion"/>
  </si>
  <si>
    <t>HG02412</t>
    <phoneticPr fontId="4" type="noConversion"/>
  </si>
  <si>
    <t>SYH634LDFC</t>
    <phoneticPr fontId="4" type="noConversion"/>
  </si>
  <si>
    <t>VT5ZA</t>
    <phoneticPr fontId="4" type="noConversion"/>
  </si>
  <si>
    <t>VT5ZB</t>
    <phoneticPr fontId="4" type="noConversion"/>
  </si>
  <si>
    <t>VT5ZC</t>
    <phoneticPr fontId="4" type="noConversion"/>
  </si>
  <si>
    <t>R778Q</t>
  </si>
  <si>
    <t>R778N</t>
  </si>
  <si>
    <t>R778P</t>
  </si>
  <si>
    <t>VT5ZD</t>
    <phoneticPr fontId="4" type="noConversion"/>
  </si>
  <si>
    <t>R7C9G</t>
  </si>
  <si>
    <t>HG02413</t>
    <phoneticPr fontId="4" type="noConversion"/>
  </si>
  <si>
    <t>HG02414</t>
    <phoneticPr fontId="4" type="noConversion"/>
  </si>
  <si>
    <t>HG02415</t>
    <phoneticPr fontId="4" type="noConversion"/>
  </si>
  <si>
    <t>HG02416</t>
    <phoneticPr fontId="4" type="noConversion"/>
  </si>
  <si>
    <t>SY7088DGC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</si>
  <si>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</si>
  <si>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NZ5ZA</t>
    <phoneticPr fontId="4" type="noConversion"/>
  </si>
  <si>
    <t>NCMYK.01</t>
  </si>
  <si>
    <t>HG02417</t>
    <phoneticPr fontId="4" type="noConversion"/>
  </si>
  <si>
    <t>SY7203DBC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</si>
  <si>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</si>
  <si>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ADS5ZA</t>
    <phoneticPr fontId="4" type="noConversion"/>
  </si>
  <si>
    <t>NCJLT</t>
  </si>
  <si>
    <t>HG02418</t>
    <phoneticPr fontId="4" type="noConversion"/>
  </si>
  <si>
    <t>SY8205DNC</t>
    <phoneticPr fontId="4" type="noConversion"/>
  </si>
  <si>
    <t>ZW5ZA</t>
    <phoneticPr fontId="4" type="noConversion"/>
  </si>
  <si>
    <t>HG02419</t>
    <phoneticPr fontId="4" type="noConversion"/>
  </si>
  <si>
    <t>SY8088LACC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</si>
  <si>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</si>
  <si>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NC9S5</t>
  </si>
  <si>
    <t>1#-6#</t>
    <phoneticPr fontId="4" type="noConversion"/>
  </si>
  <si>
    <t>HG02283</t>
    <phoneticPr fontId="4" type="noConversion"/>
  </si>
  <si>
    <t>UW5ZB</t>
    <phoneticPr fontId="4" type="noConversion"/>
  </si>
  <si>
    <t>KT5ZA</t>
    <phoneticPr fontId="4" type="noConversion"/>
  </si>
  <si>
    <t>NCMFS</t>
  </si>
  <si>
    <t>NCMFW</t>
  </si>
  <si>
    <t>HG02420</t>
    <phoneticPr fontId="4" type="noConversion"/>
  </si>
  <si>
    <t>HG02421</t>
    <phoneticPr fontId="4" type="noConversion"/>
  </si>
  <si>
    <t>SY8868QMC</t>
    <phoneticPr fontId="4" type="noConversion"/>
  </si>
  <si>
    <t>QFN2*2-10</t>
    <phoneticPr fontId="4" type="noConversion"/>
  </si>
  <si>
    <t>NCMFH</t>
  </si>
  <si>
    <t>KT5ZB</t>
    <phoneticPr fontId="4" type="noConversion"/>
  </si>
  <si>
    <t>AJE5ZA</t>
    <phoneticPr fontId="4" type="noConversion"/>
  </si>
  <si>
    <t>E02L0</t>
    <phoneticPr fontId="4" type="noConversion"/>
  </si>
  <si>
    <t>HG02422</t>
    <phoneticPr fontId="4" type="noConversion"/>
  </si>
  <si>
    <t>SY5011FAC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</si>
  <si>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</si>
  <si>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AFB5ZA</t>
    <phoneticPr fontId="4" type="noConversion"/>
  </si>
  <si>
    <t>E02R3</t>
    <phoneticPr fontId="4" type="noConversion"/>
  </si>
  <si>
    <t>NC6MA</t>
  </si>
  <si>
    <t>HG02423</t>
    <phoneticPr fontId="4" type="noConversion"/>
  </si>
  <si>
    <t>SY5800AFAC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</si>
  <si>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</si>
  <si>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AGB5ZA</t>
    <phoneticPr fontId="4" type="noConversion"/>
  </si>
  <si>
    <t>HG02424</t>
    <phoneticPr fontId="4" type="noConversion"/>
  </si>
  <si>
    <t>SY5800BFAC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</si>
  <si>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</si>
  <si>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ANE5ZA</t>
    <phoneticPr fontId="4" type="noConversion"/>
  </si>
  <si>
    <t>HG02425</t>
    <phoneticPr fontId="4" type="noConversion"/>
  </si>
  <si>
    <t>SY5805FAC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</si>
  <si>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</si>
  <si>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AZB5ZA</t>
    <phoneticPr fontId="4" type="noConversion"/>
  </si>
  <si>
    <t>NC404.01</t>
  </si>
  <si>
    <t>HG02426</t>
    <phoneticPr fontId="4" type="noConversion"/>
  </si>
  <si>
    <t>SY5861BFAC</t>
    <phoneticPr fontId="4" type="noConversion"/>
  </si>
  <si>
    <t>AHI5ZA</t>
    <phoneticPr fontId="4" type="noConversion"/>
  </si>
  <si>
    <t>HG02427</t>
    <phoneticPr fontId="4" type="noConversion"/>
  </si>
  <si>
    <t>SY8204FCC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</si>
  <si>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</si>
  <si>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AHH5ZA</t>
    <phoneticPr fontId="4" type="noConversion"/>
  </si>
  <si>
    <t>NCJLW</t>
  </si>
  <si>
    <t>NCJLY</t>
  </si>
  <si>
    <t>AHH5ZB</t>
    <phoneticPr fontId="4" type="noConversion"/>
  </si>
  <si>
    <t>HG02428</t>
    <phoneticPr fontId="4" type="noConversion"/>
  </si>
  <si>
    <t>HG02429</t>
    <phoneticPr fontId="4" type="noConversion"/>
  </si>
  <si>
    <t>SY8205FCC</t>
    <phoneticPr fontId="4" type="noConversion"/>
  </si>
  <si>
    <t>AIU5ZA</t>
    <phoneticPr fontId="4" type="noConversion"/>
  </si>
  <si>
    <t>HG02430</t>
    <phoneticPr fontId="4" type="noConversion"/>
  </si>
  <si>
    <t>SYC812FAC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</si>
  <si>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</si>
  <si>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AYD5ZA</t>
    <phoneticPr fontId="4" type="noConversion"/>
  </si>
  <si>
    <t>NC57C.04</t>
  </si>
  <si>
    <t>ATS5ZA</t>
    <phoneticPr fontId="4" type="noConversion"/>
  </si>
  <si>
    <t>E51I0+U2X15A</t>
    <phoneticPr fontId="4" type="noConversion"/>
  </si>
  <si>
    <t>SY50131FAC</t>
    <phoneticPr fontId="4" type="noConversion"/>
  </si>
  <si>
    <t>10+29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</si>
  <si>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</si>
  <si>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NC5RG+(FKFWP+FWY6A)</t>
    <phoneticPr fontId="4" type="noConversion"/>
  </si>
  <si>
    <t>6#-15#+(2#-25#+1#-5#)</t>
    <phoneticPr fontId="4" type="noConversion"/>
  </si>
  <si>
    <t>HG02432</t>
    <phoneticPr fontId="4" type="noConversion"/>
  </si>
  <si>
    <t>ATK5ZA</t>
    <phoneticPr fontId="4" type="noConversion"/>
  </si>
  <si>
    <t>10+50</t>
    <phoneticPr fontId="4" type="noConversion"/>
  </si>
  <si>
    <t>SY50133FAC</t>
    <phoneticPr fontId="4" type="noConversion"/>
  </si>
  <si>
    <t>NCKJT+(FWRAF+FMPKS)</t>
    <phoneticPr fontId="4" type="noConversion"/>
  </si>
  <si>
    <t>9#-18#+(1#-25#+1#-25#)</t>
    <phoneticPr fontId="4" type="noConversion"/>
  </si>
  <si>
    <t>7#-16#+(1#-25#+1#-25#)</t>
    <phoneticPr fontId="4" type="noConversion"/>
  </si>
  <si>
    <t>HG02433</t>
    <phoneticPr fontId="4" type="noConversion"/>
  </si>
  <si>
    <t>ATH5ZA</t>
    <phoneticPr fontId="4" type="noConversion"/>
  </si>
  <si>
    <t>4+27</t>
    <phoneticPr fontId="4" type="noConversion"/>
  </si>
  <si>
    <t>HG02434</t>
    <phoneticPr fontId="4" type="noConversion"/>
  </si>
  <si>
    <t>SY50135FAC</t>
    <phoneticPr fontId="4" type="noConversion"/>
  </si>
  <si>
    <t>NC76P+(FWKN4+F9W2R)</t>
    <phoneticPr fontId="4" type="noConversion"/>
  </si>
  <si>
    <t>9#-12#+(1#-25#+24#-25#)</t>
    <phoneticPr fontId="4" type="noConversion"/>
  </si>
  <si>
    <t>SY50135FAC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</si>
  <si>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</si>
  <si>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5+34</t>
    <phoneticPr fontId="4" type="noConversion"/>
  </si>
  <si>
    <t>ATH5ZB</t>
    <phoneticPr fontId="4" type="noConversion"/>
  </si>
  <si>
    <t>NC76P+(FYP7S+FWTGY)</t>
    <phoneticPr fontId="4" type="noConversion"/>
  </si>
  <si>
    <t>13#-17#+(1#-25#+17#-25#)</t>
    <phoneticPr fontId="4" type="noConversion"/>
  </si>
  <si>
    <t>HG02435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</si>
  <si>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</si>
  <si>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ATH5ZC</t>
    <phoneticPr fontId="4" type="noConversion"/>
  </si>
  <si>
    <t>NC76P+(FLCPK+FMTW3)</t>
    <phoneticPr fontId="4" type="noConversion"/>
  </si>
  <si>
    <t>4+28</t>
    <phoneticPr fontId="4" type="noConversion"/>
  </si>
  <si>
    <t>18#-21#+(1#-25#+21#-23#)</t>
    <phoneticPr fontId="4" type="noConversion"/>
  </si>
  <si>
    <t>HG02436</t>
    <phoneticPr fontId="4" type="noConversion"/>
  </si>
  <si>
    <t>AZI5ZA</t>
    <phoneticPr fontId="4" type="noConversion"/>
  </si>
  <si>
    <t>8+26</t>
    <phoneticPr fontId="4" type="noConversion"/>
  </si>
  <si>
    <t>HG02437</t>
    <phoneticPr fontId="4" type="noConversion"/>
  </si>
  <si>
    <t>AZI5ZB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</si>
  <si>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</si>
  <si>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NC2YY+(F2LPY+FR4LM)</t>
    <phoneticPr fontId="4" type="noConversion"/>
  </si>
  <si>
    <t>1#-8#+(1#-25#+24#)</t>
    <phoneticPr fontId="4" type="noConversion"/>
  </si>
  <si>
    <t>17#-24#+(1#-25#+24#)</t>
    <phoneticPr fontId="4" type="noConversion"/>
  </si>
  <si>
    <t>11#-18#+(1#-25#+25#)</t>
    <phoneticPr fontId="4" type="noConversion"/>
  </si>
  <si>
    <t>9#-16#+(1#-25#+25#)</t>
    <phoneticPr fontId="4" type="noConversion"/>
  </si>
  <si>
    <t>NC2YY+(FPSAN+FR4LM)</t>
    <phoneticPr fontId="4" type="noConversion"/>
  </si>
  <si>
    <t>SY58182NFAC</t>
    <phoneticPr fontId="4" type="noConversion"/>
  </si>
  <si>
    <t>HG02438</t>
    <phoneticPr fontId="4" type="noConversion"/>
  </si>
  <si>
    <t>AYJ5ZA</t>
    <phoneticPr fontId="4" type="noConversion"/>
  </si>
  <si>
    <t>9+29</t>
    <phoneticPr fontId="4" type="noConversion"/>
  </si>
  <si>
    <t>AYJ5ZB</t>
    <phoneticPr fontId="4" type="noConversion"/>
  </si>
  <si>
    <t>NC2YY+(SJ096700+SJ098300)</t>
    <phoneticPr fontId="4" type="noConversion"/>
  </si>
  <si>
    <t>17#-25#+(1#-6#,8#-25#+1#-5#)</t>
    <phoneticPr fontId="4" type="noConversion"/>
  </si>
  <si>
    <t>HG02439</t>
    <phoneticPr fontId="4" type="noConversion"/>
  </si>
  <si>
    <t>SY58283NFAC</t>
    <phoneticPr fontId="4" type="noConversion"/>
  </si>
  <si>
    <t>1#-8#+(1#-25#+25#)</t>
    <phoneticPr fontId="4" type="noConversion"/>
  </si>
  <si>
    <t>NC300+(SJ098500+SJ097000)</t>
    <phoneticPr fontId="4" type="noConversion"/>
  </si>
  <si>
    <t>HG02440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</si>
  <si>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</si>
  <si>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4+13</t>
    <phoneticPr fontId="4" type="noConversion"/>
  </si>
  <si>
    <t>AYJ5ZC</t>
    <phoneticPr fontId="4" type="noConversion"/>
  </si>
  <si>
    <t>NC300+SJ098300</t>
    <phoneticPr fontId="4" type="noConversion"/>
  </si>
  <si>
    <t>9#-12#+6#-18#</t>
    <phoneticPr fontId="4" type="noConversion"/>
  </si>
  <si>
    <t>HG02441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</si>
  <si>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</si>
  <si>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APQ5ZD</t>
    <phoneticPr fontId="4" type="noConversion"/>
  </si>
  <si>
    <t>APQ5ZE</t>
    <phoneticPr fontId="4" type="noConversion"/>
  </si>
  <si>
    <t>APQ5ZF</t>
    <phoneticPr fontId="4" type="noConversion"/>
  </si>
  <si>
    <t>7+48</t>
    <phoneticPr fontId="4" type="noConversion"/>
  </si>
  <si>
    <t>NAPFT+(FL242+FTH48)</t>
    <phoneticPr fontId="4" type="noConversion"/>
  </si>
  <si>
    <t>HG02442</t>
    <phoneticPr fontId="4" type="noConversion"/>
  </si>
  <si>
    <t>SY58294ZFAC</t>
    <phoneticPr fontId="4" type="noConversion"/>
  </si>
  <si>
    <t>NAPFT+(FC3WA+FTH48)</t>
    <phoneticPr fontId="4" type="noConversion"/>
  </si>
  <si>
    <t>HG02443</t>
    <phoneticPr fontId="4" type="noConversion"/>
  </si>
  <si>
    <t>NAPFT+(FMMLG+FY8LC)</t>
    <phoneticPr fontId="4" type="noConversion"/>
  </si>
  <si>
    <t>18#-21#+(1#-25#+23#-24#)</t>
    <phoneticPr fontId="4" type="noConversion"/>
  </si>
  <si>
    <t>HG02444</t>
    <phoneticPr fontId="4" type="noConversion"/>
  </si>
  <si>
    <t>AMY5ZA</t>
    <phoneticPr fontId="4" type="noConversion"/>
  </si>
  <si>
    <t>10+28</t>
    <phoneticPr fontId="4" type="noConversion"/>
  </si>
  <si>
    <t>SY58203AFAC</t>
    <phoneticPr fontId="4" type="noConversion"/>
  </si>
  <si>
    <t>1#-10#+(1#-25#+19#-21#)</t>
    <phoneticPr fontId="4" type="noConversion"/>
  </si>
  <si>
    <t>NC4KQ.01+(SJ101000+SJ100900)</t>
    <phoneticPr fontId="4" type="noConversion"/>
  </si>
  <si>
    <t>HG02445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</si>
  <si>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</si>
  <si>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AKW5ZA</t>
    <phoneticPr fontId="4" type="noConversion"/>
  </si>
  <si>
    <t>9+10</t>
    <phoneticPr fontId="4" type="noConversion"/>
  </si>
  <si>
    <t>SY6174FAC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</si>
  <si>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</si>
  <si>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NC3AQ+SJ104000</t>
    <phoneticPr fontId="4" type="noConversion"/>
  </si>
  <si>
    <t>10#-18#+11#-20#</t>
    <phoneticPr fontId="4" type="noConversion"/>
  </si>
  <si>
    <t>HG02446</t>
    <phoneticPr fontId="4" type="noConversion"/>
  </si>
  <si>
    <t>AWU5ZA</t>
    <phoneticPr fontId="4" type="noConversion"/>
  </si>
  <si>
    <t>9+26</t>
    <phoneticPr fontId="4" type="noConversion"/>
  </si>
  <si>
    <t>NC0WM+(F23LP+FSM9R)</t>
    <phoneticPr fontId="4" type="noConversion"/>
  </si>
  <si>
    <t>1#-9#+(1#-25#+25#)</t>
    <phoneticPr fontId="4" type="noConversion"/>
  </si>
  <si>
    <t>HG02447</t>
    <phoneticPr fontId="4" type="noConversion"/>
  </si>
  <si>
    <t>SY58282LFAC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</si>
  <si>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</si>
  <si>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AZH5ZA</t>
    <phoneticPr fontId="4" type="noConversion"/>
  </si>
  <si>
    <t>2+25</t>
    <phoneticPr fontId="4" type="noConversion"/>
  </si>
  <si>
    <t>7#-8#+1#-25#</t>
    <phoneticPr fontId="4" type="noConversion"/>
  </si>
  <si>
    <t>NC5A1+F6FFS</t>
    <phoneticPr fontId="4" type="noConversion"/>
  </si>
  <si>
    <t>HG02448</t>
    <phoneticPr fontId="4" type="noConversion"/>
  </si>
  <si>
    <t>SY58596YFAC</t>
    <phoneticPr fontId="4" type="noConversion"/>
  </si>
  <si>
    <t>E10G5</t>
    <phoneticPr fontId="4" type="noConversion"/>
  </si>
  <si>
    <t>ZT5ZC</t>
    <phoneticPr fontId="4" type="noConversion"/>
  </si>
  <si>
    <t>NCN9P</t>
  </si>
  <si>
    <t>HG02449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</si>
  <si>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</si>
  <si>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SY5839ABC-1</t>
    <phoneticPr fontId="4" type="noConversion"/>
  </si>
  <si>
    <t>NM5ZA</t>
    <phoneticPr fontId="4" type="noConversion"/>
  </si>
  <si>
    <t>B17S0</t>
    <phoneticPr fontId="4" type="noConversion"/>
  </si>
  <si>
    <t>NCFH5</t>
  </si>
  <si>
    <t>HG02450</t>
    <phoneticPr fontId="4" type="noConversion"/>
  </si>
  <si>
    <t>SY7113ABC</t>
    <phoneticPr fontId="4" type="noConversion"/>
  </si>
  <si>
    <t>JU5ZA</t>
    <phoneticPr fontId="4" type="noConversion"/>
  </si>
  <si>
    <t>HG02451</t>
    <phoneticPr fontId="4" type="noConversion"/>
  </si>
  <si>
    <t>SY7208CABC</t>
    <phoneticPr fontId="4" type="noConversion"/>
  </si>
  <si>
    <t>Hb5ZC</t>
    <phoneticPr fontId="4" type="noConversion"/>
  </si>
  <si>
    <t>NCN76</t>
  </si>
  <si>
    <t>HG02452</t>
    <phoneticPr fontId="4" type="noConversion"/>
  </si>
  <si>
    <t>SY7305ABC</t>
    <phoneticPr fontId="4" type="noConversion"/>
  </si>
  <si>
    <t>UH5ZA</t>
    <phoneticPr fontId="4" type="noConversion"/>
  </si>
  <si>
    <t>NCKHF</t>
  </si>
  <si>
    <t>HG02453</t>
    <phoneticPr fontId="4" type="noConversion"/>
  </si>
  <si>
    <t>SY8079AAC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</si>
  <si>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</si>
  <si>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HT5ZA</t>
    <phoneticPr fontId="4" type="noConversion"/>
  </si>
  <si>
    <t>HG02454</t>
    <phoneticPr fontId="4" type="noConversion"/>
  </si>
  <si>
    <t>SY8120ABC</t>
    <phoneticPr fontId="4" type="noConversion"/>
  </si>
  <si>
    <t>JW5ZC</t>
    <phoneticPr fontId="4" type="noConversion"/>
  </si>
  <si>
    <t>NCMYA</t>
  </si>
  <si>
    <t>HG02455</t>
    <phoneticPr fontId="4" type="noConversion"/>
  </si>
  <si>
    <t>SY8121ABC</t>
    <phoneticPr fontId="4" type="noConversion"/>
  </si>
  <si>
    <t>TW5ZA</t>
    <phoneticPr fontId="4" type="noConversion"/>
  </si>
  <si>
    <t>NC59K</t>
  </si>
  <si>
    <t>HG02456</t>
    <phoneticPr fontId="4" type="noConversion"/>
  </si>
  <si>
    <t>SY8707ABC</t>
    <phoneticPr fontId="4" type="noConversion"/>
  </si>
  <si>
    <t>B28M0</t>
  </si>
  <si>
    <t>Ii5ZA</t>
    <phoneticPr fontId="4" type="noConversion"/>
  </si>
  <si>
    <t>NCMGW.02</t>
  </si>
  <si>
    <t>HG02457</t>
    <phoneticPr fontId="4" type="noConversion"/>
  </si>
  <si>
    <t>SY7201BABC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</si>
  <si>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</si>
  <si>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ZR5ZA</t>
    <phoneticPr fontId="4" type="noConversion"/>
  </si>
  <si>
    <t>5+14</t>
    <phoneticPr fontId="4" type="noConversion"/>
  </si>
  <si>
    <t>SY50281AAC</t>
    <phoneticPr fontId="4" type="noConversion"/>
  </si>
  <si>
    <t>NC32A+F6LYM</t>
    <phoneticPr fontId="4" type="noConversion"/>
  </si>
  <si>
    <t>11#-15#+1#-14#</t>
    <phoneticPr fontId="4" type="noConversion"/>
  </si>
  <si>
    <t>HG02458</t>
    <phoneticPr fontId="4" type="noConversion"/>
  </si>
  <si>
    <r>
      <t>TO252-3(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</si>
  <si>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N9HP3-1</t>
  </si>
  <si>
    <t>NCGL5-1</t>
  </si>
  <si>
    <t>NCGL5-2</t>
  </si>
  <si>
    <t>NC6M7-1</t>
  </si>
  <si>
    <t>NC6MA-1</t>
  </si>
  <si>
    <t>NCLSL-1</t>
  </si>
  <si>
    <t>NC7QR-1</t>
  </si>
  <si>
    <t>(FKFWP+FWY6A);NC5RG</t>
  </si>
  <si>
    <t>(FWRAF+FMPKS);NCKJT</t>
  </si>
  <si>
    <t>(FWKN4+F9W2R);NC76P</t>
  </si>
  <si>
    <t>(FYP7S+FWTGY);NC76P</t>
  </si>
  <si>
    <t>(FLCPK+FMTW3);NC76P</t>
  </si>
  <si>
    <t>(F2LPY+FR4LM);NC2YY</t>
  </si>
  <si>
    <t>(FPSAN+FR4LM);NC2YY</t>
  </si>
  <si>
    <t>(SJ096700+SJ098300);NC2YY</t>
  </si>
  <si>
    <t>(SJ098500+SJ097000);NC300</t>
  </si>
  <si>
    <t>SJ098300;NC300</t>
  </si>
  <si>
    <t>NAPFT;(FL242+FTH48)</t>
  </si>
  <si>
    <t>NAPFT;(FC3WA+FTH48)</t>
  </si>
  <si>
    <t>NAPFT;(FMMLG+FY8LC)</t>
  </si>
  <si>
    <t>NC4KQ.01;(SJ101000+SJ100900)</t>
  </si>
  <si>
    <t>NC3AQ;SJ104000-1</t>
  </si>
  <si>
    <t>(F23LP+FSM9R);NC0WM</t>
  </si>
  <si>
    <t>F6FFS;NC5A1</t>
  </si>
  <si>
    <t>NCF1F+01</t>
  </si>
  <si>
    <t>NC820+01</t>
  </si>
  <si>
    <t>E51ZG1+B105H</t>
    <phoneticPr fontId="4" type="noConversion"/>
  </si>
  <si>
    <t>JCET</t>
    <phoneticPr fontId="4" type="noConversion"/>
  </si>
  <si>
    <t>BEM5ZA</t>
    <phoneticPr fontId="4" type="noConversion"/>
  </si>
  <si>
    <t>UMC</t>
    <phoneticPr fontId="4" type="noConversion"/>
  </si>
  <si>
    <t>2+7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</si>
  <si>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</si>
  <si>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HG02459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</si>
  <si>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</si>
  <si>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NCMA5.03+5BP0654</t>
    <phoneticPr fontId="4" type="noConversion"/>
  </si>
  <si>
    <t>16#-17+#4,12,14,15,29,37,41</t>
    <phoneticPr fontId="4" type="noConversion"/>
  </si>
  <si>
    <t>E36F2</t>
    <phoneticPr fontId="4" type="noConversion"/>
  </si>
  <si>
    <t>JCET</t>
    <phoneticPr fontId="4" type="noConversion"/>
  </si>
  <si>
    <t>BDT5ZA</t>
    <phoneticPr fontId="4" type="noConversion"/>
  </si>
  <si>
    <t>HJTC</t>
    <phoneticPr fontId="4" type="noConversion"/>
  </si>
  <si>
    <t>HG02460</t>
    <phoneticPr fontId="4" type="noConversion"/>
  </si>
  <si>
    <t>NC4M1.30</t>
    <phoneticPr fontId="4" type="noConversion"/>
  </si>
  <si>
    <t>17#-18#</t>
  </si>
  <si>
    <t>HG02461</t>
    <phoneticPr fontId="4" type="noConversion"/>
  </si>
  <si>
    <t>BDT5ZB</t>
    <phoneticPr fontId="4" type="noConversion"/>
  </si>
  <si>
    <t xml:space="preserve"> NCH1C.03</t>
    <phoneticPr fontId="4" type="noConversion"/>
  </si>
  <si>
    <t>14#-17#</t>
  </si>
  <si>
    <t>HG02462</t>
    <phoneticPr fontId="4" type="noConversion"/>
  </si>
  <si>
    <t>Lg5ZA</t>
    <phoneticPr fontId="4" type="noConversion"/>
  </si>
  <si>
    <t>NCH1C.03</t>
    <phoneticPr fontId="4" type="noConversion"/>
  </si>
  <si>
    <t>18#-25#</t>
    <phoneticPr fontId="4" type="noConversion"/>
  </si>
  <si>
    <t>SY5863JAC</t>
    <phoneticPr fontId="4" type="noConversion"/>
  </si>
  <si>
    <t>HG02431</t>
    <phoneticPr fontId="4" type="noConversion"/>
  </si>
  <si>
    <t>F6LYM;NC32A</t>
  </si>
  <si>
    <t>NCMA5.03;5BP0654</t>
  </si>
  <si>
    <t>NC4M1.30</t>
  </si>
  <si>
    <t>NCH1C.03+01</t>
  </si>
  <si>
    <t>SY50131DFAC</t>
    <phoneticPr fontId="4" type="noConversion"/>
  </si>
  <si>
    <t>SY58583AFC</t>
    <phoneticPr fontId="4" type="noConversion"/>
  </si>
  <si>
    <t>SY58582AEC</t>
    <phoneticPr fontId="4" type="noConversion"/>
  </si>
  <si>
    <t>WR5ZA</t>
    <phoneticPr fontId="4" type="noConversion"/>
  </si>
  <si>
    <t>B40LA0</t>
    <phoneticPr fontId="4" type="noConversion"/>
  </si>
  <si>
    <t>N8JP5.01</t>
  </si>
  <si>
    <t>5#~9#</t>
  </si>
  <si>
    <t>HG02463</t>
    <phoneticPr fontId="4" type="noConversion"/>
  </si>
  <si>
    <t>SY7301ADBC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</si>
  <si>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</si>
  <si>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PU5ZA</t>
    <phoneticPr fontId="4" type="noConversion"/>
  </si>
  <si>
    <t>SY8003LDFC</t>
    <phoneticPr fontId="4" type="noConversion"/>
  </si>
  <si>
    <t>DFN2*2-8</t>
    <phoneticPr fontId="4" type="noConversion"/>
  </si>
  <si>
    <t>LH5ZB</t>
    <phoneticPr fontId="4" type="noConversion"/>
  </si>
  <si>
    <t>A11A1</t>
    <phoneticPr fontId="4" type="noConversion"/>
  </si>
  <si>
    <t>7#-19#</t>
  </si>
  <si>
    <t>HG02464</t>
    <phoneticPr fontId="4" type="noConversion"/>
  </si>
  <si>
    <t>SY8061DEC</t>
    <phoneticPr fontId="4" type="noConversion"/>
  </si>
  <si>
    <t>DFN2*2-6</t>
    <phoneticPr fontId="4" type="noConversion"/>
  </si>
  <si>
    <t>LS5ZA</t>
    <phoneticPr fontId="4" type="noConversion"/>
  </si>
  <si>
    <t>HG02465</t>
    <phoneticPr fontId="4" type="noConversion"/>
  </si>
  <si>
    <t>SY8203DBC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</si>
  <si>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</si>
  <si>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SY8288BRAC</t>
    <phoneticPr fontId="4" type="noConversion"/>
  </si>
  <si>
    <t>BAB5ZA</t>
    <phoneticPr fontId="4" type="noConversion"/>
  </si>
  <si>
    <t>BAB5ZB</t>
    <phoneticPr fontId="4" type="noConversion"/>
  </si>
  <si>
    <t>BAB5ZC</t>
    <phoneticPr fontId="4" type="noConversion"/>
  </si>
  <si>
    <t>BAB5ZD</t>
    <phoneticPr fontId="4" type="noConversion"/>
  </si>
  <si>
    <t>NC893</t>
  </si>
  <si>
    <t>NCAQH</t>
  </si>
  <si>
    <t>NCFM9</t>
  </si>
  <si>
    <t>NCFM7</t>
  </si>
  <si>
    <t>14#-25#</t>
    <phoneticPr fontId="4" type="noConversion"/>
  </si>
  <si>
    <t>15#-25#</t>
    <phoneticPr fontId="4" type="noConversion"/>
  </si>
  <si>
    <t>HG02466</t>
    <phoneticPr fontId="4" type="noConversion"/>
  </si>
  <si>
    <t>HG02467</t>
    <phoneticPr fontId="4" type="noConversion"/>
  </si>
  <si>
    <t>HG02468</t>
    <phoneticPr fontId="4" type="noConversion"/>
  </si>
  <si>
    <t>HG02469</t>
    <phoneticPr fontId="4" type="noConversion"/>
  </si>
  <si>
    <t>SY8288BRAC</t>
    <phoneticPr fontId="4" type="noConversion"/>
  </si>
  <si>
    <t>QFN3*3-20</t>
    <phoneticPr fontId="4" type="noConversion"/>
  </si>
  <si>
    <t>BAC5ZA</t>
    <phoneticPr fontId="4" type="noConversion"/>
  </si>
  <si>
    <t>BAC5ZB</t>
    <phoneticPr fontId="4" type="noConversion"/>
  </si>
  <si>
    <t>NCAQH.01</t>
  </si>
  <si>
    <t>NCFM8</t>
  </si>
  <si>
    <t>HG02470</t>
    <phoneticPr fontId="4" type="noConversion"/>
  </si>
  <si>
    <t>HG02471</t>
    <phoneticPr fontId="4" type="noConversion"/>
  </si>
  <si>
    <t>SY8288CRAC</t>
    <phoneticPr fontId="4" type="noConversion"/>
  </si>
  <si>
    <t>In5ZA</t>
    <phoneticPr fontId="4" type="noConversion"/>
  </si>
  <si>
    <t>NCG2A.02</t>
  </si>
  <si>
    <t>HG02472</t>
    <phoneticPr fontId="4" type="noConversion"/>
  </si>
  <si>
    <t>SY8821SAC</t>
    <phoneticPr fontId="4" type="noConversion"/>
  </si>
  <si>
    <t>DFN2*1.5-8</t>
    <phoneticPr fontId="4" type="noConversion"/>
  </si>
  <si>
    <t>GZ5ZA</t>
    <phoneticPr fontId="4" type="noConversion"/>
  </si>
  <si>
    <t>E02F1</t>
    <phoneticPr fontId="4" type="noConversion"/>
  </si>
  <si>
    <t>HG02473</t>
    <phoneticPr fontId="4" type="noConversion"/>
  </si>
  <si>
    <t>SY5810ABC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</si>
  <si>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</si>
  <si>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Jy5ZC</t>
    <phoneticPr fontId="4" type="noConversion"/>
  </si>
  <si>
    <t>NCA12.02</t>
  </si>
  <si>
    <t>HG02474</t>
    <phoneticPr fontId="4" type="noConversion"/>
  </si>
  <si>
    <t>SY5830BABC</t>
    <phoneticPr fontId="4" type="noConversion"/>
  </si>
  <si>
    <t>JU5ZB</t>
    <phoneticPr fontId="4" type="noConversion"/>
  </si>
  <si>
    <t>NCF1G</t>
  </si>
  <si>
    <t>HG02475</t>
    <phoneticPr fontId="4" type="noConversion"/>
  </si>
  <si>
    <t>SY7208CABC</t>
    <phoneticPr fontId="4" type="noConversion"/>
  </si>
  <si>
    <t>Hb5ZD</t>
    <phoneticPr fontId="4" type="noConversion"/>
  </si>
  <si>
    <t>NCN76.02</t>
  </si>
  <si>
    <t>HG02476</t>
    <phoneticPr fontId="4" type="noConversion"/>
  </si>
  <si>
    <t>SY7305ABC</t>
    <phoneticPr fontId="4" type="noConversion"/>
  </si>
  <si>
    <t>TW5ZB</t>
    <phoneticPr fontId="4" type="noConversion"/>
  </si>
  <si>
    <t>NC6JC</t>
  </si>
  <si>
    <t>HG02477</t>
    <phoneticPr fontId="4" type="noConversion"/>
  </si>
  <si>
    <t>SY8707ABC</t>
    <phoneticPr fontId="4" type="noConversion"/>
  </si>
  <si>
    <t>XO5ZB</t>
    <phoneticPr fontId="4" type="noConversion"/>
  </si>
  <si>
    <t>NAC73</t>
  </si>
  <si>
    <t>HG02478</t>
    <phoneticPr fontId="4" type="noConversion"/>
  </si>
  <si>
    <t>SYP513ABC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</si>
  <si>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</si>
  <si>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B28E0</t>
    <phoneticPr fontId="4" type="noConversion"/>
  </si>
  <si>
    <t>EF5ZA</t>
    <phoneticPr fontId="4" type="noConversion"/>
  </si>
  <si>
    <t>NCASC</t>
  </si>
  <si>
    <t>1#-15#</t>
    <phoneticPr fontId="4" type="noConversion"/>
  </si>
  <si>
    <t>HG02479</t>
    <phoneticPr fontId="4" type="noConversion"/>
  </si>
  <si>
    <t>SY8703ABC</t>
    <phoneticPr fontId="4" type="noConversion"/>
  </si>
  <si>
    <t>APQ5ZG</t>
    <phoneticPr fontId="4" type="noConversion"/>
  </si>
  <si>
    <t>4+27</t>
    <phoneticPr fontId="4" type="noConversion"/>
  </si>
  <si>
    <t>7+48</t>
    <phoneticPr fontId="4" type="noConversion"/>
  </si>
  <si>
    <t>APQ5ZH</t>
    <phoneticPr fontId="4" type="noConversion"/>
  </si>
  <si>
    <t>APQ5ZI</t>
    <phoneticPr fontId="4" type="noConversion"/>
  </si>
  <si>
    <t>APQ5ZJ</t>
    <phoneticPr fontId="4" type="noConversion"/>
  </si>
  <si>
    <t>APQ5ZK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</si>
  <si>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</si>
  <si>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NAPFT+(FL4FA+FPWCM)</t>
    <phoneticPr fontId="4" type="noConversion"/>
  </si>
  <si>
    <t>7#-10#+(1#-25#+1#-2#)</t>
    <phoneticPr fontId="4" type="noConversion"/>
  </si>
  <si>
    <t>22#-25#+(1#-25#+1#-2#)</t>
    <phoneticPr fontId="4" type="noConversion"/>
  </si>
  <si>
    <t>HG02480</t>
    <phoneticPr fontId="4" type="noConversion"/>
  </si>
  <si>
    <t>SY58294ZFAC</t>
    <phoneticPr fontId="4" type="noConversion"/>
  </si>
  <si>
    <t>NAPFW+(FTL9Y+FPWCM)</t>
    <phoneticPr fontId="4" type="noConversion"/>
  </si>
  <si>
    <t>11#-17#+(1#-25#+3#-25#)</t>
    <phoneticPr fontId="4" type="noConversion"/>
  </si>
  <si>
    <t>HG02481</t>
    <phoneticPr fontId="4" type="noConversion"/>
  </si>
  <si>
    <t>NAPFW+(FCNCW+FS9T4)</t>
    <phoneticPr fontId="4" type="noConversion"/>
  </si>
  <si>
    <t>8#-11#+(1#-25#+1#-2#)</t>
    <phoneticPr fontId="4" type="noConversion"/>
  </si>
  <si>
    <t>HG02482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</si>
  <si>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</si>
  <si>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NAPFW+(F92MW+FS9T4)</t>
    <phoneticPr fontId="4" type="noConversion"/>
  </si>
  <si>
    <t>1#-7#+(1#-25#+3#-25#)</t>
    <phoneticPr fontId="4" type="noConversion"/>
  </si>
  <si>
    <t>HG02483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</si>
  <si>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</si>
  <si>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NAPFW+(FPL4Y+FCGRL)</t>
    <phoneticPr fontId="4" type="noConversion"/>
  </si>
  <si>
    <t>12#-18#+(1#-25#+3#-25#)</t>
    <phoneticPr fontId="4" type="noConversion"/>
  </si>
  <si>
    <t>19#-25#+(1#-25#+1#-23#)</t>
    <phoneticPr fontId="4" type="noConversion"/>
  </si>
  <si>
    <t>HG02484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</si>
  <si>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</si>
  <si>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AZB5ZB</t>
    <phoneticPr fontId="4" type="noConversion"/>
  </si>
  <si>
    <t>NC404.50</t>
  </si>
  <si>
    <t>4#,5#</t>
  </si>
  <si>
    <t>HG02485</t>
    <phoneticPr fontId="4" type="noConversion"/>
  </si>
  <si>
    <t>SY5861BFAC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</si>
  <si>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</si>
  <si>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AEP5ZA</t>
    <phoneticPr fontId="4" type="noConversion"/>
  </si>
  <si>
    <t>HG02486</t>
    <phoneticPr fontId="4" type="noConversion"/>
  </si>
  <si>
    <t>SYK871FCC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</si>
  <si>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</si>
  <si>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3+6</t>
    <phoneticPr fontId="4" type="noConversion"/>
  </si>
  <si>
    <t>AJM5ZA</t>
    <phoneticPr fontId="4" type="noConversion"/>
  </si>
  <si>
    <t>HG02487</t>
    <phoneticPr fontId="4" type="noConversion"/>
  </si>
  <si>
    <t>SYPH593FAC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</si>
  <si>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</si>
  <si>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NAW60.03+SJ087300</t>
    <phoneticPr fontId="4" type="noConversion"/>
  </si>
  <si>
    <t>1#-3#+12#~13#,15#~17#,19#</t>
    <phoneticPr fontId="4" type="noConversion"/>
  </si>
  <si>
    <t>HG02488</t>
    <phoneticPr fontId="4" type="noConversion"/>
  </si>
  <si>
    <t>SY6282ACC</t>
    <phoneticPr fontId="4" type="noConversion"/>
  </si>
  <si>
    <t>Ln5ZA</t>
    <phoneticPr fontId="4" type="noConversion"/>
  </si>
  <si>
    <t>NCLWK</t>
  </si>
  <si>
    <t>HG02489</t>
    <phoneticPr fontId="4" type="noConversion"/>
  </si>
  <si>
    <t>分档测试，Bin1:标签上品名为SY8703BABC,Bin2:标签上品名为SY8703ABC</t>
    <phoneticPr fontId="4" type="noConversion"/>
  </si>
  <si>
    <t>HG02126</t>
    <phoneticPr fontId="4" type="noConversion"/>
  </si>
  <si>
    <t>HG02127</t>
    <phoneticPr fontId="4" type="noConversion"/>
  </si>
  <si>
    <t>NCH1C.03</t>
  </si>
  <si>
    <t>NC74Y.02</t>
    <phoneticPr fontId="4" type="noConversion"/>
  </si>
  <si>
    <t>HG02083</t>
    <phoneticPr fontId="4" type="noConversion"/>
  </si>
  <si>
    <t>HG01798</t>
    <phoneticPr fontId="4" type="noConversion"/>
  </si>
  <si>
    <t>宿迁</t>
    <phoneticPr fontId="4" type="noConversion"/>
  </si>
  <si>
    <t>HG02284</t>
    <phoneticPr fontId="4" type="noConversion"/>
  </si>
  <si>
    <t xml:space="preserve">SOT89-3   </t>
    <phoneticPr fontId="4" type="noConversion"/>
  </si>
  <si>
    <t>C42A0</t>
    <phoneticPr fontId="4" type="noConversion"/>
  </si>
  <si>
    <t>NC8SH-1</t>
  </si>
  <si>
    <t>NC31G+02</t>
  </si>
  <si>
    <t>NAPFT;(FL4FA+FPWCM)</t>
  </si>
  <si>
    <t>A21A1</t>
    <phoneticPr fontId="4" type="noConversion"/>
  </si>
  <si>
    <t>SY8003ADFC</t>
    <phoneticPr fontId="4" type="noConversion"/>
  </si>
  <si>
    <t>KW6AA</t>
    <phoneticPr fontId="4" type="noConversion"/>
  </si>
  <si>
    <t>KW6AB</t>
    <phoneticPr fontId="4" type="noConversion"/>
  </si>
  <si>
    <t>NCPYQ</t>
  </si>
  <si>
    <t>NCPYR</t>
  </si>
  <si>
    <t>HH00001</t>
    <phoneticPr fontId="4" type="noConversion"/>
  </si>
  <si>
    <t>HH00002</t>
    <phoneticPr fontId="4" type="noConversion"/>
  </si>
  <si>
    <t>SY8003ADFC</t>
    <phoneticPr fontId="4" type="noConversion"/>
  </si>
  <si>
    <t>DFN2*2-8</t>
    <phoneticPr fontId="4" type="noConversion"/>
  </si>
  <si>
    <t>PK6AA</t>
    <phoneticPr fontId="4" type="noConversion"/>
  </si>
  <si>
    <t>HJTC</t>
    <phoneticPr fontId="4" type="noConversion"/>
  </si>
  <si>
    <t>A46B1</t>
    <phoneticPr fontId="4" type="noConversion"/>
  </si>
  <si>
    <t>NCJM3</t>
  </si>
  <si>
    <t>HH00003</t>
    <phoneticPr fontId="4" type="noConversion"/>
  </si>
  <si>
    <t>SYNV18DBC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</si>
  <si>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</si>
  <si>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BDU6AA</t>
    <phoneticPr fontId="4" type="noConversion"/>
  </si>
  <si>
    <t>B45A1</t>
    <phoneticPr fontId="4" type="noConversion"/>
  </si>
  <si>
    <t>NCN9L</t>
  </si>
  <si>
    <t>HH00004</t>
    <phoneticPr fontId="4" type="noConversion"/>
  </si>
  <si>
    <t>SY7215RDC</t>
    <phoneticPr fontId="4" type="noConversion"/>
  </si>
  <si>
    <t>QFN4*4-18</t>
    <phoneticPr fontId="4" type="noConversion"/>
  </si>
  <si>
    <t>KF6AA</t>
    <phoneticPr fontId="4" type="noConversion"/>
  </si>
  <si>
    <t>HH00005</t>
    <phoneticPr fontId="4" type="noConversion"/>
  </si>
  <si>
    <t>SY8011ADQC</t>
    <phoneticPr fontId="4" type="noConversion"/>
  </si>
  <si>
    <t>DFN1.5*1.5-6</t>
    <phoneticPr fontId="4" type="noConversion"/>
  </si>
  <si>
    <t>NY6AA</t>
    <phoneticPr fontId="4" type="noConversion"/>
  </si>
  <si>
    <t>A38B0</t>
    <phoneticPr fontId="4" type="noConversion"/>
  </si>
  <si>
    <t>NCK0C</t>
  </si>
  <si>
    <t>HH00006</t>
    <phoneticPr fontId="4" type="noConversion"/>
  </si>
  <si>
    <t>SY8105ADC</t>
    <phoneticPr fontId="4" type="noConversion"/>
  </si>
  <si>
    <t>TSOT23-6</t>
    <phoneticPr fontId="4" type="noConversion"/>
  </si>
  <si>
    <t>BAC6AA</t>
    <phoneticPr fontId="4" type="noConversion"/>
  </si>
  <si>
    <t>A88C1</t>
    <phoneticPr fontId="4" type="noConversion"/>
  </si>
  <si>
    <t>NCFM9.01</t>
  </si>
  <si>
    <t>HH00007</t>
    <phoneticPr fontId="4" type="noConversion"/>
  </si>
  <si>
    <t>SY8288CRAC</t>
    <phoneticPr fontId="4" type="noConversion"/>
  </si>
  <si>
    <t>QFN3*3-20</t>
    <phoneticPr fontId="4" type="noConversion"/>
  </si>
  <si>
    <t>XD6AA</t>
    <phoneticPr fontId="4" type="noConversion"/>
  </si>
  <si>
    <t>A57A1</t>
    <phoneticPr fontId="4" type="noConversion"/>
  </si>
  <si>
    <t>XD6AB</t>
    <phoneticPr fontId="4" type="noConversion"/>
  </si>
  <si>
    <t>XD6AC</t>
    <phoneticPr fontId="4" type="noConversion"/>
  </si>
  <si>
    <t>NCKLT</t>
  </si>
  <si>
    <t>NCMYF</t>
  </si>
  <si>
    <t>NCMYC</t>
  </si>
  <si>
    <t>HH00008</t>
    <phoneticPr fontId="4" type="noConversion"/>
  </si>
  <si>
    <t>HH00009</t>
    <phoneticPr fontId="4" type="noConversion"/>
  </si>
  <si>
    <t>HH00010</t>
    <phoneticPr fontId="4" type="noConversion"/>
  </si>
  <si>
    <t>SY8303AIC</t>
    <phoneticPr fontId="4" type="noConversion"/>
  </si>
  <si>
    <t>TSOT23-8</t>
    <phoneticPr fontId="4" type="noConversion"/>
  </si>
  <si>
    <t>KT6AA</t>
    <phoneticPr fontId="4" type="noConversion"/>
  </si>
  <si>
    <t>A42B3</t>
    <phoneticPr fontId="4" type="noConversion"/>
  </si>
  <si>
    <t>NCMFY</t>
  </si>
  <si>
    <t>1#-12#,14#-25#</t>
  </si>
  <si>
    <t>HH00011</t>
    <phoneticPr fontId="4" type="noConversion"/>
  </si>
  <si>
    <t>SY8868QMC</t>
    <phoneticPr fontId="4" type="noConversion"/>
  </si>
  <si>
    <t>QFN2*2-10</t>
    <phoneticPr fontId="4" type="noConversion"/>
  </si>
  <si>
    <t>ZY6AA</t>
    <phoneticPr fontId="4" type="noConversion"/>
  </si>
  <si>
    <t>8#-19#</t>
    <phoneticPr fontId="4" type="noConversion"/>
  </si>
  <si>
    <t>HH00012</t>
    <phoneticPr fontId="4" type="noConversion"/>
  </si>
  <si>
    <t>SYB822AIC</t>
    <phoneticPr fontId="4" type="noConversion"/>
  </si>
  <si>
    <t>JU6AA</t>
    <phoneticPr fontId="4" type="noConversion"/>
  </si>
  <si>
    <t>HH00013</t>
    <phoneticPr fontId="4" type="noConversion"/>
  </si>
  <si>
    <t>SY7208CABC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</si>
  <si>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</si>
  <si>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SY8089AAC</t>
  </si>
  <si>
    <t>JX6AA</t>
    <phoneticPr fontId="4" type="noConversion"/>
  </si>
  <si>
    <t>S01100</t>
  </si>
  <si>
    <t>S01101</t>
  </si>
  <si>
    <t>HH00014</t>
    <phoneticPr fontId="4" type="noConversion"/>
  </si>
  <si>
    <t>HH00015</t>
    <phoneticPr fontId="4" type="noConversion"/>
  </si>
  <si>
    <t>SY8089AAC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</si>
  <si>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</si>
  <si>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SY5861BFAC</t>
  </si>
  <si>
    <t>HH00016</t>
    <phoneticPr fontId="4" type="noConversion"/>
  </si>
  <si>
    <t>AZB6AA</t>
    <phoneticPr fontId="4" type="noConversion"/>
  </si>
  <si>
    <t>SY58182NFAC</t>
    <phoneticPr fontId="4" type="noConversion"/>
  </si>
  <si>
    <t>AZI6AA</t>
    <phoneticPr fontId="4" type="noConversion"/>
  </si>
  <si>
    <t>8+26</t>
    <phoneticPr fontId="4" type="noConversion"/>
  </si>
  <si>
    <t>5+16</t>
    <phoneticPr fontId="4" type="noConversion"/>
  </si>
  <si>
    <t>10+33</t>
    <phoneticPr fontId="4" type="noConversion"/>
  </si>
  <si>
    <t>7+23</t>
    <phoneticPr fontId="4" type="noConversion"/>
  </si>
  <si>
    <t>10+33</t>
    <phoneticPr fontId="4" type="noConversion"/>
  </si>
  <si>
    <t>AZI6AB</t>
    <phoneticPr fontId="4" type="noConversion"/>
  </si>
  <si>
    <t>AZI6AC</t>
    <phoneticPr fontId="4" type="noConversion"/>
  </si>
  <si>
    <t>AZI6AD</t>
    <phoneticPr fontId="4" type="noConversion"/>
  </si>
  <si>
    <t>AZI6AE</t>
    <phoneticPr fontId="4" type="noConversion"/>
  </si>
  <si>
    <t>AZI6AF</t>
    <phoneticPr fontId="4" type="noConversion"/>
  </si>
  <si>
    <t>AZI6AG</t>
    <phoneticPr fontId="4" type="noConversion"/>
  </si>
  <si>
    <t>AZI6AH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</si>
  <si>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</si>
  <si>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SY58182NFAC</t>
    <phoneticPr fontId="4" type="noConversion"/>
  </si>
  <si>
    <t>13#-20#+(1#-25#+25#)</t>
    <phoneticPr fontId="4" type="noConversion"/>
  </si>
  <si>
    <t>NC300+(FL9FC+F0LF7)</t>
    <phoneticPr fontId="4" type="noConversion"/>
  </si>
  <si>
    <t>HH00017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</si>
  <si>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</si>
  <si>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NC300+F3MRH</t>
    <phoneticPr fontId="4" type="noConversion"/>
  </si>
  <si>
    <t>21#-25#+1#-16#</t>
    <phoneticPr fontId="4" type="noConversion"/>
  </si>
  <si>
    <t>HH00018</t>
    <phoneticPr fontId="4" type="noConversion"/>
  </si>
  <si>
    <t>1#-10#+(1#-25#+17#-24#)</t>
    <phoneticPr fontId="4" type="noConversion"/>
  </si>
  <si>
    <t>NC2YW+(FAN0L+F3MRH)</t>
    <phoneticPr fontId="4" type="noConversion"/>
  </si>
  <si>
    <t>HH00019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</si>
  <si>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</si>
  <si>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NC2YW+(FNFLA+F3MRH)</t>
    <phoneticPr fontId="4" type="noConversion"/>
  </si>
  <si>
    <t>1#-10#+(1#-25#+17#-24#)</t>
    <phoneticPr fontId="4" type="noConversion"/>
  </si>
  <si>
    <t>11#-18#+(1#-25#+25#)</t>
    <phoneticPr fontId="4" type="noConversion"/>
  </si>
  <si>
    <t>HH00020</t>
    <phoneticPr fontId="4" type="noConversion"/>
  </si>
  <si>
    <t>NC2YW+FS77C</t>
    <phoneticPr fontId="4" type="noConversion"/>
  </si>
  <si>
    <t>19#-25#+1#-23#</t>
    <phoneticPr fontId="4" type="noConversion"/>
  </si>
  <si>
    <t>HH00021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</si>
  <si>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</si>
  <si>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NC2KS+(FTLNC+FMWG7)</t>
    <phoneticPr fontId="4" type="noConversion"/>
  </si>
  <si>
    <t>HH00022</t>
    <phoneticPr fontId="4" type="noConversion"/>
  </si>
  <si>
    <t>NC2KS+(FST09+FMWG7)</t>
    <phoneticPr fontId="4" type="noConversion"/>
  </si>
  <si>
    <t>1#-10#+(1#-25#+1#-8#)</t>
    <phoneticPr fontId="4" type="noConversion"/>
  </si>
  <si>
    <t>11#-20#+(1#-25#+9#-16#)</t>
    <phoneticPr fontId="4" type="noConversion"/>
  </si>
  <si>
    <t>HH00023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</si>
  <si>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</si>
  <si>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NC2YR+(FNS4P+FMWG7)</t>
    <phoneticPr fontId="4" type="noConversion"/>
  </si>
  <si>
    <t>HH00024</t>
    <phoneticPr fontId="4" type="noConversion"/>
  </si>
  <si>
    <t>AZI6AI</t>
    <phoneticPr fontId="4" type="noConversion"/>
  </si>
  <si>
    <t>21#-25#+(#3-5,9-16,18,20,21,24+25#)</t>
    <phoneticPr fontId="4" type="noConversion"/>
  </si>
  <si>
    <t>NC2KS+(FSYAT+FMWG7)</t>
    <phoneticPr fontId="4" type="noConversion"/>
  </si>
  <si>
    <t>HH00025</t>
    <phoneticPr fontId="4" type="noConversion"/>
  </si>
  <si>
    <t>JX6AB</t>
    <phoneticPr fontId="4" type="noConversion"/>
  </si>
  <si>
    <t>AYV6AA</t>
    <phoneticPr fontId="4" type="noConversion"/>
  </si>
  <si>
    <t>2+16</t>
    <phoneticPr fontId="4" type="noConversion"/>
  </si>
  <si>
    <t>SY58206YFAC</t>
    <phoneticPr fontId="4" type="noConversion"/>
  </si>
  <si>
    <t>NCLKF.01+SJ081100</t>
    <phoneticPr fontId="4" type="noConversion"/>
  </si>
  <si>
    <t>1#-2#+1#-16#</t>
    <phoneticPr fontId="4" type="noConversion"/>
  </si>
  <si>
    <t>HH00026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</si>
  <si>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</si>
  <si>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AZH6AA</t>
    <phoneticPr fontId="4" type="noConversion"/>
  </si>
  <si>
    <t>2+24</t>
    <phoneticPr fontId="4" type="noConversion"/>
  </si>
  <si>
    <t>SY58596YFAC</t>
    <phoneticPr fontId="4" type="noConversion"/>
  </si>
  <si>
    <t>NC5A1+F7W4R</t>
    <phoneticPr fontId="4" type="noConversion"/>
  </si>
  <si>
    <t>9#-10#+2#-25#</t>
    <phoneticPr fontId="4" type="noConversion"/>
  </si>
  <si>
    <t>HH00027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</si>
  <si>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</si>
  <si>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NC5RH+(FW98R+FMLAG+F7NL2)</t>
    <phoneticPr fontId="4" type="noConversion"/>
  </si>
  <si>
    <t>AKW6AA</t>
    <phoneticPr fontId="4" type="noConversion"/>
  </si>
  <si>
    <t>9+10</t>
    <phoneticPr fontId="4" type="noConversion"/>
  </si>
  <si>
    <t>SY6174FAC</t>
    <phoneticPr fontId="4" type="noConversion"/>
  </si>
  <si>
    <t>NC4KM+(SJ104200+SJ104000)</t>
    <phoneticPr fontId="4" type="noConversion"/>
  </si>
  <si>
    <t>1#-9#+(21#-25#+21#-25#)</t>
    <phoneticPr fontId="4" type="noConversion"/>
  </si>
  <si>
    <t>HH00028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</si>
  <si>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</si>
  <si>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AJQ6AA</t>
    <phoneticPr fontId="4" type="noConversion"/>
  </si>
  <si>
    <t>B28E0</t>
    <phoneticPr fontId="4" type="noConversion"/>
  </si>
  <si>
    <t>NCASC</t>
    <phoneticPr fontId="4" type="noConversion"/>
  </si>
  <si>
    <t>16#-20#</t>
    <phoneticPr fontId="4" type="noConversion"/>
  </si>
  <si>
    <t>HH00029</t>
    <phoneticPr fontId="4" type="noConversion"/>
  </si>
  <si>
    <t>SY8704FCC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</si>
  <si>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</si>
  <si>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AMA6AA</t>
    <phoneticPr fontId="4" type="noConversion"/>
  </si>
  <si>
    <t>NC76W.50</t>
  </si>
  <si>
    <t>HH00030</t>
    <phoneticPr fontId="4" type="noConversion"/>
  </si>
  <si>
    <t>SYP851FCC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</si>
  <si>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</si>
  <si>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HG01784</t>
    <phoneticPr fontId="4" type="noConversion"/>
  </si>
  <si>
    <t>NCCNL-1</t>
  </si>
  <si>
    <t>NAPFW;(FTL9Y+FPWCM)</t>
  </si>
  <si>
    <t>NAPFW;(FCNCW+FS9T4)</t>
  </si>
  <si>
    <t>NAPFW;(F92MW+FS9T4)</t>
  </si>
  <si>
    <t>NAPFW;(FPL4Y+FCGRL)</t>
  </si>
  <si>
    <t>NC404.50-1</t>
  </si>
  <si>
    <t>NAW60.03;SJ087300</t>
  </si>
  <si>
    <t>HG02362</t>
    <phoneticPr fontId="4" type="noConversion"/>
  </si>
  <si>
    <t>HG02379R</t>
    <phoneticPr fontId="4" type="noConversion"/>
  </si>
  <si>
    <t>HG01271</t>
    <phoneticPr fontId="4" type="noConversion"/>
  </si>
  <si>
    <t>HG01300</t>
    <phoneticPr fontId="4" type="noConversion"/>
  </si>
  <si>
    <t>NCF1G+01</t>
  </si>
  <si>
    <t>NC404.01-1</t>
  </si>
  <si>
    <t>(FL9FC+F0LF7);NC300</t>
  </si>
  <si>
    <t>F3MRH;NC300</t>
  </si>
  <si>
    <t>(FAN0L+F3MRH);NC2YW</t>
  </si>
  <si>
    <t>(FNFLA+F3MRH);NC2YW</t>
  </si>
  <si>
    <t>FS77C;NC2YW</t>
  </si>
  <si>
    <t>(FTLNC+FMWG7);NC2KS</t>
  </si>
  <si>
    <t>(FST09+FMWG7);NC2KS</t>
  </si>
  <si>
    <t>(FNS4P+FMWG7);NC2YR</t>
  </si>
  <si>
    <t>(FSYAT+FMWG7);NC2KS</t>
  </si>
  <si>
    <t>F7W4R;NC5A1</t>
  </si>
  <si>
    <t>NC4KM;(SJ104200+SJ104000)</t>
  </si>
  <si>
    <t>DG00010</t>
    <phoneticPr fontId="4" type="noConversion"/>
  </si>
  <si>
    <t>DG00011</t>
    <phoneticPr fontId="4" type="noConversion"/>
  </si>
  <si>
    <t>DG00009</t>
    <phoneticPr fontId="4" type="noConversion"/>
  </si>
  <si>
    <t>DG00012</t>
    <phoneticPr fontId="4" type="noConversion"/>
  </si>
  <si>
    <t>HG01198</t>
    <phoneticPr fontId="4" type="noConversion"/>
  </si>
  <si>
    <t>HG01652</t>
    <phoneticPr fontId="4" type="noConversion"/>
  </si>
  <si>
    <t>HG01985</t>
    <phoneticPr fontId="4" type="noConversion"/>
  </si>
  <si>
    <t>HG02006</t>
    <phoneticPr fontId="4" type="noConversion"/>
  </si>
  <si>
    <t>HG02136</t>
    <phoneticPr fontId="4" type="noConversion"/>
  </si>
  <si>
    <t>HG02164</t>
    <phoneticPr fontId="4" type="noConversion"/>
  </si>
  <si>
    <t>NC74Y.02+01</t>
    <phoneticPr fontId="4" type="noConversion"/>
  </si>
  <si>
    <t>NCG1A</t>
    <phoneticPr fontId="4" type="noConversion"/>
  </si>
  <si>
    <t>HG02210</t>
    <phoneticPr fontId="4" type="noConversion"/>
  </si>
  <si>
    <t>HG02217</t>
    <phoneticPr fontId="4" type="noConversion"/>
  </si>
  <si>
    <t>HG02363R</t>
    <phoneticPr fontId="4" type="noConversion"/>
  </si>
  <si>
    <t>HG02364R</t>
    <phoneticPr fontId="4" type="noConversion"/>
  </si>
  <si>
    <t>HG00648</t>
    <phoneticPr fontId="4" type="noConversion"/>
  </si>
  <si>
    <t>HG00873</t>
    <phoneticPr fontId="4" type="noConversion"/>
  </si>
  <si>
    <t>HG00902</t>
    <phoneticPr fontId="4" type="noConversion"/>
  </si>
  <si>
    <t>HG01370</t>
    <phoneticPr fontId="4" type="noConversion"/>
  </si>
  <si>
    <t>HG01509</t>
    <phoneticPr fontId="4" type="noConversion"/>
  </si>
  <si>
    <t>HG01513</t>
    <phoneticPr fontId="4" type="noConversion"/>
  </si>
  <si>
    <t>NAQ9Y</t>
    <phoneticPr fontId="4" type="noConversion"/>
  </si>
  <si>
    <t>NAQ9Y-1</t>
    <phoneticPr fontId="4" type="noConversion"/>
  </si>
  <si>
    <t>NC57F</t>
    <phoneticPr fontId="4" type="noConversion"/>
  </si>
  <si>
    <t>NC8K7</t>
    <phoneticPr fontId="4" type="noConversion"/>
  </si>
  <si>
    <t>NC57F-1</t>
    <phoneticPr fontId="4" type="noConversion"/>
  </si>
  <si>
    <t>NCFM4</t>
    <phoneticPr fontId="4" type="noConversion"/>
  </si>
  <si>
    <t>NAC6L-1</t>
    <phoneticPr fontId="4" type="noConversion"/>
  </si>
  <si>
    <t>NCHSY</t>
    <phoneticPr fontId="4" type="noConversion"/>
  </si>
  <si>
    <t>NC4YW.02</t>
    <phoneticPr fontId="4" type="noConversion"/>
  </si>
  <si>
    <t>宿迁</t>
    <phoneticPr fontId="4" type="noConversion"/>
  </si>
  <si>
    <t>Fa5MF</t>
    <phoneticPr fontId="4" type="noConversion"/>
  </si>
  <si>
    <t>YS5TA</t>
    <phoneticPr fontId="4" type="noConversion"/>
  </si>
  <si>
    <t>NA61L</t>
    <phoneticPr fontId="4" type="noConversion"/>
  </si>
  <si>
    <t>R778P</t>
    <phoneticPr fontId="4" type="noConversion"/>
  </si>
  <si>
    <t>R7C9G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</si>
</sst>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);[Red]\(0.0\)"/>
    <numFmt numFmtId="177" formatCode="0.00_);[Red]\(0.00\)"/>
    <numFmt numFmtId="180" formatCode="#,##0.000"/>
    <numFmt numFmtId="181" formatCode="0.000"/>
  </numFmts>
  <fonts count="24" x14ac:knownFonts="1">
    <font>
      <sz val="11"/>
      <color theme="1"/>
      <name val="宋体"/>
      <family val="2"/>
      <charset val="134"/>
      <scheme val="minor"/>
    </font>
    <font>
      <sz val="12"/>
      <name val="Times New Roman"/>
      <family val="1"/>
      <charset val="134"/>
    </font>
    <font>
      <sz val="11"/>
      <name val="Times New Roman"/>
      <family val="1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name val="Times New Roman"/>
      <family val="1"/>
    </font>
    <font>
      <b/>
      <sz val="11"/>
      <name val="Times New Roman"/>
      <family val="1"/>
      <charset val="134"/>
    </font>
    <font>
      <b/>
      <sz val="10"/>
      <name val="Arial"/>
      <family val="2"/>
      <charset val="134"/>
    </font>
    <font>
      <b/>
      <sz val="11"/>
      <color indexed="10"/>
      <name val="Times New Roman"/>
      <family val="1"/>
      <charset val="134"/>
    </font>
    <font>
      <b/>
      <sz val="10"/>
      <color indexed="10"/>
      <name val="Arial"/>
      <family val="2"/>
      <charset val="134"/>
    </font>
    <font>
      <sz val="10"/>
      <name val="Arial"/>
      <family val="2"/>
      <charset val="134"/>
    </font>
    <font>
      <sz val="10"/>
      <name val="宋体"/>
      <family val="3"/>
      <charset val="134"/>
    </font>
    <font>
      <b/>
      <sz val="10"/>
      <color indexed="14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b/>
      <sz val="10"/>
      <color rgb="FFFF00FF"/>
      <name val="Arial"/>
      <family val="2"/>
    </font>
    <font>
      <sz val="10"/>
      <color rgb="FF000000"/>
      <name val="宋体"/>
      <family val="3"/>
      <charset val="134"/>
      <scheme val="minor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sz val="10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7499923703726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2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176" fontId="6" fillId="2" borderId="1" xfId="1" applyNumberFormat="1" applyFont="1" applyFill="1" applyBorder="1" applyAlignment="1">
      <alignment vertical="center" wrapText="1"/>
    </xf>
    <xf numFmtId="0" fontId="8" fillId="2" borderId="1" xfId="1" applyFont="1" applyFill="1" applyBorder="1" applyAlignment="1" applyProtection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/>
    </xf>
    <xf numFmtId="177" fontId="9" fillId="2" borderId="1" xfId="1" applyNumberFormat="1" applyFont="1" applyFill="1" applyBorder="1" applyAlignment="1">
      <alignment vertical="center"/>
    </xf>
    <xf numFmtId="0" fontId="10" fillId="0" borderId="2" xfId="1" applyFont="1" applyFill="1" applyBorder="1" applyAlignment="1">
      <alignment vertical="center" wrapText="1"/>
    </xf>
    <xf numFmtId="0" fontId="10" fillId="0" borderId="2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 wrapText="1"/>
    </xf>
    <xf numFmtId="14" fontId="10" fillId="0" borderId="2" xfId="1" applyNumberFormat="1" applyFont="1" applyFill="1" applyBorder="1" applyAlignment="1" applyProtection="1">
      <alignment horizontal="left" vertical="center" wrapText="1"/>
    </xf>
    <xf numFmtId="0" fontId="10" fillId="0" borderId="2" xfId="1" applyFont="1" applyFill="1" applyBorder="1" applyAlignment="1">
      <alignment horizontal="left" vertical="center"/>
    </xf>
    <xf numFmtId="0" fontId="12" fillId="0" borderId="2" xfId="1" applyFont="1" applyFill="1" applyBorder="1" applyAlignment="1">
      <alignment vertical="center" wrapText="1"/>
    </xf>
    <xf numFmtId="0" fontId="13" fillId="0" borderId="2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vertical="center"/>
    </xf>
    <xf numFmtId="0" fontId="15" fillId="0" borderId="2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left" vertical="center" wrapText="1"/>
    </xf>
    <xf numFmtId="0" fontId="16" fillId="0" borderId="2" xfId="1" applyFont="1" applyFill="1" applyBorder="1" applyAlignment="1">
      <alignment vertical="center" wrapText="1"/>
    </xf>
    <xf numFmtId="0" fontId="15" fillId="0" borderId="2" xfId="1" applyFont="1" applyFill="1" applyBorder="1" applyAlignment="1">
      <alignment vertical="center" wrapText="1"/>
    </xf>
    <xf numFmtId="0" fontId="15" fillId="0" borderId="2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left" vertical="center"/>
    </xf>
    <xf numFmtId="4" fontId="10" fillId="0" borderId="2" xfId="1" applyNumberFormat="1" applyFont="1" applyFill="1" applyBorder="1" applyAlignment="1">
      <alignment horizontal="center" vertical="center" wrapText="1"/>
    </xf>
    <xf numFmtId="180" fontId="10" fillId="0" borderId="2" xfId="1" applyNumberFormat="1" applyFont="1" applyFill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left" vertical="center" wrapText="1"/>
    </xf>
    <xf numFmtId="14" fontId="10" fillId="0" borderId="2" xfId="1" applyNumberFormat="1" applyFont="1" applyFill="1" applyBorder="1" applyAlignment="1" applyProtection="1">
      <alignment horizontal="center" vertical="center" wrapText="1"/>
    </xf>
    <xf numFmtId="0" fontId="11" fillId="0" borderId="2" xfId="1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center" vertical="center" wrapText="1"/>
    </xf>
    <xf numFmtId="58" fontId="10" fillId="0" borderId="2" xfId="1" applyNumberFormat="1" applyFont="1" applyFill="1" applyBorder="1" applyAlignment="1">
      <alignment horizontal="center" vertical="center" wrapText="1"/>
    </xf>
    <xf numFmtId="0" fontId="19" fillId="0" borderId="2" xfId="1" applyFont="1" applyFill="1" applyBorder="1" applyAlignment="1">
      <alignment vertical="center" wrapText="1"/>
    </xf>
    <xf numFmtId="0" fontId="15" fillId="3" borderId="2" xfId="1" applyFont="1" applyFill="1" applyBorder="1" applyAlignment="1">
      <alignment vertical="center" wrapText="1"/>
    </xf>
    <xf numFmtId="0" fontId="15" fillId="3" borderId="2" xfId="1" applyFont="1" applyFill="1" applyBorder="1" applyAlignment="1">
      <alignment horizontal="left" vertical="center" wrapText="1"/>
    </xf>
    <xf numFmtId="0" fontId="10" fillId="3" borderId="2" xfId="1" applyFont="1" applyFill="1" applyBorder="1" applyAlignment="1">
      <alignment horizontal="left" vertical="center" wrapText="1"/>
    </xf>
    <xf numFmtId="0" fontId="10" fillId="3" borderId="2" xfId="1" applyFont="1" applyFill="1" applyBorder="1" applyAlignment="1">
      <alignment vertical="center"/>
    </xf>
    <xf numFmtId="0" fontId="10" fillId="3" borderId="2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14" fontId="10" fillId="3" borderId="2" xfId="1" applyNumberFormat="1" applyFont="1" applyFill="1" applyBorder="1" applyAlignment="1" applyProtection="1">
      <alignment horizontal="left" vertical="center" wrapText="1"/>
    </xf>
    <xf numFmtId="0" fontId="10" fillId="3" borderId="2" xfId="1" applyFont="1" applyFill="1" applyBorder="1" applyAlignment="1">
      <alignment horizontal="left" vertical="center"/>
    </xf>
    <xf numFmtId="0" fontId="10" fillId="4" borderId="2" xfId="1" applyFont="1" applyFill="1" applyBorder="1" applyAlignment="1">
      <alignment vertical="center" wrapText="1"/>
    </xf>
    <xf numFmtId="0" fontId="11" fillId="4" borderId="2" xfId="1" applyFont="1" applyFill="1" applyBorder="1" applyAlignment="1">
      <alignment horizontal="left" vertical="center" wrapText="1"/>
    </xf>
    <xf numFmtId="0" fontId="10" fillId="4" borderId="2" xfId="1" applyFont="1" applyFill="1" applyBorder="1" applyAlignment="1">
      <alignment horizontal="left" vertical="center" wrapText="1"/>
    </xf>
    <xf numFmtId="0" fontId="10" fillId="4" borderId="2" xfId="1" applyFont="1" applyFill="1" applyBorder="1" applyAlignment="1">
      <alignment vertical="center"/>
    </xf>
    <xf numFmtId="0" fontId="10" fillId="4" borderId="2" xfId="1" applyFont="1" applyFill="1" applyBorder="1" applyAlignment="1">
      <alignment horizontal="center" vertical="center" wrapText="1"/>
    </xf>
    <xf numFmtId="14" fontId="10" fillId="4" borderId="2" xfId="1" applyNumberFormat="1" applyFont="1" applyFill="1" applyBorder="1" applyAlignment="1" applyProtection="1">
      <alignment horizontal="left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left" vertical="center"/>
    </xf>
    <xf numFmtId="0" fontId="16" fillId="4" borderId="2" xfId="1" applyFont="1" applyFill="1" applyBorder="1" applyAlignment="1">
      <alignment vertical="center" wrapText="1"/>
    </xf>
    <xf numFmtId="0" fontId="15" fillId="4" borderId="2" xfId="1" applyFont="1" applyFill="1" applyBorder="1" applyAlignment="1">
      <alignment vertical="center" wrapText="1"/>
    </xf>
    <xf numFmtId="0" fontId="15" fillId="4" borderId="2" xfId="1" applyFont="1" applyFill="1" applyBorder="1" applyAlignment="1">
      <alignment horizontal="left" vertical="center" wrapText="1"/>
    </xf>
    <xf numFmtId="0" fontId="10" fillId="4" borderId="2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left" vertical="center"/>
    </xf>
    <xf numFmtId="0" fontId="16" fillId="4" borderId="2" xfId="1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4" fontId="10" fillId="4" borderId="2" xfId="1" applyNumberFormat="1" applyFont="1" applyFill="1" applyBorder="1" applyAlignment="1">
      <alignment horizontal="center" vertical="center" wrapText="1"/>
    </xf>
    <xf numFmtId="0" fontId="19" fillId="4" borderId="2" xfId="1" applyFont="1" applyFill="1" applyBorder="1" applyAlignment="1">
      <alignment vertical="center" wrapText="1"/>
    </xf>
    <xf numFmtId="0" fontId="15" fillId="4" borderId="2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0" fillId="5" borderId="2" xfId="1" applyFont="1" applyFill="1" applyBorder="1" applyAlignment="1">
      <alignment horizontal="left" vertical="center"/>
    </xf>
    <xf numFmtId="180" fontId="10" fillId="4" borderId="2" xfId="1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0" fillId="0" borderId="2" xfId="1" applyFont="1" applyFill="1" applyBorder="1" applyAlignment="1">
      <alignment horizontal="left" vertical="center"/>
    </xf>
    <xf numFmtId="181" fontId="10" fillId="0" borderId="2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718"/>
  <sheetViews>
    <sheetView tabSelected="1" workbookViewId="0">
      <pane xSplit="8" topLeftCell="I1" activePane="topRight" state="frozen"/>
      <selection pane="topRight" activeCell="P1" sqref="P1:AV1048576"/>
    </sheetView>
  </sheetViews>
  <sheetFormatPr defaultRowHeight="13.5" x14ac:dyDescent="0.15"/>
  <cols>
    <col min="1" max="1" width="19.125" style="59" customWidth="1"/>
    <col min="2" max="2" width="9" customWidth="1"/>
    <col min="3" max="3" width="8" customWidth="1"/>
    <col min="4" max="4" width="23" customWidth="1"/>
    <col min="5" max="5" width="9" customWidth="1"/>
    <col min="8" max="8" width="11.625" customWidth="1"/>
    <col min="9" max="9" width="23.125" customWidth="1"/>
    <col min="10" max="10" width="12.625" customWidth="1"/>
    <col min="13" max="13" width="25.5" customWidth="1"/>
    <col min="14" max="14" width="29" customWidth="1"/>
    <col min="15" max="15" width="28.625" customWidth="1"/>
  </cols>
  <sheetData>
    <row r="1" spans="1:15" ht="28.5" x14ac:dyDescent="0.1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9" t="s">
        <v>14</v>
      </c>
    </row>
    <row r="2" spans="1:15" x14ac:dyDescent="0.15">
      <c r="A2" s="10" t="s">
        <v>15</v>
      </c>
      <c r="B2" s="11"/>
      <c r="C2" s="11"/>
      <c r="D2" s="10" t="s">
        <v>16</v>
      </c>
      <c r="E2" s="10" t="s">
        <v>17</v>
      </c>
      <c r="F2" s="11" t="s">
        <v>18</v>
      </c>
      <c r="G2" s="12">
        <f>17.498*L2</f>
        <v>34.996000000000002</v>
      </c>
      <c r="H2" s="13">
        <v>41822</v>
      </c>
      <c r="I2" s="12" t="s">
        <v>19</v>
      </c>
      <c r="J2" s="12" t="s">
        <v>20</v>
      </c>
      <c r="K2" s="12" t="s">
        <v>21</v>
      </c>
      <c r="L2" s="12">
        <v>2</v>
      </c>
      <c r="M2" s="14" t="s">
        <v>22</v>
      </c>
      <c r="N2" s="14" t="s">
        <v>23</v>
      </c>
      <c r="O2" s="14" t="s">
        <v>24</v>
      </c>
    </row>
    <row r="3" spans="1:15" x14ac:dyDescent="0.15">
      <c r="A3" s="15" t="s">
        <v>25</v>
      </c>
      <c r="B3" s="11"/>
      <c r="C3" s="11"/>
      <c r="D3" s="10" t="s">
        <v>26</v>
      </c>
      <c r="E3" s="10" t="s">
        <v>17</v>
      </c>
      <c r="F3" s="11" t="s">
        <v>27</v>
      </c>
      <c r="G3" s="12">
        <v>14.944000000000001</v>
      </c>
      <c r="H3" s="13">
        <v>41829</v>
      </c>
      <c r="I3" s="16" t="s">
        <v>28</v>
      </c>
      <c r="J3" s="12" t="s">
        <v>29</v>
      </c>
      <c r="K3" s="12" t="s">
        <v>21</v>
      </c>
      <c r="L3" s="12" t="s">
        <v>30</v>
      </c>
      <c r="M3" s="14" t="s">
        <v>31</v>
      </c>
      <c r="N3" s="14" t="s">
        <v>32</v>
      </c>
      <c r="O3" s="14" t="s">
        <v>33</v>
      </c>
    </row>
    <row r="4" spans="1:15" x14ac:dyDescent="0.15">
      <c r="A4" s="10" t="s">
        <v>34</v>
      </c>
      <c r="B4" s="11"/>
      <c r="C4" s="11"/>
      <c r="D4" s="10" t="s">
        <v>35</v>
      </c>
      <c r="E4" s="10" t="s">
        <v>17</v>
      </c>
      <c r="F4" s="11" t="s">
        <v>36</v>
      </c>
      <c r="G4" s="12">
        <v>49.22</v>
      </c>
      <c r="H4" s="13">
        <v>41866</v>
      </c>
      <c r="I4" s="12" t="s">
        <v>37</v>
      </c>
      <c r="J4" s="12" t="s">
        <v>38</v>
      </c>
      <c r="K4" s="12" t="s">
        <v>39</v>
      </c>
      <c r="L4" s="12" t="s">
        <v>40</v>
      </c>
      <c r="M4" s="14" t="s">
        <v>41</v>
      </c>
      <c r="N4" s="14" t="s">
        <v>42</v>
      </c>
      <c r="O4" s="14" t="s">
        <v>43</v>
      </c>
    </row>
    <row r="5" spans="1:15" x14ac:dyDescent="0.15">
      <c r="A5" s="10" t="s">
        <v>44</v>
      </c>
      <c r="B5" s="14" t="s">
        <v>45</v>
      </c>
      <c r="C5" s="11"/>
      <c r="D5" s="10" t="s">
        <v>46</v>
      </c>
      <c r="E5" s="10" t="s">
        <v>17</v>
      </c>
      <c r="F5" s="11" t="s">
        <v>47</v>
      </c>
      <c r="G5" s="12">
        <v>139.69</v>
      </c>
      <c r="H5" s="13">
        <v>41873</v>
      </c>
      <c r="I5" s="12" t="s">
        <v>37</v>
      </c>
      <c r="J5" s="12" t="s">
        <v>48</v>
      </c>
      <c r="K5" s="12" t="s">
        <v>39</v>
      </c>
      <c r="L5" s="12" t="s">
        <v>49</v>
      </c>
      <c r="M5" s="14" t="s">
        <v>50</v>
      </c>
      <c r="N5" s="14" t="s">
        <v>51</v>
      </c>
      <c r="O5" s="17" t="s">
        <v>52</v>
      </c>
    </row>
    <row r="6" spans="1:15" x14ac:dyDescent="0.15">
      <c r="A6" s="10" t="s">
        <v>53</v>
      </c>
      <c r="B6" s="11"/>
      <c r="C6" s="11"/>
      <c r="D6" s="10" t="s">
        <v>54</v>
      </c>
      <c r="E6" s="10" t="s">
        <v>17</v>
      </c>
      <c r="F6" s="11" t="s">
        <v>55</v>
      </c>
      <c r="G6" s="12">
        <f>6.405*L6</f>
        <v>64.05</v>
      </c>
      <c r="H6" s="13">
        <v>41891</v>
      </c>
      <c r="I6" s="12" t="s">
        <v>19</v>
      </c>
      <c r="J6" s="12" t="s">
        <v>56</v>
      </c>
      <c r="K6" s="12" t="s">
        <v>21</v>
      </c>
      <c r="L6" s="12">
        <v>10</v>
      </c>
      <c r="M6" s="14" t="s">
        <v>57</v>
      </c>
      <c r="N6" s="14" t="s">
        <v>58</v>
      </c>
      <c r="O6" s="17" t="s">
        <v>59</v>
      </c>
    </row>
    <row r="7" spans="1:15" x14ac:dyDescent="0.15">
      <c r="A7" s="10" t="s">
        <v>60</v>
      </c>
      <c r="B7" s="11"/>
      <c r="C7" s="11"/>
      <c r="D7" s="10" t="s">
        <v>61</v>
      </c>
      <c r="E7" s="10" t="s">
        <v>17</v>
      </c>
      <c r="F7" s="11" t="s">
        <v>62</v>
      </c>
      <c r="G7" s="12">
        <v>85.338999999999999</v>
      </c>
      <c r="H7" s="13">
        <v>41891</v>
      </c>
      <c r="I7" s="12" t="s">
        <v>37</v>
      </c>
      <c r="J7" s="12" t="s">
        <v>63</v>
      </c>
      <c r="K7" s="12" t="s">
        <v>39</v>
      </c>
      <c r="L7" s="12" t="s">
        <v>64</v>
      </c>
      <c r="M7" s="14" t="s">
        <v>65</v>
      </c>
      <c r="N7" s="14" t="s">
        <v>66</v>
      </c>
      <c r="O7" s="17" t="s">
        <v>67</v>
      </c>
    </row>
    <row r="8" spans="1:15" x14ac:dyDescent="0.15">
      <c r="A8" s="10" t="s">
        <v>53</v>
      </c>
      <c r="B8" s="11"/>
      <c r="C8" s="11"/>
      <c r="D8" s="10" t="s">
        <v>54</v>
      </c>
      <c r="E8" s="10" t="s">
        <v>17</v>
      </c>
      <c r="F8" s="11" t="s">
        <v>68</v>
      </c>
      <c r="G8" s="12">
        <f>6.405*L8</f>
        <v>64.05</v>
      </c>
      <c r="H8" s="13">
        <v>41911</v>
      </c>
      <c r="I8" s="12" t="s">
        <v>19</v>
      </c>
      <c r="J8" s="12" t="s">
        <v>69</v>
      </c>
      <c r="K8" s="12" t="s">
        <v>21</v>
      </c>
      <c r="L8" s="12">
        <v>10</v>
      </c>
      <c r="M8" s="14" t="s">
        <v>70</v>
      </c>
      <c r="N8" s="14" t="s">
        <v>58</v>
      </c>
      <c r="O8" s="17" t="s">
        <v>71</v>
      </c>
    </row>
    <row r="9" spans="1:15" x14ac:dyDescent="0.15">
      <c r="A9" s="10" t="s">
        <v>72</v>
      </c>
      <c r="B9" s="11"/>
      <c r="C9" s="11"/>
      <c r="D9" s="10" t="s">
        <v>73</v>
      </c>
      <c r="E9" s="10" t="s">
        <v>17</v>
      </c>
      <c r="F9" s="11" t="s">
        <v>74</v>
      </c>
      <c r="G9" s="12">
        <v>171.00200000000001</v>
      </c>
      <c r="H9" s="13">
        <v>41926</v>
      </c>
      <c r="I9" s="12" t="s">
        <v>37</v>
      </c>
      <c r="J9" s="12" t="s">
        <v>75</v>
      </c>
      <c r="K9" s="12" t="s">
        <v>76</v>
      </c>
      <c r="L9" s="12" t="s">
        <v>77</v>
      </c>
      <c r="M9" s="14" t="s">
        <v>78</v>
      </c>
      <c r="N9" s="14" t="s">
        <v>79</v>
      </c>
      <c r="O9" s="17" t="s">
        <v>80</v>
      </c>
    </row>
    <row r="10" spans="1:15" x14ac:dyDescent="0.15">
      <c r="A10" s="10" t="s">
        <v>81</v>
      </c>
      <c r="B10" s="11"/>
      <c r="C10" s="11"/>
      <c r="D10" s="10" t="s">
        <v>82</v>
      </c>
      <c r="E10" s="10" t="s">
        <v>17</v>
      </c>
      <c r="F10" s="11" t="s">
        <v>83</v>
      </c>
      <c r="G10" s="12">
        <v>51.351999999999997</v>
      </c>
      <c r="H10" s="13">
        <v>41929</v>
      </c>
      <c r="I10" s="12" t="s">
        <v>37</v>
      </c>
      <c r="J10" s="12" t="s">
        <v>84</v>
      </c>
      <c r="K10" s="12" t="s">
        <v>39</v>
      </c>
      <c r="L10" s="12" t="s">
        <v>85</v>
      </c>
      <c r="M10" s="14" t="s">
        <v>86</v>
      </c>
      <c r="N10" s="14" t="s">
        <v>87</v>
      </c>
      <c r="O10" s="17" t="s">
        <v>88</v>
      </c>
    </row>
    <row r="11" spans="1:15" x14ac:dyDescent="0.15">
      <c r="A11" s="10" t="s">
        <v>89</v>
      </c>
      <c r="B11" s="11"/>
      <c r="C11" s="11"/>
      <c r="D11" s="10" t="s">
        <v>90</v>
      </c>
      <c r="E11" s="10" t="s">
        <v>17</v>
      </c>
      <c r="F11" s="11" t="s">
        <v>91</v>
      </c>
      <c r="G11" s="12">
        <f>17.52*L11</f>
        <v>35.04</v>
      </c>
      <c r="H11" s="13">
        <v>41933</v>
      </c>
      <c r="I11" s="12" t="s">
        <v>37</v>
      </c>
      <c r="J11" s="12" t="s">
        <v>92</v>
      </c>
      <c r="K11" s="12" t="s">
        <v>21</v>
      </c>
      <c r="L11" s="12">
        <v>2</v>
      </c>
      <c r="M11" s="14" t="s">
        <v>93</v>
      </c>
      <c r="N11" s="14" t="s">
        <v>94</v>
      </c>
      <c r="O11" s="17" t="s">
        <v>95</v>
      </c>
    </row>
    <row r="12" spans="1:15" x14ac:dyDescent="0.15">
      <c r="A12" s="10" t="s">
        <v>96</v>
      </c>
      <c r="B12" s="11"/>
      <c r="C12" s="11"/>
      <c r="D12" s="10" t="s">
        <v>97</v>
      </c>
      <c r="E12" s="10" t="s">
        <v>17</v>
      </c>
      <c r="F12" s="11" t="s">
        <v>98</v>
      </c>
      <c r="G12" s="12">
        <f>12.838*L12</f>
        <v>166.89399999999998</v>
      </c>
      <c r="H12" s="13">
        <v>41943</v>
      </c>
      <c r="I12" s="12" t="s">
        <v>19</v>
      </c>
      <c r="J12" s="12" t="s">
        <v>99</v>
      </c>
      <c r="K12" s="12" t="s">
        <v>21</v>
      </c>
      <c r="L12" s="12">
        <v>13</v>
      </c>
      <c r="M12" s="14" t="s">
        <v>100</v>
      </c>
      <c r="N12" s="14" t="s">
        <v>101</v>
      </c>
      <c r="O12" s="17" t="s">
        <v>100</v>
      </c>
    </row>
    <row r="13" spans="1:15" x14ac:dyDescent="0.15">
      <c r="A13" s="15" t="s">
        <v>102</v>
      </c>
      <c r="B13" s="11"/>
      <c r="C13" s="11"/>
      <c r="D13" s="10" t="s">
        <v>103</v>
      </c>
      <c r="E13" s="10" t="s">
        <v>17</v>
      </c>
      <c r="F13" s="11" t="s">
        <v>104</v>
      </c>
      <c r="G13" s="12">
        <v>68.340999999999994</v>
      </c>
      <c r="H13" s="13">
        <v>41947</v>
      </c>
      <c r="I13" s="12" t="s">
        <v>37</v>
      </c>
      <c r="J13" s="12" t="s">
        <v>105</v>
      </c>
      <c r="K13" s="12" t="s">
        <v>39</v>
      </c>
      <c r="L13" s="12" t="s">
        <v>106</v>
      </c>
      <c r="M13" s="14" t="s">
        <v>107</v>
      </c>
      <c r="N13" s="14" t="s">
        <v>108</v>
      </c>
      <c r="O13" s="17" t="s">
        <v>109</v>
      </c>
    </row>
    <row r="14" spans="1:15" x14ac:dyDescent="0.15">
      <c r="A14" s="10" t="s">
        <v>110</v>
      </c>
      <c r="B14" s="11"/>
      <c r="C14" s="11"/>
      <c r="D14" s="10" t="s">
        <v>111</v>
      </c>
      <c r="E14" s="10" t="s">
        <v>17</v>
      </c>
      <c r="F14" s="11" t="s">
        <v>112</v>
      </c>
      <c r="G14" s="12">
        <v>13.547000000000001</v>
      </c>
      <c r="H14" s="13">
        <v>41947</v>
      </c>
      <c r="I14" s="12" t="s">
        <v>37</v>
      </c>
      <c r="J14" s="12" t="s">
        <v>113</v>
      </c>
      <c r="K14" s="12" t="s">
        <v>39</v>
      </c>
      <c r="L14" s="12" t="s">
        <v>114</v>
      </c>
      <c r="M14" s="14" t="s">
        <v>115</v>
      </c>
      <c r="N14" s="14" t="s">
        <v>116</v>
      </c>
      <c r="O14" s="17" t="s">
        <v>117</v>
      </c>
    </row>
    <row r="15" spans="1:15" x14ac:dyDescent="0.15">
      <c r="A15" s="15" t="s">
        <v>118</v>
      </c>
      <c r="B15" s="11"/>
      <c r="C15" s="11"/>
      <c r="D15" s="10" t="s">
        <v>119</v>
      </c>
      <c r="E15" s="10" t="s">
        <v>17</v>
      </c>
      <c r="F15" s="11" t="s">
        <v>120</v>
      </c>
      <c r="G15" s="12">
        <v>81.234999999999999</v>
      </c>
      <c r="H15" s="13">
        <v>41949</v>
      </c>
      <c r="I15" s="12" t="s">
        <v>37</v>
      </c>
      <c r="J15" s="12" t="s">
        <v>121</v>
      </c>
      <c r="K15" s="12" t="s">
        <v>39</v>
      </c>
      <c r="L15" s="12" t="s">
        <v>122</v>
      </c>
      <c r="M15" s="14" t="s">
        <v>123</v>
      </c>
      <c r="N15" s="14" t="s">
        <v>124</v>
      </c>
      <c r="O15" s="17" t="s">
        <v>125</v>
      </c>
    </row>
    <row r="16" spans="1:15" x14ac:dyDescent="0.15">
      <c r="A16" s="10" t="s">
        <v>126</v>
      </c>
      <c r="B16" s="11" t="s">
        <v>127</v>
      </c>
      <c r="C16" s="11"/>
      <c r="D16" s="10" t="s">
        <v>128</v>
      </c>
      <c r="E16" s="10" t="s">
        <v>17</v>
      </c>
      <c r="F16" s="11" t="s">
        <v>129</v>
      </c>
      <c r="G16" s="12">
        <f>8.606*L16</f>
        <v>111.878</v>
      </c>
      <c r="H16" s="13">
        <v>41956</v>
      </c>
      <c r="I16" s="12" t="s">
        <v>130</v>
      </c>
      <c r="J16" s="12" t="s">
        <v>131</v>
      </c>
      <c r="K16" s="12" t="s">
        <v>132</v>
      </c>
      <c r="L16" s="12">
        <v>13</v>
      </c>
      <c r="M16" s="14" t="s">
        <v>133</v>
      </c>
      <c r="N16" s="14" t="s">
        <v>134</v>
      </c>
      <c r="O16" s="17" t="s">
        <v>135</v>
      </c>
    </row>
    <row r="17" spans="1:15" x14ac:dyDescent="0.15">
      <c r="A17" s="10" t="s">
        <v>136</v>
      </c>
      <c r="B17" s="11"/>
      <c r="C17" s="11"/>
      <c r="D17" s="17" t="s">
        <v>54</v>
      </c>
      <c r="E17" s="10" t="s">
        <v>137</v>
      </c>
      <c r="F17" s="11" t="s">
        <v>138</v>
      </c>
      <c r="G17" s="12">
        <f>6.405*L17</f>
        <v>57.645000000000003</v>
      </c>
      <c r="H17" s="13">
        <v>41969</v>
      </c>
      <c r="I17" s="12" t="s">
        <v>139</v>
      </c>
      <c r="J17" s="12" t="s">
        <v>140</v>
      </c>
      <c r="K17" s="12" t="s">
        <v>141</v>
      </c>
      <c r="L17" s="12">
        <v>9</v>
      </c>
      <c r="M17" s="14" t="s">
        <v>142</v>
      </c>
      <c r="N17" s="14" t="s">
        <v>143</v>
      </c>
      <c r="O17" s="17" t="s">
        <v>144</v>
      </c>
    </row>
    <row r="18" spans="1:15" x14ac:dyDescent="0.15">
      <c r="A18" s="10" t="s">
        <v>145</v>
      </c>
      <c r="B18" s="11"/>
      <c r="C18" s="11"/>
      <c r="D18" s="17" t="s">
        <v>103</v>
      </c>
      <c r="E18" s="10" t="s">
        <v>137</v>
      </c>
      <c r="F18" s="11" t="s">
        <v>146</v>
      </c>
      <c r="G18" s="18">
        <v>154.85499999999999</v>
      </c>
      <c r="H18" s="13">
        <v>41976</v>
      </c>
      <c r="I18" s="12" t="s">
        <v>37</v>
      </c>
      <c r="J18" s="12" t="s">
        <v>147</v>
      </c>
      <c r="K18" s="18" t="s">
        <v>148</v>
      </c>
      <c r="L18" s="12" t="s">
        <v>149</v>
      </c>
      <c r="M18" s="14" t="s">
        <v>150</v>
      </c>
      <c r="N18" s="14" t="s">
        <v>151</v>
      </c>
      <c r="O18" s="17" t="s">
        <v>152</v>
      </c>
    </row>
    <row r="19" spans="1:15" x14ac:dyDescent="0.15">
      <c r="A19" s="10" t="s">
        <v>153</v>
      </c>
      <c r="B19" s="11"/>
      <c r="C19" s="11"/>
      <c r="D19" s="17" t="s">
        <v>154</v>
      </c>
      <c r="E19" s="10" t="s">
        <v>137</v>
      </c>
      <c r="F19" s="11" t="s">
        <v>155</v>
      </c>
      <c r="G19" s="18">
        <v>136.59899999999999</v>
      </c>
      <c r="H19" s="13">
        <v>41976</v>
      </c>
      <c r="I19" s="12" t="s">
        <v>37</v>
      </c>
      <c r="J19" s="12" t="s">
        <v>156</v>
      </c>
      <c r="K19" s="12" t="s">
        <v>39</v>
      </c>
      <c r="L19" s="12" t="s">
        <v>157</v>
      </c>
      <c r="M19" s="14" t="s">
        <v>158</v>
      </c>
      <c r="N19" s="14" t="s">
        <v>159</v>
      </c>
      <c r="O19" s="17" t="s">
        <v>160</v>
      </c>
    </row>
    <row r="20" spans="1:15" x14ac:dyDescent="0.15">
      <c r="A20" s="10" t="s">
        <v>161</v>
      </c>
      <c r="B20" s="11"/>
      <c r="C20" s="11"/>
      <c r="D20" s="17" t="s">
        <v>162</v>
      </c>
      <c r="E20" s="10" t="s">
        <v>163</v>
      </c>
      <c r="F20" s="11" t="s">
        <v>164</v>
      </c>
      <c r="G20" s="18">
        <v>226.14500000000001</v>
      </c>
      <c r="H20" s="13">
        <v>41976</v>
      </c>
      <c r="I20" s="12" t="s">
        <v>37</v>
      </c>
      <c r="J20" s="12" t="s">
        <v>165</v>
      </c>
      <c r="K20" s="12" t="s">
        <v>39</v>
      </c>
      <c r="L20" s="12" t="s">
        <v>166</v>
      </c>
      <c r="M20" s="14" t="s">
        <v>167</v>
      </c>
      <c r="N20" s="14" t="s">
        <v>168</v>
      </c>
      <c r="O20" s="17" t="s">
        <v>169</v>
      </c>
    </row>
    <row r="21" spans="1:15" x14ac:dyDescent="0.15">
      <c r="A21" s="10" t="s">
        <v>170</v>
      </c>
      <c r="B21" s="11"/>
      <c r="C21" s="11"/>
      <c r="D21" s="10" t="s">
        <v>171</v>
      </c>
      <c r="E21" s="10" t="s">
        <v>163</v>
      </c>
      <c r="F21" s="11" t="s">
        <v>172</v>
      </c>
      <c r="G21" s="18">
        <v>56.692999999999998</v>
      </c>
      <c r="H21" s="13">
        <v>41983</v>
      </c>
      <c r="I21" s="12" t="s">
        <v>173</v>
      </c>
      <c r="J21" s="12" t="s">
        <v>174</v>
      </c>
      <c r="K21" s="12" t="s">
        <v>175</v>
      </c>
      <c r="L21" s="12" t="s">
        <v>176</v>
      </c>
      <c r="M21" s="14" t="s">
        <v>177</v>
      </c>
      <c r="N21" s="14" t="s">
        <v>178</v>
      </c>
      <c r="O21" s="17" t="s">
        <v>179</v>
      </c>
    </row>
    <row r="22" spans="1:15" x14ac:dyDescent="0.15">
      <c r="A22" s="10" t="s">
        <v>126</v>
      </c>
      <c r="B22" s="19" t="s">
        <v>180</v>
      </c>
      <c r="C22" s="11"/>
      <c r="D22" s="17" t="s">
        <v>128</v>
      </c>
      <c r="E22" s="10" t="s">
        <v>163</v>
      </c>
      <c r="F22" s="11" t="s">
        <v>181</v>
      </c>
      <c r="G22" s="12">
        <f>8.606*L22</f>
        <v>103.27199999999999</v>
      </c>
      <c r="H22" s="13">
        <v>41998</v>
      </c>
      <c r="I22" s="12" t="s">
        <v>182</v>
      </c>
      <c r="J22" s="12" t="s">
        <v>183</v>
      </c>
      <c r="K22" s="18" t="s">
        <v>184</v>
      </c>
      <c r="L22" s="12">
        <v>12</v>
      </c>
      <c r="M22" s="14" t="s">
        <v>185</v>
      </c>
      <c r="N22" s="14" t="s">
        <v>186</v>
      </c>
      <c r="O22" s="17" t="s">
        <v>187</v>
      </c>
    </row>
    <row r="23" spans="1:15" x14ac:dyDescent="0.15">
      <c r="A23" s="10" t="s">
        <v>188</v>
      </c>
      <c r="B23" s="19"/>
      <c r="C23" s="11"/>
      <c r="D23" s="17" t="s">
        <v>189</v>
      </c>
      <c r="E23" s="10" t="s">
        <v>163</v>
      </c>
      <c r="F23" s="11" t="s">
        <v>190</v>
      </c>
      <c r="G23" s="18">
        <v>232.68899999999999</v>
      </c>
      <c r="H23" s="13">
        <v>42020</v>
      </c>
      <c r="I23" s="18" t="s">
        <v>191</v>
      </c>
      <c r="J23" s="12" t="s">
        <v>192</v>
      </c>
      <c r="K23" s="18" t="s">
        <v>175</v>
      </c>
      <c r="L23" s="12" t="s">
        <v>166</v>
      </c>
      <c r="M23" s="14" t="s">
        <v>193</v>
      </c>
      <c r="N23" s="14" t="s">
        <v>194</v>
      </c>
      <c r="O23" s="17" t="s">
        <v>195</v>
      </c>
    </row>
    <row r="24" spans="1:15" x14ac:dyDescent="0.15">
      <c r="A24" s="20" t="s">
        <v>196</v>
      </c>
      <c r="B24" s="19"/>
      <c r="C24" s="11"/>
      <c r="D24" s="17" t="s">
        <v>197</v>
      </c>
      <c r="E24" s="10" t="s">
        <v>163</v>
      </c>
      <c r="F24" s="11" t="s">
        <v>198</v>
      </c>
      <c r="G24" s="18">
        <f>17.52*L24</f>
        <v>17.52</v>
      </c>
      <c r="H24" s="13">
        <v>42020</v>
      </c>
      <c r="I24" s="12" t="s">
        <v>199</v>
      </c>
      <c r="J24" s="12" t="s">
        <v>200</v>
      </c>
      <c r="K24" s="18" t="s">
        <v>184</v>
      </c>
      <c r="L24" s="12">
        <v>1</v>
      </c>
      <c r="M24" s="14" t="s">
        <v>201</v>
      </c>
      <c r="N24" s="14" t="s">
        <v>202</v>
      </c>
      <c r="O24" s="17" t="s">
        <v>203</v>
      </c>
    </row>
    <row r="25" spans="1:15" x14ac:dyDescent="0.15">
      <c r="A25" s="20" t="s">
        <v>204</v>
      </c>
      <c r="B25" s="19"/>
      <c r="C25" s="11"/>
      <c r="D25" s="17" t="s">
        <v>205</v>
      </c>
      <c r="E25" s="10" t="s">
        <v>163</v>
      </c>
      <c r="F25" s="11" t="s">
        <v>206</v>
      </c>
      <c r="G25" s="18">
        <f>20.816*L25</f>
        <v>20.815999999999999</v>
      </c>
      <c r="H25" s="13">
        <v>42024</v>
      </c>
      <c r="I25" s="12" t="s">
        <v>207</v>
      </c>
      <c r="J25" s="12" t="s">
        <v>208</v>
      </c>
      <c r="K25" s="12" t="s">
        <v>184</v>
      </c>
      <c r="L25" s="12">
        <v>1</v>
      </c>
      <c r="M25" s="14" t="s">
        <v>209</v>
      </c>
      <c r="N25" s="14" t="s">
        <v>210</v>
      </c>
      <c r="O25" s="17" t="s">
        <v>211</v>
      </c>
    </row>
    <row r="26" spans="1:15" x14ac:dyDescent="0.15">
      <c r="A26" s="10" t="s">
        <v>212</v>
      </c>
      <c r="B26" s="19"/>
      <c r="C26" s="11"/>
      <c r="D26" s="17" t="s">
        <v>213</v>
      </c>
      <c r="E26" s="10" t="s">
        <v>163</v>
      </c>
      <c r="F26" s="11" t="s">
        <v>214</v>
      </c>
      <c r="G26" s="18">
        <v>58.896000000000001</v>
      </c>
      <c r="H26" s="13">
        <v>42026</v>
      </c>
      <c r="I26" s="12" t="s">
        <v>215</v>
      </c>
      <c r="J26" s="12" t="s">
        <v>216</v>
      </c>
      <c r="K26" s="12" t="s">
        <v>184</v>
      </c>
      <c r="L26" s="12" t="s">
        <v>217</v>
      </c>
      <c r="M26" s="14" t="s">
        <v>218</v>
      </c>
      <c r="N26" s="14" t="s">
        <v>219</v>
      </c>
      <c r="O26" s="17" t="s">
        <v>220</v>
      </c>
    </row>
    <row r="27" spans="1:15" x14ac:dyDescent="0.15">
      <c r="A27" s="10" t="s">
        <v>221</v>
      </c>
      <c r="B27" s="11" t="s">
        <v>222</v>
      </c>
      <c r="C27" s="11"/>
      <c r="D27" s="17" t="s">
        <v>223</v>
      </c>
      <c r="E27" s="10" t="s">
        <v>163</v>
      </c>
      <c r="F27" s="11" t="s">
        <v>224</v>
      </c>
      <c r="G27" s="12">
        <f>29.101*L27/2</f>
        <v>72.752499999999998</v>
      </c>
      <c r="H27" s="13">
        <v>42038</v>
      </c>
      <c r="I27" s="12" t="s">
        <v>225</v>
      </c>
      <c r="J27" s="12" t="s">
        <v>226</v>
      </c>
      <c r="K27" s="12" t="s">
        <v>227</v>
      </c>
      <c r="L27" s="12">
        <v>5</v>
      </c>
      <c r="M27" s="14" t="s">
        <v>228</v>
      </c>
      <c r="N27" s="14" t="s">
        <v>229</v>
      </c>
      <c r="O27" s="17" t="s">
        <v>230</v>
      </c>
    </row>
    <row r="28" spans="1:15" x14ac:dyDescent="0.15">
      <c r="A28" s="10" t="s">
        <v>231</v>
      </c>
      <c r="B28" s="19"/>
      <c r="C28" s="11"/>
      <c r="D28" s="17" t="s">
        <v>54</v>
      </c>
      <c r="E28" s="10" t="s">
        <v>163</v>
      </c>
      <c r="F28" s="11" t="s">
        <v>232</v>
      </c>
      <c r="G28" s="12">
        <f>6.405*L28</f>
        <v>96.075000000000003</v>
      </c>
      <c r="H28" s="13">
        <v>42038</v>
      </c>
      <c r="I28" s="12" t="s">
        <v>233</v>
      </c>
      <c r="J28" s="12" t="s">
        <v>234</v>
      </c>
      <c r="K28" s="12" t="s">
        <v>227</v>
      </c>
      <c r="L28" s="12">
        <v>15</v>
      </c>
      <c r="M28" s="14" t="s">
        <v>235</v>
      </c>
      <c r="N28" s="14" t="s">
        <v>236</v>
      </c>
      <c r="O28" s="17" t="s">
        <v>237</v>
      </c>
    </row>
    <row r="29" spans="1:15" x14ac:dyDescent="0.15">
      <c r="A29" s="10" t="s">
        <v>231</v>
      </c>
      <c r="B29" s="19"/>
      <c r="C29" s="11"/>
      <c r="D29" s="17" t="s">
        <v>238</v>
      </c>
      <c r="E29" s="10" t="s">
        <v>163</v>
      </c>
      <c r="F29" s="11" t="s">
        <v>239</v>
      </c>
      <c r="G29" s="12">
        <f>6.405*L29</f>
        <v>76.86</v>
      </c>
      <c r="H29" s="13">
        <v>42038</v>
      </c>
      <c r="I29" s="12" t="s">
        <v>233</v>
      </c>
      <c r="J29" s="12" t="s">
        <v>240</v>
      </c>
      <c r="K29" s="12" t="s">
        <v>227</v>
      </c>
      <c r="L29" s="12">
        <v>12</v>
      </c>
      <c r="M29" s="14" t="s">
        <v>241</v>
      </c>
      <c r="N29" s="14" t="s">
        <v>242</v>
      </c>
      <c r="O29" s="17" t="s">
        <v>243</v>
      </c>
    </row>
    <row r="30" spans="1:15" x14ac:dyDescent="0.15">
      <c r="A30" s="20" t="s">
        <v>244</v>
      </c>
      <c r="B30" s="19"/>
      <c r="C30" s="11"/>
      <c r="D30" s="17" t="s">
        <v>245</v>
      </c>
      <c r="E30" s="10" t="s">
        <v>163</v>
      </c>
      <c r="F30" s="11" t="s">
        <v>246</v>
      </c>
      <c r="G30" s="12">
        <f>16.496*L30</f>
        <v>32.991999999999997</v>
      </c>
      <c r="H30" s="13">
        <v>42039</v>
      </c>
      <c r="I30" s="18" t="s">
        <v>191</v>
      </c>
      <c r="J30" s="12" t="s">
        <v>247</v>
      </c>
      <c r="K30" s="12" t="s">
        <v>227</v>
      </c>
      <c r="L30" s="12">
        <v>2</v>
      </c>
      <c r="M30" s="14" t="s">
        <v>248</v>
      </c>
      <c r="N30" s="14" t="s">
        <v>249</v>
      </c>
      <c r="O30" s="17" t="s">
        <v>250</v>
      </c>
    </row>
    <row r="31" spans="1:15" x14ac:dyDescent="0.15">
      <c r="A31" s="10" t="s">
        <v>251</v>
      </c>
      <c r="B31" s="19"/>
      <c r="C31" s="11"/>
      <c r="D31" s="17" t="s">
        <v>252</v>
      </c>
      <c r="E31" s="10" t="s">
        <v>163</v>
      </c>
      <c r="F31" s="11" t="s">
        <v>253</v>
      </c>
      <c r="G31" s="12">
        <v>175.03299999999999</v>
      </c>
      <c r="H31" s="13">
        <v>42040</v>
      </c>
      <c r="I31" s="12" t="s">
        <v>215</v>
      </c>
      <c r="J31" s="12" t="s">
        <v>254</v>
      </c>
      <c r="K31" s="12" t="s">
        <v>255</v>
      </c>
      <c r="L31" s="12" t="s">
        <v>256</v>
      </c>
      <c r="M31" s="14" t="s">
        <v>257</v>
      </c>
      <c r="N31" s="14" t="s">
        <v>258</v>
      </c>
      <c r="O31" s="17" t="s">
        <v>259</v>
      </c>
    </row>
    <row r="32" spans="1:15" x14ac:dyDescent="0.15">
      <c r="A32" s="20" t="s">
        <v>260</v>
      </c>
      <c r="B32" s="19"/>
      <c r="C32" s="11"/>
      <c r="D32" s="17" t="s">
        <v>261</v>
      </c>
      <c r="E32" s="10" t="s">
        <v>163</v>
      </c>
      <c r="F32" s="11" t="s">
        <v>262</v>
      </c>
      <c r="G32" s="12">
        <f>9.166*1</f>
        <v>9.1660000000000004</v>
      </c>
      <c r="H32" s="13">
        <v>42041</v>
      </c>
      <c r="I32" s="18" t="s">
        <v>263</v>
      </c>
      <c r="J32" s="12" t="s">
        <v>264</v>
      </c>
      <c r="K32" s="12" t="s">
        <v>21</v>
      </c>
      <c r="L32" s="12">
        <v>1</v>
      </c>
      <c r="M32" s="14" t="s">
        <v>265</v>
      </c>
      <c r="N32" s="14" t="s">
        <v>266</v>
      </c>
      <c r="O32" s="17" t="s">
        <v>267</v>
      </c>
    </row>
    <row r="33" spans="1:15" x14ac:dyDescent="0.15">
      <c r="A33" s="10" t="s">
        <v>268</v>
      </c>
      <c r="B33" s="19"/>
      <c r="C33" s="11"/>
      <c r="D33" s="17" t="s">
        <v>269</v>
      </c>
      <c r="E33" s="10" t="s">
        <v>270</v>
      </c>
      <c r="F33" s="11" t="s">
        <v>271</v>
      </c>
      <c r="G33" s="18">
        <f>29.101*L33</f>
        <v>378.31299999999999</v>
      </c>
      <c r="H33" s="13">
        <v>42046</v>
      </c>
      <c r="I33" s="12" t="s">
        <v>272</v>
      </c>
      <c r="J33" s="12" t="s">
        <v>273</v>
      </c>
      <c r="K33" s="12" t="s">
        <v>274</v>
      </c>
      <c r="L33" s="12">
        <v>13</v>
      </c>
      <c r="M33" s="14" t="s">
        <v>275</v>
      </c>
      <c r="N33" s="14" t="s">
        <v>276</v>
      </c>
      <c r="O33" s="17" t="s">
        <v>277</v>
      </c>
    </row>
    <row r="34" spans="1:15" x14ac:dyDescent="0.15">
      <c r="A34" s="20" t="s">
        <v>278</v>
      </c>
      <c r="B34" s="21" t="s">
        <v>279</v>
      </c>
      <c r="C34" s="11"/>
      <c r="D34" s="17" t="s">
        <v>280</v>
      </c>
      <c r="E34" s="10" t="s">
        <v>270</v>
      </c>
      <c r="F34" s="11" t="s">
        <v>281</v>
      </c>
      <c r="G34" s="12">
        <f>11.584*L34</f>
        <v>115.84</v>
      </c>
      <c r="H34" s="13">
        <v>42046</v>
      </c>
      <c r="I34" s="12" t="s">
        <v>282</v>
      </c>
      <c r="J34" s="12" t="s">
        <v>283</v>
      </c>
      <c r="K34" s="12" t="s">
        <v>274</v>
      </c>
      <c r="L34" s="12">
        <v>10</v>
      </c>
      <c r="M34" s="14" t="s">
        <v>284</v>
      </c>
      <c r="N34" s="14" t="s">
        <v>285</v>
      </c>
      <c r="O34" s="17" t="s">
        <v>286</v>
      </c>
    </row>
    <row r="35" spans="1:15" x14ac:dyDescent="0.15">
      <c r="A35" s="10" t="s">
        <v>287</v>
      </c>
      <c r="B35" s="19"/>
      <c r="C35" s="11"/>
      <c r="D35" s="17" t="s">
        <v>288</v>
      </c>
      <c r="E35" s="10" t="s">
        <v>270</v>
      </c>
      <c r="F35" s="11" t="s">
        <v>289</v>
      </c>
      <c r="G35" s="12">
        <v>47.575000000000003</v>
      </c>
      <c r="H35" s="13">
        <v>42046</v>
      </c>
      <c r="I35" s="12" t="s">
        <v>290</v>
      </c>
      <c r="J35" s="12" t="s">
        <v>291</v>
      </c>
      <c r="K35" s="12" t="s">
        <v>292</v>
      </c>
      <c r="L35" s="12" t="s">
        <v>293</v>
      </c>
      <c r="M35" s="14" t="s">
        <v>294</v>
      </c>
      <c r="N35" s="14" t="s">
        <v>295</v>
      </c>
      <c r="O35" s="17" t="s">
        <v>296</v>
      </c>
    </row>
    <row r="36" spans="1:15" x14ac:dyDescent="0.15">
      <c r="A36" s="10" t="s">
        <v>297</v>
      </c>
      <c r="B36" s="19"/>
      <c r="C36" s="11"/>
      <c r="D36" s="17" t="s">
        <v>298</v>
      </c>
      <c r="E36" s="10" t="s">
        <v>270</v>
      </c>
      <c r="F36" s="11" t="s">
        <v>299</v>
      </c>
      <c r="G36" s="12">
        <v>221.62700000000001</v>
      </c>
      <c r="H36" s="13">
        <v>42046</v>
      </c>
      <c r="I36" s="12" t="s">
        <v>272</v>
      </c>
      <c r="J36" s="12" t="s">
        <v>300</v>
      </c>
      <c r="K36" s="12" t="s">
        <v>301</v>
      </c>
      <c r="L36" s="12" t="s">
        <v>302</v>
      </c>
      <c r="M36" s="14" t="s">
        <v>303</v>
      </c>
      <c r="N36" s="14" t="s">
        <v>304</v>
      </c>
      <c r="O36" s="17" t="s">
        <v>305</v>
      </c>
    </row>
    <row r="37" spans="1:15" x14ac:dyDescent="0.15">
      <c r="A37" s="10" t="s">
        <v>306</v>
      </c>
      <c r="B37" s="19"/>
      <c r="C37" s="11"/>
      <c r="D37" s="17" t="s">
        <v>307</v>
      </c>
      <c r="E37" s="10" t="s">
        <v>270</v>
      </c>
      <c r="F37" s="11" t="s">
        <v>308</v>
      </c>
      <c r="G37" s="12">
        <f>17.712*L37</f>
        <v>230.256</v>
      </c>
      <c r="H37" s="13">
        <v>42047</v>
      </c>
      <c r="I37" s="12" t="s">
        <v>309</v>
      </c>
      <c r="J37" s="12" t="s">
        <v>310</v>
      </c>
      <c r="K37" s="12" t="s">
        <v>311</v>
      </c>
      <c r="L37" s="12">
        <v>13</v>
      </c>
      <c r="M37" s="14" t="s">
        <v>312</v>
      </c>
      <c r="N37" s="14" t="s">
        <v>134</v>
      </c>
      <c r="O37" s="17" t="s">
        <v>313</v>
      </c>
    </row>
    <row r="38" spans="1:15" x14ac:dyDescent="0.15">
      <c r="A38" s="20" t="s">
        <v>314</v>
      </c>
      <c r="B38" s="19"/>
      <c r="C38" s="11"/>
      <c r="D38" s="17" t="s">
        <v>315</v>
      </c>
      <c r="E38" s="10" t="s">
        <v>270</v>
      </c>
      <c r="F38" s="11" t="s">
        <v>316</v>
      </c>
      <c r="G38" s="12">
        <v>40.64</v>
      </c>
      <c r="H38" s="13">
        <v>42047</v>
      </c>
      <c r="I38" s="18" t="s">
        <v>317</v>
      </c>
      <c r="J38" s="12" t="s">
        <v>318</v>
      </c>
      <c r="K38" s="12" t="s">
        <v>301</v>
      </c>
      <c r="L38" s="12" t="s">
        <v>319</v>
      </c>
      <c r="M38" s="14" t="s">
        <v>320</v>
      </c>
      <c r="N38" s="14" t="s">
        <v>321</v>
      </c>
      <c r="O38" s="17" t="s">
        <v>322</v>
      </c>
    </row>
    <row r="39" spans="1:15" x14ac:dyDescent="0.15">
      <c r="A39" s="20" t="s">
        <v>323</v>
      </c>
      <c r="B39" s="19"/>
      <c r="C39" s="11"/>
      <c r="D39" s="17" t="s">
        <v>324</v>
      </c>
      <c r="E39" s="10" t="s">
        <v>270</v>
      </c>
      <c r="F39" s="11" t="s">
        <v>325</v>
      </c>
      <c r="G39" s="12">
        <v>105.069</v>
      </c>
      <c r="H39" s="13">
        <v>42062</v>
      </c>
      <c r="I39" s="18" t="s">
        <v>326</v>
      </c>
      <c r="J39" s="12" t="s">
        <v>327</v>
      </c>
      <c r="K39" s="12" t="s">
        <v>328</v>
      </c>
      <c r="L39" s="12" t="s">
        <v>329</v>
      </c>
      <c r="M39" s="14" t="s">
        <v>330</v>
      </c>
      <c r="N39" s="14" t="s">
        <v>331</v>
      </c>
      <c r="O39" s="17" t="s">
        <v>332</v>
      </c>
    </row>
    <row r="40" spans="1:15" x14ac:dyDescent="0.15">
      <c r="A40" s="10" t="s">
        <v>333</v>
      </c>
      <c r="B40" s="19"/>
      <c r="C40" s="11"/>
      <c r="D40" s="17" t="s">
        <v>334</v>
      </c>
      <c r="E40" s="10" t="s">
        <v>270</v>
      </c>
      <c r="F40" s="11" t="s">
        <v>335</v>
      </c>
      <c r="G40" s="18">
        <f>18.708*L40</f>
        <v>467.69999999999993</v>
      </c>
      <c r="H40" s="13">
        <v>42062</v>
      </c>
      <c r="I40" s="12" t="s">
        <v>309</v>
      </c>
      <c r="J40" s="12" t="s">
        <v>336</v>
      </c>
      <c r="K40" s="12" t="s">
        <v>274</v>
      </c>
      <c r="L40" s="12">
        <v>25</v>
      </c>
      <c r="M40" s="14" t="s">
        <v>337</v>
      </c>
      <c r="N40" s="14" t="s">
        <v>338</v>
      </c>
      <c r="O40" s="17" t="s">
        <v>339</v>
      </c>
    </row>
    <row r="41" spans="1:15" x14ac:dyDescent="0.15">
      <c r="A41" s="10" t="s">
        <v>340</v>
      </c>
      <c r="B41" s="19"/>
      <c r="C41" s="11"/>
      <c r="D41" s="17" t="s">
        <v>341</v>
      </c>
      <c r="E41" s="10" t="s">
        <v>270</v>
      </c>
      <c r="F41" s="11" t="s">
        <v>342</v>
      </c>
      <c r="G41" s="12">
        <f>18.708*L41</f>
        <v>130.95599999999999</v>
      </c>
      <c r="H41" s="13">
        <v>42062</v>
      </c>
      <c r="I41" s="18" t="s">
        <v>326</v>
      </c>
      <c r="J41" s="12" t="s">
        <v>343</v>
      </c>
      <c r="K41" s="12" t="s">
        <v>274</v>
      </c>
      <c r="L41" s="12">
        <v>7</v>
      </c>
      <c r="M41" s="14" t="s">
        <v>344</v>
      </c>
      <c r="N41" s="14" t="s">
        <v>345</v>
      </c>
      <c r="O41" s="17" t="s">
        <v>346</v>
      </c>
    </row>
    <row r="42" spans="1:15" x14ac:dyDescent="0.15">
      <c r="A42" s="10" t="s">
        <v>340</v>
      </c>
      <c r="B42" s="19"/>
      <c r="C42" s="11"/>
      <c r="D42" s="17" t="s">
        <v>347</v>
      </c>
      <c r="E42" s="10" t="s">
        <v>270</v>
      </c>
      <c r="F42" s="11" t="s">
        <v>348</v>
      </c>
      <c r="G42" s="12">
        <f>18.708*L42</f>
        <v>187.07999999999998</v>
      </c>
      <c r="H42" s="13">
        <v>42062</v>
      </c>
      <c r="I42" s="18" t="s">
        <v>349</v>
      </c>
      <c r="J42" s="12" t="s">
        <v>350</v>
      </c>
      <c r="K42" s="12" t="s">
        <v>274</v>
      </c>
      <c r="L42" s="12">
        <v>10</v>
      </c>
      <c r="M42" s="14" t="s">
        <v>344</v>
      </c>
      <c r="N42" s="14" t="s">
        <v>58</v>
      </c>
      <c r="O42" s="17" t="s">
        <v>351</v>
      </c>
    </row>
    <row r="43" spans="1:15" x14ac:dyDescent="0.15">
      <c r="A43" s="10" t="s">
        <v>352</v>
      </c>
      <c r="B43" s="19" t="s">
        <v>127</v>
      </c>
      <c r="C43" s="11"/>
      <c r="D43" s="17" t="s">
        <v>353</v>
      </c>
      <c r="E43" s="10" t="s">
        <v>270</v>
      </c>
      <c r="F43" s="11" t="s">
        <v>354</v>
      </c>
      <c r="G43" s="18">
        <f>9.804*L43</f>
        <v>127.452</v>
      </c>
      <c r="H43" s="13">
        <v>42066</v>
      </c>
      <c r="I43" s="12" t="s">
        <v>355</v>
      </c>
      <c r="J43" s="12" t="s">
        <v>356</v>
      </c>
      <c r="K43" s="12" t="s">
        <v>274</v>
      </c>
      <c r="L43" s="12">
        <v>13</v>
      </c>
      <c r="M43" s="14" t="s">
        <v>357</v>
      </c>
      <c r="N43" s="14" t="s">
        <v>134</v>
      </c>
      <c r="O43" s="17" t="s">
        <v>358</v>
      </c>
    </row>
    <row r="44" spans="1:15" x14ac:dyDescent="0.15">
      <c r="A44" s="10" t="s">
        <v>359</v>
      </c>
      <c r="B44" s="19"/>
      <c r="C44" s="11"/>
      <c r="D44" s="17" t="s">
        <v>360</v>
      </c>
      <c r="E44" s="10" t="s">
        <v>270</v>
      </c>
      <c r="F44" s="11" t="s">
        <v>361</v>
      </c>
      <c r="G44" s="18">
        <f>17.712*L44</f>
        <v>230.256</v>
      </c>
      <c r="H44" s="13">
        <v>42066</v>
      </c>
      <c r="I44" s="12" t="s">
        <v>309</v>
      </c>
      <c r="J44" s="12" t="s">
        <v>362</v>
      </c>
      <c r="K44" s="12" t="s">
        <v>274</v>
      </c>
      <c r="L44" s="12">
        <v>13</v>
      </c>
      <c r="M44" s="14" t="s">
        <v>363</v>
      </c>
      <c r="N44" s="14" t="s">
        <v>364</v>
      </c>
      <c r="O44" s="17" t="s">
        <v>365</v>
      </c>
    </row>
    <row r="45" spans="1:15" x14ac:dyDescent="0.15">
      <c r="A45" s="10" t="s">
        <v>366</v>
      </c>
      <c r="B45" s="19"/>
      <c r="C45" s="11"/>
      <c r="D45" s="17" t="s">
        <v>367</v>
      </c>
      <c r="E45" s="10" t="s">
        <v>270</v>
      </c>
      <c r="F45" s="11" t="s">
        <v>368</v>
      </c>
      <c r="G45" s="12">
        <v>106.72499999999999</v>
      </c>
      <c r="H45" s="13">
        <v>42068</v>
      </c>
      <c r="I45" s="12" t="s">
        <v>290</v>
      </c>
      <c r="J45" s="12" t="s">
        <v>369</v>
      </c>
      <c r="K45" s="12" t="s">
        <v>292</v>
      </c>
      <c r="L45" s="12" t="s">
        <v>370</v>
      </c>
      <c r="M45" s="14" t="s">
        <v>371</v>
      </c>
      <c r="N45" s="14" t="s">
        <v>372</v>
      </c>
      <c r="O45" s="17" t="s">
        <v>373</v>
      </c>
    </row>
    <row r="46" spans="1:15" x14ac:dyDescent="0.15">
      <c r="A46" s="10" t="s">
        <v>374</v>
      </c>
      <c r="B46" s="19"/>
      <c r="C46" s="11"/>
      <c r="D46" s="17" t="s">
        <v>375</v>
      </c>
      <c r="E46" s="10" t="s">
        <v>270</v>
      </c>
      <c r="F46" s="11" t="s">
        <v>376</v>
      </c>
      <c r="G46" s="12">
        <f>17.52*L46</f>
        <v>35.04</v>
      </c>
      <c r="H46" s="13">
        <v>42068</v>
      </c>
      <c r="I46" s="12" t="s">
        <v>290</v>
      </c>
      <c r="J46" s="12" t="s">
        <v>377</v>
      </c>
      <c r="K46" s="12" t="s">
        <v>274</v>
      </c>
      <c r="L46" s="12">
        <v>2</v>
      </c>
      <c r="M46" s="14" t="s">
        <v>378</v>
      </c>
      <c r="N46" s="14" t="s">
        <v>379</v>
      </c>
      <c r="O46" s="17" t="s">
        <v>380</v>
      </c>
    </row>
    <row r="47" spans="1:15" x14ac:dyDescent="0.15">
      <c r="A47" s="20" t="s">
        <v>381</v>
      </c>
      <c r="B47" s="19"/>
      <c r="C47" s="11"/>
      <c r="D47" s="17" t="s">
        <v>382</v>
      </c>
      <c r="E47" s="10" t="s">
        <v>270</v>
      </c>
      <c r="F47" s="11" t="s">
        <v>383</v>
      </c>
      <c r="G47" s="12">
        <f>17.52*L47</f>
        <v>17.52</v>
      </c>
      <c r="H47" s="13">
        <v>42068</v>
      </c>
      <c r="I47" s="12" t="s">
        <v>309</v>
      </c>
      <c r="J47" s="12" t="s">
        <v>384</v>
      </c>
      <c r="K47" s="12" t="s">
        <v>274</v>
      </c>
      <c r="L47" s="12">
        <v>1</v>
      </c>
      <c r="M47" s="14" t="s">
        <v>385</v>
      </c>
      <c r="N47" s="14" t="s">
        <v>386</v>
      </c>
      <c r="O47" s="17" t="s">
        <v>387</v>
      </c>
    </row>
    <row r="48" spans="1:15" x14ac:dyDescent="0.15">
      <c r="A48" s="20" t="s">
        <v>388</v>
      </c>
      <c r="B48" s="19"/>
      <c r="C48" s="11"/>
      <c r="D48" s="17" t="s">
        <v>389</v>
      </c>
      <c r="E48" s="10" t="s">
        <v>270</v>
      </c>
      <c r="F48" s="11" t="s">
        <v>390</v>
      </c>
      <c r="G48" s="12">
        <f>17.52*L48</f>
        <v>35.04</v>
      </c>
      <c r="H48" s="13">
        <v>42068</v>
      </c>
      <c r="I48" s="12" t="s">
        <v>309</v>
      </c>
      <c r="J48" s="12" t="s">
        <v>391</v>
      </c>
      <c r="K48" s="12" t="s">
        <v>311</v>
      </c>
      <c r="L48" s="12">
        <v>2</v>
      </c>
      <c r="M48" s="14" t="s">
        <v>392</v>
      </c>
      <c r="N48" s="14" t="s">
        <v>393</v>
      </c>
      <c r="O48" s="17" t="s">
        <v>394</v>
      </c>
    </row>
    <row r="49" spans="1:15" x14ac:dyDescent="0.15">
      <c r="A49" s="20" t="s">
        <v>395</v>
      </c>
      <c r="B49" s="19"/>
      <c r="C49" s="11"/>
      <c r="D49" s="17" t="s">
        <v>396</v>
      </c>
      <c r="E49" s="10" t="s">
        <v>270</v>
      </c>
      <c r="F49" s="11" t="s">
        <v>397</v>
      </c>
      <c r="G49" s="12">
        <f>29.101*L49</f>
        <v>29.100999999999999</v>
      </c>
      <c r="H49" s="13">
        <v>42069</v>
      </c>
      <c r="I49" s="12" t="s">
        <v>398</v>
      </c>
      <c r="J49" s="12" t="s">
        <v>399</v>
      </c>
      <c r="K49" s="12" t="s">
        <v>21</v>
      </c>
      <c r="L49" s="12">
        <v>1</v>
      </c>
      <c r="M49" s="14" t="s">
        <v>400</v>
      </c>
      <c r="N49" s="14" t="s">
        <v>401</v>
      </c>
      <c r="O49" s="17" t="s">
        <v>400</v>
      </c>
    </row>
    <row r="50" spans="1:15" x14ac:dyDescent="0.15">
      <c r="A50" s="20" t="s">
        <v>402</v>
      </c>
      <c r="B50" s="19"/>
      <c r="C50" s="11"/>
      <c r="D50" s="17" t="s">
        <v>403</v>
      </c>
      <c r="E50" s="10" t="s">
        <v>270</v>
      </c>
      <c r="F50" s="11" t="s">
        <v>404</v>
      </c>
      <c r="G50" s="18">
        <f>29.101*L50</f>
        <v>29.100999999999999</v>
      </c>
      <c r="H50" s="13">
        <v>42069</v>
      </c>
      <c r="I50" s="12" t="s">
        <v>398</v>
      </c>
      <c r="J50" s="12" t="s">
        <v>405</v>
      </c>
      <c r="K50" s="12" t="s">
        <v>21</v>
      </c>
      <c r="L50" s="12">
        <v>1</v>
      </c>
      <c r="M50" s="14" t="s">
        <v>406</v>
      </c>
      <c r="N50" s="14" t="s">
        <v>407</v>
      </c>
      <c r="O50" s="17" t="s">
        <v>406</v>
      </c>
    </row>
    <row r="51" spans="1:15" x14ac:dyDescent="0.15">
      <c r="A51" s="10" t="s">
        <v>268</v>
      </c>
      <c r="B51" s="19"/>
      <c r="C51" s="11"/>
      <c r="D51" s="17" t="s">
        <v>408</v>
      </c>
      <c r="E51" s="10" t="s">
        <v>270</v>
      </c>
      <c r="F51" s="11" t="s">
        <v>409</v>
      </c>
      <c r="G51" s="18">
        <f>29.101*L51</f>
        <v>291.01</v>
      </c>
      <c r="H51" s="13">
        <v>42069</v>
      </c>
      <c r="I51" s="12" t="s">
        <v>272</v>
      </c>
      <c r="J51" s="12" t="s">
        <v>410</v>
      </c>
      <c r="K51" s="12" t="s">
        <v>21</v>
      </c>
      <c r="L51" s="12">
        <v>10</v>
      </c>
      <c r="M51" s="14" t="s">
        <v>411</v>
      </c>
      <c r="N51" s="14" t="s">
        <v>412</v>
      </c>
      <c r="O51" s="17" t="s">
        <v>411</v>
      </c>
    </row>
    <row r="52" spans="1:15" x14ac:dyDescent="0.15">
      <c r="A52" s="10" t="s">
        <v>306</v>
      </c>
      <c r="B52" s="19"/>
      <c r="C52" s="11"/>
      <c r="D52" s="17" t="s">
        <v>307</v>
      </c>
      <c r="E52" s="10" t="s">
        <v>270</v>
      </c>
      <c r="F52" s="11" t="s">
        <v>413</v>
      </c>
      <c r="G52" s="12">
        <f>17.712*L52</f>
        <v>230.256</v>
      </c>
      <c r="H52" s="13">
        <v>42069</v>
      </c>
      <c r="I52" s="12" t="s">
        <v>309</v>
      </c>
      <c r="J52" s="12" t="s">
        <v>414</v>
      </c>
      <c r="K52" s="12" t="s">
        <v>311</v>
      </c>
      <c r="L52" s="12">
        <v>13</v>
      </c>
      <c r="M52" s="14" t="s">
        <v>415</v>
      </c>
      <c r="N52" s="14" t="s">
        <v>276</v>
      </c>
      <c r="O52" s="17" t="s">
        <v>416</v>
      </c>
    </row>
    <row r="53" spans="1:15" x14ac:dyDescent="0.15">
      <c r="A53" s="10" t="s">
        <v>417</v>
      </c>
      <c r="B53" s="29" t="s">
        <v>418</v>
      </c>
      <c r="C53" s="11"/>
      <c r="D53" s="17" t="s">
        <v>419</v>
      </c>
      <c r="E53" s="10" t="s">
        <v>270</v>
      </c>
      <c r="F53" s="11" t="s">
        <v>420</v>
      </c>
      <c r="G53" s="18">
        <f>8.606*L53</f>
        <v>103.27199999999999</v>
      </c>
      <c r="H53" s="13">
        <v>42069</v>
      </c>
      <c r="I53" s="12" t="s">
        <v>421</v>
      </c>
      <c r="J53" s="12" t="s">
        <v>422</v>
      </c>
      <c r="K53" s="18" t="s">
        <v>21</v>
      </c>
      <c r="L53" s="12">
        <v>12</v>
      </c>
      <c r="M53" s="14" t="s">
        <v>423</v>
      </c>
      <c r="N53" s="14" t="s">
        <v>242</v>
      </c>
      <c r="O53" s="17" t="s">
        <v>423</v>
      </c>
    </row>
    <row r="54" spans="1:15" x14ac:dyDescent="0.15">
      <c r="A54" s="10" t="s">
        <v>424</v>
      </c>
      <c r="B54" s="19"/>
      <c r="C54" s="11"/>
      <c r="D54" s="17" t="s">
        <v>425</v>
      </c>
      <c r="E54" s="10" t="s">
        <v>270</v>
      </c>
      <c r="F54" s="11" t="s">
        <v>426</v>
      </c>
      <c r="G54" s="12">
        <f>18.708*L54</f>
        <v>112.24799999999999</v>
      </c>
      <c r="H54" s="13">
        <v>42073</v>
      </c>
      <c r="I54" s="12" t="s">
        <v>272</v>
      </c>
      <c r="J54" s="12" t="s">
        <v>427</v>
      </c>
      <c r="K54" s="12" t="s">
        <v>274</v>
      </c>
      <c r="L54" s="12">
        <v>6</v>
      </c>
      <c r="M54" s="14" t="s">
        <v>428</v>
      </c>
      <c r="N54" s="14" t="s">
        <v>429</v>
      </c>
      <c r="O54" s="17" t="s">
        <v>430</v>
      </c>
    </row>
    <row r="55" spans="1:15" x14ac:dyDescent="0.15">
      <c r="A55" s="10" t="s">
        <v>431</v>
      </c>
      <c r="B55" s="19"/>
      <c r="C55" s="11"/>
      <c r="D55" s="17" t="s">
        <v>432</v>
      </c>
      <c r="E55" s="10" t="s">
        <v>270</v>
      </c>
      <c r="F55" s="11" t="s">
        <v>433</v>
      </c>
      <c r="G55" s="18">
        <v>267.40499999999997</v>
      </c>
      <c r="H55" s="13">
        <v>42075</v>
      </c>
      <c r="I55" s="18" t="s">
        <v>326</v>
      </c>
      <c r="J55" s="12" t="s">
        <v>434</v>
      </c>
      <c r="K55" s="12" t="s">
        <v>301</v>
      </c>
      <c r="L55" s="12" t="s">
        <v>435</v>
      </c>
      <c r="M55" s="14" t="s">
        <v>436</v>
      </c>
      <c r="N55" s="14" t="s">
        <v>437</v>
      </c>
      <c r="O55" s="17" t="s">
        <v>438</v>
      </c>
    </row>
    <row r="56" spans="1:15" x14ac:dyDescent="0.15">
      <c r="A56" s="10" t="s">
        <v>431</v>
      </c>
      <c r="B56" s="19"/>
      <c r="C56" s="11"/>
      <c r="D56" s="17" t="s">
        <v>432</v>
      </c>
      <c r="E56" s="10" t="s">
        <v>270</v>
      </c>
      <c r="F56" s="11" t="s">
        <v>439</v>
      </c>
      <c r="G56" s="18">
        <v>35.009</v>
      </c>
      <c r="H56" s="13">
        <v>42075</v>
      </c>
      <c r="I56" s="18" t="s">
        <v>326</v>
      </c>
      <c r="J56" s="12" t="s">
        <v>440</v>
      </c>
      <c r="K56" s="12" t="s">
        <v>301</v>
      </c>
      <c r="L56" s="12" t="s">
        <v>441</v>
      </c>
      <c r="M56" s="14" t="s">
        <v>442</v>
      </c>
      <c r="N56" s="14" t="s">
        <v>443</v>
      </c>
      <c r="O56" s="17" t="s">
        <v>444</v>
      </c>
    </row>
    <row r="57" spans="1:15" x14ac:dyDescent="0.15">
      <c r="A57" s="20" t="s">
        <v>445</v>
      </c>
      <c r="B57" s="19"/>
      <c r="C57" s="11"/>
      <c r="D57" s="17" t="s">
        <v>446</v>
      </c>
      <c r="E57" s="10" t="s">
        <v>447</v>
      </c>
      <c r="F57" s="11" t="s">
        <v>448</v>
      </c>
      <c r="G57" s="18">
        <f>20.57*L57</f>
        <v>246.84</v>
      </c>
      <c r="H57" s="13">
        <v>42079</v>
      </c>
      <c r="I57" s="12" t="s">
        <v>309</v>
      </c>
      <c r="J57" s="12" t="s">
        <v>449</v>
      </c>
      <c r="K57" s="12" t="s">
        <v>274</v>
      </c>
      <c r="L57" s="12">
        <v>12</v>
      </c>
      <c r="M57" s="14" t="s">
        <v>450</v>
      </c>
      <c r="N57" s="14" t="s">
        <v>242</v>
      </c>
      <c r="O57" s="17" t="s">
        <v>451</v>
      </c>
    </row>
    <row r="58" spans="1:15" x14ac:dyDescent="0.15">
      <c r="A58" s="10" t="s">
        <v>452</v>
      </c>
      <c r="B58" s="19"/>
      <c r="C58" s="11"/>
      <c r="D58" s="17" t="s">
        <v>453</v>
      </c>
      <c r="E58" s="10" t="s">
        <v>270</v>
      </c>
      <c r="F58" s="11" t="s">
        <v>454</v>
      </c>
      <c r="G58" s="18">
        <v>268.31900000000002</v>
      </c>
      <c r="H58" s="13">
        <v>42079</v>
      </c>
      <c r="I58" s="12" t="s">
        <v>290</v>
      </c>
      <c r="J58" s="12" t="s">
        <v>455</v>
      </c>
      <c r="K58" s="12" t="s">
        <v>301</v>
      </c>
      <c r="L58" s="12" t="s">
        <v>435</v>
      </c>
      <c r="M58" s="14" t="s">
        <v>456</v>
      </c>
      <c r="N58" s="14" t="s">
        <v>457</v>
      </c>
      <c r="O58" s="17" t="s">
        <v>458</v>
      </c>
    </row>
    <row r="59" spans="1:15" x14ac:dyDescent="0.15">
      <c r="A59" s="10" t="s">
        <v>459</v>
      </c>
      <c r="B59" s="19"/>
      <c r="C59" s="11"/>
      <c r="D59" s="17" t="s">
        <v>460</v>
      </c>
      <c r="E59" s="10" t="s">
        <v>270</v>
      </c>
      <c r="F59" s="11" t="s">
        <v>461</v>
      </c>
      <c r="G59" s="18">
        <v>86.027000000000001</v>
      </c>
      <c r="H59" s="13">
        <v>42080</v>
      </c>
      <c r="I59" s="12" t="s">
        <v>290</v>
      </c>
      <c r="J59" s="12" t="s">
        <v>462</v>
      </c>
      <c r="K59" s="12" t="s">
        <v>292</v>
      </c>
      <c r="L59" s="12" t="s">
        <v>463</v>
      </c>
      <c r="M59" s="14" t="s">
        <v>464</v>
      </c>
      <c r="N59" s="14" t="s">
        <v>465</v>
      </c>
      <c r="O59" s="17" t="s">
        <v>466</v>
      </c>
    </row>
    <row r="60" spans="1:15" x14ac:dyDescent="0.15">
      <c r="A60" s="10" t="s">
        <v>467</v>
      </c>
      <c r="B60" s="19"/>
      <c r="C60" s="11"/>
      <c r="D60" s="17" t="s">
        <v>341</v>
      </c>
      <c r="E60" s="10" t="s">
        <v>447</v>
      </c>
      <c r="F60" s="11" t="s">
        <v>468</v>
      </c>
      <c r="G60" s="12">
        <f>18.708*L60</f>
        <v>224.49599999999998</v>
      </c>
      <c r="H60" s="13">
        <v>42081</v>
      </c>
      <c r="I60" s="18" t="s">
        <v>326</v>
      </c>
      <c r="J60" s="12" t="s">
        <v>469</v>
      </c>
      <c r="K60" s="12" t="s">
        <v>274</v>
      </c>
      <c r="L60" s="12">
        <v>12</v>
      </c>
      <c r="M60" s="14" t="s">
        <v>470</v>
      </c>
      <c r="N60" s="14" t="s">
        <v>242</v>
      </c>
      <c r="O60" s="17" t="s">
        <v>470</v>
      </c>
    </row>
    <row r="61" spans="1:15" x14ac:dyDescent="0.15">
      <c r="A61" s="10" t="s">
        <v>340</v>
      </c>
      <c r="B61" s="19"/>
      <c r="C61" s="11"/>
      <c r="D61" s="17" t="s">
        <v>347</v>
      </c>
      <c r="E61" s="10" t="s">
        <v>447</v>
      </c>
      <c r="F61" s="11" t="s">
        <v>471</v>
      </c>
      <c r="G61" s="12">
        <f>18.708*L61</f>
        <v>243.20399999999998</v>
      </c>
      <c r="H61" s="13">
        <v>42081</v>
      </c>
      <c r="I61" s="18" t="s">
        <v>326</v>
      </c>
      <c r="J61" s="12" t="s">
        <v>472</v>
      </c>
      <c r="K61" s="12" t="s">
        <v>274</v>
      </c>
      <c r="L61" s="12">
        <v>13</v>
      </c>
      <c r="M61" s="14" t="s">
        <v>470</v>
      </c>
      <c r="N61" s="14" t="s">
        <v>473</v>
      </c>
      <c r="O61" s="17" t="s">
        <v>474</v>
      </c>
    </row>
    <row r="62" spans="1:15" x14ac:dyDescent="0.15">
      <c r="A62" s="10" t="s">
        <v>475</v>
      </c>
      <c r="B62" s="19"/>
      <c r="C62" s="11"/>
      <c r="D62" s="17" t="s">
        <v>408</v>
      </c>
      <c r="E62" s="10" t="s">
        <v>447</v>
      </c>
      <c r="F62" s="11" t="s">
        <v>476</v>
      </c>
      <c r="G62" s="18">
        <f>29.101*L62</f>
        <v>87.302999999999997</v>
      </c>
      <c r="H62" s="13">
        <v>42082</v>
      </c>
      <c r="I62" s="12" t="s">
        <v>272</v>
      </c>
      <c r="J62" s="12" t="s">
        <v>477</v>
      </c>
      <c r="K62" s="12" t="s">
        <v>274</v>
      </c>
      <c r="L62" s="12">
        <v>3</v>
      </c>
      <c r="M62" s="14" t="s">
        <v>478</v>
      </c>
      <c r="N62" s="14" t="s">
        <v>479</v>
      </c>
      <c r="O62" s="17" t="s">
        <v>480</v>
      </c>
    </row>
    <row r="63" spans="1:15" x14ac:dyDescent="0.15">
      <c r="A63" s="10" t="s">
        <v>306</v>
      </c>
      <c r="B63" s="19"/>
      <c r="C63" s="11"/>
      <c r="D63" s="17" t="s">
        <v>307</v>
      </c>
      <c r="E63" s="10" t="s">
        <v>447</v>
      </c>
      <c r="F63" s="11" t="s">
        <v>481</v>
      </c>
      <c r="G63" s="12">
        <f>17.712*L63</f>
        <v>230.256</v>
      </c>
      <c r="H63" s="13">
        <v>42082</v>
      </c>
      <c r="I63" s="12" t="s">
        <v>309</v>
      </c>
      <c r="J63" s="12" t="s">
        <v>482</v>
      </c>
      <c r="K63" s="12" t="s">
        <v>311</v>
      </c>
      <c r="L63" s="12">
        <v>13</v>
      </c>
      <c r="M63" s="14" t="s">
        <v>483</v>
      </c>
      <c r="N63" s="14" t="s">
        <v>484</v>
      </c>
      <c r="O63" s="17" t="s">
        <v>485</v>
      </c>
    </row>
    <row r="64" spans="1:15" x14ac:dyDescent="0.15">
      <c r="A64" s="10" t="s">
        <v>486</v>
      </c>
      <c r="B64" s="19" t="s">
        <v>127</v>
      </c>
      <c r="C64" s="11"/>
      <c r="D64" s="17" t="s">
        <v>487</v>
      </c>
      <c r="E64" s="10" t="s">
        <v>270</v>
      </c>
      <c r="F64" s="11" t="s">
        <v>488</v>
      </c>
      <c r="G64" s="12">
        <f>9.871*L64</f>
        <v>118.452</v>
      </c>
      <c r="H64" s="13">
        <v>42082</v>
      </c>
      <c r="I64" s="12" t="s">
        <v>489</v>
      </c>
      <c r="J64" s="12" t="s">
        <v>490</v>
      </c>
      <c r="K64" s="12" t="s">
        <v>311</v>
      </c>
      <c r="L64" s="12">
        <v>12</v>
      </c>
      <c r="M64" s="14" t="s">
        <v>491</v>
      </c>
      <c r="N64" s="14" t="s">
        <v>492</v>
      </c>
      <c r="O64" s="17" t="s">
        <v>493</v>
      </c>
    </row>
    <row r="65" spans="1:15" x14ac:dyDescent="0.15">
      <c r="A65" s="10" t="s">
        <v>494</v>
      </c>
      <c r="B65" s="19"/>
      <c r="C65" s="11"/>
      <c r="D65" s="17" t="s">
        <v>495</v>
      </c>
      <c r="E65" s="10" t="s">
        <v>270</v>
      </c>
      <c r="F65" s="11" t="s">
        <v>496</v>
      </c>
      <c r="G65" s="12">
        <f>14.38*L65</f>
        <v>71.900000000000006</v>
      </c>
      <c r="H65" s="13">
        <v>42087</v>
      </c>
      <c r="I65" s="12" t="s">
        <v>497</v>
      </c>
      <c r="J65" s="12" t="s">
        <v>498</v>
      </c>
      <c r="K65" s="12" t="s">
        <v>274</v>
      </c>
      <c r="L65" s="12">
        <v>5</v>
      </c>
      <c r="M65" s="14" t="s">
        <v>499</v>
      </c>
      <c r="N65" s="14" t="s">
        <v>500</v>
      </c>
      <c r="O65" s="17" t="s">
        <v>501</v>
      </c>
    </row>
    <row r="66" spans="1:15" x14ac:dyDescent="0.15">
      <c r="A66" s="10" t="s">
        <v>502</v>
      </c>
      <c r="B66" s="19"/>
      <c r="C66" s="11"/>
      <c r="D66" s="17" t="s">
        <v>503</v>
      </c>
      <c r="E66" s="10" t="s">
        <v>270</v>
      </c>
      <c r="F66" s="11" t="s">
        <v>504</v>
      </c>
      <c r="G66" s="18">
        <v>247.3</v>
      </c>
      <c r="H66" s="13">
        <v>42087</v>
      </c>
      <c r="I66" s="12" t="s">
        <v>37</v>
      </c>
      <c r="J66" s="12" t="s">
        <v>505</v>
      </c>
      <c r="K66" s="12" t="s">
        <v>292</v>
      </c>
      <c r="L66" s="12" t="s">
        <v>506</v>
      </c>
      <c r="M66" s="14" t="s">
        <v>507</v>
      </c>
      <c r="N66" s="14" t="s">
        <v>508</v>
      </c>
      <c r="O66" s="17" t="s">
        <v>509</v>
      </c>
    </row>
    <row r="67" spans="1:15" x14ac:dyDescent="0.15">
      <c r="A67" s="10" t="s">
        <v>510</v>
      </c>
      <c r="B67" s="19"/>
      <c r="C67" s="11"/>
      <c r="D67" s="17" t="s">
        <v>511</v>
      </c>
      <c r="E67" s="10" t="s">
        <v>270</v>
      </c>
      <c r="F67" s="11" t="s">
        <v>512</v>
      </c>
      <c r="G67" s="18">
        <v>170.92699999999999</v>
      </c>
      <c r="H67" s="13">
        <v>42087</v>
      </c>
      <c r="I67" s="12" t="s">
        <v>290</v>
      </c>
      <c r="J67" s="12" t="s">
        <v>513</v>
      </c>
      <c r="K67" s="12" t="s">
        <v>292</v>
      </c>
      <c r="L67" s="12" t="s">
        <v>514</v>
      </c>
      <c r="M67" s="14" t="s">
        <v>515</v>
      </c>
      <c r="N67" s="14" t="s">
        <v>516</v>
      </c>
      <c r="O67" s="17" t="s">
        <v>517</v>
      </c>
    </row>
    <row r="68" spans="1:15" x14ac:dyDescent="0.15">
      <c r="A68" s="10" t="s">
        <v>518</v>
      </c>
      <c r="B68" s="19"/>
      <c r="C68" s="11"/>
      <c r="D68" s="17" t="s">
        <v>519</v>
      </c>
      <c r="E68" s="10" t="s">
        <v>270</v>
      </c>
      <c r="F68" s="11" t="s">
        <v>520</v>
      </c>
      <c r="G68" s="18">
        <v>82.531000000000006</v>
      </c>
      <c r="H68" s="13">
        <v>42087</v>
      </c>
      <c r="I68" s="12" t="s">
        <v>290</v>
      </c>
      <c r="J68" s="12" t="s">
        <v>521</v>
      </c>
      <c r="K68" s="12" t="s">
        <v>292</v>
      </c>
      <c r="L68" s="12" t="s">
        <v>522</v>
      </c>
      <c r="M68" s="14" t="s">
        <v>523</v>
      </c>
      <c r="N68" s="14" t="s">
        <v>524</v>
      </c>
      <c r="O68" s="17" t="s">
        <v>525</v>
      </c>
    </row>
    <row r="69" spans="1:15" x14ac:dyDescent="0.15">
      <c r="A69" s="10" t="s">
        <v>526</v>
      </c>
      <c r="B69" s="19"/>
      <c r="C69" s="11"/>
      <c r="D69" s="17" t="s">
        <v>97</v>
      </c>
      <c r="E69" s="10" t="s">
        <v>270</v>
      </c>
      <c r="F69" s="11" t="s">
        <v>527</v>
      </c>
      <c r="G69" s="18">
        <f>12.838*L69</f>
        <v>77.027999999999992</v>
      </c>
      <c r="H69" s="13">
        <v>42089</v>
      </c>
      <c r="I69" s="12" t="s">
        <v>528</v>
      </c>
      <c r="J69" s="12" t="s">
        <v>529</v>
      </c>
      <c r="K69" s="12" t="s">
        <v>274</v>
      </c>
      <c r="L69" s="12">
        <v>6</v>
      </c>
      <c r="M69" s="14" t="s">
        <v>530</v>
      </c>
      <c r="N69" s="14" t="s">
        <v>531</v>
      </c>
      <c r="O69" s="17" t="s">
        <v>530</v>
      </c>
    </row>
    <row r="70" spans="1:15" x14ac:dyDescent="0.15">
      <c r="A70" s="20" t="s">
        <v>532</v>
      </c>
      <c r="B70" s="19"/>
      <c r="C70" s="11"/>
      <c r="D70" s="17" t="s">
        <v>533</v>
      </c>
      <c r="E70" s="10" t="s">
        <v>447</v>
      </c>
      <c r="F70" s="11" t="s">
        <v>534</v>
      </c>
      <c r="G70" s="18">
        <v>34.965000000000003</v>
      </c>
      <c r="H70" s="13">
        <v>42094</v>
      </c>
      <c r="I70" s="18" t="s">
        <v>326</v>
      </c>
      <c r="J70" s="12" t="s">
        <v>535</v>
      </c>
      <c r="K70" s="12" t="s">
        <v>328</v>
      </c>
      <c r="L70" s="12" t="s">
        <v>441</v>
      </c>
      <c r="M70" s="14" t="s">
        <v>536</v>
      </c>
      <c r="N70" s="14" t="s">
        <v>537</v>
      </c>
      <c r="O70" s="17" t="s">
        <v>538</v>
      </c>
    </row>
    <row r="71" spans="1:15" x14ac:dyDescent="0.15">
      <c r="A71" s="10" t="s">
        <v>539</v>
      </c>
      <c r="B71" s="19"/>
      <c r="C71" s="11"/>
      <c r="D71" s="17" t="s">
        <v>540</v>
      </c>
      <c r="E71" s="10" t="s">
        <v>447</v>
      </c>
      <c r="F71" s="11" t="s">
        <v>541</v>
      </c>
      <c r="G71" s="12">
        <f>17.52*L71</f>
        <v>122.64</v>
      </c>
      <c r="H71" s="13">
        <v>42094</v>
      </c>
      <c r="I71" s="12" t="s">
        <v>309</v>
      </c>
      <c r="J71" s="12" t="s">
        <v>542</v>
      </c>
      <c r="K71" s="12" t="s">
        <v>274</v>
      </c>
      <c r="L71" s="12">
        <v>7</v>
      </c>
      <c r="M71" s="14" t="s">
        <v>543</v>
      </c>
      <c r="N71" s="14" t="s">
        <v>544</v>
      </c>
      <c r="O71" s="17" t="s">
        <v>543</v>
      </c>
    </row>
    <row r="72" spans="1:15" x14ac:dyDescent="0.15">
      <c r="A72" s="10" t="s">
        <v>545</v>
      </c>
      <c r="B72" s="19"/>
      <c r="C72" s="11"/>
      <c r="D72" s="17" t="s">
        <v>546</v>
      </c>
      <c r="E72" s="10" t="s">
        <v>447</v>
      </c>
      <c r="F72" s="11" t="s">
        <v>547</v>
      </c>
      <c r="G72" s="12">
        <f>17.52*L72</f>
        <v>87.6</v>
      </c>
      <c r="H72" s="13">
        <v>42094</v>
      </c>
      <c r="I72" s="18" t="s">
        <v>548</v>
      </c>
      <c r="J72" s="12" t="s">
        <v>549</v>
      </c>
      <c r="K72" s="12" t="s">
        <v>21</v>
      </c>
      <c r="L72" s="12">
        <v>5</v>
      </c>
      <c r="M72" s="14" t="s">
        <v>550</v>
      </c>
      <c r="N72" s="14" t="s">
        <v>229</v>
      </c>
      <c r="O72" s="17" t="s">
        <v>550</v>
      </c>
    </row>
    <row r="73" spans="1:15" x14ac:dyDescent="0.15">
      <c r="A73" s="10" t="s">
        <v>551</v>
      </c>
      <c r="B73" s="19"/>
      <c r="C73" s="11"/>
      <c r="D73" s="17" t="s">
        <v>552</v>
      </c>
      <c r="E73" s="10" t="s">
        <v>447</v>
      </c>
      <c r="F73" s="11" t="s">
        <v>553</v>
      </c>
      <c r="G73" s="12">
        <f>17.52*L73</f>
        <v>70.08</v>
      </c>
      <c r="H73" s="13">
        <v>42094</v>
      </c>
      <c r="I73" s="18" t="s">
        <v>548</v>
      </c>
      <c r="J73" s="12" t="s">
        <v>554</v>
      </c>
      <c r="K73" s="12" t="s">
        <v>274</v>
      </c>
      <c r="L73" s="12">
        <v>4</v>
      </c>
      <c r="M73" s="14" t="s">
        <v>555</v>
      </c>
      <c r="N73" s="14" t="s">
        <v>556</v>
      </c>
      <c r="O73" s="17" t="s">
        <v>555</v>
      </c>
    </row>
    <row r="74" spans="1:15" x14ac:dyDescent="0.15">
      <c r="A74" s="10" t="s">
        <v>306</v>
      </c>
      <c r="B74" s="19"/>
      <c r="C74" s="11"/>
      <c r="D74" s="17" t="s">
        <v>307</v>
      </c>
      <c r="E74" s="10" t="s">
        <v>447</v>
      </c>
      <c r="F74" s="11" t="s">
        <v>557</v>
      </c>
      <c r="G74" s="12">
        <f>17.712*L74</f>
        <v>230.256</v>
      </c>
      <c r="H74" s="13">
        <v>42094</v>
      </c>
      <c r="I74" s="12" t="s">
        <v>309</v>
      </c>
      <c r="J74" s="12" t="s">
        <v>558</v>
      </c>
      <c r="K74" s="12" t="s">
        <v>311</v>
      </c>
      <c r="L74" s="12">
        <v>13</v>
      </c>
      <c r="M74" s="14" t="s">
        <v>559</v>
      </c>
      <c r="N74" s="14" t="s">
        <v>101</v>
      </c>
      <c r="O74" s="17" t="s">
        <v>559</v>
      </c>
    </row>
    <row r="75" spans="1:15" x14ac:dyDescent="0.15">
      <c r="A75" s="10" t="s">
        <v>560</v>
      </c>
      <c r="B75" s="19"/>
      <c r="C75" s="11"/>
      <c r="D75" s="17" t="s">
        <v>561</v>
      </c>
      <c r="E75" s="10" t="s">
        <v>447</v>
      </c>
      <c r="F75" s="11" t="s">
        <v>562</v>
      </c>
      <c r="G75" s="12">
        <f>20.142*L75</f>
        <v>100.71</v>
      </c>
      <c r="H75" s="13">
        <v>42094</v>
      </c>
      <c r="I75" s="12" t="s">
        <v>309</v>
      </c>
      <c r="J75" s="12" t="s">
        <v>563</v>
      </c>
      <c r="K75" s="18" t="s">
        <v>274</v>
      </c>
      <c r="L75" s="12">
        <v>5</v>
      </c>
      <c r="M75" s="14" t="s">
        <v>564</v>
      </c>
      <c r="N75" s="14" t="s">
        <v>565</v>
      </c>
      <c r="O75" s="17" t="s">
        <v>564</v>
      </c>
    </row>
    <row r="76" spans="1:15" x14ac:dyDescent="0.15">
      <c r="A76" s="10" t="s">
        <v>566</v>
      </c>
      <c r="B76" s="19"/>
      <c r="C76" s="11"/>
      <c r="D76" s="17" t="s">
        <v>567</v>
      </c>
      <c r="E76" s="10" t="s">
        <v>447</v>
      </c>
      <c r="F76" s="11" t="s">
        <v>568</v>
      </c>
      <c r="G76" s="12">
        <f>27.688*L76</f>
        <v>110.752</v>
      </c>
      <c r="H76" s="13">
        <v>42094</v>
      </c>
      <c r="I76" s="12" t="s">
        <v>309</v>
      </c>
      <c r="J76" s="12" t="s">
        <v>569</v>
      </c>
      <c r="K76" s="12" t="s">
        <v>21</v>
      </c>
      <c r="L76" s="12">
        <v>4</v>
      </c>
      <c r="M76" s="14" t="s">
        <v>570</v>
      </c>
      <c r="N76" s="14" t="s">
        <v>571</v>
      </c>
      <c r="O76" s="17" t="s">
        <v>570</v>
      </c>
    </row>
    <row r="77" spans="1:15" x14ac:dyDescent="0.15">
      <c r="A77" s="10" t="s">
        <v>572</v>
      </c>
      <c r="B77" s="19"/>
      <c r="C77" s="11"/>
      <c r="D77" s="17" t="s">
        <v>573</v>
      </c>
      <c r="E77" s="10" t="s">
        <v>447</v>
      </c>
      <c r="F77" s="11" t="s">
        <v>574</v>
      </c>
      <c r="G77" s="18">
        <f>17.52*L77</f>
        <v>35.04</v>
      </c>
      <c r="H77" s="13">
        <v>42094</v>
      </c>
      <c r="I77" s="12" t="s">
        <v>309</v>
      </c>
      <c r="J77" s="12" t="s">
        <v>575</v>
      </c>
      <c r="K77" s="18" t="s">
        <v>274</v>
      </c>
      <c r="L77" s="12">
        <v>2</v>
      </c>
      <c r="M77" s="14" t="s">
        <v>576</v>
      </c>
      <c r="N77" s="14" t="s">
        <v>577</v>
      </c>
      <c r="O77" s="17" t="s">
        <v>576</v>
      </c>
    </row>
    <row r="78" spans="1:15" x14ac:dyDescent="0.15">
      <c r="A78" s="10" t="s">
        <v>578</v>
      </c>
      <c r="B78" s="19"/>
      <c r="C78" s="11"/>
      <c r="D78" s="17" t="s">
        <v>579</v>
      </c>
      <c r="E78" s="10" t="s">
        <v>447</v>
      </c>
      <c r="F78" s="11" t="s">
        <v>580</v>
      </c>
      <c r="G78" s="18">
        <f>17.52*L78</f>
        <v>52.56</v>
      </c>
      <c r="H78" s="13">
        <v>42094</v>
      </c>
      <c r="I78" s="12" t="s">
        <v>309</v>
      </c>
      <c r="J78" s="12" t="s">
        <v>581</v>
      </c>
      <c r="K78" s="12" t="s">
        <v>21</v>
      </c>
      <c r="L78" s="12">
        <v>3</v>
      </c>
      <c r="M78" s="14" t="s">
        <v>582</v>
      </c>
      <c r="N78" s="14" t="s">
        <v>583</v>
      </c>
      <c r="O78" s="17" t="s">
        <v>582</v>
      </c>
    </row>
    <row r="79" spans="1:15" x14ac:dyDescent="0.15">
      <c r="A79" s="10" t="s">
        <v>297</v>
      </c>
      <c r="B79" s="19"/>
      <c r="C79" s="11"/>
      <c r="D79" s="17" t="s">
        <v>298</v>
      </c>
      <c r="E79" s="10" t="s">
        <v>447</v>
      </c>
      <c r="F79" s="11" t="s">
        <v>584</v>
      </c>
      <c r="G79" s="18">
        <v>110.755</v>
      </c>
      <c r="H79" s="13">
        <v>42094</v>
      </c>
      <c r="I79" s="12" t="s">
        <v>272</v>
      </c>
      <c r="J79" s="12" t="s">
        <v>585</v>
      </c>
      <c r="K79" s="12" t="s">
        <v>301</v>
      </c>
      <c r="L79" s="12" t="s">
        <v>586</v>
      </c>
      <c r="M79" s="14" t="s">
        <v>587</v>
      </c>
      <c r="N79" s="14" t="s">
        <v>588</v>
      </c>
      <c r="O79" s="17" t="s">
        <v>589</v>
      </c>
    </row>
    <row r="80" spans="1:15" x14ac:dyDescent="0.15">
      <c r="A80" s="10" t="s">
        <v>590</v>
      </c>
      <c r="B80" s="22" t="s">
        <v>591</v>
      </c>
      <c r="C80" s="11"/>
      <c r="D80" s="17" t="s">
        <v>592</v>
      </c>
      <c r="E80" s="10" t="s">
        <v>270</v>
      </c>
      <c r="F80" s="11" t="s">
        <v>593</v>
      </c>
      <c r="G80" s="18">
        <f>29.101*L80</f>
        <v>349.21199999999999</v>
      </c>
      <c r="H80" s="13">
        <v>42094</v>
      </c>
      <c r="I80" s="12" t="s">
        <v>594</v>
      </c>
      <c r="J80" s="12" t="s">
        <v>595</v>
      </c>
      <c r="K80" s="12" t="s">
        <v>311</v>
      </c>
      <c r="L80" s="12">
        <v>12</v>
      </c>
      <c r="M80" s="14" t="s">
        <v>596</v>
      </c>
      <c r="N80" s="14" t="s">
        <v>597</v>
      </c>
      <c r="O80" s="17" t="s">
        <v>598</v>
      </c>
    </row>
    <row r="81" spans="1:15" x14ac:dyDescent="0.15">
      <c r="A81" s="10" t="s">
        <v>599</v>
      </c>
      <c r="B81" s="19"/>
      <c r="C81" s="11"/>
      <c r="D81" s="17" t="s">
        <v>600</v>
      </c>
      <c r="E81" s="10" t="s">
        <v>270</v>
      </c>
      <c r="F81" s="11" t="s">
        <v>601</v>
      </c>
      <c r="G81" s="18">
        <f>14.405*2</f>
        <v>28.81</v>
      </c>
      <c r="H81" s="13">
        <v>42094</v>
      </c>
      <c r="I81" s="12" t="s">
        <v>602</v>
      </c>
      <c r="J81" s="12" t="s">
        <v>603</v>
      </c>
      <c r="K81" s="12" t="s">
        <v>227</v>
      </c>
      <c r="L81" s="12" t="s">
        <v>604</v>
      </c>
      <c r="M81" s="14" t="s">
        <v>605</v>
      </c>
      <c r="N81" s="14" t="s">
        <v>606</v>
      </c>
      <c r="O81" s="17" t="s">
        <v>607</v>
      </c>
    </row>
    <row r="82" spans="1:15" x14ac:dyDescent="0.15">
      <c r="A82" s="10" t="s">
        <v>231</v>
      </c>
      <c r="B82" s="19"/>
      <c r="C82" s="11"/>
      <c r="D82" s="17" t="s">
        <v>54</v>
      </c>
      <c r="E82" s="10" t="s">
        <v>17</v>
      </c>
      <c r="F82" s="11" t="s">
        <v>608</v>
      </c>
      <c r="G82" s="12">
        <f>6.405*L82</f>
        <v>160.125</v>
      </c>
      <c r="H82" s="13">
        <v>42094</v>
      </c>
      <c r="I82" s="12" t="s">
        <v>233</v>
      </c>
      <c r="J82" s="12" t="s">
        <v>609</v>
      </c>
      <c r="K82" s="12" t="s">
        <v>227</v>
      </c>
      <c r="L82" s="12">
        <v>25</v>
      </c>
      <c r="M82" s="14" t="s">
        <v>610</v>
      </c>
      <c r="N82" s="14" t="s">
        <v>338</v>
      </c>
      <c r="O82" s="17" t="s">
        <v>610</v>
      </c>
    </row>
    <row r="83" spans="1:15" x14ac:dyDescent="0.15">
      <c r="A83" s="10" t="s">
        <v>611</v>
      </c>
      <c r="B83" s="19"/>
      <c r="C83" s="11"/>
      <c r="D83" s="17" t="s">
        <v>612</v>
      </c>
      <c r="E83" s="10" t="s">
        <v>163</v>
      </c>
      <c r="F83" s="11" t="s">
        <v>613</v>
      </c>
      <c r="G83" s="12">
        <f>6.405*L83</f>
        <v>160.125</v>
      </c>
      <c r="H83" s="13">
        <v>42094</v>
      </c>
      <c r="I83" s="12" t="s">
        <v>233</v>
      </c>
      <c r="J83" s="12" t="s">
        <v>614</v>
      </c>
      <c r="K83" s="12" t="s">
        <v>227</v>
      </c>
      <c r="L83" s="12">
        <v>25</v>
      </c>
      <c r="M83" s="14" t="s">
        <v>615</v>
      </c>
      <c r="N83" s="14" t="s">
        <v>338</v>
      </c>
      <c r="O83" s="17" t="s">
        <v>615</v>
      </c>
    </row>
    <row r="84" spans="1:15" x14ac:dyDescent="0.15">
      <c r="A84" s="10" t="s">
        <v>616</v>
      </c>
      <c r="B84" s="19"/>
      <c r="C84" s="11"/>
      <c r="D84" s="17" t="s">
        <v>617</v>
      </c>
      <c r="E84" s="10" t="s">
        <v>163</v>
      </c>
      <c r="F84" s="11" t="s">
        <v>618</v>
      </c>
      <c r="G84" s="18">
        <v>202.32300000000001</v>
      </c>
      <c r="H84" s="13">
        <v>42094</v>
      </c>
      <c r="I84" s="12" t="s">
        <v>215</v>
      </c>
      <c r="J84" s="12" t="s">
        <v>619</v>
      </c>
      <c r="K84" s="12" t="s">
        <v>39</v>
      </c>
      <c r="L84" s="12" t="s">
        <v>620</v>
      </c>
      <c r="M84" s="14" t="s">
        <v>621</v>
      </c>
      <c r="N84" s="14" t="s">
        <v>622</v>
      </c>
      <c r="O84" s="17" t="s">
        <v>623</v>
      </c>
    </row>
    <row r="85" spans="1:15" x14ac:dyDescent="0.15">
      <c r="A85" s="20" t="s">
        <v>624</v>
      </c>
      <c r="B85" s="19"/>
      <c r="C85" s="11"/>
      <c r="D85" s="17" t="s">
        <v>625</v>
      </c>
      <c r="E85" s="10" t="s">
        <v>17</v>
      </c>
      <c r="F85" s="11" t="s">
        <v>626</v>
      </c>
      <c r="G85" s="18">
        <f>27.67*L85</f>
        <v>55.34</v>
      </c>
      <c r="H85" s="13">
        <v>42095</v>
      </c>
      <c r="I85" s="12" t="s">
        <v>627</v>
      </c>
      <c r="J85" s="12" t="s">
        <v>628</v>
      </c>
      <c r="K85" s="12" t="s">
        <v>227</v>
      </c>
      <c r="L85" s="12">
        <v>2</v>
      </c>
      <c r="M85" s="14" t="s">
        <v>629</v>
      </c>
      <c r="N85" s="14" t="s">
        <v>630</v>
      </c>
      <c r="O85" s="17" t="s">
        <v>631</v>
      </c>
    </row>
    <row r="86" spans="1:15" x14ac:dyDescent="0.15">
      <c r="A86" s="10" t="s">
        <v>632</v>
      </c>
      <c r="B86" s="19"/>
      <c r="C86" s="11"/>
      <c r="D86" s="17" t="s">
        <v>633</v>
      </c>
      <c r="E86" s="10" t="s">
        <v>17</v>
      </c>
      <c r="F86" s="11" t="s">
        <v>634</v>
      </c>
      <c r="G86" s="12">
        <f>17.498*L86</f>
        <v>209.976</v>
      </c>
      <c r="H86" s="13">
        <v>42095</v>
      </c>
      <c r="I86" s="12" t="s">
        <v>635</v>
      </c>
      <c r="J86" s="12" t="s">
        <v>636</v>
      </c>
      <c r="K86" s="12" t="s">
        <v>227</v>
      </c>
      <c r="L86" s="12">
        <v>12</v>
      </c>
      <c r="M86" s="14" t="s">
        <v>637</v>
      </c>
      <c r="N86" s="14" t="s">
        <v>242</v>
      </c>
      <c r="O86" s="17" t="s">
        <v>637</v>
      </c>
    </row>
    <row r="87" spans="1:15" x14ac:dyDescent="0.15">
      <c r="A87" s="10" t="s">
        <v>638</v>
      </c>
      <c r="B87" s="19" t="s">
        <v>127</v>
      </c>
      <c r="C87" s="11"/>
      <c r="D87" s="17" t="s">
        <v>353</v>
      </c>
      <c r="E87" s="10" t="s">
        <v>17</v>
      </c>
      <c r="F87" s="11" t="s">
        <v>639</v>
      </c>
      <c r="G87" s="18">
        <f>9.804*L87</f>
        <v>117.648</v>
      </c>
      <c r="H87" s="13">
        <v>42095</v>
      </c>
      <c r="I87" s="12" t="s">
        <v>640</v>
      </c>
      <c r="J87" s="12" t="s">
        <v>641</v>
      </c>
      <c r="K87" s="12" t="s">
        <v>227</v>
      </c>
      <c r="L87" s="12">
        <v>12</v>
      </c>
      <c r="M87" s="14" t="s">
        <v>642</v>
      </c>
      <c r="N87" s="14" t="s">
        <v>643</v>
      </c>
      <c r="O87" s="17" t="s">
        <v>642</v>
      </c>
    </row>
    <row r="88" spans="1:15" x14ac:dyDescent="0.15">
      <c r="A88" s="10" t="s">
        <v>644</v>
      </c>
      <c r="B88" s="19" t="s">
        <v>645</v>
      </c>
      <c r="C88" s="11" t="s">
        <v>646</v>
      </c>
      <c r="D88" s="17" t="s">
        <v>487</v>
      </c>
      <c r="E88" s="10" t="s">
        <v>17</v>
      </c>
      <c r="F88" s="11" t="s">
        <v>647</v>
      </c>
      <c r="G88" s="12">
        <f>9.871*L88</f>
        <v>128.32300000000001</v>
      </c>
      <c r="H88" s="13">
        <v>42095</v>
      </c>
      <c r="I88" s="12" t="s">
        <v>648</v>
      </c>
      <c r="J88" s="12" t="s">
        <v>649</v>
      </c>
      <c r="K88" s="12" t="s">
        <v>184</v>
      </c>
      <c r="L88" s="12">
        <v>13</v>
      </c>
      <c r="M88" s="14" t="s">
        <v>650</v>
      </c>
      <c r="N88" s="14" t="s">
        <v>134</v>
      </c>
      <c r="O88" s="17" t="s">
        <v>651</v>
      </c>
    </row>
    <row r="89" spans="1:15" x14ac:dyDescent="0.15">
      <c r="A89" s="10" t="s">
        <v>644</v>
      </c>
      <c r="B89" s="19" t="s">
        <v>6883</v>
      </c>
      <c r="C89" s="11"/>
      <c r="D89" s="17" t="s">
        <v>487</v>
      </c>
      <c r="E89" s="10" t="s">
        <v>17</v>
      </c>
      <c r="F89" s="11" t="s">
        <v>652</v>
      </c>
      <c r="G89" s="12">
        <f>9.871*L89</f>
        <v>118.452</v>
      </c>
      <c r="H89" s="13">
        <v>42095</v>
      </c>
      <c r="I89" s="12" t="s">
        <v>648</v>
      </c>
      <c r="J89" s="12" t="s">
        <v>653</v>
      </c>
      <c r="K89" s="12" t="s">
        <v>184</v>
      </c>
      <c r="L89" s="12">
        <v>12</v>
      </c>
      <c r="M89" s="14" t="s">
        <v>654</v>
      </c>
      <c r="N89" s="14" t="s">
        <v>242</v>
      </c>
      <c r="O89" s="17" t="s">
        <v>654</v>
      </c>
    </row>
    <row r="90" spans="1:15" x14ac:dyDescent="0.15">
      <c r="A90" s="10" t="s">
        <v>655</v>
      </c>
      <c r="B90" s="11" t="s">
        <v>127</v>
      </c>
      <c r="C90" s="11"/>
      <c r="D90" s="10" t="s">
        <v>656</v>
      </c>
      <c r="E90" s="10" t="s">
        <v>17</v>
      </c>
      <c r="F90" s="11" t="s">
        <v>657</v>
      </c>
      <c r="G90" s="12">
        <f>9.871*L90</f>
        <v>108.581</v>
      </c>
      <c r="H90" s="13">
        <v>42095</v>
      </c>
      <c r="I90" s="12" t="s">
        <v>648</v>
      </c>
      <c r="J90" s="12" t="s">
        <v>658</v>
      </c>
      <c r="K90" s="12" t="s">
        <v>227</v>
      </c>
      <c r="L90" s="12">
        <v>11</v>
      </c>
      <c r="M90" s="14" t="s">
        <v>659</v>
      </c>
      <c r="N90" s="14" t="s">
        <v>660</v>
      </c>
      <c r="O90" s="17" t="s">
        <v>661</v>
      </c>
    </row>
    <row r="91" spans="1:15" x14ac:dyDescent="0.15">
      <c r="A91" s="10" t="s">
        <v>662</v>
      </c>
      <c r="B91" s="11" t="s">
        <v>127</v>
      </c>
      <c r="C91" s="11"/>
      <c r="D91" s="17" t="s">
        <v>663</v>
      </c>
      <c r="E91" s="10" t="s">
        <v>163</v>
      </c>
      <c r="F91" s="11" t="s">
        <v>664</v>
      </c>
      <c r="G91" s="12">
        <f>9.871*L91</f>
        <v>49.355000000000004</v>
      </c>
      <c r="H91" s="13">
        <v>42095</v>
      </c>
      <c r="I91" s="18" t="s">
        <v>648</v>
      </c>
      <c r="J91" s="12" t="s">
        <v>665</v>
      </c>
      <c r="K91" s="12" t="s">
        <v>227</v>
      </c>
      <c r="L91" s="12">
        <v>5</v>
      </c>
      <c r="M91" s="14" t="s">
        <v>666</v>
      </c>
      <c r="N91" s="14" t="s">
        <v>667</v>
      </c>
      <c r="O91" s="17" t="s">
        <v>666</v>
      </c>
    </row>
    <row r="92" spans="1:15" x14ac:dyDescent="0.15">
      <c r="A92" s="10" t="s">
        <v>668</v>
      </c>
      <c r="B92" s="19"/>
      <c r="C92" s="11"/>
      <c r="D92" s="17" t="s">
        <v>669</v>
      </c>
      <c r="E92" s="10" t="s">
        <v>163</v>
      </c>
      <c r="F92" s="11" t="s">
        <v>670</v>
      </c>
      <c r="G92" s="18">
        <v>49.542000000000002</v>
      </c>
      <c r="H92" s="13">
        <v>42095</v>
      </c>
      <c r="I92" s="12" t="s">
        <v>215</v>
      </c>
      <c r="J92" s="12" t="s">
        <v>671</v>
      </c>
      <c r="K92" s="12" t="s">
        <v>39</v>
      </c>
      <c r="L92" s="12" t="s">
        <v>672</v>
      </c>
      <c r="M92" s="14" t="s">
        <v>673</v>
      </c>
      <c r="N92" s="14" t="s">
        <v>674</v>
      </c>
      <c r="O92" s="17" t="s">
        <v>675</v>
      </c>
    </row>
    <row r="93" spans="1:15" x14ac:dyDescent="0.15">
      <c r="A93" s="10" t="s">
        <v>676</v>
      </c>
      <c r="B93" s="19"/>
      <c r="C93" s="11"/>
      <c r="D93" s="17" t="s">
        <v>382</v>
      </c>
      <c r="E93" s="10" t="s">
        <v>163</v>
      </c>
      <c r="F93" s="11" t="s">
        <v>677</v>
      </c>
      <c r="G93" s="12">
        <f>17.52*L93</f>
        <v>87.6</v>
      </c>
      <c r="H93" s="13">
        <v>42097</v>
      </c>
      <c r="I93" s="12" t="s">
        <v>635</v>
      </c>
      <c r="J93" s="12" t="s">
        <v>678</v>
      </c>
      <c r="K93" s="12" t="s">
        <v>227</v>
      </c>
      <c r="L93" s="12">
        <v>5</v>
      </c>
      <c r="M93" s="14" t="s">
        <v>679</v>
      </c>
      <c r="N93" s="14" t="s">
        <v>680</v>
      </c>
      <c r="O93" s="17" t="s">
        <v>679</v>
      </c>
    </row>
    <row r="94" spans="1:15" x14ac:dyDescent="0.15">
      <c r="A94" s="10" t="s">
        <v>681</v>
      </c>
      <c r="B94" s="19"/>
      <c r="C94" s="11"/>
      <c r="D94" s="17" t="s">
        <v>408</v>
      </c>
      <c r="E94" s="10" t="s">
        <v>163</v>
      </c>
      <c r="F94" s="11" t="s">
        <v>682</v>
      </c>
      <c r="G94" s="18">
        <f>29.101*L94</f>
        <v>378.31299999999999</v>
      </c>
      <c r="H94" s="13">
        <v>42097</v>
      </c>
      <c r="I94" s="12" t="s">
        <v>683</v>
      </c>
      <c r="J94" s="12" t="s">
        <v>684</v>
      </c>
      <c r="K94" s="12" t="s">
        <v>21</v>
      </c>
      <c r="L94" s="12">
        <v>13</v>
      </c>
      <c r="M94" s="14" t="s">
        <v>685</v>
      </c>
      <c r="N94" s="14" t="s">
        <v>686</v>
      </c>
      <c r="O94" s="17" t="s">
        <v>687</v>
      </c>
    </row>
    <row r="95" spans="1:15" x14ac:dyDescent="0.15">
      <c r="A95" s="10" t="s">
        <v>688</v>
      </c>
      <c r="B95" s="19"/>
      <c r="C95" s="11"/>
      <c r="D95" s="17" t="s">
        <v>689</v>
      </c>
      <c r="E95" s="10" t="s">
        <v>163</v>
      </c>
      <c r="F95" s="11" t="s">
        <v>690</v>
      </c>
      <c r="G95" s="12">
        <f>14.405*L95</f>
        <v>360.125</v>
      </c>
      <c r="H95" s="13">
        <v>42097</v>
      </c>
      <c r="I95" s="12" t="s">
        <v>635</v>
      </c>
      <c r="J95" s="12" t="s">
        <v>691</v>
      </c>
      <c r="K95" s="12" t="s">
        <v>227</v>
      </c>
      <c r="L95" s="12">
        <v>25</v>
      </c>
      <c r="M95" s="14" t="s">
        <v>692</v>
      </c>
      <c r="N95" s="14" t="s">
        <v>338</v>
      </c>
      <c r="O95" s="17" t="s">
        <v>692</v>
      </c>
    </row>
    <row r="96" spans="1:15" x14ac:dyDescent="0.15">
      <c r="A96" s="10" t="s">
        <v>693</v>
      </c>
      <c r="B96" s="19"/>
      <c r="C96" s="11"/>
      <c r="D96" s="17" t="s">
        <v>600</v>
      </c>
      <c r="E96" s="10" t="s">
        <v>163</v>
      </c>
      <c r="F96" s="11" t="s">
        <v>694</v>
      </c>
      <c r="G96" s="18">
        <v>72.025000000000006</v>
      </c>
      <c r="H96" s="13">
        <v>42102</v>
      </c>
      <c r="I96" s="12" t="s">
        <v>602</v>
      </c>
      <c r="J96" s="12" t="s">
        <v>695</v>
      </c>
      <c r="K96" s="12" t="s">
        <v>227</v>
      </c>
      <c r="L96" s="12" t="s">
        <v>696</v>
      </c>
      <c r="M96" s="14" t="s">
        <v>605</v>
      </c>
      <c r="N96" s="14" t="s">
        <v>697</v>
      </c>
      <c r="O96" s="17" t="s">
        <v>698</v>
      </c>
    </row>
    <row r="97" spans="1:15" x14ac:dyDescent="0.15">
      <c r="A97" s="10" t="s">
        <v>699</v>
      </c>
      <c r="B97" s="11" t="s">
        <v>222</v>
      </c>
      <c r="C97" s="11"/>
      <c r="D97" s="17" t="s">
        <v>223</v>
      </c>
      <c r="E97" s="10" t="s">
        <v>163</v>
      </c>
      <c r="F97" s="11" t="s">
        <v>700</v>
      </c>
      <c r="G97" s="12">
        <f>29.101*L97/2</f>
        <v>29.100999999999999</v>
      </c>
      <c r="H97" s="13">
        <v>42102</v>
      </c>
      <c r="I97" s="12" t="s">
        <v>225</v>
      </c>
      <c r="J97" s="12" t="s">
        <v>701</v>
      </c>
      <c r="K97" s="12" t="s">
        <v>227</v>
      </c>
      <c r="L97" s="12">
        <v>2</v>
      </c>
      <c r="M97" s="14" t="s">
        <v>228</v>
      </c>
      <c r="N97" s="14" t="s">
        <v>702</v>
      </c>
      <c r="O97" s="17" t="s">
        <v>703</v>
      </c>
    </row>
    <row r="98" spans="1:15" x14ac:dyDescent="0.15">
      <c r="A98" s="10" t="s">
        <v>704</v>
      </c>
      <c r="B98" s="11"/>
      <c r="C98" s="11"/>
      <c r="D98" s="17" t="s">
        <v>705</v>
      </c>
      <c r="E98" s="10" t="s">
        <v>163</v>
      </c>
      <c r="F98" s="11" t="s">
        <v>706</v>
      </c>
      <c r="G98" s="18">
        <f>17.498*L98</f>
        <v>52.494</v>
      </c>
      <c r="H98" s="13">
        <v>42102</v>
      </c>
      <c r="I98" s="12" t="s">
        <v>635</v>
      </c>
      <c r="J98" s="12" t="s">
        <v>707</v>
      </c>
      <c r="K98" s="12" t="s">
        <v>227</v>
      </c>
      <c r="L98" s="12">
        <v>3</v>
      </c>
      <c r="M98" s="14" t="s">
        <v>708</v>
      </c>
      <c r="N98" s="14" t="s">
        <v>709</v>
      </c>
      <c r="O98" s="17" t="s">
        <v>710</v>
      </c>
    </row>
    <row r="99" spans="1:15" x14ac:dyDescent="0.15">
      <c r="A99" s="20" t="s">
        <v>711</v>
      </c>
      <c r="B99" s="11"/>
      <c r="C99" s="11"/>
      <c r="D99" s="17" t="s">
        <v>712</v>
      </c>
      <c r="E99" s="10" t="s">
        <v>163</v>
      </c>
      <c r="F99" s="11" t="s">
        <v>713</v>
      </c>
      <c r="G99" s="12">
        <v>11.672000000000001</v>
      </c>
      <c r="H99" s="13">
        <v>42102</v>
      </c>
      <c r="I99" s="12" t="s">
        <v>215</v>
      </c>
      <c r="J99" s="12" t="s">
        <v>714</v>
      </c>
      <c r="K99" s="12" t="s">
        <v>175</v>
      </c>
      <c r="L99" s="12" t="s">
        <v>715</v>
      </c>
      <c r="M99" s="14" t="s">
        <v>716</v>
      </c>
      <c r="N99" s="14" t="s">
        <v>717</v>
      </c>
      <c r="O99" s="17" t="s">
        <v>718</v>
      </c>
    </row>
    <row r="100" spans="1:15" x14ac:dyDescent="0.15">
      <c r="A100" s="20" t="s">
        <v>719</v>
      </c>
      <c r="B100" s="11"/>
      <c r="C100" s="11"/>
      <c r="D100" s="17" t="s">
        <v>720</v>
      </c>
      <c r="E100" s="10" t="s">
        <v>163</v>
      </c>
      <c r="F100" s="11" t="s">
        <v>721</v>
      </c>
      <c r="G100" s="12">
        <v>69.456000000000003</v>
      </c>
      <c r="H100" s="13">
        <v>42102</v>
      </c>
      <c r="I100" s="12" t="s">
        <v>215</v>
      </c>
      <c r="J100" s="12" t="s">
        <v>722</v>
      </c>
      <c r="K100" s="12" t="s">
        <v>227</v>
      </c>
      <c r="L100" s="12" t="s">
        <v>723</v>
      </c>
      <c r="M100" s="14" t="s">
        <v>724</v>
      </c>
      <c r="N100" s="14" t="s">
        <v>725</v>
      </c>
      <c r="O100" s="17" t="s">
        <v>726</v>
      </c>
    </row>
    <row r="101" spans="1:15" x14ac:dyDescent="0.15">
      <c r="A101" s="10" t="s">
        <v>727</v>
      </c>
      <c r="B101" s="11"/>
      <c r="C101" s="11"/>
      <c r="D101" s="17" t="s">
        <v>728</v>
      </c>
      <c r="E101" s="10" t="s">
        <v>163</v>
      </c>
      <c r="F101" s="11" t="s">
        <v>729</v>
      </c>
      <c r="G101" s="12">
        <v>60.395000000000003</v>
      </c>
      <c r="H101" s="13">
        <v>42104</v>
      </c>
      <c r="I101" s="18" t="s">
        <v>191</v>
      </c>
      <c r="J101" s="12" t="s">
        <v>730</v>
      </c>
      <c r="K101" s="12" t="s">
        <v>175</v>
      </c>
      <c r="L101" s="12" t="s">
        <v>731</v>
      </c>
      <c r="M101" s="14" t="s">
        <v>732</v>
      </c>
      <c r="N101" s="14" t="s">
        <v>733</v>
      </c>
      <c r="O101" s="17" t="s">
        <v>734</v>
      </c>
    </row>
    <row r="102" spans="1:15" x14ac:dyDescent="0.15">
      <c r="A102" s="10" t="s">
        <v>735</v>
      </c>
      <c r="B102" s="11"/>
      <c r="C102" s="11"/>
      <c r="D102" s="17" t="s">
        <v>341</v>
      </c>
      <c r="E102" s="10" t="s">
        <v>163</v>
      </c>
      <c r="F102" s="11" t="s">
        <v>736</v>
      </c>
      <c r="G102" s="12">
        <f>18.708*L102</f>
        <v>224.49599999999998</v>
      </c>
      <c r="H102" s="13">
        <v>42104</v>
      </c>
      <c r="I102" s="18" t="s">
        <v>737</v>
      </c>
      <c r="J102" s="12" t="s">
        <v>738</v>
      </c>
      <c r="K102" s="12" t="s">
        <v>227</v>
      </c>
      <c r="L102" s="12">
        <v>12</v>
      </c>
      <c r="M102" s="14" t="s">
        <v>739</v>
      </c>
      <c r="N102" s="14" t="s">
        <v>242</v>
      </c>
      <c r="O102" s="17" t="s">
        <v>740</v>
      </c>
    </row>
    <row r="103" spans="1:15" x14ac:dyDescent="0.15">
      <c r="A103" s="10" t="s">
        <v>204</v>
      </c>
      <c r="B103" s="11"/>
      <c r="C103" s="11"/>
      <c r="D103" s="17" t="s">
        <v>205</v>
      </c>
      <c r="E103" s="10" t="s">
        <v>163</v>
      </c>
      <c r="F103" s="11" t="s">
        <v>741</v>
      </c>
      <c r="G103" s="18">
        <f>20.816*L103</f>
        <v>166.52799999999999</v>
      </c>
      <c r="H103" s="13">
        <v>42104</v>
      </c>
      <c r="I103" s="12" t="s">
        <v>207</v>
      </c>
      <c r="J103" s="12" t="s">
        <v>742</v>
      </c>
      <c r="K103" s="12" t="s">
        <v>184</v>
      </c>
      <c r="L103" s="12">
        <v>8</v>
      </c>
      <c r="M103" s="14" t="s">
        <v>743</v>
      </c>
      <c r="N103" s="14" t="s">
        <v>744</v>
      </c>
      <c r="O103" s="17" t="s">
        <v>745</v>
      </c>
    </row>
    <row r="104" spans="1:15" x14ac:dyDescent="0.15">
      <c r="A104" s="20" t="s">
        <v>746</v>
      </c>
      <c r="B104" s="11"/>
      <c r="C104" s="11"/>
      <c r="D104" s="17" t="s">
        <v>747</v>
      </c>
      <c r="E104" s="10" t="s">
        <v>163</v>
      </c>
      <c r="F104" s="11" t="s">
        <v>748</v>
      </c>
      <c r="G104" s="12">
        <v>35.186999999999998</v>
      </c>
      <c r="H104" s="13">
        <v>42104</v>
      </c>
      <c r="I104" s="12" t="s">
        <v>215</v>
      </c>
      <c r="J104" s="12" t="s">
        <v>749</v>
      </c>
      <c r="K104" s="12" t="s">
        <v>328</v>
      </c>
      <c r="L104" s="12" t="s">
        <v>176</v>
      </c>
      <c r="M104" s="14" t="s">
        <v>750</v>
      </c>
      <c r="N104" s="14" t="s">
        <v>751</v>
      </c>
      <c r="O104" s="17" t="s">
        <v>752</v>
      </c>
    </row>
    <row r="105" spans="1:15" x14ac:dyDescent="0.15">
      <c r="A105" s="10" t="s">
        <v>753</v>
      </c>
      <c r="B105" s="19" t="s">
        <v>6884</v>
      </c>
      <c r="C105" s="11"/>
      <c r="D105" s="17" t="s">
        <v>755</v>
      </c>
      <c r="E105" s="10" t="s">
        <v>163</v>
      </c>
      <c r="F105" s="11" t="s">
        <v>756</v>
      </c>
      <c r="G105" s="12">
        <f t="shared" ref="G105:G112" si="0">29.101*L105</f>
        <v>87.302999999999997</v>
      </c>
      <c r="H105" s="13">
        <v>42108</v>
      </c>
      <c r="I105" s="12" t="s">
        <v>757</v>
      </c>
      <c r="J105" s="12" t="s">
        <v>758</v>
      </c>
      <c r="K105" s="12" t="s">
        <v>227</v>
      </c>
      <c r="L105" s="12">
        <v>3</v>
      </c>
      <c r="M105" s="14" t="s">
        <v>759</v>
      </c>
      <c r="N105" s="14" t="s">
        <v>760</v>
      </c>
      <c r="O105" s="17" t="s">
        <v>761</v>
      </c>
    </row>
    <row r="106" spans="1:15" x14ac:dyDescent="0.15">
      <c r="A106" s="10" t="s">
        <v>762</v>
      </c>
      <c r="B106" s="19" t="s">
        <v>6884</v>
      </c>
      <c r="C106" s="11"/>
      <c r="D106" s="17" t="s">
        <v>763</v>
      </c>
      <c r="E106" s="10" t="s">
        <v>163</v>
      </c>
      <c r="F106" s="11" t="s">
        <v>764</v>
      </c>
      <c r="G106" s="12">
        <f t="shared" si="0"/>
        <v>87.302999999999997</v>
      </c>
      <c r="H106" s="13">
        <v>42108</v>
      </c>
      <c r="I106" s="12" t="s">
        <v>757</v>
      </c>
      <c r="J106" s="12" t="s">
        <v>765</v>
      </c>
      <c r="K106" s="12" t="s">
        <v>227</v>
      </c>
      <c r="L106" s="12">
        <v>3</v>
      </c>
      <c r="M106" s="14" t="s">
        <v>766</v>
      </c>
      <c r="N106" s="14" t="s">
        <v>767</v>
      </c>
      <c r="O106" s="17" t="s">
        <v>768</v>
      </c>
    </row>
    <row r="107" spans="1:15" x14ac:dyDescent="0.15">
      <c r="A107" s="20" t="s">
        <v>769</v>
      </c>
      <c r="B107" s="19" t="s">
        <v>180</v>
      </c>
      <c r="C107" s="11"/>
      <c r="D107" s="17" t="s">
        <v>770</v>
      </c>
      <c r="E107" s="10" t="s">
        <v>163</v>
      </c>
      <c r="F107" s="11" t="s">
        <v>771</v>
      </c>
      <c r="G107" s="12">
        <f t="shared" si="0"/>
        <v>232.80799999999999</v>
      </c>
      <c r="H107" s="13">
        <v>42108</v>
      </c>
      <c r="I107" s="12" t="s">
        <v>772</v>
      </c>
      <c r="J107" s="12" t="s">
        <v>773</v>
      </c>
      <c r="K107" s="12" t="s">
        <v>227</v>
      </c>
      <c r="L107" s="12">
        <v>8</v>
      </c>
      <c r="M107" s="14" t="s">
        <v>774</v>
      </c>
      <c r="N107" s="14" t="s">
        <v>775</v>
      </c>
      <c r="O107" s="17" t="s">
        <v>776</v>
      </c>
    </row>
    <row r="108" spans="1:15" x14ac:dyDescent="0.15">
      <c r="A108" s="21" t="s">
        <v>769</v>
      </c>
      <c r="B108" s="19" t="s">
        <v>180</v>
      </c>
      <c r="C108" s="11"/>
      <c r="D108" s="17" t="s">
        <v>770</v>
      </c>
      <c r="E108" s="10" t="s">
        <v>163</v>
      </c>
      <c r="F108" s="11" t="s">
        <v>777</v>
      </c>
      <c r="G108" s="12">
        <f t="shared" si="0"/>
        <v>58.201999999999998</v>
      </c>
      <c r="H108" s="13">
        <v>42108</v>
      </c>
      <c r="I108" s="12" t="s">
        <v>772</v>
      </c>
      <c r="J108" s="12" t="s">
        <v>778</v>
      </c>
      <c r="K108" s="12" t="s">
        <v>227</v>
      </c>
      <c r="L108" s="12">
        <v>2</v>
      </c>
      <c r="M108" s="14" t="s">
        <v>779</v>
      </c>
      <c r="N108" s="14" t="s">
        <v>780</v>
      </c>
      <c r="O108" s="17" t="s">
        <v>781</v>
      </c>
    </row>
    <row r="109" spans="1:15" x14ac:dyDescent="0.15">
      <c r="A109" s="21" t="s">
        <v>782</v>
      </c>
      <c r="B109" s="19" t="s">
        <v>6884</v>
      </c>
      <c r="C109" s="11"/>
      <c r="D109" s="17" t="s">
        <v>783</v>
      </c>
      <c r="E109" s="10" t="s">
        <v>163</v>
      </c>
      <c r="F109" s="11" t="s">
        <v>784</v>
      </c>
      <c r="G109" s="12">
        <f t="shared" si="0"/>
        <v>58.201999999999998</v>
      </c>
      <c r="H109" s="13">
        <v>42108</v>
      </c>
      <c r="I109" s="12" t="s">
        <v>772</v>
      </c>
      <c r="J109" s="12" t="s">
        <v>785</v>
      </c>
      <c r="K109" s="12" t="s">
        <v>227</v>
      </c>
      <c r="L109" s="12">
        <v>2</v>
      </c>
      <c r="M109" s="14" t="s">
        <v>786</v>
      </c>
      <c r="N109" s="14" t="s">
        <v>702</v>
      </c>
      <c r="O109" s="17" t="s">
        <v>787</v>
      </c>
    </row>
    <row r="110" spans="1:15" x14ac:dyDescent="0.15">
      <c r="A110" s="21" t="s">
        <v>788</v>
      </c>
      <c r="B110" s="19" t="s">
        <v>6884</v>
      </c>
      <c r="C110" s="11"/>
      <c r="D110" s="17" t="s">
        <v>789</v>
      </c>
      <c r="E110" s="10" t="s">
        <v>163</v>
      </c>
      <c r="F110" s="11" t="s">
        <v>790</v>
      </c>
      <c r="G110" s="12">
        <f t="shared" si="0"/>
        <v>116.404</v>
      </c>
      <c r="H110" s="13">
        <v>42108</v>
      </c>
      <c r="I110" s="12" t="s">
        <v>772</v>
      </c>
      <c r="J110" s="12" t="s">
        <v>791</v>
      </c>
      <c r="K110" s="12" t="s">
        <v>227</v>
      </c>
      <c r="L110" s="12">
        <v>4</v>
      </c>
      <c r="M110" s="14" t="s">
        <v>792</v>
      </c>
      <c r="N110" s="14" t="s">
        <v>793</v>
      </c>
      <c r="O110" s="17" t="s">
        <v>794</v>
      </c>
    </row>
    <row r="111" spans="1:15" x14ac:dyDescent="0.15">
      <c r="A111" s="21" t="s">
        <v>795</v>
      </c>
      <c r="B111" s="19" t="s">
        <v>6885</v>
      </c>
      <c r="C111" s="11"/>
      <c r="D111" s="17" t="s">
        <v>796</v>
      </c>
      <c r="E111" s="10" t="s">
        <v>163</v>
      </c>
      <c r="F111" s="11" t="s">
        <v>797</v>
      </c>
      <c r="G111" s="12">
        <f t="shared" si="0"/>
        <v>87.302999999999997</v>
      </c>
      <c r="H111" s="13">
        <v>42108</v>
      </c>
      <c r="I111" s="12" t="s">
        <v>772</v>
      </c>
      <c r="J111" s="12" t="s">
        <v>798</v>
      </c>
      <c r="K111" s="12" t="s">
        <v>227</v>
      </c>
      <c r="L111" s="12">
        <v>3</v>
      </c>
      <c r="M111" s="14" t="s">
        <v>799</v>
      </c>
      <c r="N111" s="14" t="s">
        <v>800</v>
      </c>
      <c r="O111" s="17" t="s">
        <v>801</v>
      </c>
    </row>
    <row r="112" spans="1:15" x14ac:dyDescent="0.15">
      <c r="A112" s="21" t="s">
        <v>802</v>
      </c>
      <c r="B112" s="19" t="s">
        <v>6884</v>
      </c>
      <c r="C112" s="11"/>
      <c r="D112" s="17" t="s">
        <v>803</v>
      </c>
      <c r="E112" s="10" t="s">
        <v>163</v>
      </c>
      <c r="F112" s="11" t="s">
        <v>804</v>
      </c>
      <c r="G112" s="12">
        <f t="shared" si="0"/>
        <v>145.505</v>
      </c>
      <c r="H112" s="13">
        <v>42108</v>
      </c>
      <c r="I112" s="12" t="s">
        <v>805</v>
      </c>
      <c r="J112" s="12" t="s">
        <v>806</v>
      </c>
      <c r="K112" s="12" t="s">
        <v>227</v>
      </c>
      <c r="L112" s="12">
        <v>5</v>
      </c>
      <c r="M112" s="14" t="s">
        <v>807</v>
      </c>
      <c r="N112" s="14" t="s">
        <v>808</v>
      </c>
      <c r="O112" s="17" t="s">
        <v>809</v>
      </c>
    </row>
    <row r="113" spans="1:15" x14ac:dyDescent="0.15">
      <c r="A113" s="21" t="s">
        <v>810</v>
      </c>
      <c r="B113" s="19"/>
      <c r="C113" s="11"/>
      <c r="D113" s="17" t="s">
        <v>811</v>
      </c>
      <c r="E113" s="10" t="s">
        <v>163</v>
      </c>
      <c r="F113" s="11" t="s">
        <v>812</v>
      </c>
      <c r="G113" s="12">
        <f>18.708*L113</f>
        <v>37.415999999999997</v>
      </c>
      <c r="H113" s="13">
        <v>42109</v>
      </c>
      <c r="I113" s="12" t="s">
        <v>813</v>
      </c>
      <c r="J113" s="12" t="s">
        <v>814</v>
      </c>
      <c r="K113" s="12" t="s">
        <v>227</v>
      </c>
      <c r="L113" s="12">
        <v>2</v>
      </c>
      <c r="M113" s="14" t="s">
        <v>815</v>
      </c>
      <c r="N113" s="14" t="s">
        <v>816</v>
      </c>
      <c r="O113" s="17" t="s">
        <v>817</v>
      </c>
    </row>
    <row r="114" spans="1:15" x14ac:dyDescent="0.15">
      <c r="A114" s="21" t="s">
        <v>818</v>
      </c>
      <c r="B114" s="19"/>
      <c r="C114" s="11"/>
      <c r="D114" s="17" t="s">
        <v>819</v>
      </c>
      <c r="E114" s="10" t="s">
        <v>163</v>
      </c>
      <c r="F114" s="11" t="s">
        <v>820</v>
      </c>
      <c r="G114" s="12">
        <f>17.498*10</f>
        <v>174.98000000000002</v>
      </c>
      <c r="H114" s="13">
        <v>42109</v>
      </c>
      <c r="I114" s="12" t="s">
        <v>233</v>
      </c>
      <c r="J114" s="12" t="s">
        <v>821</v>
      </c>
      <c r="K114" s="18" t="s">
        <v>184</v>
      </c>
      <c r="L114" s="12" t="s">
        <v>696</v>
      </c>
      <c r="M114" s="14" t="s">
        <v>822</v>
      </c>
      <c r="N114" s="14" t="s">
        <v>823</v>
      </c>
      <c r="O114" s="17" t="s">
        <v>824</v>
      </c>
    </row>
    <row r="115" spans="1:15" x14ac:dyDescent="0.15">
      <c r="A115" s="21" t="s">
        <v>825</v>
      </c>
      <c r="B115" s="19"/>
      <c r="C115" s="11"/>
      <c r="D115" s="17" t="s">
        <v>826</v>
      </c>
      <c r="E115" s="10" t="s">
        <v>163</v>
      </c>
      <c r="F115" s="11" t="s">
        <v>827</v>
      </c>
      <c r="G115" s="18">
        <f>29.101*L115</f>
        <v>87.302999999999997</v>
      </c>
      <c r="H115" s="13">
        <v>42109</v>
      </c>
      <c r="I115" s="12" t="s">
        <v>683</v>
      </c>
      <c r="J115" s="12" t="s">
        <v>828</v>
      </c>
      <c r="K115" s="12" t="s">
        <v>21</v>
      </c>
      <c r="L115" s="12">
        <v>3</v>
      </c>
      <c r="M115" s="14" t="s">
        <v>829</v>
      </c>
      <c r="N115" s="14" t="s">
        <v>830</v>
      </c>
      <c r="O115" s="17" t="s">
        <v>831</v>
      </c>
    </row>
    <row r="116" spans="1:15" x14ac:dyDescent="0.15">
      <c r="A116" s="21" t="s">
        <v>832</v>
      </c>
      <c r="B116" s="19"/>
      <c r="C116" s="11"/>
      <c r="D116" s="17" t="s">
        <v>833</v>
      </c>
      <c r="E116" s="10" t="s">
        <v>163</v>
      </c>
      <c r="F116" s="11" t="s">
        <v>834</v>
      </c>
      <c r="G116" s="18">
        <v>139.864</v>
      </c>
      <c r="H116" s="13">
        <v>42109</v>
      </c>
      <c r="I116" s="12" t="s">
        <v>215</v>
      </c>
      <c r="J116" s="12" t="s">
        <v>835</v>
      </c>
      <c r="K116" s="12" t="s">
        <v>255</v>
      </c>
      <c r="L116" s="12" t="s">
        <v>836</v>
      </c>
      <c r="M116" s="14" t="s">
        <v>837</v>
      </c>
      <c r="N116" s="14" t="s">
        <v>838</v>
      </c>
      <c r="O116" s="17" t="s">
        <v>839</v>
      </c>
    </row>
    <row r="117" spans="1:15" x14ac:dyDescent="0.15">
      <c r="A117" s="21" t="s">
        <v>616</v>
      </c>
      <c r="B117" s="19"/>
      <c r="C117" s="11"/>
      <c r="D117" s="17" t="s">
        <v>833</v>
      </c>
      <c r="E117" s="10" t="s">
        <v>163</v>
      </c>
      <c r="F117" s="11" t="s">
        <v>840</v>
      </c>
      <c r="G117" s="18">
        <v>202.107</v>
      </c>
      <c r="H117" s="13">
        <v>42109</v>
      </c>
      <c r="I117" s="12" t="s">
        <v>215</v>
      </c>
      <c r="J117" s="12" t="s">
        <v>841</v>
      </c>
      <c r="K117" s="12" t="s">
        <v>255</v>
      </c>
      <c r="L117" s="12" t="s">
        <v>620</v>
      </c>
      <c r="M117" s="14" t="s">
        <v>842</v>
      </c>
      <c r="N117" s="14" t="s">
        <v>843</v>
      </c>
      <c r="O117" s="17" t="s">
        <v>844</v>
      </c>
    </row>
    <row r="118" spans="1:15" x14ac:dyDescent="0.15">
      <c r="A118" s="21" t="s">
        <v>845</v>
      </c>
      <c r="B118" s="19"/>
      <c r="C118" s="11"/>
      <c r="D118" s="17" t="s">
        <v>846</v>
      </c>
      <c r="E118" s="10" t="s">
        <v>163</v>
      </c>
      <c r="F118" s="11" t="s">
        <v>847</v>
      </c>
      <c r="G118" s="18">
        <v>262.15100000000001</v>
      </c>
      <c r="H118" s="13">
        <v>42109</v>
      </c>
      <c r="I118" s="18" t="s">
        <v>737</v>
      </c>
      <c r="J118" s="12" t="s">
        <v>848</v>
      </c>
      <c r="K118" s="12" t="s">
        <v>175</v>
      </c>
      <c r="L118" s="12" t="s">
        <v>849</v>
      </c>
      <c r="M118" s="14" t="s">
        <v>850</v>
      </c>
      <c r="N118" s="14" t="s">
        <v>851</v>
      </c>
      <c r="O118" s="17" t="s">
        <v>852</v>
      </c>
    </row>
    <row r="119" spans="1:15" x14ac:dyDescent="0.15">
      <c r="A119" s="20" t="s">
        <v>853</v>
      </c>
      <c r="B119" s="19"/>
      <c r="C119" s="11"/>
      <c r="D119" s="17" t="s">
        <v>205</v>
      </c>
      <c r="E119" s="10" t="s">
        <v>163</v>
      </c>
      <c r="F119" s="11" t="s">
        <v>854</v>
      </c>
      <c r="G119" s="12">
        <f>20.816*L119</f>
        <v>41.631999999999998</v>
      </c>
      <c r="H119" s="13">
        <v>42109</v>
      </c>
      <c r="I119" s="12" t="s">
        <v>207</v>
      </c>
      <c r="J119" s="12" t="s">
        <v>855</v>
      </c>
      <c r="K119" s="12" t="s">
        <v>184</v>
      </c>
      <c r="L119" s="12">
        <v>2</v>
      </c>
      <c r="M119" s="14" t="s">
        <v>743</v>
      </c>
      <c r="N119" s="14" t="s">
        <v>856</v>
      </c>
      <c r="O119" s="17" t="s">
        <v>857</v>
      </c>
    </row>
    <row r="120" spans="1:15" x14ac:dyDescent="0.15">
      <c r="A120" s="20" t="s">
        <v>858</v>
      </c>
      <c r="B120" s="11" t="s">
        <v>127</v>
      </c>
      <c r="C120" s="11"/>
      <c r="D120" s="17" t="s">
        <v>859</v>
      </c>
      <c r="E120" s="10" t="s">
        <v>163</v>
      </c>
      <c r="F120" s="11" t="s">
        <v>860</v>
      </c>
      <c r="G120" s="18">
        <f>8.823*L120</f>
        <v>105.876</v>
      </c>
      <c r="H120" s="13">
        <v>42109</v>
      </c>
      <c r="I120" s="12" t="s">
        <v>861</v>
      </c>
      <c r="J120" s="12" t="s">
        <v>862</v>
      </c>
      <c r="K120" s="18" t="s">
        <v>227</v>
      </c>
      <c r="L120" s="12">
        <v>12</v>
      </c>
      <c r="M120" s="14" t="s">
        <v>863</v>
      </c>
      <c r="N120" s="14" t="s">
        <v>597</v>
      </c>
      <c r="O120" s="17" t="s">
        <v>8621</v>
      </c>
    </row>
    <row r="121" spans="1:15" x14ac:dyDescent="0.15">
      <c r="A121" s="20" t="s">
        <v>864</v>
      </c>
      <c r="B121" s="19"/>
      <c r="C121" s="11"/>
      <c r="D121" s="17" t="s">
        <v>865</v>
      </c>
      <c r="E121" s="10" t="s">
        <v>163</v>
      </c>
      <c r="F121" s="11" t="s">
        <v>866</v>
      </c>
      <c r="G121" s="12">
        <f>7.656*L121</f>
        <v>191.4</v>
      </c>
      <c r="H121" s="13">
        <v>42111</v>
      </c>
      <c r="I121" s="12" t="s">
        <v>867</v>
      </c>
      <c r="J121" s="12" t="s">
        <v>868</v>
      </c>
      <c r="K121" s="12" t="s">
        <v>227</v>
      </c>
      <c r="L121" s="12">
        <v>25</v>
      </c>
      <c r="M121" s="14" t="s">
        <v>869</v>
      </c>
      <c r="N121" s="14" t="s">
        <v>338</v>
      </c>
      <c r="O121" s="17" t="s">
        <v>869</v>
      </c>
    </row>
    <row r="122" spans="1:15" x14ac:dyDescent="0.15">
      <c r="A122" s="21" t="s">
        <v>870</v>
      </c>
      <c r="B122" s="19"/>
      <c r="C122" s="11"/>
      <c r="D122" s="17" t="s">
        <v>298</v>
      </c>
      <c r="E122" s="10" t="s">
        <v>163</v>
      </c>
      <c r="F122" s="11" t="s">
        <v>871</v>
      </c>
      <c r="G122" s="12">
        <v>110.797</v>
      </c>
      <c r="H122" s="13">
        <v>42111</v>
      </c>
      <c r="I122" s="12" t="s">
        <v>683</v>
      </c>
      <c r="J122" s="12" t="s">
        <v>872</v>
      </c>
      <c r="K122" s="12" t="s">
        <v>175</v>
      </c>
      <c r="L122" s="12" t="s">
        <v>873</v>
      </c>
      <c r="M122" s="14" t="s">
        <v>874</v>
      </c>
      <c r="N122" s="14" t="s">
        <v>875</v>
      </c>
      <c r="O122" s="17" t="s">
        <v>876</v>
      </c>
    </row>
    <row r="123" spans="1:15" x14ac:dyDescent="0.15">
      <c r="A123" s="21" t="s">
        <v>877</v>
      </c>
      <c r="B123" s="19"/>
      <c r="C123" s="11"/>
      <c r="D123" s="17" t="s">
        <v>878</v>
      </c>
      <c r="E123" s="10" t="s">
        <v>163</v>
      </c>
      <c r="F123" s="11" t="s">
        <v>879</v>
      </c>
      <c r="G123" s="12">
        <v>275.923</v>
      </c>
      <c r="H123" s="13">
        <v>42116</v>
      </c>
      <c r="I123" s="12" t="s">
        <v>215</v>
      </c>
      <c r="J123" s="12" t="s">
        <v>880</v>
      </c>
      <c r="K123" s="12" t="s">
        <v>175</v>
      </c>
      <c r="L123" s="12" t="s">
        <v>881</v>
      </c>
      <c r="M123" s="14" t="s">
        <v>882</v>
      </c>
      <c r="N123" s="14" t="s">
        <v>883</v>
      </c>
      <c r="O123" s="17" t="s">
        <v>884</v>
      </c>
    </row>
    <row r="124" spans="1:15" x14ac:dyDescent="0.15">
      <c r="A124" s="21" t="s">
        <v>885</v>
      </c>
      <c r="B124" s="19"/>
      <c r="C124" s="11"/>
      <c r="D124" s="17" t="s">
        <v>886</v>
      </c>
      <c r="E124" s="10" t="s">
        <v>163</v>
      </c>
      <c r="F124" s="11" t="s">
        <v>887</v>
      </c>
      <c r="G124" s="12">
        <v>67.203000000000003</v>
      </c>
      <c r="H124" s="13">
        <v>42116</v>
      </c>
      <c r="I124" s="12" t="s">
        <v>215</v>
      </c>
      <c r="J124" s="12" t="s">
        <v>888</v>
      </c>
      <c r="K124" s="12" t="s">
        <v>255</v>
      </c>
      <c r="L124" s="12" t="s">
        <v>889</v>
      </c>
      <c r="M124" s="14" t="s">
        <v>890</v>
      </c>
      <c r="N124" s="14" t="s">
        <v>891</v>
      </c>
      <c r="O124" s="17" t="s">
        <v>892</v>
      </c>
    </row>
    <row r="125" spans="1:15" x14ac:dyDescent="0.15">
      <c r="A125" s="21" t="s">
        <v>251</v>
      </c>
      <c r="B125" s="19"/>
      <c r="C125" s="11"/>
      <c r="D125" s="17" t="s">
        <v>893</v>
      </c>
      <c r="E125" s="10" t="s">
        <v>163</v>
      </c>
      <c r="F125" s="11" t="s">
        <v>894</v>
      </c>
      <c r="G125" s="12">
        <v>136.72200000000001</v>
      </c>
      <c r="H125" s="13">
        <v>42116</v>
      </c>
      <c r="I125" s="12" t="s">
        <v>215</v>
      </c>
      <c r="J125" s="12" t="s">
        <v>895</v>
      </c>
      <c r="K125" s="12" t="s">
        <v>175</v>
      </c>
      <c r="L125" s="12" t="s">
        <v>896</v>
      </c>
      <c r="M125" s="14" t="s">
        <v>897</v>
      </c>
      <c r="N125" s="14" t="s">
        <v>898</v>
      </c>
      <c r="O125" s="17" t="s">
        <v>899</v>
      </c>
    </row>
    <row r="126" spans="1:15" x14ac:dyDescent="0.15">
      <c r="A126" s="21" t="s">
        <v>251</v>
      </c>
      <c r="B126" s="19"/>
      <c r="C126" s="11"/>
      <c r="D126" s="17" t="s">
        <v>893</v>
      </c>
      <c r="E126" s="10" t="s">
        <v>163</v>
      </c>
      <c r="F126" s="11" t="s">
        <v>900</v>
      </c>
      <c r="G126" s="12">
        <v>209.41800000000001</v>
      </c>
      <c r="H126" s="13">
        <v>42116</v>
      </c>
      <c r="I126" s="12" t="s">
        <v>215</v>
      </c>
      <c r="J126" s="12" t="s">
        <v>901</v>
      </c>
      <c r="K126" s="12" t="s">
        <v>175</v>
      </c>
      <c r="L126" s="12" t="s">
        <v>902</v>
      </c>
      <c r="M126" s="14" t="s">
        <v>903</v>
      </c>
      <c r="N126" s="14" t="s">
        <v>904</v>
      </c>
      <c r="O126" s="17" t="s">
        <v>905</v>
      </c>
    </row>
    <row r="127" spans="1:15" x14ac:dyDescent="0.15">
      <c r="A127" s="21" t="s">
        <v>251</v>
      </c>
      <c r="B127" s="19"/>
      <c r="C127" s="11"/>
      <c r="D127" s="17" t="s">
        <v>893</v>
      </c>
      <c r="E127" s="10" t="s">
        <v>163</v>
      </c>
      <c r="F127" s="11" t="s">
        <v>906</v>
      </c>
      <c r="G127" s="12">
        <v>104.983</v>
      </c>
      <c r="H127" s="13">
        <v>42116</v>
      </c>
      <c r="I127" s="12" t="s">
        <v>215</v>
      </c>
      <c r="J127" s="12" t="s">
        <v>907</v>
      </c>
      <c r="K127" s="12" t="s">
        <v>175</v>
      </c>
      <c r="L127" s="12" t="s">
        <v>908</v>
      </c>
      <c r="M127" s="14" t="s">
        <v>909</v>
      </c>
      <c r="N127" s="14" t="s">
        <v>910</v>
      </c>
      <c r="O127" s="17" t="s">
        <v>911</v>
      </c>
    </row>
    <row r="128" spans="1:15" x14ac:dyDescent="0.15">
      <c r="A128" s="21" t="s">
        <v>638</v>
      </c>
      <c r="B128" s="22" t="s">
        <v>912</v>
      </c>
      <c r="C128" s="11"/>
      <c r="D128" s="17" t="s">
        <v>353</v>
      </c>
      <c r="E128" s="10" t="s">
        <v>163</v>
      </c>
      <c r="F128" s="11" t="s">
        <v>913</v>
      </c>
      <c r="G128" s="18">
        <f>9.804*L128</f>
        <v>117.648</v>
      </c>
      <c r="H128" s="13">
        <v>42116</v>
      </c>
      <c r="I128" s="12" t="s">
        <v>640</v>
      </c>
      <c r="J128" s="12" t="s">
        <v>914</v>
      </c>
      <c r="K128" s="12" t="s">
        <v>227</v>
      </c>
      <c r="L128" s="12">
        <v>12</v>
      </c>
      <c r="M128" s="14" t="s">
        <v>915</v>
      </c>
      <c r="N128" s="14" t="s">
        <v>643</v>
      </c>
      <c r="O128" s="17" t="s">
        <v>916</v>
      </c>
    </row>
    <row r="129" spans="1:15" x14ac:dyDescent="0.15">
      <c r="A129" s="21" t="s">
        <v>688</v>
      </c>
      <c r="B129" s="19"/>
      <c r="C129" s="11"/>
      <c r="D129" s="17" t="s">
        <v>689</v>
      </c>
      <c r="E129" s="10" t="s">
        <v>163</v>
      </c>
      <c r="F129" s="11" t="s">
        <v>917</v>
      </c>
      <c r="G129" s="12">
        <f>14.405*L129</f>
        <v>345.71999999999997</v>
      </c>
      <c r="H129" s="13">
        <v>42116</v>
      </c>
      <c r="I129" s="12" t="s">
        <v>635</v>
      </c>
      <c r="J129" s="12" t="s">
        <v>918</v>
      </c>
      <c r="K129" s="12" t="s">
        <v>227</v>
      </c>
      <c r="L129" s="12">
        <v>24</v>
      </c>
      <c r="M129" s="14" t="s">
        <v>919</v>
      </c>
      <c r="N129" s="14" t="s">
        <v>920</v>
      </c>
      <c r="O129" s="17" t="s">
        <v>921</v>
      </c>
    </row>
    <row r="130" spans="1:15" x14ac:dyDescent="0.15">
      <c r="A130" s="21" t="s">
        <v>922</v>
      </c>
      <c r="B130" s="19" t="s">
        <v>180</v>
      </c>
      <c r="C130" s="11"/>
      <c r="D130" s="17" t="s">
        <v>128</v>
      </c>
      <c r="E130" s="10" t="s">
        <v>163</v>
      </c>
      <c r="F130" s="11" t="s">
        <v>923</v>
      </c>
      <c r="G130" s="18">
        <f>8.606*L130</f>
        <v>111.878</v>
      </c>
      <c r="H130" s="13">
        <v>42116</v>
      </c>
      <c r="I130" s="12" t="s">
        <v>182</v>
      </c>
      <c r="J130" s="12" t="s">
        <v>924</v>
      </c>
      <c r="K130" s="12" t="s">
        <v>227</v>
      </c>
      <c r="L130" s="12">
        <v>13</v>
      </c>
      <c r="M130" s="14" t="s">
        <v>925</v>
      </c>
      <c r="N130" s="14" t="s">
        <v>134</v>
      </c>
      <c r="O130" s="17" t="s">
        <v>926</v>
      </c>
    </row>
    <row r="131" spans="1:15" x14ac:dyDescent="0.15">
      <c r="A131" s="21" t="s">
        <v>204</v>
      </c>
      <c r="B131" s="19"/>
      <c r="C131" s="11"/>
      <c r="D131" s="17" t="s">
        <v>927</v>
      </c>
      <c r="E131" s="10" t="s">
        <v>163</v>
      </c>
      <c r="F131" s="11" t="s">
        <v>928</v>
      </c>
      <c r="G131" s="18">
        <f>20.816*L131</f>
        <v>187.34399999999999</v>
      </c>
      <c r="H131" s="13">
        <v>42116</v>
      </c>
      <c r="I131" s="12" t="s">
        <v>207</v>
      </c>
      <c r="J131" s="12" t="s">
        <v>929</v>
      </c>
      <c r="K131" s="12" t="s">
        <v>184</v>
      </c>
      <c r="L131" s="12">
        <v>9</v>
      </c>
      <c r="M131" s="14" t="s">
        <v>930</v>
      </c>
      <c r="N131" s="14" t="s">
        <v>931</v>
      </c>
      <c r="O131" s="17" t="s">
        <v>932</v>
      </c>
    </row>
    <row r="132" spans="1:15" x14ac:dyDescent="0.15">
      <c r="A132" s="20" t="s">
        <v>933</v>
      </c>
      <c r="B132" s="19"/>
      <c r="C132" s="11"/>
      <c r="D132" s="17" t="s">
        <v>934</v>
      </c>
      <c r="E132" s="10" t="s">
        <v>163</v>
      </c>
      <c r="F132" s="11" t="s">
        <v>935</v>
      </c>
      <c r="G132" s="18">
        <v>39.89</v>
      </c>
      <c r="H132" s="13">
        <v>42116</v>
      </c>
      <c r="I132" s="18" t="s">
        <v>191</v>
      </c>
      <c r="J132" s="12" t="s">
        <v>936</v>
      </c>
      <c r="K132" s="12" t="s">
        <v>175</v>
      </c>
      <c r="L132" s="12" t="s">
        <v>937</v>
      </c>
      <c r="M132" s="14" t="s">
        <v>938</v>
      </c>
      <c r="N132" s="14" t="s">
        <v>939</v>
      </c>
      <c r="O132" s="17" t="s">
        <v>940</v>
      </c>
    </row>
    <row r="133" spans="1:15" x14ac:dyDescent="0.15">
      <c r="A133" s="20" t="s">
        <v>941</v>
      </c>
      <c r="B133" s="19"/>
      <c r="C133" s="11"/>
      <c r="D133" s="17" t="s">
        <v>942</v>
      </c>
      <c r="E133" s="10" t="s">
        <v>163</v>
      </c>
      <c r="F133" s="11" t="s">
        <v>943</v>
      </c>
      <c r="G133" s="18">
        <v>12.86</v>
      </c>
      <c r="H133" s="13">
        <v>42116</v>
      </c>
      <c r="I133" s="18" t="s">
        <v>191</v>
      </c>
      <c r="J133" s="12" t="s">
        <v>944</v>
      </c>
      <c r="K133" s="12" t="s">
        <v>175</v>
      </c>
      <c r="L133" s="12" t="s">
        <v>945</v>
      </c>
      <c r="M133" s="14" t="s">
        <v>946</v>
      </c>
      <c r="N133" s="14" t="s">
        <v>947</v>
      </c>
      <c r="O133" s="17" t="s">
        <v>948</v>
      </c>
    </row>
    <row r="134" spans="1:15" x14ac:dyDescent="0.15">
      <c r="A134" s="21" t="s">
        <v>949</v>
      </c>
      <c r="B134" s="29" t="s">
        <v>754</v>
      </c>
      <c r="C134" s="11"/>
      <c r="D134" s="17" t="s">
        <v>419</v>
      </c>
      <c r="E134" s="10" t="s">
        <v>163</v>
      </c>
      <c r="F134" s="11" t="s">
        <v>950</v>
      </c>
      <c r="G134" s="18">
        <f>8.606*L134</f>
        <v>103.27199999999999</v>
      </c>
      <c r="H134" s="13">
        <v>42118</v>
      </c>
      <c r="I134" s="12" t="s">
        <v>182</v>
      </c>
      <c r="J134" s="12" t="s">
        <v>951</v>
      </c>
      <c r="K134" s="18" t="s">
        <v>21</v>
      </c>
      <c r="L134" s="12">
        <v>12</v>
      </c>
      <c r="M134" s="14" t="s">
        <v>952</v>
      </c>
      <c r="N134" s="14" t="s">
        <v>242</v>
      </c>
      <c r="O134" s="17" t="s">
        <v>953</v>
      </c>
    </row>
    <row r="135" spans="1:15" x14ac:dyDescent="0.15">
      <c r="A135" s="20" t="s">
        <v>954</v>
      </c>
      <c r="B135" s="19"/>
      <c r="C135" s="11"/>
      <c r="D135" s="17" t="s">
        <v>955</v>
      </c>
      <c r="E135" s="10" t="s">
        <v>163</v>
      </c>
      <c r="F135" s="11" t="s">
        <v>956</v>
      </c>
      <c r="G135" s="12">
        <f>24.694*L135</f>
        <v>49.387999999999998</v>
      </c>
      <c r="H135" s="13">
        <v>42118</v>
      </c>
      <c r="I135" s="12" t="s">
        <v>215</v>
      </c>
      <c r="J135" s="12" t="s">
        <v>957</v>
      </c>
      <c r="K135" s="12" t="s">
        <v>227</v>
      </c>
      <c r="L135" s="12">
        <v>2</v>
      </c>
      <c r="M135" s="14" t="s">
        <v>958</v>
      </c>
      <c r="N135" s="14" t="s">
        <v>959</v>
      </c>
      <c r="O135" s="17" t="s">
        <v>960</v>
      </c>
    </row>
    <row r="136" spans="1:15" x14ac:dyDescent="0.15">
      <c r="A136" s="21" t="s">
        <v>961</v>
      </c>
      <c r="B136" s="19"/>
      <c r="C136" s="11"/>
      <c r="D136" s="17" t="s">
        <v>962</v>
      </c>
      <c r="E136" s="10" t="s">
        <v>163</v>
      </c>
      <c r="F136" s="11" t="s">
        <v>963</v>
      </c>
      <c r="G136" s="12">
        <v>47.015000000000001</v>
      </c>
      <c r="H136" s="13">
        <v>42118</v>
      </c>
      <c r="I136" s="12" t="s">
        <v>215</v>
      </c>
      <c r="J136" s="12" t="s">
        <v>964</v>
      </c>
      <c r="K136" s="18" t="s">
        <v>255</v>
      </c>
      <c r="L136" s="12" t="s">
        <v>965</v>
      </c>
      <c r="M136" s="14" t="s">
        <v>966</v>
      </c>
      <c r="N136" s="14" t="s">
        <v>967</v>
      </c>
      <c r="O136" s="17" t="s">
        <v>968</v>
      </c>
    </row>
    <row r="137" spans="1:15" x14ac:dyDescent="0.15">
      <c r="A137" s="21" t="s">
        <v>969</v>
      </c>
      <c r="B137" s="19"/>
      <c r="C137" s="11"/>
      <c r="D137" s="17" t="s">
        <v>35</v>
      </c>
      <c r="E137" s="10" t="s">
        <v>163</v>
      </c>
      <c r="F137" s="11" t="s">
        <v>970</v>
      </c>
      <c r="G137" s="12">
        <v>49.027999999999999</v>
      </c>
      <c r="H137" s="13">
        <v>42118</v>
      </c>
      <c r="I137" s="12" t="s">
        <v>215</v>
      </c>
      <c r="J137" s="12" t="s">
        <v>971</v>
      </c>
      <c r="K137" s="12" t="s">
        <v>255</v>
      </c>
      <c r="L137" s="12" t="s">
        <v>972</v>
      </c>
      <c r="M137" s="14" t="s">
        <v>973</v>
      </c>
      <c r="N137" s="14" t="s">
        <v>974</v>
      </c>
      <c r="O137" s="17" t="s">
        <v>975</v>
      </c>
    </row>
    <row r="138" spans="1:15" x14ac:dyDescent="0.15">
      <c r="A138" s="21" t="s">
        <v>976</v>
      </c>
      <c r="B138" s="19"/>
      <c r="C138" s="11"/>
      <c r="D138" s="17" t="s">
        <v>977</v>
      </c>
      <c r="E138" s="10" t="s">
        <v>163</v>
      </c>
      <c r="F138" s="11" t="s">
        <v>978</v>
      </c>
      <c r="G138" s="12">
        <v>79.730999999999995</v>
      </c>
      <c r="H138" s="13">
        <v>42118</v>
      </c>
      <c r="I138" s="12" t="s">
        <v>215</v>
      </c>
      <c r="J138" s="12" t="s">
        <v>979</v>
      </c>
      <c r="K138" s="12" t="s">
        <v>175</v>
      </c>
      <c r="L138" s="12" t="s">
        <v>980</v>
      </c>
      <c r="M138" s="14" t="s">
        <v>981</v>
      </c>
      <c r="N138" s="14" t="s">
        <v>982</v>
      </c>
      <c r="O138" s="17" t="s">
        <v>983</v>
      </c>
    </row>
    <row r="139" spans="1:15" x14ac:dyDescent="0.15">
      <c r="A139" s="21" t="s">
        <v>984</v>
      </c>
      <c r="B139" s="19"/>
      <c r="C139" s="11"/>
      <c r="D139" s="17" t="s">
        <v>985</v>
      </c>
      <c r="E139" s="10" t="s">
        <v>163</v>
      </c>
      <c r="F139" s="11" t="s">
        <v>986</v>
      </c>
      <c r="G139" s="12">
        <v>49.768999999999998</v>
      </c>
      <c r="H139" s="13">
        <v>42118</v>
      </c>
      <c r="I139" s="12" t="s">
        <v>215</v>
      </c>
      <c r="J139" s="12" t="s">
        <v>987</v>
      </c>
      <c r="K139" s="12" t="s">
        <v>39</v>
      </c>
      <c r="L139" s="12" t="s">
        <v>988</v>
      </c>
      <c r="M139" s="14" t="s">
        <v>989</v>
      </c>
      <c r="N139" s="14" t="s">
        <v>990</v>
      </c>
      <c r="O139" s="17" t="s">
        <v>991</v>
      </c>
    </row>
    <row r="140" spans="1:15" x14ac:dyDescent="0.15">
      <c r="A140" s="21" t="s">
        <v>992</v>
      </c>
      <c r="B140" s="19"/>
      <c r="C140" s="11"/>
      <c r="D140" s="17" t="s">
        <v>61</v>
      </c>
      <c r="E140" s="10" t="s">
        <v>163</v>
      </c>
      <c r="F140" s="11" t="s">
        <v>993</v>
      </c>
      <c r="G140" s="12">
        <v>86.076999999999998</v>
      </c>
      <c r="H140" s="13">
        <v>42118</v>
      </c>
      <c r="I140" s="12" t="s">
        <v>215</v>
      </c>
      <c r="J140" s="12" t="s">
        <v>994</v>
      </c>
      <c r="K140" s="12" t="s">
        <v>39</v>
      </c>
      <c r="L140" s="12" t="s">
        <v>995</v>
      </c>
      <c r="M140" s="14" t="s">
        <v>996</v>
      </c>
      <c r="N140" s="14" t="s">
        <v>997</v>
      </c>
      <c r="O140" s="17" t="s">
        <v>998</v>
      </c>
    </row>
    <row r="141" spans="1:15" x14ac:dyDescent="0.15">
      <c r="A141" s="20" t="s">
        <v>999</v>
      </c>
      <c r="B141" s="19"/>
      <c r="C141" s="11"/>
      <c r="D141" s="17" t="s">
        <v>1000</v>
      </c>
      <c r="E141" s="10" t="s">
        <v>163</v>
      </c>
      <c r="F141" s="11" t="s">
        <v>1001</v>
      </c>
      <c r="G141" s="12">
        <v>25.765999999999998</v>
      </c>
      <c r="H141" s="13">
        <v>42121</v>
      </c>
      <c r="I141" s="12" t="s">
        <v>215</v>
      </c>
      <c r="J141" s="12" t="s">
        <v>1002</v>
      </c>
      <c r="K141" s="12" t="s">
        <v>255</v>
      </c>
      <c r="L141" s="12" t="s">
        <v>1003</v>
      </c>
      <c r="M141" s="14" t="s">
        <v>1004</v>
      </c>
      <c r="N141" s="14" t="s">
        <v>1005</v>
      </c>
      <c r="O141" s="17" t="s">
        <v>1006</v>
      </c>
    </row>
    <row r="142" spans="1:15" x14ac:dyDescent="0.15">
      <c r="A142" s="21" t="s">
        <v>1007</v>
      </c>
      <c r="B142" s="19"/>
      <c r="C142" s="11"/>
      <c r="D142" s="17" t="s">
        <v>833</v>
      </c>
      <c r="E142" s="10" t="s">
        <v>163</v>
      </c>
      <c r="F142" s="11" t="s">
        <v>1008</v>
      </c>
      <c r="G142" s="12">
        <v>108.349</v>
      </c>
      <c r="H142" s="13">
        <v>42125</v>
      </c>
      <c r="I142" s="12" t="s">
        <v>683</v>
      </c>
      <c r="J142" s="12" t="s">
        <v>1009</v>
      </c>
      <c r="K142" s="12" t="s">
        <v>255</v>
      </c>
      <c r="L142" s="12" t="s">
        <v>1010</v>
      </c>
      <c r="M142" s="14" t="s">
        <v>1011</v>
      </c>
      <c r="N142" s="14" t="s">
        <v>1012</v>
      </c>
      <c r="O142" s="17" t="s">
        <v>1013</v>
      </c>
    </row>
    <row r="143" spans="1:15" x14ac:dyDescent="0.15">
      <c r="A143" s="21" t="s">
        <v>1007</v>
      </c>
      <c r="B143" s="19"/>
      <c r="C143" s="11"/>
      <c r="D143" s="17" t="s">
        <v>833</v>
      </c>
      <c r="E143" s="10" t="s">
        <v>163</v>
      </c>
      <c r="F143" s="11" t="s">
        <v>1014</v>
      </c>
      <c r="G143" s="12">
        <v>232.17500000000001</v>
      </c>
      <c r="H143" s="13">
        <v>42125</v>
      </c>
      <c r="I143" s="12" t="s">
        <v>683</v>
      </c>
      <c r="J143" s="12" t="s">
        <v>1015</v>
      </c>
      <c r="K143" s="12" t="s">
        <v>255</v>
      </c>
      <c r="L143" s="12" t="s">
        <v>1016</v>
      </c>
      <c r="M143" s="14" t="s">
        <v>1017</v>
      </c>
      <c r="N143" s="14" t="s">
        <v>1018</v>
      </c>
      <c r="O143" s="17" t="s">
        <v>1019</v>
      </c>
    </row>
    <row r="144" spans="1:15" x14ac:dyDescent="0.15">
      <c r="A144" s="21" t="s">
        <v>1007</v>
      </c>
      <c r="B144" s="19"/>
      <c r="C144" s="11"/>
      <c r="D144" s="17" t="s">
        <v>833</v>
      </c>
      <c r="E144" s="10" t="s">
        <v>163</v>
      </c>
      <c r="F144" s="11" t="s">
        <v>1020</v>
      </c>
      <c r="G144" s="12">
        <v>201.773</v>
      </c>
      <c r="H144" s="13">
        <v>42125</v>
      </c>
      <c r="I144" s="12" t="s">
        <v>683</v>
      </c>
      <c r="J144" s="12" t="s">
        <v>1021</v>
      </c>
      <c r="K144" s="12" t="s">
        <v>255</v>
      </c>
      <c r="L144" s="12" t="s">
        <v>620</v>
      </c>
      <c r="M144" s="14" t="s">
        <v>1022</v>
      </c>
      <c r="N144" s="14" t="s">
        <v>1023</v>
      </c>
      <c r="O144" s="17" t="s">
        <v>1024</v>
      </c>
    </row>
    <row r="145" spans="1:15" x14ac:dyDescent="0.15">
      <c r="A145" s="21" t="s">
        <v>1025</v>
      </c>
      <c r="B145" s="19"/>
      <c r="C145" s="11"/>
      <c r="D145" s="17" t="s">
        <v>453</v>
      </c>
      <c r="E145" s="10" t="s">
        <v>163</v>
      </c>
      <c r="F145" s="11" t="s">
        <v>1026</v>
      </c>
      <c r="G145" s="12">
        <v>186.52199999999999</v>
      </c>
      <c r="H145" s="13">
        <v>42125</v>
      </c>
      <c r="I145" s="12" t="s">
        <v>215</v>
      </c>
      <c r="J145" s="12" t="s">
        <v>1027</v>
      </c>
      <c r="K145" s="12" t="s">
        <v>175</v>
      </c>
      <c r="L145" s="12" t="s">
        <v>1028</v>
      </c>
      <c r="M145" s="14" t="s">
        <v>1029</v>
      </c>
      <c r="N145" s="14" t="s">
        <v>1030</v>
      </c>
      <c r="O145" s="17" t="s">
        <v>1031</v>
      </c>
    </row>
    <row r="146" spans="1:15" x14ac:dyDescent="0.15">
      <c r="A146" s="21" t="s">
        <v>1032</v>
      </c>
      <c r="B146" s="19" t="s">
        <v>418</v>
      </c>
      <c r="C146" s="11"/>
      <c r="D146" s="17" t="s">
        <v>396</v>
      </c>
      <c r="E146" s="10" t="s">
        <v>163</v>
      </c>
      <c r="F146" s="11" t="s">
        <v>1033</v>
      </c>
      <c r="G146" s="18">
        <f>29.101*L146</f>
        <v>58.201999999999998</v>
      </c>
      <c r="H146" s="13">
        <v>42125</v>
      </c>
      <c r="I146" s="12" t="s">
        <v>757</v>
      </c>
      <c r="J146" s="12" t="s">
        <v>1034</v>
      </c>
      <c r="K146" s="12" t="s">
        <v>184</v>
      </c>
      <c r="L146" s="12">
        <v>2</v>
      </c>
      <c r="M146" s="14" t="s">
        <v>1035</v>
      </c>
      <c r="N146" s="14" t="s">
        <v>1036</v>
      </c>
      <c r="O146" s="17" t="s">
        <v>1037</v>
      </c>
    </row>
    <row r="147" spans="1:15" x14ac:dyDescent="0.15">
      <c r="A147" s="21" t="s">
        <v>1038</v>
      </c>
      <c r="B147" s="22" t="s">
        <v>912</v>
      </c>
      <c r="C147" s="11"/>
      <c r="D147" s="17" t="s">
        <v>396</v>
      </c>
      <c r="E147" s="10" t="s">
        <v>163</v>
      </c>
      <c r="F147" s="11" t="s">
        <v>1039</v>
      </c>
      <c r="G147" s="18">
        <f>29.101*L147</f>
        <v>232.80799999999999</v>
      </c>
      <c r="H147" s="13">
        <v>42125</v>
      </c>
      <c r="I147" s="12" t="s">
        <v>757</v>
      </c>
      <c r="J147" s="12" t="s">
        <v>1040</v>
      </c>
      <c r="K147" s="12" t="s">
        <v>227</v>
      </c>
      <c r="L147" s="12">
        <v>8</v>
      </c>
      <c r="M147" s="14" t="s">
        <v>1035</v>
      </c>
      <c r="N147" s="14" t="s">
        <v>1041</v>
      </c>
      <c r="O147" s="17" t="s">
        <v>1042</v>
      </c>
    </row>
    <row r="148" spans="1:15" x14ac:dyDescent="0.15">
      <c r="A148" s="21" t="s">
        <v>1043</v>
      </c>
      <c r="B148" s="19"/>
      <c r="C148" s="11"/>
      <c r="D148" s="17" t="s">
        <v>1044</v>
      </c>
      <c r="E148" s="10" t="s">
        <v>163</v>
      </c>
      <c r="F148" s="11" t="s">
        <v>1045</v>
      </c>
      <c r="G148" s="12">
        <f>7.037*L148</f>
        <v>28.148</v>
      </c>
      <c r="H148" s="13">
        <v>42125</v>
      </c>
      <c r="I148" s="18" t="s">
        <v>1046</v>
      </c>
      <c r="J148" s="12" t="s">
        <v>1047</v>
      </c>
      <c r="K148" s="12" t="s">
        <v>227</v>
      </c>
      <c r="L148" s="12">
        <v>4</v>
      </c>
      <c r="M148" s="14" t="s">
        <v>1048</v>
      </c>
      <c r="N148" s="14" t="s">
        <v>1049</v>
      </c>
      <c r="O148" s="17" t="s">
        <v>1050</v>
      </c>
    </row>
    <row r="149" spans="1:15" x14ac:dyDescent="0.15">
      <c r="A149" s="21" t="s">
        <v>1051</v>
      </c>
      <c r="B149" s="19"/>
      <c r="C149" s="11"/>
      <c r="D149" s="17" t="s">
        <v>546</v>
      </c>
      <c r="E149" s="10" t="s">
        <v>17</v>
      </c>
      <c r="F149" s="11" t="s">
        <v>1052</v>
      </c>
      <c r="G149" s="12">
        <f>17.52*L149</f>
        <v>175.2</v>
      </c>
      <c r="H149" s="13">
        <v>42125</v>
      </c>
      <c r="I149" s="12" t="s">
        <v>635</v>
      </c>
      <c r="J149" s="12" t="s">
        <v>1053</v>
      </c>
      <c r="K149" s="12" t="s">
        <v>21</v>
      </c>
      <c r="L149" s="12">
        <v>10</v>
      </c>
      <c r="M149" s="14" t="s">
        <v>1054</v>
      </c>
      <c r="N149" s="14" t="s">
        <v>412</v>
      </c>
      <c r="O149" s="17" t="s">
        <v>1055</v>
      </c>
    </row>
    <row r="150" spans="1:15" x14ac:dyDescent="0.15">
      <c r="A150" s="21" t="s">
        <v>688</v>
      </c>
      <c r="B150" s="19"/>
      <c r="C150" s="11"/>
      <c r="D150" s="17" t="s">
        <v>689</v>
      </c>
      <c r="E150" s="10" t="s">
        <v>17</v>
      </c>
      <c r="F150" s="11" t="s">
        <v>1056</v>
      </c>
      <c r="G150" s="12">
        <f>14.405*L150</f>
        <v>360.125</v>
      </c>
      <c r="H150" s="13">
        <v>42125</v>
      </c>
      <c r="I150" s="12" t="s">
        <v>635</v>
      </c>
      <c r="J150" s="12" t="s">
        <v>1057</v>
      </c>
      <c r="K150" s="12" t="s">
        <v>227</v>
      </c>
      <c r="L150" s="12">
        <v>25</v>
      </c>
      <c r="M150" s="14" t="s">
        <v>1058</v>
      </c>
      <c r="N150" s="14" t="s">
        <v>338</v>
      </c>
      <c r="O150" s="17" t="s">
        <v>1059</v>
      </c>
    </row>
    <row r="151" spans="1:15" x14ac:dyDescent="0.15">
      <c r="A151" s="21" t="s">
        <v>1060</v>
      </c>
      <c r="B151" s="19"/>
      <c r="C151" s="11"/>
      <c r="D151" s="17" t="s">
        <v>375</v>
      </c>
      <c r="E151" s="10" t="s">
        <v>17</v>
      </c>
      <c r="F151" s="11" t="s">
        <v>1061</v>
      </c>
      <c r="G151" s="12">
        <f>17.52*L151</f>
        <v>140.16</v>
      </c>
      <c r="H151" s="13">
        <v>42130</v>
      </c>
      <c r="I151" s="12" t="s">
        <v>215</v>
      </c>
      <c r="J151" s="12" t="s">
        <v>1062</v>
      </c>
      <c r="K151" s="18" t="s">
        <v>227</v>
      </c>
      <c r="L151" s="12">
        <v>8</v>
      </c>
      <c r="M151" s="14" t="s">
        <v>1063</v>
      </c>
      <c r="N151" s="14" t="s">
        <v>1064</v>
      </c>
      <c r="O151" s="17" t="s">
        <v>1065</v>
      </c>
    </row>
    <row r="152" spans="1:15" x14ac:dyDescent="0.15">
      <c r="A152" s="21" t="s">
        <v>1066</v>
      </c>
      <c r="B152" s="19"/>
      <c r="C152" s="11"/>
      <c r="D152" s="17" t="s">
        <v>573</v>
      </c>
      <c r="E152" s="10" t="s">
        <v>17</v>
      </c>
      <c r="F152" s="11" t="s">
        <v>1067</v>
      </c>
      <c r="G152" s="12">
        <f>17.52*L152</f>
        <v>52.56</v>
      </c>
      <c r="H152" s="13">
        <v>42130</v>
      </c>
      <c r="I152" s="23" t="s">
        <v>1068</v>
      </c>
      <c r="J152" s="23" t="s">
        <v>1069</v>
      </c>
      <c r="K152" s="12" t="s">
        <v>227</v>
      </c>
      <c r="L152" s="12">
        <v>3</v>
      </c>
      <c r="M152" s="14" t="s">
        <v>1070</v>
      </c>
      <c r="N152" s="14" t="s">
        <v>1071</v>
      </c>
      <c r="O152" s="17" t="s">
        <v>1072</v>
      </c>
    </row>
    <row r="153" spans="1:15" x14ac:dyDescent="0.15">
      <c r="A153" s="21" t="s">
        <v>1073</v>
      </c>
      <c r="B153" s="19"/>
      <c r="C153" s="11"/>
      <c r="D153" s="17" t="s">
        <v>1074</v>
      </c>
      <c r="E153" s="10" t="s">
        <v>17</v>
      </c>
      <c r="F153" s="11" t="s">
        <v>1075</v>
      </c>
      <c r="G153" s="12">
        <f>17.52*L153</f>
        <v>52.56</v>
      </c>
      <c r="H153" s="13">
        <v>42130</v>
      </c>
      <c r="I153" s="12" t="s">
        <v>635</v>
      </c>
      <c r="J153" s="12" t="s">
        <v>1076</v>
      </c>
      <c r="K153" s="12" t="s">
        <v>227</v>
      </c>
      <c r="L153" s="12">
        <v>3</v>
      </c>
      <c r="M153" s="14" t="s">
        <v>1077</v>
      </c>
      <c r="N153" s="14" t="s">
        <v>1078</v>
      </c>
      <c r="O153" s="17" t="s">
        <v>1079</v>
      </c>
    </row>
    <row r="154" spans="1:15" x14ac:dyDescent="0.15">
      <c r="A154" s="21" t="s">
        <v>1080</v>
      </c>
      <c r="B154" s="19"/>
      <c r="C154" s="11"/>
      <c r="D154" s="17" t="s">
        <v>1081</v>
      </c>
      <c r="E154" s="10" t="s">
        <v>17</v>
      </c>
      <c r="F154" s="11" t="s">
        <v>1082</v>
      </c>
      <c r="G154" s="18">
        <f>27.688*L154</f>
        <v>83.063999999999993</v>
      </c>
      <c r="H154" s="13">
        <v>42130</v>
      </c>
      <c r="I154" s="12" t="s">
        <v>627</v>
      </c>
      <c r="J154" s="12" t="s">
        <v>1083</v>
      </c>
      <c r="K154" s="12" t="s">
        <v>227</v>
      </c>
      <c r="L154" s="12">
        <v>3</v>
      </c>
      <c r="M154" s="14" t="s">
        <v>1084</v>
      </c>
      <c r="N154" s="14" t="s">
        <v>830</v>
      </c>
      <c r="O154" s="17" t="s">
        <v>1085</v>
      </c>
    </row>
    <row r="155" spans="1:15" x14ac:dyDescent="0.15">
      <c r="A155" s="21" t="s">
        <v>1086</v>
      </c>
      <c r="B155" s="19"/>
      <c r="C155" s="11"/>
      <c r="D155" s="17" t="s">
        <v>1081</v>
      </c>
      <c r="E155" s="10" t="s">
        <v>17</v>
      </c>
      <c r="F155" s="11" t="s">
        <v>1087</v>
      </c>
      <c r="G155" s="18">
        <f>27.688*L155</f>
        <v>110.752</v>
      </c>
      <c r="H155" s="13">
        <v>42130</v>
      </c>
      <c r="I155" s="12" t="s">
        <v>627</v>
      </c>
      <c r="J155" s="12" t="s">
        <v>1088</v>
      </c>
      <c r="K155" s="12" t="s">
        <v>227</v>
      </c>
      <c r="L155" s="12">
        <v>4</v>
      </c>
      <c r="M155" s="14" t="s">
        <v>1084</v>
      </c>
      <c r="N155" s="14" t="s">
        <v>556</v>
      </c>
      <c r="O155" s="17" t="s">
        <v>1089</v>
      </c>
    </row>
    <row r="156" spans="1:15" x14ac:dyDescent="0.15">
      <c r="A156" s="21" t="s">
        <v>1090</v>
      </c>
      <c r="B156" s="22" t="s">
        <v>912</v>
      </c>
      <c r="C156" s="11"/>
      <c r="D156" s="17" t="s">
        <v>592</v>
      </c>
      <c r="E156" s="10" t="s">
        <v>17</v>
      </c>
      <c r="F156" s="11" t="s">
        <v>1091</v>
      </c>
      <c r="G156" s="12">
        <f>29.101*L156</f>
        <v>203.70699999999999</v>
      </c>
      <c r="H156" s="13">
        <v>42130</v>
      </c>
      <c r="I156" s="12" t="s">
        <v>1092</v>
      </c>
      <c r="J156" s="12" t="s">
        <v>1093</v>
      </c>
      <c r="K156" s="12" t="s">
        <v>184</v>
      </c>
      <c r="L156" s="12">
        <v>7</v>
      </c>
      <c r="M156" s="14" t="s">
        <v>1094</v>
      </c>
      <c r="N156" s="14" t="s">
        <v>544</v>
      </c>
      <c r="O156" s="17" t="s">
        <v>1095</v>
      </c>
    </row>
    <row r="157" spans="1:15" x14ac:dyDescent="0.15">
      <c r="A157" s="21" t="s">
        <v>1096</v>
      </c>
      <c r="B157" s="19"/>
      <c r="C157" s="11"/>
      <c r="D157" s="17" t="s">
        <v>334</v>
      </c>
      <c r="E157" s="10" t="s">
        <v>17</v>
      </c>
      <c r="F157" s="11" t="s">
        <v>1097</v>
      </c>
      <c r="G157" s="12">
        <f>18.708*L157</f>
        <v>243.20399999999998</v>
      </c>
      <c r="H157" s="13">
        <v>42130</v>
      </c>
      <c r="I157" s="12" t="s">
        <v>1098</v>
      </c>
      <c r="J157" s="12" t="s">
        <v>1099</v>
      </c>
      <c r="K157" s="12" t="s">
        <v>132</v>
      </c>
      <c r="L157" s="12">
        <v>13</v>
      </c>
      <c r="M157" s="14" t="s">
        <v>1100</v>
      </c>
      <c r="N157" s="14" t="s">
        <v>473</v>
      </c>
      <c r="O157" s="17" t="s">
        <v>1101</v>
      </c>
    </row>
    <row r="158" spans="1:15" x14ac:dyDescent="0.15">
      <c r="A158" s="21" t="s">
        <v>1102</v>
      </c>
      <c r="B158" s="19"/>
      <c r="C158" s="11"/>
      <c r="D158" s="17" t="s">
        <v>1103</v>
      </c>
      <c r="E158" s="10" t="s">
        <v>17</v>
      </c>
      <c r="F158" s="11" t="s">
        <v>1104</v>
      </c>
      <c r="G158" s="12">
        <f>18.708*L158</f>
        <v>149.66399999999999</v>
      </c>
      <c r="H158" s="13">
        <v>42130</v>
      </c>
      <c r="I158" s="12" t="s">
        <v>215</v>
      </c>
      <c r="J158" s="12" t="s">
        <v>1105</v>
      </c>
      <c r="K158" s="12" t="s">
        <v>21</v>
      </c>
      <c r="L158" s="12">
        <v>8</v>
      </c>
      <c r="M158" s="14" t="s">
        <v>1106</v>
      </c>
      <c r="N158" s="14" t="s">
        <v>1107</v>
      </c>
      <c r="O158" s="17" t="s">
        <v>1108</v>
      </c>
    </row>
    <row r="159" spans="1:15" x14ac:dyDescent="0.15">
      <c r="A159" s="21" t="s">
        <v>1109</v>
      </c>
      <c r="B159" s="19"/>
      <c r="C159" s="11"/>
      <c r="D159" s="17" t="s">
        <v>341</v>
      </c>
      <c r="E159" s="10" t="s">
        <v>17</v>
      </c>
      <c r="F159" s="11" t="s">
        <v>1110</v>
      </c>
      <c r="G159" s="12">
        <f>18.708*L159</f>
        <v>93.539999999999992</v>
      </c>
      <c r="H159" s="13">
        <v>42130</v>
      </c>
      <c r="I159" s="18" t="s">
        <v>1098</v>
      </c>
      <c r="J159" s="12" t="s">
        <v>1111</v>
      </c>
      <c r="K159" s="12" t="s">
        <v>227</v>
      </c>
      <c r="L159" s="12">
        <v>5</v>
      </c>
      <c r="M159" s="14" t="s">
        <v>739</v>
      </c>
      <c r="N159" s="14" t="s">
        <v>680</v>
      </c>
      <c r="O159" s="17" t="s">
        <v>1112</v>
      </c>
    </row>
    <row r="160" spans="1:15" x14ac:dyDescent="0.15">
      <c r="A160" s="21" t="s">
        <v>638</v>
      </c>
      <c r="B160" s="22" t="s">
        <v>1113</v>
      </c>
      <c r="C160" s="11"/>
      <c r="D160" s="17" t="s">
        <v>353</v>
      </c>
      <c r="E160" s="10" t="s">
        <v>17</v>
      </c>
      <c r="F160" s="11" t="s">
        <v>1114</v>
      </c>
      <c r="G160" s="18">
        <f>9.804*L160</f>
        <v>117.648</v>
      </c>
      <c r="H160" s="13">
        <v>42130</v>
      </c>
      <c r="I160" s="12" t="s">
        <v>640</v>
      </c>
      <c r="J160" s="12" t="s">
        <v>1115</v>
      </c>
      <c r="K160" s="12" t="s">
        <v>227</v>
      </c>
      <c r="L160" s="12">
        <v>12</v>
      </c>
      <c r="M160" s="14" t="s">
        <v>1116</v>
      </c>
      <c r="N160" s="14" t="s">
        <v>597</v>
      </c>
      <c r="O160" s="17" t="s">
        <v>1117</v>
      </c>
    </row>
    <row r="161" spans="1:15" x14ac:dyDescent="0.15">
      <c r="A161" s="21" t="s">
        <v>1118</v>
      </c>
      <c r="B161" s="19"/>
      <c r="C161" s="11"/>
      <c r="D161" s="17" t="s">
        <v>1119</v>
      </c>
      <c r="E161" s="10" t="s">
        <v>17</v>
      </c>
      <c r="F161" s="11" t="s">
        <v>1120</v>
      </c>
      <c r="G161" s="12">
        <f>17.498*L161</f>
        <v>262.47000000000003</v>
      </c>
      <c r="H161" s="13">
        <v>42130</v>
      </c>
      <c r="I161" s="12" t="s">
        <v>635</v>
      </c>
      <c r="J161" s="12" t="s">
        <v>1121</v>
      </c>
      <c r="K161" s="12" t="s">
        <v>227</v>
      </c>
      <c r="L161" s="12">
        <v>15</v>
      </c>
      <c r="M161" s="14" t="s">
        <v>1122</v>
      </c>
      <c r="N161" s="14" t="s">
        <v>236</v>
      </c>
      <c r="O161" s="17" t="s">
        <v>1123</v>
      </c>
    </row>
    <row r="162" spans="1:15" x14ac:dyDescent="0.15">
      <c r="A162" s="21" t="s">
        <v>1124</v>
      </c>
      <c r="B162" s="19"/>
      <c r="C162" s="11"/>
      <c r="D162" s="17" t="s">
        <v>705</v>
      </c>
      <c r="E162" s="10" t="s">
        <v>17</v>
      </c>
      <c r="F162" s="11" t="s">
        <v>1125</v>
      </c>
      <c r="G162" s="18">
        <f>17.498*L162</f>
        <v>139.98400000000001</v>
      </c>
      <c r="H162" s="13">
        <v>42130</v>
      </c>
      <c r="I162" s="12" t="s">
        <v>635</v>
      </c>
      <c r="J162" s="12" t="s">
        <v>1126</v>
      </c>
      <c r="K162" s="12" t="s">
        <v>227</v>
      </c>
      <c r="L162" s="12">
        <v>8</v>
      </c>
      <c r="M162" s="14" t="s">
        <v>1127</v>
      </c>
      <c r="N162" s="14" t="s">
        <v>1128</v>
      </c>
      <c r="O162" s="17" t="s">
        <v>1129</v>
      </c>
    </row>
    <row r="163" spans="1:15" x14ac:dyDescent="0.15">
      <c r="A163" s="21" t="s">
        <v>688</v>
      </c>
      <c r="B163" s="19"/>
      <c r="C163" s="11"/>
      <c r="D163" s="17" t="s">
        <v>689</v>
      </c>
      <c r="E163" s="10" t="s">
        <v>17</v>
      </c>
      <c r="F163" s="11" t="s">
        <v>1130</v>
      </c>
      <c r="G163" s="12">
        <f>14.405*L163</f>
        <v>360.125</v>
      </c>
      <c r="H163" s="13">
        <v>42130</v>
      </c>
      <c r="I163" s="12" t="s">
        <v>635</v>
      </c>
      <c r="J163" s="12" t="s">
        <v>1131</v>
      </c>
      <c r="K163" s="12" t="s">
        <v>227</v>
      </c>
      <c r="L163" s="12">
        <v>25</v>
      </c>
      <c r="M163" s="14" t="s">
        <v>1132</v>
      </c>
      <c r="N163" s="14" t="s">
        <v>338</v>
      </c>
      <c r="O163" s="17" t="s">
        <v>1133</v>
      </c>
    </row>
    <row r="164" spans="1:15" x14ac:dyDescent="0.15">
      <c r="A164" s="21" t="s">
        <v>1134</v>
      </c>
      <c r="B164" s="19"/>
      <c r="C164" s="11"/>
      <c r="D164" s="17" t="s">
        <v>1135</v>
      </c>
      <c r="E164" s="10" t="s">
        <v>17</v>
      </c>
      <c r="F164" s="11" t="s">
        <v>1136</v>
      </c>
      <c r="G164" s="18">
        <f>25.399*L164</f>
        <v>304.78800000000001</v>
      </c>
      <c r="H164" s="13">
        <v>42130</v>
      </c>
      <c r="I164" s="12" t="s">
        <v>635</v>
      </c>
      <c r="J164" s="12" t="s">
        <v>1137</v>
      </c>
      <c r="K164" s="12" t="s">
        <v>184</v>
      </c>
      <c r="L164" s="12">
        <v>12</v>
      </c>
      <c r="M164" s="14" t="s">
        <v>1138</v>
      </c>
      <c r="N164" s="14" t="s">
        <v>242</v>
      </c>
      <c r="O164" s="17" t="s">
        <v>1139</v>
      </c>
    </row>
    <row r="165" spans="1:15" x14ac:dyDescent="0.15">
      <c r="A165" s="21" t="s">
        <v>1134</v>
      </c>
      <c r="B165" s="19"/>
      <c r="C165" s="11"/>
      <c r="D165" s="17" t="s">
        <v>1135</v>
      </c>
      <c r="E165" s="10" t="s">
        <v>17</v>
      </c>
      <c r="F165" s="11" t="s">
        <v>1140</v>
      </c>
      <c r="G165" s="18">
        <f>25.399*L165</f>
        <v>304.78800000000001</v>
      </c>
      <c r="H165" s="13">
        <v>42130</v>
      </c>
      <c r="I165" s="12" t="s">
        <v>635</v>
      </c>
      <c r="J165" s="12" t="s">
        <v>1141</v>
      </c>
      <c r="K165" s="12" t="s">
        <v>184</v>
      </c>
      <c r="L165" s="12">
        <v>12</v>
      </c>
      <c r="M165" s="14" t="s">
        <v>1142</v>
      </c>
      <c r="N165" s="14" t="s">
        <v>242</v>
      </c>
      <c r="O165" s="17" t="s">
        <v>1143</v>
      </c>
    </row>
    <row r="166" spans="1:15" x14ac:dyDescent="0.15">
      <c r="A166" s="21" t="s">
        <v>1144</v>
      </c>
      <c r="B166" s="19"/>
      <c r="C166" s="11"/>
      <c r="D166" s="17" t="s">
        <v>1135</v>
      </c>
      <c r="E166" s="10" t="s">
        <v>17</v>
      </c>
      <c r="F166" s="11" t="s">
        <v>1145</v>
      </c>
      <c r="G166" s="18">
        <f>25.399*L166</f>
        <v>330.18700000000001</v>
      </c>
      <c r="H166" s="13">
        <v>42130</v>
      </c>
      <c r="I166" s="12" t="s">
        <v>635</v>
      </c>
      <c r="J166" s="12" t="s">
        <v>1146</v>
      </c>
      <c r="K166" s="12" t="s">
        <v>184</v>
      </c>
      <c r="L166" s="12">
        <v>13</v>
      </c>
      <c r="M166" s="14" t="s">
        <v>1142</v>
      </c>
      <c r="N166" s="14" t="s">
        <v>134</v>
      </c>
      <c r="O166" s="17" t="s">
        <v>1147</v>
      </c>
    </row>
    <row r="167" spans="1:15" x14ac:dyDescent="0.15">
      <c r="A167" s="21" t="s">
        <v>632</v>
      </c>
      <c r="B167" s="19"/>
      <c r="C167" s="11"/>
      <c r="D167" s="17" t="s">
        <v>633</v>
      </c>
      <c r="E167" s="10" t="s">
        <v>17</v>
      </c>
      <c r="F167" s="11" t="s">
        <v>1148</v>
      </c>
      <c r="G167" s="12">
        <f>17.498*L167</f>
        <v>262.47000000000003</v>
      </c>
      <c r="H167" s="13">
        <v>42130</v>
      </c>
      <c r="I167" s="12" t="s">
        <v>635</v>
      </c>
      <c r="J167" s="12" t="s">
        <v>1149</v>
      </c>
      <c r="K167" s="12" t="s">
        <v>227</v>
      </c>
      <c r="L167" s="12">
        <v>15</v>
      </c>
      <c r="M167" s="14" t="s">
        <v>1150</v>
      </c>
      <c r="N167" s="14" t="s">
        <v>1151</v>
      </c>
      <c r="O167" s="17" t="s">
        <v>1152</v>
      </c>
    </row>
    <row r="168" spans="1:15" x14ac:dyDescent="0.15">
      <c r="A168" s="21" t="s">
        <v>1153</v>
      </c>
      <c r="B168" s="11" t="s">
        <v>127</v>
      </c>
      <c r="C168" s="11"/>
      <c r="D168" s="17" t="s">
        <v>656</v>
      </c>
      <c r="E168" s="10" t="s">
        <v>17</v>
      </c>
      <c r="F168" s="11" t="s">
        <v>1154</v>
      </c>
      <c r="G168" s="12">
        <f>9.871*L168</f>
        <v>118.452</v>
      </c>
      <c r="H168" s="13">
        <v>42130</v>
      </c>
      <c r="I168" s="12" t="s">
        <v>648</v>
      </c>
      <c r="J168" s="12" t="s">
        <v>1155</v>
      </c>
      <c r="K168" s="12" t="s">
        <v>227</v>
      </c>
      <c r="L168" s="12">
        <v>12</v>
      </c>
      <c r="M168" s="14" t="s">
        <v>1156</v>
      </c>
      <c r="N168" s="14" t="s">
        <v>186</v>
      </c>
      <c r="O168" s="17" t="s">
        <v>1157</v>
      </c>
    </row>
    <row r="169" spans="1:15" x14ac:dyDescent="0.15">
      <c r="A169" s="21" t="s">
        <v>655</v>
      </c>
      <c r="B169" s="11" t="s">
        <v>1158</v>
      </c>
      <c r="C169" s="11"/>
      <c r="D169" s="17" t="s">
        <v>656</v>
      </c>
      <c r="E169" s="10" t="s">
        <v>17</v>
      </c>
      <c r="F169" s="11" t="s">
        <v>1159</v>
      </c>
      <c r="G169" s="12">
        <f>9.871*L169</f>
        <v>128.32300000000001</v>
      </c>
      <c r="H169" s="13">
        <v>42130</v>
      </c>
      <c r="I169" s="12" t="s">
        <v>648</v>
      </c>
      <c r="J169" s="12" t="s">
        <v>1160</v>
      </c>
      <c r="K169" s="12" t="s">
        <v>227</v>
      </c>
      <c r="L169" s="12">
        <v>13</v>
      </c>
      <c r="M169" s="14" t="s">
        <v>1156</v>
      </c>
      <c r="N169" s="14" t="s">
        <v>134</v>
      </c>
      <c r="O169" s="17" t="s">
        <v>1161</v>
      </c>
    </row>
    <row r="170" spans="1:15" x14ac:dyDescent="0.15">
      <c r="A170" s="21" t="s">
        <v>1162</v>
      </c>
      <c r="B170" s="19" t="s">
        <v>180</v>
      </c>
      <c r="C170" s="11"/>
      <c r="D170" s="17" t="s">
        <v>1163</v>
      </c>
      <c r="E170" s="10" t="s">
        <v>17</v>
      </c>
      <c r="F170" s="11" t="s">
        <v>1164</v>
      </c>
      <c r="G170" s="12">
        <f>9.871*L170</f>
        <v>118.452</v>
      </c>
      <c r="H170" s="13">
        <v>42130</v>
      </c>
      <c r="I170" s="12" t="s">
        <v>648</v>
      </c>
      <c r="J170" s="12" t="s">
        <v>1165</v>
      </c>
      <c r="K170" s="12" t="s">
        <v>227</v>
      </c>
      <c r="L170" s="12">
        <v>12</v>
      </c>
      <c r="M170" s="14" t="s">
        <v>1166</v>
      </c>
      <c r="N170" s="14" t="s">
        <v>242</v>
      </c>
      <c r="O170" s="17" t="s">
        <v>1167</v>
      </c>
    </row>
    <row r="171" spans="1:15" x14ac:dyDescent="0.15">
      <c r="A171" s="21" t="s">
        <v>1168</v>
      </c>
      <c r="B171" s="19" t="s">
        <v>180</v>
      </c>
      <c r="C171" s="11"/>
      <c r="D171" s="17" t="s">
        <v>1163</v>
      </c>
      <c r="E171" s="10" t="s">
        <v>17</v>
      </c>
      <c r="F171" s="11" t="s">
        <v>1169</v>
      </c>
      <c r="G171" s="12">
        <f>9.871*L171</f>
        <v>118.452</v>
      </c>
      <c r="H171" s="13">
        <v>42130</v>
      </c>
      <c r="I171" s="12" t="s">
        <v>648</v>
      </c>
      <c r="J171" s="12" t="s">
        <v>1170</v>
      </c>
      <c r="K171" s="18" t="s">
        <v>227</v>
      </c>
      <c r="L171" s="12">
        <v>12</v>
      </c>
      <c r="M171" s="14" t="s">
        <v>1171</v>
      </c>
      <c r="N171" s="14" t="s">
        <v>242</v>
      </c>
      <c r="O171" s="17" t="s">
        <v>1172</v>
      </c>
    </row>
    <row r="172" spans="1:15" x14ac:dyDescent="0.15">
      <c r="A172" s="20" t="s">
        <v>1173</v>
      </c>
      <c r="B172" s="19" t="s">
        <v>180</v>
      </c>
      <c r="C172" s="11"/>
      <c r="D172" s="17" t="s">
        <v>1174</v>
      </c>
      <c r="E172" s="10" t="s">
        <v>17</v>
      </c>
      <c r="F172" s="11" t="s">
        <v>1175</v>
      </c>
      <c r="G172" s="12">
        <f>9.871*L172</f>
        <v>19.742000000000001</v>
      </c>
      <c r="H172" s="13">
        <v>42130</v>
      </c>
      <c r="I172" s="12" t="s">
        <v>648</v>
      </c>
      <c r="J172" s="12" t="s">
        <v>1176</v>
      </c>
      <c r="K172" s="18" t="s">
        <v>227</v>
      </c>
      <c r="L172" s="12">
        <v>2</v>
      </c>
      <c r="M172" s="14" t="s">
        <v>1177</v>
      </c>
      <c r="N172" s="14" t="s">
        <v>1178</v>
      </c>
      <c r="O172" s="17" t="s">
        <v>1179</v>
      </c>
    </row>
    <row r="173" spans="1:15" x14ac:dyDescent="0.15">
      <c r="A173" s="21" t="s">
        <v>1180</v>
      </c>
      <c r="B173" s="19"/>
      <c r="C173" s="11"/>
      <c r="D173" s="17" t="s">
        <v>1181</v>
      </c>
      <c r="E173" s="10" t="s">
        <v>17</v>
      </c>
      <c r="F173" s="11" t="s">
        <v>1182</v>
      </c>
      <c r="G173" s="12">
        <f>17.712*L173</f>
        <v>159.40799999999999</v>
      </c>
      <c r="H173" s="13">
        <v>42130</v>
      </c>
      <c r="I173" s="12" t="s">
        <v>635</v>
      </c>
      <c r="J173" s="12" t="s">
        <v>1183</v>
      </c>
      <c r="K173" s="12" t="s">
        <v>227</v>
      </c>
      <c r="L173" s="12">
        <v>9</v>
      </c>
      <c r="M173" s="14" t="s">
        <v>1184</v>
      </c>
      <c r="N173" s="14" t="s">
        <v>1185</v>
      </c>
      <c r="O173" s="17" t="s">
        <v>1186</v>
      </c>
    </row>
    <row r="174" spans="1:15" x14ac:dyDescent="0.15">
      <c r="A174" s="21" t="s">
        <v>1187</v>
      </c>
      <c r="B174" s="19"/>
      <c r="C174" s="11"/>
      <c r="D174" s="17" t="s">
        <v>307</v>
      </c>
      <c r="E174" s="10" t="s">
        <v>17</v>
      </c>
      <c r="F174" s="11" t="s">
        <v>1188</v>
      </c>
      <c r="G174" s="12">
        <f>17.712*L174</f>
        <v>177.12</v>
      </c>
      <c r="H174" s="13">
        <v>42130</v>
      </c>
      <c r="I174" s="12" t="s">
        <v>635</v>
      </c>
      <c r="J174" s="12" t="s">
        <v>1189</v>
      </c>
      <c r="K174" s="12" t="s">
        <v>184</v>
      </c>
      <c r="L174" s="12">
        <v>10</v>
      </c>
      <c r="M174" s="14" t="s">
        <v>1190</v>
      </c>
      <c r="N174" s="14" t="s">
        <v>412</v>
      </c>
      <c r="O174" s="17" t="s">
        <v>1191</v>
      </c>
    </row>
    <row r="175" spans="1:15" x14ac:dyDescent="0.15">
      <c r="A175" s="21" t="s">
        <v>1192</v>
      </c>
      <c r="B175" s="19"/>
      <c r="C175" s="11"/>
      <c r="D175" s="17" t="s">
        <v>307</v>
      </c>
      <c r="E175" s="10" t="s">
        <v>17</v>
      </c>
      <c r="F175" s="11" t="s">
        <v>1193</v>
      </c>
      <c r="G175" s="12">
        <f>17.712*L175</f>
        <v>141.696</v>
      </c>
      <c r="H175" s="13">
        <v>42130</v>
      </c>
      <c r="I175" s="12" t="s">
        <v>635</v>
      </c>
      <c r="J175" s="12" t="s">
        <v>1194</v>
      </c>
      <c r="K175" s="12" t="s">
        <v>227</v>
      </c>
      <c r="L175" s="12">
        <v>8</v>
      </c>
      <c r="M175" s="14" t="s">
        <v>1190</v>
      </c>
      <c r="N175" s="14" t="s">
        <v>1195</v>
      </c>
      <c r="O175" s="17" t="s">
        <v>1196</v>
      </c>
    </row>
    <row r="176" spans="1:15" x14ac:dyDescent="0.15">
      <c r="A176" s="21" t="s">
        <v>1197</v>
      </c>
      <c r="B176" s="19"/>
      <c r="C176" s="11"/>
      <c r="D176" s="17" t="s">
        <v>54</v>
      </c>
      <c r="E176" s="10" t="s">
        <v>17</v>
      </c>
      <c r="F176" s="11" t="s">
        <v>1198</v>
      </c>
      <c r="G176" s="18">
        <f>6.405*L176</f>
        <v>160.125</v>
      </c>
      <c r="H176" s="13">
        <v>42130</v>
      </c>
      <c r="I176" s="12" t="s">
        <v>1199</v>
      </c>
      <c r="J176" s="12" t="s">
        <v>1200</v>
      </c>
      <c r="K176" s="12" t="s">
        <v>132</v>
      </c>
      <c r="L176" s="12">
        <v>25</v>
      </c>
      <c r="M176" s="14" t="s">
        <v>1201</v>
      </c>
      <c r="N176" s="14" t="s">
        <v>338</v>
      </c>
      <c r="O176" s="17" t="s">
        <v>1202</v>
      </c>
    </row>
    <row r="177" spans="1:15" x14ac:dyDescent="0.15">
      <c r="A177" s="21" t="s">
        <v>231</v>
      </c>
      <c r="B177" s="19"/>
      <c r="C177" s="11"/>
      <c r="D177" s="17" t="s">
        <v>54</v>
      </c>
      <c r="E177" s="10" t="s">
        <v>17</v>
      </c>
      <c r="F177" s="11" t="s">
        <v>1203</v>
      </c>
      <c r="G177" s="18">
        <f>6.405*L177</f>
        <v>160.125</v>
      </c>
      <c r="H177" s="13">
        <v>42130</v>
      </c>
      <c r="I177" s="12" t="s">
        <v>233</v>
      </c>
      <c r="J177" s="12" t="s">
        <v>1204</v>
      </c>
      <c r="K177" s="12" t="s">
        <v>227</v>
      </c>
      <c r="L177" s="12">
        <v>25</v>
      </c>
      <c r="M177" s="14" t="s">
        <v>1205</v>
      </c>
      <c r="N177" s="14" t="s">
        <v>338</v>
      </c>
      <c r="O177" s="17" t="s">
        <v>1206</v>
      </c>
    </row>
    <row r="178" spans="1:15" x14ac:dyDescent="0.15">
      <c r="A178" s="21" t="s">
        <v>1207</v>
      </c>
      <c r="B178" s="19"/>
      <c r="C178" s="11"/>
      <c r="D178" s="17" t="s">
        <v>567</v>
      </c>
      <c r="E178" s="10" t="s">
        <v>17</v>
      </c>
      <c r="F178" s="11" t="s">
        <v>1208</v>
      </c>
      <c r="G178" s="12">
        <f>27.688*L178</f>
        <v>166.12799999999999</v>
      </c>
      <c r="H178" s="13">
        <v>42130</v>
      </c>
      <c r="I178" s="12" t="s">
        <v>635</v>
      </c>
      <c r="J178" s="12" t="s">
        <v>1209</v>
      </c>
      <c r="K178" s="12" t="s">
        <v>21</v>
      </c>
      <c r="L178" s="12">
        <v>6</v>
      </c>
      <c r="M178" s="14" t="s">
        <v>1210</v>
      </c>
      <c r="N178" s="14" t="s">
        <v>1211</v>
      </c>
      <c r="O178" s="17" t="s">
        <v>1212</v>
      </c>
    </row>
    <row r="179" spans="1:15" x14ac:dyDescent="0.15">
      <c r="A179" s="21" t="s">
        <v>1213</v>
      </c>
      <c r="B179" s="19"/>
      <c r="C179" s="11"/>
      <c r="D179" s="17" t="s">
        <v>567</v>
      </c>
      <c r="E179" s="10" t="s">
        <v>17</v>
      </c>
      <c r="F179" s="11" t="s">
        <v>1214</v>
      </c>
      <c r="G179" s="12">
        <f>27.688*L179</f>
        <v>221.50399999999999</v>
      </c>
      <c r="H179" s="13">
        <v>42130</v>
      </c>
      <c r="I179" s="12" t="s">
        <v>635</v>
      </c>
      <c r="J179" s="12" t="s">
        <v>1215</v>
      </c>
      <c r="K179" s="12" t="s">
        <v>21</v>
      </c>
      <c r="L179" s="12">
        <v>8</v>
      </c>
      <c r="M179" s="14" t="s">
        <v>1216</v>
      </c>
      <c r="N179" s="14" t="s">
        <v>1217</v>
      </c>
      <c r="O179" s="17" t="s">
        <v>1218</v>
      </c>
    </row>
    <row r="180" spans="1:15" x14ac:dyDescent="0.15">
      <c r="A180" s="20" t="s">
        <v>954</v>
      </c>
      <c r="B180" s="19"/>
      <c r="C180" s="11"/>
      <c r="D180" s="17" t="s">
        <v>1219</v>
      </c>
      <c r="E180" s="10" t="s">
        <v>17</v>
      </c>
      <c r="F180" s="11" t="s">
        <v>1220</v>
      </c>
      <c r="G180" s="12">
        <f>24.694*L180</f>
        <v>271.63400000000001</v>
      </c>
      <c r="H180" s="13">
        <v>42130</v>
      </c>
      <c r="I180" s="12" t="s">
        <v>215</v>
      </c>
      <c r="J180" s="12" t="s">
        <v>1221</v>
      </c>
      <c r="K180" s="12" t="s">
        <v>227</v>
      </c>
      <c r="L180" s="12">
        <v>11</v>
      </c>
      <c r="M180" s="14" t="s">
        <v>1222</v>
      </c>
      <c r="N180" s="14" t="s">
        <v>1223</v>
      </c>
      <c r="O180" s="17" t="s">
        <v>1224</v>
      </c>
    </row>
    <row r="181" spans="1:15" x14ac:dyDescent="0.15">
      <c r="A181" s="21" t="s">
        <v>204</v>
      </c>
      <c r="B181" s="19"/>
      <c r="C181" s="11"/>
      <c r="D181" s="17" t="s">
        <v>927</v>
      </c>
      <c r="E181" s="10" t="s">
        <v>17</v>
      </c>
      <c r="F181" s="11" t="s">
        <v>1225</v>
      </c>
      <c r="G181" s="18">
        <f>20.816*L181</f>
        <v>41.631999999999998</v>
      </c>
      <c r="H181" s="13">
        <v>42130</v>
      </c>
      <c r="I181" s="12" t="s">
        <v>207</v>
      </c>
      <c r="J181" s="12" t="s">
        <v>1226</v>
      </c>
      <c r="K181" s="12" t="s">
        <v>184</v>
      </c>
      <c r="L181" s="12">
        <v>2</v>
      </c>
      <c r="M181" s="14" t="s">
        <v>1227</v>
      </c>
      <c r="N181" s="14" t="s">
        <v>1178</v>
      </c>
      <c r="O181" s="17" t="s">
        <v>1228</v>
      </c>
    </row>
    <row r="182" spans="1:15" x14ac:dyDescent="0.15">
      <c r="A182" s="21" t="s">
        <v>1229</v>
      </c>
      <c r="B182" s="19"/>
      <c r="C182" s="11"/>
      <c r="D182" s="17" t="s">
        <v>1230</v>
      </c>
      <c r="E182" s="10" t="s">
        <v>17</v>
      </c>
      <c r="F182" s="11" t="s">
        <v>1231</v>
      </c>
      <c r="G182" s="12">
        <f>29.101*L182</f>
        <v>232.80799999999999</v>
      </c>
      <c r="H182" s="13">
        <v>42130</v>
      </c>
      <c r="I182" s="12" t="s">
        <v>1232</v>
      </c>
      <c r="J182" s="12" t="s">
        <v>1233</v>
      </c>
      <c r="K182" s="12" t="s">
        <v>132</v>
      </c>
      <c r="L182" s="12">
        <v>8</v>
      </c>
      <c r="M182" s="14" t="s">
        <v>1234</v>
      </c>
      <c r="N182" s="14" t="s">
        <v>1235</v>
      </c>
      <c r="O182" s="17" t="s">
        <v>1236</v>
      </c>
    </row>
    <row r="183" spans="1:15" x14ac:dyDescent="0.15">
      <c r="A183" s="21" t="s">
        <v>1237</v>
      </c>
      <c r="B183" s="19"/>
      <c r="C183" s="11"/>
      <c r="D183" s="17" t="s">
        <v>97</v>
      </c>
      <c r="E183" s="10" t="s">
        <v>17</v>
      </c>
      <c r="F183" s="11" t="s">
        <v>1238</v>
      </c>
      <c r="G183" s="18">
        <f>12.838*L183</f>
        <v>102.70399999999999</v>
      </c>
      <c r="H183" s="13">
        <v>42130</v>
      </c>
      <c r="I183" s="12" t="s">
        <v>1239</v>
      </c>
      <c r="J183" s="12" t="s">
        <v>1240</v>
      </c>
      <c r="K183" s="12" t="s">
        <v>227</v>
      </c>
      <c r="L183" s="12">
        <v>8</v>
      </c>
      <c r="M183" s="14" t="s">
        <v>1241</v>
      </c>
      <c r="N183" s="14" t="s">
        <v>1217</v>
      </c>
      <c r="O183" s="17" t="s">
        <v>1242</v>
      </c>
    </row>
    <row r="184" spans="1:15" x14ac:dyDescent="0.15">
      <c r="A184" s="21" t="s">
        <v>1243</v>
      </c>
      <c r="B184" s="19"/>
      <c r="C184" s="11"/>
      <c r="D184" s="17" t="s">
        <v>334</v>
      </c>
      <c r="E184" s="10" t="s">
        <v>17</v>
      </c>
      <c r="F184" s="11" t="s">
        <v>1244</v>
      </c>
      <c r="G184" s="12">
        <f>18.708*L184</f>
        <v>224.49599999999998</v>
      </c>
      <c r="H184" s="13">
        <v>42130</v>
      </c>
      <c r="I184" s="12" t="s">
        <v>1098</v>
      </c>
      <c r="J184" s="12" t="s">
        <v>1245</v>
      </c>
      <c r="K184" s="12" t="s">
        <v>132</v>
      </c>
      <c r="L184" s="12">
        <v>12</v>
      </c>
      <c r="M184" s="14" t="s">
        <v>1246</v>
      </c>
      <c r="N184" s="14" t="s">
        <v>242</v>
      </c>
      <c r="O184" s="17" t="s">
        <v>1247</v>
      </c>
    </row>
    <row r="185" spans="1:15" x14ac:dyDescent="0.15">
      <c r="A185" s="20" t="s">
        <v>1248</v>
      </c>
      <c r="B185" s="19"/>
      <c r="C185" s="11"/>
      <c r="D185" s="17" t="s">
        <v>1249</v>
      </c>
      <c r="E185" s="10" t="s">
        <v>17</v>
      </c>
      <c r="F185" s="11" t="s">
        <v>1250</v>
      </c>
      <c r="G185" s="12">
        <f>10.5*L185</f>
        <v>21</v>
      </c>
      <c r="H185" s="13">
        <v>42130</v>
      </c>
      <c r="I185" s="12" t="s">
        <v>1251</v>
      </c>
      <c r="J185" s="12" t="s">
        <v>1252</v>
      </c>
      <c r="K185" s="12" t="s">
        <v>132</v>
      </c>
      <c r="L185" s="12">
        <v>2</v>
      </c>
      <c r="M185" s="14" t="s">
        <v>1253</v>
      </c>
      <c r="N185" s="14" t="s">
        <v>1254</v>
      </c>
      <c r="O185" s="17" t="s">
        <v>1255</v>
      </c>
    </row>
    <row r="186" spans="1:15" x14ac:dyDescent="0.15">
      <c r="A186" s="21" t="s">
        <v>1256</v>
      </c>
      <c r="B186" s="19"/>
      <c r="C186" s="11"/>
      <c r="D186" s="17" t="s">
        <v>1257</v>
      </c>
      <c r="E186" s="10" t="s">
        <v>17</v>
      </c>
      <c r="F186" s="11" t="s">
        <v>1258</v>
      </c>
      <c r="G186" s="12">
        <v>52.057000000000002</v>
      </c>
      <c r="H186" s="13">
        <v>42130</v>
      </c>
      <c r="I186" s="12" t="s">
        <v>215</v>
      </c>
      <c r="J186" s="12" t="s">
        <v>1259</v>
      </c>
      <c r="K186" s="12" t="s">
        <v>39</v>
      </c>
      <c r="L186" s="12" t="s">
        <v>731</v>
      </c>
      <c r="M186" s="14" t="s">
        <v>1260</v>
      </c>
      <c r="N186" s="14" t="s">
        <v>1261</v>
      </c>
      <c r="O186" s="17" t="s">
        <v>1262</v>
      </c>
    </row>
    <row r="187" spans="1:15" x14ac:dyDescent="0.15">
      <c r="A187" s="21" t="s">
        <v>1263</v>
      </c>
      <c r="B187" s="19"/>
      <c r="C187" s="11"/>
      <c r="D187" s="17" t="s">
        <v>1257</v>
      </c>
      <c r="E187" s="10" t="s">
        <v>17</v>
      </c>
      <c r="F187" s="11" t="s">
        <v>1264</v>
      </c>
      <c r="G187" s="12">
        <v>138.92699999999999</v>
      </c>
      <c r="H187" s="13">
        <v>42130</v>
      </c>
      <c r="I187" s="12" t="s">
        <v>215</v>
      </c>
      <c r="J187" s="12" t="s">
        <v>1265</v>
      </c>
      <c r="K187" s="12" t="s">
        <v>39</v>
      </c>
      <c r="L187" s="12" t="s">
        <v>1266</v>
      </c>
      <c r="M187" s="14" t="s">
        <v>1267</v>
      </c>
      <c r="N187" s="14" t="s">
        <v>1268</v>
      </c>
      <c r="O187" s="17" t="s">
        <v>1269</v>
      </c>
    </row>
    <row r="188" spans="1:15" x14ac:dyDescent="0.15">
      <c r="A188" s="21" t="s">
        <v>1270</v>
      </c>
      <c r="B188" s="19"/>
      <c r="C188" s="11"/>
      <c r="D188" s="17" t="s">
        <v>1257</v>
      </c>
      <c r="E188" s="10" t="s">
        <v>17</v>
      </c>
      <c r="F188" s="11" t="s">
        <v>1271</v>
      </c>
      <c r="G188" s="12">
        <v>69.478999999999999</v>
      </c>
      <c r="H188" s="13">
        <v>42130</v>
      </c>
      <c r="I188" s="12" t="s">
        <v>215</v>
      </c>
      <c r="J188" s="12" t="s">
        <v>1272</v>
      </c>
      <c r="K188" s="12" t="s">
        <v>39</v>
      </c>
      <c r="L188" s="12" t="s">
        <v>723</v>
      </c>
      <c r="M188" s="14" t="s">
        <v>1273</v>
      </c>
      <c r="N188" s="14" t="s">
        <v>1274</v>
      </c>
      <c r="O188" s="17" t="s">
        <v>1275</v>
      </c>
    </row>
    <row r="189" spans="1:15" x14ac:dyDescent="0.15">
      <c r="A189" s="21" t="s">
        <v>616</v>
      </c>
      <c r="B189" s="19"/>
      <c r="C189" s="11"/>
      <c r="D189" s="17" t="s">
        <v>833</v>
      </c>
      <c r="E189" s="10" t="s">
        <v>17</v>
      </c>
      <c r="F189" s="11" t="s">
        <v>1276</v>
      </c>
      <c r="G189" s="12">
        <v>201.96600000000001</v>
      </c>
      <c r="H189" s="13">
        <v>42130</v>
      </c>
      <c r="I189" s="12" t="s">
        <v>215</v>
      </c>
      <c r="J189" s="12" t="s">
        <v>1277</v>
      </c>
      <c r="K189" s="12" t="s">
        <v>255</v>
      </c>
      <c r="L189" s="12" t="s">
        <v>620</v>
      </c>
      <c r="M189" s="14" t="s">
        <v>1278</v>
      </c>
      <c r="N189" s="14" t="s">
        <v>1279</v>
      </c>
      <c r="O189" s="17" t="s">
        <v>1280</v>
      </c>
    </row>
    <row r="190" spans="1:15" x14ac:dyDescent="0.15">
      <c r="A190" s="21" t="s">
        <v>1281</v>
      </c>
      <c r="B190" s="19"/>
      <c r="C190" s="11"/>
      <c r="D190" s="17" t="s">
        <v>1282</v>
      </c>
      <c r="E190" s="10" t="s">
        <v>17</v>
      </c>
      <c r="F190" s="11" t="s">
        <v>1283</v>
      </c>
      <c r="G190" s="12">
        <v>155.72300000000001</v>
      </c>
      <c r="H190" s="13">
        <v>42130</v>
      </c>
      <c r="I190" s="12" t="s">
        <v>215</v>
      </c>
      <c r="J190" s="12" t="s">
        <v>1284</v>
      </c>
      <c r="K190" s="12" t="s">
        <v>255</v>
      </c>
      <c r="L190" s="12" t="s">
        <v>1285</v>
      </c>
      <c r="M190" s="14" t="s">
        <v>1286</v>
      </c>
      <c r="N190" s="14" t="s">
        <v>1287</v>
      </c>
      <c r="O190" s="17" t="s">
        <v>1288</v>
      </c>
    </row>
    <row r="191" spans="1:15" x14ac:dyDescent="0.15">
      <c r="A191" s="21" t="s">
        <v>1289</v>
      </c>
      <c r="B191" s="19"/>
      <c r="C191" s="11"/>
      <c r="D191" s="17" t="s">
        <v>1290</v>
      </c>
      <c r="E191" s="10" t="s">
        <v>17</v>
      </c>
      <c r="F191" s="11" t="s">
        <v>1291</v>
      </c>
      <c r="G191" s="12">
        <f>27.621*L191</f>
        <v>55.241999999999997</v>
      </c>
      <c r="H191" s="13">
        <v>42130</v>
      </c>
      <c r="I191" s="12" t="s">
        <v>215</v>
      </c>
      <c r="J191" s="12" t="s">
        <v>1292</v>
      </c>
      <c r="K191" s="18" t="s">
        <v>227</v>
      </c>
      <c r="L191" s="12">
        <v>2</v>
      </c>
      <c r="M191" s="14" t="s">
        <v>1293</v>
      </c>
      <c r="N191" s="14" t="s">
        <v>1294</v>
      </c>
      <c r="O191" s="17" t="s">
        <v>1295</v>
      </c>
    </row>
    <row r="192" spans="1:15" x14ac:dyDescent="0.15">
      <c r="A192" s="21" t="s">
        <v>1296</v>
      </c>
      <c r="B192" s="19"/>
      <c r="C192" s="11"/>
      <c r="D192" s="17" t="s">
        <v>54</v>
      </c>
      <c r="E192" s="10" t="s">
        <v>17</v>
      </c>
      <c r="F192" s="11" t="s">
        <v>1297</v>
      </c>
      <c r="G192" s="18">
        <f>6.405*L192</f>
        <v>64.05</v>
      </c>
      <c r="H192" s="13">
        <v>42131</v>
      </c>
      <c r="I192" s="12" t="s">
        <v>1298</v>
      </c>
      <c r="J192" s="12" t="s">
        <v>1299</v>
      </c>
      <c r="K192" s="12" t="s">
        <v>227</v>
      </c>
      <c r="L192" s="12">
        <v>10</v>
      </c>
      <c r="M192" s="14" t="s">
        <v>1300</v>
      </c>
      <c r="N192" s="14" t="s">
        <v>412</v>
      </c>
      <c r="O192" s="17" t="s">
        <v>1301</v>
      </c>
    </row>
    <row r="193" spans="1:15" x14ac:dyDescent="0.15">
      <c r="A193" s="21" t="s">
        <v>1302</v>
      </c>
      <c r="B193" s="19"/>
      <c r="C193" s="11"/>
      <c r="D193" s="17" t="s">
        <v>579</v>
      </c>
      <c r="E193" s="10" t="s">
        <v>17</v>
      </c>
      <c r="F193" s="11" t="s">
        <v>1303</v>
      </c>
      <c r="G193" s="18">
        <f>17.52*L193</f>
        <v>87.6</v>
      </c>
      <c r="H193" s="13">
        <v>42131</v>
      </c>
      <c r="I193" s="12" t="s">
        <v>635</v>
      </c>
      <c r="J193" s="12" t="s">
        <v>1304</v>
      </c>
      <c r="K193" s="12" t="s">
        <v>227</v>
      </c>
      <c r="L193" s="12">
        <v>5</v>
      </c>
      <c r="M193" s="14" t="s">
        <v>1305</v>
      </c>
      <c r="N193" s="14" t="s">
        <v>500</v>
      </c>
      <c r="O193" s="17" t="s">
        <v>1306</v>
      </c>
    </row>
    <row r="194" spans="1:15" x14ac:dyDescent="0.15">
      <c r="A194" s="21" t="s">
        <v>711</v>
      </c>
      <c r="B194" s="19"/>
      <c r="C194" s="11"/>
      <c r="D194" s="17" t="s">
        <v>1307</v>
      </c>
      <c r="E194" s="10" t="s">
        <v>17</v>
      </c>
      <c r="F194" s="11" t="s">
        <v>1308</v>
      </c>
      <c r="G194" s="18">
        <v>155.52199999999999</v>
      </c>
      <c r="H194" s="13">
        <v>42131</v>
      </c>
      <c r="I194" s="12" t="s">
        <v>215</v>
      </c>
      <c r="J194" s="12" t="s">
        <v>1309</v>
      </c>
      <c r="K194" s="12" t="s">
        <v>39</v>
      </c>
      <c r="L194" s="12" t="s">
        <v>1285</v>
      </c>
      <c r="M194" s="14" t="s">
        <v>1310</v>
      </c>
      <c r="N194" s="14" t="s">
        <v>1311</v>
      </c>
      <c r="O194" s="17" t="s">
        <v>1312</v>
      </c>
    </row>
    <row r="195" spans="1:15" x14ac:dyDescent="0.15">
      <c r="A195" s="21" t="s">
        <v>1313</v>
      </c>
      <c r="B195" s="19"/>
      <c r="C195" s="11"/>
      <c r="D195" s="17" t="s">
        <v>35</v>
      </c>
      <c r="E195" s="10" t="s">
        <v>17</v>
      </c>
      <c r="F195" s="11" t="s">
        <v>1314</v>
      </c>
      <c r="G195" s="18">
        <v>48.643000000000001</v>
      </c>
      <c r="H195" s="13">
        <v>42131</v>
      </c>
      <c r="I195" s="12" t="s">
        <v>215</v>
      </c>
      <c r="J195" s="12" t="s">
        <v>1315</v>
      </c>
      <c r="K195" s="12" t="s">
        <v>39</v>
      </c>
      <c r="L195" s="12" t="s">
        <v>972</v>
      </c>
      <c r="M195" s="14" t="s">
        <v>1316</v>
      </c>
      <c r="N195" s="14" t="s">
        <v>1317</v>
      </c>
      <c r="O195" s="17" t="s">
        <v>1318</v>
      </c>
    </row>
    <row r="196" spans="1:15" x14ac:dyDescent="0.15">
      <c r="A196" s="21" t="s">
        <v>1313</v>
      </c>
      <c r="B196" s="19"/>
      <c r="C196" s="11"/>
      <c r="D196" s="17" t="s">
        <v>35</v>
      </c>
      <c r="E196" s="10" t="s">
        <v>17</v>
      </c>
      <c r="F196" s="11" t="s">
        <v>1319</v>
      </c>
      <c r="G196" s="18">
        <v>104.354</v>
      </c>
      <c r="H196" s="13">
        <v>42131</v>
      </c>
      <c r="I196" s="12" t="s">
        <v>215</v>
      </c>
      <c r="J196" s="12" t="s">
        <v>1320</v>
      </c>
      <c r="K196" s="12" t="s">
        <v>39</v>
      </c>
      <c r="L196" s="12" t="s">
        <v>1321</v>
      </c>
      <c r="M196" s="14" t="s">
        <v>1322</v>
      </c>
      <c r="N196" s="24" t="s">
        <v>1323</v>
      </c>
      <c r="O196" s="17" t="s">
        <v>1324</v>
      </c>
    </row>
    <row r="197" spans="1:15" x14ac:dyDescent="0.15">
      <c r="A197" s="21" t="s">
        <v>1325</v>
      </c>
      <c r="B197" s="19"/>
      <c r="C197" s="11"/>
      <c r="D197" s="17" t="s">
        <v>453</v>
      </c>
      <c r="E197" s="10" t="s">
        <v>17</v>
      </c>
      <c r="F197" s="11" t="s">
        <v>1326</v>
      </c>
      <c r="G197" s="18">
        <v>303.048</v>
      </c>
      <c r="H197" s="13">
        <v>42131</v>
      </c>
      <c r="I197" s="18" t="s">
        <v>737</v>
      </c>
      <c r="J197" s="12" t="s">
        <v>1327</v>
      </c>
      <c r="K197" s="12" t="s">
        <v>328</v>
      </c>
      <c r="L197" s="12" t="s">
        <v>1328</v>
      </c>
      <c r="M197" s="14" t="s">
        <v>1329</v>
      </c>
      <c r="N197" s="14" t="s">
        <v>1330</v>
      </c>
      <c r="O197" s="17" t="s">
        <v>1331</v>
      </c>
    </row>
    <row r="198" spans="1:15" x14ac:dyDescent="0.15">
      <c r="A198" s="21" t="s">
        <v>1325</v>
      </c>
      <c r="B198" s="19"/>
      <c r="C198" s="11"/>
      <c r="D198" s="17" t="s">
        <v>453</v>
      </c>
      <c r="E198" s="10" t="s">
        <v>17</v>
      </c>
      <c r="F198" s="11" t="s">
        <v>1332</v>
      </c>
      <c r="G198" s="18">
        <v>267.80799999999999</v>
      </c>
      <c r="H198" s="13">
        <v>42131</v>
      </c>
      <c r="I198" s="18" t="s">
        <v>737</v>
      </c>
      <c r="J198" s="12" t="s">
        <v>1333</v>
      </c>
      <c r="K198" s="12" t="s">
        <v>328</v>
      </c>
      <c r="L198" s="12" t="s">
        <v>1334</v>
      </c>
      <c r="M198" s="14" t="s">
        <v>1335</v>
      </c>
      <c r="N198" s="14" t="s">
        <v>1336</v>
      </c>
      <c r="O198" s="17" t="s">
        <v>1337</v>
      </c>
    </row>
    <row r="199" spans="1:15" x14ac:dyDescent="0.15">
      <c r="A199" s="21" t="s">
        <v>1025</v>
      </c>
      <c r="B199" s="19"/>
      <c r="C199" s="11"/>
      <c r="D199" s="17" t="s">
        <v>453</v>
      </c>
      <c r="E199" s="10" t="s">
        <v>17</v>
      </c>
      <c r="F199" s="11" t="s">
        <v>1338</v>
      </c>
      <c r="G199" s="18">
        <v>186.441</v>
      </c>
      <c r="H199" s="13">
        <v>42131</v>
      </c>
      <c r="I199" s="12" t="s">
        <v>215</v>
      </c>
      <c r="J199" s="12" t="s">
        <v>1339</v>
      </c>
      <c r="K199" s="12" t="s">
        <v>175</v>
      </c>
      <c r="L199" s="12" t="s">
        <v>1028</v>
      </c>
      <c r="M199" s="14" t="s">
        <v>1340</v>
      </c>
      <c r="N199" s="14" t="s">
        <v>1341</v>
      </c>
      <c r="O199" s="17" t="s">
        <v>1342</v>
      </c>
    </row>
    <row r="200" spans="1:15" x14ac:dyDescent="0.15">
      <c r="A200" s="21" t="s">
        <v>992</v>
      </c>
      <c r="B200" s="19"/>
      <c r="C200" s="11"/>
      <c r="D200" s="17" t="s">
        <v>61</v>
      </c>
      <c r="E200" s="10" t="s">
        <v>17</v>
      </c>
      <c r="F200" s="11" t="s">
        <v>1343</v>
      </c>
      <c r="G200" s="18">
        <v>68.659000000000006</v>
      </c>
      <c r="H200" s="13">
        <v>42132</v>
      </c>
      <c r="I200" s="12" t="s">
        <v>215</v>
      </c>
      <c r="J200" s="12" t="s">
        <v>1344</v>
      </c>
      <c r="K200" s="12" t="s">
        <v>39</v>
      </c>
      <c r="L200" s="12" t="s">
        <v>1345</v>
      </c>
      <c r="M200" s="14" t="s">
        <v>1346</v>
      </c>
      <c r="N200" s="14" t="s">
        <v>1347</v>
      </c>
      <c r="O200" s="17" t="s">
        <v>1348</v>
      </c>
    </row>
    <row r="201" spans="1:15" x14ac:dyDescent="0.15">
      <c r="A201" s="21" t="s">
        <v>1349</v>
      </c>
      <c r="B201" s="19"/>
      <c r="C201" s="11"/>
      <c r="D201" s="17" t="s">
        <v>375</v>
      </c>
      <c r="E201" s="10" t="s">
        <v>163</v>
      </c>
      <c r="F201" s="11" t="s">
        <v>1350</v>
      </c>
      <c r="G201" s="12">
        <f>17.52*L201</f>
        <v>262.8</v>
      </c>
      <c r="H201" s="13">
        <v>42136</v>
      </c>
      <c r="I201" s="12" t="s">
        <v>215</v>
      </c>
      <c r="J201" s="12" t="s">
        <v>1351</v>
      </c>
      <c r="K201" s="12" t="s">
        <v>227</v>
      </c>
      <c r="L201" s="12">
        <v>15</v>
      </c>
      <c r="M201" s="14" t="s">
        <v>1352</v>
      </c>
      <c r="N201" s="14" t="s">
        <v>1353</v>
      </c>
      <c r="O201" s="17" t="s">
        <v>1354</v>
      </c>
    </row>
    <row r="202" spans="1:15" x14ac:dyDescent="0.15">
      <c r="A202" s="21" t="s">
        <v>1355</v>
      </c>
      <c r="B202" s="19"/>
      <c r="C202" s="11"/>
      <c r="D202" s="17" t="s">
        <v>633</v>
      </c>
      <c r="E202" s="10" t="s">
        <v>163</v>
      </c>
      <c r="F202" s="11" t="s">
        <v>1356</v>
      </c>
      <c r="G202" s="12">
        <f>17.498*L202</f>
        <v>209.976</v>
      </c>
      <c r="H202" s="13">
        <v>42136</v>
      </c>
      <c r="I202" s="12" t="s">
        <v>635</v>
      </c>
      <c r="J202" s="12" t="s">
        <v>1357</v>
      </c>
      <c r="K202" s="12" t="s">
        <v>227</v>
      </c>
      <c r="L202" s="12">
        <v>12</v>
      </c>
      <c r="M202" s="14" t="s">
        <v>1358</v>
      </c>
      <c r="N202" s="14" t="s">
        <v>242</v>
      </c>
      <c r="O202" s="17" t="s">
        <v>1359</v>
      </c>
    </row>
    <row r="203" spans="1:15" x14ac:dyDescent="0.15">
      <c r="A203" s="21" t="s">
        <v>632</v>
      </c>
      <c r="B203" s="19"/>
      <c r="C203" s="11"/>
      <c r="D203" s="17" t="s">
        <v>633</v>
      </c>
      <c r="E203" s="10" t="s">
        <v>163</v>
      </c>
      <c r="F203" s="11" t="s">
        <v>1360</v>
      </c>
      <c r="G203" s="12">
        <f>17.498*L203</f>
        <v>227.47400000000002</v>
      </c>
      <c r="H203" s="13">
        <v>42136</v>
      </c>
      <c r="I203" s="12" t="s">
        <v>635</v>
      </c>
      <c r="J203" s="12" t="s">
        <v>1361</v>
      </c>
      <c r="K203" s="12" t="s">
        <v>227</v>
      </c>
      <c r="L203" s="12">
        <v>13</v>
      </c>
      <c r="M203" s="14" t="s">
        <v>1358</v>
      </c>
      <c r="N203" s="14" t="s">
        <v>134</v>
      </c>
      <c r="O203" s="17" t="s">
        <v>1362</v>
      </c>
    </row>
    <row r="204" spans="1:15" x14ac:dyDescent="0.15">
      <c r="A204" s="21" t="s">
        <v>1363</v>
      </c>
      <c r="B204" s="19"/>
      <c r="C204" s="11"/>
      <c r="D204" s="17" t="s">
        <v>97</v>
      </c>
      <c r="E204" s="10" t="s">
        <v>163</v>
      </c>
      <c r="F204" s="11" t="s">
        <v>1364</v>
      </c>
      <c r="G204" s="12">
        <f>12.838*L204</f>
        <v>128.38</v>
      </c>
      <c r="H204" s="13">
        <v>42136</v>
      </c>
      <c r="I204" s="12" t="s">
        <v>233</v>
      </c>
      <c r="J204" s="12" t="s">
        <v>1365</v>
      </c>
      <c r="K204" s="12" t="s">
        <v>227</v>
      </c>
      <c r="L204" s="12">
        <v>10</v>
      </c>
      <c r="M204" s="14" t="s">
        <v>1366</v>
      </c>
      <c r="N204" s="14" t="s">
        <v>1367</v>
      </c>
      <c r="O204" s="17" t="s">
        <v>1368</v>
      </c>
    </row>
    <row r="205" spans="1:15" x14ac:dyDescent="0.15">
      <c r="A205" s="21" t="s">
        <v>1369</v>
      </c>
      <c r="B205" s="11" t="s">
        <v>127</v>
      </c>
      <c r="C205" s="11"/>
      <c r="D205" s="17" t="s">
        <v>859</v>
      </c>
      <c r="E205" s="10" t="s">
        <v>163</v>
      </c>
      <c r="F205" s="11" t="s">
        <v>1370</v>
      </c>
      <c r="G205" s="12">
        <f>8.823*L205</f>
        <v>105.876</v>
      </c>
      <c r="H205" s="13">
        <v>42136</v>
      </c>
      <c r="I205" s="12" t="s">
        <v>861</v>
      </c>
      <c r="J205" s="12" t="s">
        <v>7655</v>
      </c>
      <c r="K205" s="12" t="s">
        <v>227</v>
      </c>
      <c r="L205" s="12">
        <v>12</v>
      </c>
      <c r="M205" s="14" t="s">
        <v>1371</v>
      </c>
      <c r="N205" s="14" t="s">
        <v>1372</v>
      </c>
      <c r="O205" s="17" t="s">
        <v>8615</v>
      </c>
    </row>
    <row r="206" spans="1:15" x14ac:dyDescent="0.15">
      <c r="A206" s="21" t="s">
        <v>858</v>
      </c>
      <c r="B206" s="11" t="s">
        <v>127</v>
      </c>
      <c r="C206" s="11"/>
      <c r="D206" s="17" t="s">
        <v>859</v>
      </c>
      <c r="E206" s="10" t="s">
        <v>163</v>
      </c>
      <c r="F206" s="11" t="s">
        <v>1373</v>
      </c>
      <c r="G206" s="12">
        <f>8.823*L206</f>
        <v>105.876</v>
      </c>
      <c r="H206" s="13">
        <v>42136</v>
      </c>
      <c r="I206" s="12" t="s">
        <v>861</v>
      </c>
      <c r="J206" s="12" t="s">
        <v>1374</v>
      </c>
      <c r="K206" s="12" t="s">
        <v>227</v>
      </c>
      <c r="L206" s="12">
        <v>12</v>
      </c>
      <c r="M206" s="14" t="s">
        <v>1371</v>
      </c>
      <c r="N206" s="14" t="s">
        <v>1375</v>
      </c>
      <c r="O206" s="17" t="s">
        <v>8616</v>
      </c>
    </row>
    <row r="207" spans="1:15" x14ac:dyDescent="0.15">
      <c r="A207" s="21" t="s">
        <v>1376</v>
      </c>
      <c r="B207" s="19"/>
      <c r="C207" s="11"/>
      <c r="D207" s="17" t="s">
        <v>1377</v>
      </c>
      <c r="E207" s="10" t="s">
        <v>163</v>
      </c>
      <c r="F207" s="11" t="s">
        <v>1378</v>
      </c>
      <c r="G207" s="12">
        <f>17.52*L207</f>
        <v>157.68</v>
      </c>
      <c r="H207" s="13">
        <v>42136</v>
      </c>
      <c r="I207" s="12" t="s">
        <v>215</v>
      </c>
      <c r="J207" s="12" t="s">
        <v>1379</v>
      </c>
      <c r="K207" s="12" t="s">
        <v>227</v>
      </c>
      <c r="L207" s="12">
        <v>9</v>
      </c>
      <c r="M207" s="14" t="s">
        <v>1380</v>
      </c>
      <c r="N207" s="14" t="s">
        <v>931</v>
      </c>
      <c r="O207" s="17" t="s">
        <v>1381</v>
      </c>
    </row>
    <row r="208" spans="1:15" x14ac:dyDescent="0.15">
      <c r="A208" s="21" t="s">
        <v>34</v>
      </c>
      <c r="B208" s="19"/>
      <c r="C208" s="11"/>
      <c r="D208" s="17" t="s">
        <v>35</v>
      </c>
      <c r="E208" s="10" t="s">
        <v>163</v>
      </c>
      <c r="F208" s="11" t="s">
        <v>1382</v>
      </c>
      <c r="G208" s="12">
        <v>104.395</v>
      </c>
      <c r="H208" s="13">
        <v>42137</v>
      </c>
      <c r="I208" s="12" t="s">
        <v>215</v>
      </c>
      <c r="J208" s="12" t="s">
        <v>1383</v>
      </c>
      <c r="K208" s="12" t="s">
        <v>255</v>
      </c>
      <c r="L208" s="12" t="s">
        <v>1321</v>
      </c>
      <c r="M208" s="14" t="s">
        <v>1384</v>
      </c>
      <c r="N208" s="14" t="s">
        <v>1385</v>
      </c>
      <c r="O208" s="17" t="s">
        <v>1386</v>
      </c>
    </row>
    <row r="209" spans="1:15" x14ac:dyDescent="0.15">
      <c r="A209" s="21" t="s">
        <v>1387</v>
      </c>
      <c r="B209" s="19"/>
      <c r="C209" s="11"/>
      <c r="D209" s="17" t="s">
        <v>432</v>
      </c>
      <c r="E209" s="10" t="s">
        <v>163</v>
      </c>
      <c r="F209" s="11" t="s">
        <v>1388</v>
      </c>
      <c r="G209" s="12">
        <v>267.02800000000002</v>
      </c>
      <c r="H209" s="13">
        <v>42137</v>
      </c>
      <c r="I209" s="12" t="s">
        <v>215</v>
      </c>
      <c r="J209" s="12" t="s">
        <v>1389</v>
      </c>
      <c r="K209" s="12" t="s">
        <v>175</v>
      </c>
      <c r="L209" s="12" t="s">
        <v>1334</v>
      </c>
      <c r="M209" s="14" t="s">
        <v>1390</v>
      </c>
      <c r="N209" s="14" t="s">
        <v>1391</v>
      </c>
      <c r="O209" s="17" t="s">
        <v>1392</v>
      </c>
    </row>
    <row r="210" spans="1:15" x14ac:dyDescent="0.15">
      <c r="A210" s="20" t="s">
        <v>1393</v>
      </c>
      <c r="B210" s="22" t="s">
        <v>912</v>
      </c>
      <c r="C210" s="11"/>
      <c r="D210" s="17" t="s">
        <v>1394</v>
      </c>
      <c r="E210" s="10" t="s">
        <v>163</v>
      </c>
      <c r="F210" s="11" t="s">
        <v>1395</v>
      </c>
      <c r="G210" s="12">
        <f>10.088*L210</f>
        <v>121.05599999999998</v>
      </c>
      <c r="H210" s="13">
        <v>42137</v>
      </c>
      <c r="I210" s="12" t="s">
        <v>648</v>
      </c>
      <c r="J210" s="12" t="s">
        <v>7776</v>
      </c>
      <c r="K210" s="12" t="s">
        <v>227</v>
      </c>
      <c r="L210" s="12">
        <v>12</v>
      </c>
      <c r="M210" s="14" t="s">
        <v>1396</v>
      </c>
      <c r="N210" s="14" t="s">
        <v>597</v>
      </c>
      <c r="O210" s="17" t="s">
        <v>7673</v>
      </c>
    </row>
    <row r="211" spans="1:15" x14ac:dyDescent="0.15">
      <c r="A211" s="20" t="s">
        <v>1397</v>
      </c>
      <c r="B211" s="19"/>
      <c r="C211" s="11"/>
      <c r="D211" s="17" t="s">
        <v>1230</v>
      </c>
      <c r="E211" s="10" t="s">
        <v>163</v>
      </c>
      <c r="F211" s="11" t="s">
        <v>1398</v>
      </c>
      <c r="G211" s="12">
        <f>29.101*L211</f>
        <v>29.100999999999999</v>
      </c>
      <c r="H211" s="13">
        <v>42137</v>
      </c>
      <c r="I211" s="18" t="s">
        <v>737</v>
      </c>
      <c r="J211" s="12" t="s">
        <v>1399</v>
      </c>
      <c r="K211" s="12" t="s">
        <v>184</v>
      </c>
      <c r="L211" s="12">
        <v>1</v>
      </c>
      <c r="M211" s="14" t="s">
        <v>1400</v>
      </c>
      <c r="N211" s="14" t="s">
        <v>386</v>
      </c>
      <c r="O211" s="17" t="s">
        <v>1401</v>
      </c>
    </row>
    <row r="212" spans="1:15" x14ac:dyDescent="0.15">
      <c r="A212" s="20" t="s">
        <v>1402</v>
      </c>
      <c r="B212" s="19"/>
      <c r="C212" s="11"/>
      <c r="D212" s="17" t="s">
        <v>1403</v>
      </c>
      <c r="E212" s="10" t="s">
        <v>163</v>
      </c>
      <c r="F212" s="11" t="s">
        <v>1404</v>
      </c>
      <c r="G212" s="12">
        <f>17.712*L212</f>
        <v>17.712</v>
      </c>
      <c r="H212" s="13">
        <v>42137</v>
      </c>
      <c r="I212" s="12" t="s">
        <v>635</v>
      </c>
      <c r="J212" s="12" t="s">
        <v>1405</v>
      </c>
      <c r="K212" s="12" t="s">
        <v>184</v>
      </c>
      <c r="L212" s="12">
        <v>1</v>
      </c>
      <c r="M212" s="14" t="s">
        <v>1190</v>
      </c>
      <c r="N212" s="14" t="s">
        <v>1406</v>
      </c>
      <c r="O212" s="17" t="s">
        <v>1407</v>
      </c>
    </row>
    <row r="213" spans="1:15" x14ac:dyDescent="0.15">
      <c r="A213" s="20" t="s">
        <v>1243</v>
      </c>
      <c r="B213" s="19"/>
      <c r="C213" s="11"/>
      <c r="D213" s="17" t="s">
        <v>334</v>
      </c>
      <c r="E213" s="10" t="s">
        <v>163</v>
      </c>
      <c r="F213" s="11" t="s">
        <v>1408</v>
      </c>
      <c r="G213" s="12">
        <f t="shared" ref="G213:G219" si="1">18.708*L213</f>
        <v>18.707999999999998</v>
      </c>
      <c r="H213" s="13">
        <v>42137</v>
      </c>
      <c r="I213" s="12" t="s">
        <v>1098</v>
      </c>
      <c r="J213" s="12" t="s">
        <v>1409</v>
      </c>
      <c r="K213" s="12" t="s">
        <v>132</v>
      </c>
      <c r="L213" s="12">
        <v>1</v>
      </c>
      <c r="M213" s="14" t="s">
        <v>1410</v>
      </c>
      <c r="N213" s="14" t="s">
        <v>1411</v>
      </c>
      <c r="O213" s="17" t="s">
        <v>1412</v>
      </c>
    </row>
    <row r="214" spans="1:15" x14ac:dyDescent="0.15">
      <c r="A214" s="20" t="s">
        <v>1243</v>
      </c>
      <c r="B214" s="19"/>
      <c r="C214" s="11"/>
      <c r="D214" s="17" t="s">
        <v>334</v>
      </c>
      <c r="E214" s="10" t="s">
        <v>163</v>
      </c>
      <c r="F214" s="11" t="s">
        <v>1413</v>
      </c>
      <c r="G214" s="12">
        <f t="shared" si="1"/>
        <v>18.707999999999998</v>
      </c>
      <c r="H214" s="13">
        <v>42137</v>
      </c>
      <c r="I214" s="12" t="s">
        <v>1098</v>
      </c>
      <c r="J214" s="12" t="s">
        <v>1414</v>
      </c>
      <c r="K214" s="12" t="s">
        <v>132</v>
      </c>
      <c r="L214" s="12">
        <v>1</v>
      </c>
      <c r="M214" s="14" t="s">
        <v>1410</v>
      </c>
      <c r="N214" s="14" t="s">
        <v>1415</v>
      </c>
      <c r="O214" s="17" t="s">
        <v>1416</v>
      </c>
    </row>
    <row r="215" spans="1:15" x14ac:dyDescent="0.15">
      <c r="A215" s="20" t="s">
        <v>1243</v>
      </c>
      <c r="B215" s="19"/>
      <c r="C215" s="11"/>
      <c r="D215" s="17" t="s">
        <v>334</v>
      </c>
      <c r="E215" s="10" t="s">
        <v>163</v>
      </c>
      <c r="F215" s="11" t="s">
        <v>1417</v>
      </c>
      <c r="G215" s="12">
        <f t="shared" si="1"/>
        <v>18.707999999999998</v>
      </c>
      <c r="H215" s="13">
        <v>42137</v>
      </c>
      <c r="I215" s="12" t="s">
        <v>1098</v>
      </c>
      <c r="J215" s="12" t="s">
        <v>1418</v>
      </c>
      <c r="K215" s="12" t="s">
        <v>132</v>
      </c>
      <c r="L215" s="12">
        <v>1</v>
      </c>
      <c r="M215" s="14" t="s">
        <v>1410</v>
      </c>
      <c r="N215" s="14" t="s">
        <v>1419</v>
      </c>
      <c r="O215" s="17" t="s">
        <v>1420</v>
      </c>
    </row>
    <row r="216" spans="1:15" x14ac:dyDescent="0.15">
      <c r="A216" s="20" t="s">
        <v>1243</v>
      </c>
      <c r="B216" s="19"/>
      <c r="C216" s="11"/>
      <c r="D216" s="17" t="s">
        <v>334</v>
      </c>
      <c r="E216" s="10" t="s">
        <v>163</v>
      </c>
      <c r="F216" s="11" t="s">
        <v>1421</v>
      </c>
      <c r="G216" s="12">
        <f t="shared" si="1"/>
        <v>18.707999999999998</v>
      </c>
      <c r="H216" s="13">
        <v>42137</v>
      </c>
      <c r="I216" s="12" t="s">
        <v>1098</v>
      </c>
      <c r="J216" s="12" t="s">
        <v>1422</v>
      </c>
      <c r="K216" s="12" t="s">
        <v>132</v>
      </c>
      <c r="L216" s="12">
        <v>1</v>
      </c>
      <c r="M216" s="14" t="s">
        <v>1410</v>
      </c>
      <c r="N216" s="14" t="s">
        <v>1423</v>
      </c>
      <c r="O216" s="17" t="s">
        <v>1424</v>
      </c>
    </row>
    <row r="217" spans="1:15" x14ac:dyDescent="0.15">
      <c r="A217" s="20" t="s">
        <v>1243</v>
      </c>
      <c r="B217" s="19"/>
      <c r="C217" s="11"/>
      <c r="D217" s="17" t="s">
        <v>334</v>
      </c>
      <c r="E217" s="10" t="s">
        <v>163</v>
      </c>
      <c r="F217" s="11" t="s">
        <v>1425</v>
      </c>
      <c r="G217" s="12">
        <f t="shared" si="1"/>
        <v>18.707999999999998</v>
      </c>
      <c r="H217" s="13">
        <v>42137</v>
      </c>
      <c r="I217" s="12" t="s">
        <v>1098</v>
      </c>
      <c r="J217" s="12" t="s">
        <v>1426</v>
      </c>
      <c r="K217" s="12" t="s">
        <v>132</v>
      </c>
      <c r="L217" s="12">
        <v>1</v>
      </c>
      <c r="M217" s="14" t="s">
        <v>1410</v>
      </c>
      <c r="N217" s="14" t="s">
        <v>1427</v>
      </c>
      <c r="O217" s="17" t="s">
        <v>1428</v>
      </c>
    </row>
    <row r="218" spans="1:15" x14ac:dyDescent="0.15">
      <c r="A218" s="20" t="s">
        <v>1243</v>
      </c>
      <c r="B218" s="19"/>
      <c r="C218" s="11"/>
      <c r="D218" s="17" t="s">
        <v>334</v>
      </c>
      <c r="E218" s="10" t="s">
        <v>163</v>
      </c>
      <c r="F218" s="11" t="s">
        <v>1429</v>
      </c>
      <c r="G218" s="12">
        <f t="shared" si="1"/>
        <v>18.707999999999998</v>
      </c>
      <c r="H218" s="13">
        <v>42137</v>
      </c>
      <c r="I218" s="12" t="s">
        <v>1098</v>
      </c>
      <c r="J218" s="12" t="s">
        <v>1430</v>
      </c>
      <c r="K218" s="12" t="s">
        <v>132</v>
      </c>
      <c r="L218" s="12">
        <v>1</v>
      </c>
      <c r="M218" s="14" t="s">
        <v>1410</v>
      </c>
      <c r="N218" s="14" t="s">
        <v>1431</v>
      </c>
      <c r="O218" s="17" t="s">
        <v>1432</v>
      </c>
    </row>
    <row r="219" spans="1:15" x14ac:dyDescent="0.15">
      <c r="A219" s="20" t="s">
        <v>1243</v>
      </c>
      <c r="B219" s="19"/>
      <c r="C219" s="11"/>
      <c r="D219" s="17" t="s">
        <v>334</v>
      </c>
      <c r="E219" s="10" t="s">
        <v>163</v>
      </c>
      <c r="F219" s="11" t="s">
        <v>1433</v>
      </c>
      <c r="G219" s="12">
        <f t="shared" si="1"/>
        <v>18.707999999999998</v>
      </c>
      <c r="H219" s="13">
        <v>42137</v>
      </c>
      <c r="I219" s="12" t="s">
        <v>1098</v>
      </c>
      <c r="J219" s="12" t="s">
        <v>1434</v>
      </c>
      <c r="K219" s="12" t="s">
        <v>132</v>
      </c>
      <c r="L219" s="12">
        <v>1</v>
      </c>
      <c r="M219" s="14" t="s">
        <v>1410</v>
      </c>
      <c r="N219" s="14" t="s">
        <v>1435</v>
      </c>
      <c r="O219" s="17" t="s">
        <v>1436</v>
      </c>
    </row>
    <row r="220" spans="1:15" x14ac:dyDescent="0.15">
      <c r="A220" s="21" t="s">
        <v>1325</v>
      </c>
      <c r="B220" s="19"/>
      <c r="C220" s="11"/>
      <c r="D220" s="17" t="s">
        <v>453</v>
      </c>
      <c r="E220" s="10" t="s">
        <v>163</v>
      </c>
      <c r="F220" s="11" t="s">
        <v>1437</v>
      </c>
      <c r="G220" s="12">
        <v>116.08199999999999</v>
      </c>
      <c r="H220" s="13">
        <v>42138</v>
      </c>
      <c r="I220" s="18" t="s">
        <v>737</v>
      </c>
      <c r="J220" s="12" t="s">
        <v>1438</v>
      </c>
      <c r="K220" s="12" t="s">
        <v>328</v>
      </c>
      <c r="L220" s="12" t="s">
        <v>1439</v>
      </c>
      <c r="M220" s="14" t="s">
        <v>1440</v>
      </c>
      <c r="N220" s="14" t="s">
        <v>1441</v>
      </c>
      <c r="O220" s="17" t="s">
        <v>1442</v>
      </c>
    </row>
    <row r="221" spans="1:15" x14ac:dyDescent="0.15">
      <c r="A221" s="21" t="s">
        <v>1325</v>
      </c>
      <c r="B221" s="19"/>
      <c r="C221" s="11"/>
      <c r="D221" s="17" t="s">
        <v>453</v>
      </c>
      <c r="E221" s="10" t="s">
        <v>163</v>
      </c>
      <c r="F221" s="11" t="s">
        <v>1443</v>
      </c>
      <c r="G221" s="12">
        <v>383.31900000000002</v>
      </c>
      <c r="H221" s="13">
        <v>42138</v>
      </c>
      <c r="I221" s="18" t="s">
        <v>737</v>
      </c>
      <c r="J221" s="12" t="s">
        <v>1444</v>
      </c>
      <c r="K221" s="12" t="s">
        <v>328</v>
      </c>
      <c r="L221" s="12" t="s">
        <v>1445</v>
      </c>
      <c r="M221" s="14" t="s">
        <v>1446</v>
      </c>
      <c r="N221" s="14" t="s">
        <v>1447</v>
      </c>
      <c r="O221" s="17" t="s">
        <v>1448</v>
      </c>
    </row>
    <row r="222" spans="1:15" x14ac:dyDescent="0.15">
      <c r="A222" s="21" t="s">
        <v>1325</v>
      </c>
      <c r="B222" s="19"/>
      <c r="C222" s="11"/>
      <c r="D222" s="17" t="s">
        <v>453</v>
      </c>
      <c r="E222" s="10" t="s">
        <v>163</v>
      </c>
      <c r="F222" s="11" t="s">
        <v>1449</v>
      </c>
      <c r="G222" s="12">
        <v>383.20800000000003</v>
      </c>
      <c r="H222" s="13">
        <v>42138</v>
      </c>
      <c r="I222" s="18" t="s">
        <v>737</v>
      </c>
      <c r="J222" s="12" t="s">
        <v>1450</v>
      </c>
      <c r="K222" s="12" t="s">
        <v>328</v>
      </c>
      <c r="L222" s="12" t="s">
        <v>1445</v>
      </c>
      <c r="M222" s="14" t="s">
        <v>1451</v>
      </c>
      <c r="N222" s="14" t="s">
        <v>1452</v>
      </c>
      <c r="O222" s="17" t="s">
        <v>1453</v>
      </c>
    </row>
    <row r="223" spans="1:15" x14ac:dyDescent="0.15">
      <c r="A223" s="21" t="s">
        <v>1144</v>
      </c>
      <c r="B223" s="19"/>
      <c r="C223" s="11"/>
      <c r="D223" s="17" t="s">
        <v>1135</v>
      </c>
      <c r="E223" s="10" t="s">
        <v>163</v>
      </c>
      <c r="F223" s="11" t="s">
        <v>1454</v>
      </c>
      <c r="G223" s="18">
        <f>25.399*L223</f>
        <v>279.38900000000001</v>
      </c>
      <c r="H223" s="13">
        <v>42138</v>
      </c>
      <c r="I223" s="12" t="s">
        <v>635</v>
      </c>
      <c r="J223" s="12" t="s">
        <v>1455</v>
      </c>
      <c r="K223" s="12" t="s">
        <v>184</v>
      </c>
      <c r="L223" s="12">
        <v>11</v>
      </c>
      <c r="M223" s="14" t="s">
        <v>1456</v>
      </c>
      <c r="N223" s="14" t="s">
        <v>1457</v>
      </c>
      <c r="O223" s="17" t="s">
        <v>1458</v>
      </c>
    </row>
    <row r="224" spans="1:15" x14ac:dyDescent="0.15">
      <c r="A224" s="21" t="s">
        <v>1144</v>
      </c>
      <c r="B224" s="19"/>
      <c r="C224" s="11"/>
      <c r="D224" s="17" t="s">
        <v>1135</v>
      </c>
      <c r="E224" s="10" t="s">
        <v>163</v>
      </c>
      <c r="F224" s="11" t="s">
        <v>1459</v>
      </c>
      <c r="G224" s="18">
        <f>25.399*L224</f>
        <v>304.78800000000001</v>
      </c>
      <c r="H224" s="13">
        <v>42138</v>
      </c>
      <c r="I224" s="12" t="s">
        <v>635</v>
      </c>
      <c r="J224" s="12" t="s">
        <v>1460</v>
      </c>
      <c r="K224" s="12" t="s">
        <v>184</v>
      </c>
      <c r="L224" s="12">
        <v>12</v>
      </c>
      <c r="M224" s="14" t="s">
        <v>1456</v>
      </c>
      <c r="N224" s="14" t="s">
        <v>597</v>
      </c>
      <c r="O224" s="17" t="s">
        <v>1461</v>
      </c>
    </row>
    <row r="225" spans="1:15" x14ac:dyDescent="0.15">
      <c r="A225" s="21" t="s">
        <v>1462</v>
      </c>
      <c r="B225" s="19"/>
      <c r="C225" s="11"/>
      <c r="D225" s="17" t="s">
        <v>1463</v>
      </c>
      <c r="E225" s="10" t="s">
        <v>163</v>
      </c>
      <c r="F225" s="11" t="s">
        <v>1464</v>
      </c>
      <c r="G225" s="12">
        <f>14.38*L225</f>
        <v>100.66000000000001</v>
      </c>
      <c r="H225" s="13">
        <v>42138</v>
      </c>
      <c r="I225" s="12" t="s">
        <v>233</v>
      </c>
      <c r="J225" s="12" t="s">
        <v>1465</v>
      </c>
      <c r="K225" s="12" t="s">
        <v>227</v>
      </c>
      <c r="L225" s="12">
        <v>7</v>
      </c>
      <c r="M225" s="14" t="s">
        <v>1466</v>
      </c>
      <c r="N225" s="14" t="s">
        <v>1467</v>
      </c>
      <c r="O225" s="17" t="s">
        <v>1468</v>
      </c>
    </row>
    <row r="226" spans="1:15" x14ac:dyDescent="0.15">
      <c r="A226" s="21" t="s">
        <v>1243</v>
      </c>
      <c r="B226" s="19"/>
      <c r="C226" s="11"/>
      <c r="D226" s="17" t="s">
        <v>334</v>
      </c>
      <c r="E226" s="10" t="s">
        <v>163</v>
      </c>
      <c r="F226" s="11" t="s">
        <v>1469</v>
      </c>
      <c r="G226" s="12">
        <f>18.708*L226</f>
        <v>243.20399999999998</v>
      </c>
      <c r="H226" s="13">
        <v>42139</v>
      </c>
      <c r="I226" s="12" t="s">
        <v>1098</v>
      </c>
      <c r="J226" s="12" t="s">
        <v>1470</v>
      </c>
      <c r="K226" s="12" t="s">
        <v>132</v>
      </c>
      <c r="L226" s="12">
        <v>13</v>
      </c>
      <c r="M226" s="14" t="s">
        <v>1471</v>
      </c>
      <c r="N226" s="14" t="s">
        <v>1472</v>
      </c>
      <c r="O226" s="17" t="s">
        <v>1473</v>
      </c>
    </row>
    <row r="227" spans="1:15" x14ac:dyDescent="0.15">
      <c r="A227" s="21" t="s">
        <v>1474</v>
      </c>
      <c r="B227" s="19"/>
      <c r="C227" s="11"/>
      <c r="D227" s="17" t="s">
        <v>1475</v>
      </c>
      <c r="E227" s="10" t="s">
        <v>163</v>
      </c>
      <c r="F227" s="11" t="s">
        <v>1476</v>
      </c>
      <c r="G227" s="12">
        <v>99.161000000000001</v>
      </c>
      <c r="H227" s="13">
        <v>42143</v>
      </c>
      <c r="I227" s="12" t="s">
        <v>215</v>
      </c>
      <c r="J227" s="12" t="s">
        <v>1477</v>
      </c>
      <c r="K227" s="12" t="s">
        <v>175</v>
      </c>
      <c r="L227" s="12" t="s">
        <v>1478</v>
      </c>
      <c r="M227" s="14" t="s">
        <v>1479</v>
      </c>
      <c r="N227" s="14" t="s">
        <v>1480</v>
      </c>
      <c r="O227" s="17" t="s">
        <v>1481</v>
      </c>
    </row>
    <row r="228" spans="1:15" x14ac:dyDescent="0.15">
      <c r="A228" s="21" t="s">
        <v>1474</v>
      </c>
      <c r="B228" s="19"/>
      <c r="C228" s="11"/>
      <c r="D228" s="17" t="s">
        <v>1475</v>
      </c>
      <c r="E228" s="10" t="s">
        <v>163</v>
      </c>
      <c r="F228" s="11" t="s">
        <v>1482</v>
      </c>
      <c r="G228" s="12">
        <v>99.198999999999998</v>
      </c>
      <c r="H228" s="13">
        <v>42143</v>
      </c>
      <c r="I228" s="12" t="s">
        <v>215</v>
      </c>
      <c r="J228" s="12" t="s">
        <v>1483</v>
      </c>
      <c r="K228" s="12" t="s">
        <v>175</v>
      </c>
      <c r="L228" s="12" t="s">
        <v>1478</v>
      </c>
      <c r="M228" s="14" t="s">
        <v>1484</v>
      </c>
      <c r="N228" s="14" t="s">
        <v>1485</v>
      </c>
      <c r="O228" s="17" t="s">
        <v>1486</v>
      </c>
    </row>
    <row r="229" spans="1:15" x14ac:dyDescent="0.15">
      <c r="A229" s="21" t="s">
        <v>1474</v>
      </c>
      <c r="B229" s="19"/>
      <c r="C229" s="11"/>
      <c r="D229" s="17" t="s">
        <v>1475</v>
      </c>
      <c r="E229" s="10" t="s">
        <v>163</v>
      </c>
      <c r="F229" s="11" t="s">
        <v>1487</v>
      </c>
      <c r="G229" s="12">
        <v>99.12</v>
      </c>
      <c r="H229" s="13">
        <v>42143</v>
      </c>
      <c r="I229" s="12" t="s">
        <v>215</v>
      </c>
      <c r="J229" s="12" t="s">
        <v>1488</v>
      </c>
      <c r="K229" s="12" t="s">
        <v>175</v>
      </c>
      <c r="L229" s="12" t="s">
        <v>1478</v>
      </c>
      <c r="M229" s="14" t="s">
        <v>1489</v>
      </c>
      <c r="N229" s="14" t="s">
        <v>1490</v>
      </c>
      <c r="O229" s="17" t="s">
        <v>1491</v>
      </c>
    </row>
    <row r="230" spans="1:15" x14ac:dyDescent="0.15">
      <c r="A230" s="21" t="s">
        <v>1007</v>
      </c>
      <c r="B230" s="19"/>
      <c r="C230" s="11"/>
      <c r="D230" s="17" t="s">
        <v>833</v>
      </c>
      <c r="E230" s="10" t="s">
        <v>163</v>
      </c>
      <c r="F230" s="11" t="s">
        <v>1492</v>
      </c>
      <c r="G230" s="12">
        <v>309.47000000000003</v>
      </c>
      <c r="H230" s="13">
        <v>42143</v>
      </c>
      <c r="I230" s="12" t="s">
        <v>683</v>
      </c>
      <c r="J230" s="12" t="s">
        <v>1493</v>
      </c>
      <c r="K230" s="12" t="s">
        <v>255</v>
      </c>
      <c r="L230" s="12" t="s">
        <v>1494</v>
      </c>
      <c r="M230" s="14" t="s">
        <v>1495</v>
      </c>
      <c r="N230" s="14" t="s">
        <v>1496</v>
      </c>
      <c r="O230" s="17" t="s">
        <v>1497</v>
      </c>
    </row>
    <row r="231" spans="1:15" x14ac:dyDescent="0.15">
      <c r="A231" s="21" t="s">
        <v>1007</v>
      </c>
      <c r="B231" s="19"/>
      <c r="C231" s="11"/>
      <c r="D231" s="17" t="s">
        <v>833</v>
      </c>
      <c r="E231" s="10" t="s">
        <v>163</v>
      </c>
      <c r="F231" s="11" t="s">
        <v>1498</v>
      </c>
      <c r="G231" s="12">
        <v>201.59800000000001</v>
      </c>
      <c r="H231" s="13">
        <v>42143</v>
      </c>
      <c r="I231" s="12" t="s">
        <v>683</v>
      </c>
      <c r="J231" s="12" t="s">
        <v>1499</v>
      </c>
      <c r="K231" s="12" t="s">
        <v>255</v>
      </c>
      <c r="L231" s="12" t="s">
        <v>620</v>
      </c>
      <c r="M231" s="14" t="s">
        <v>1500</v>
      </c>
      <c r="N231" s="14" t="s">
        <v>1501</v>
      </c>
      <c r="O231" s="17" t="s">
        <v>1502</v>
      </c>
    </row>
    <row r="232" spans="1:15" x14ac:dyDescent="0.15">
      <c r="A232" s="21" t="s">
        <v>1503</v>
      </c>
      <c r="B232" s="19"/>
      <c r="C232" s="11"/>
      <c r="D232" s="17" t="s">
        <v>460</v>
      </c>
      <c r="E232" s="10" t="s">
        <v>163</v>
      </c>
      <c r="F232" s="11" t="s">
        <v>1504</v>
      </c>
      <c r="G232" s="12">
        <v>69.739000000000004</v>
      </c>
      <c r="H232" s="13">
        <v>42143</v>
      </c>
      <c r="I232" s="12" t="s">
        <v>215</v>
      </c>
      <c r="J232" s="12" t="s">
        <v>1505</v>
      </c>
      <c r="K232" s="12" t="s">
        <v>255</v>
      </c>
      <c r="L232" s="12" t="s">
        <v>1506</v>
      </c>
      <c r="M232" s="14" t="s">
        <v>1507</v>
      </c>
      <c r="N232" s="14" t="s">
        <v>1508</v>
      </c>
      <c r="O232" s="17" t="s">
        <v>1509</v>
      </c>
    </row>
    <row r="233" spans="1:15" x14ac:dyDescent="0.15">
      <c r="A233" s="21" t="s">
        <v>1510</v>
      </c>
      <c r="B233" s="19"/>
      <c r="C233" s="11"/>
      <c r="D233" s="17" t="s">
        <v>1511</v>
      </c>
      <c r="E233" s="10" t="s">
        <v>163</v>
      </c>
      <c r="F233" s="11" t="s">
        <v>1512</v>
      </c>
      <c r="G233" s="12">
        <v>30.706</v>
      </c>
      <c r="H233" s="13">
        <v>42143</v>
      </c>
      <c r="I233" s="12" t="s">
        <v>215</v>
      </c>
      <c r="J233" s="12" t="s">
        <v>1513</v>
      </c>
      <c r="K233" s="12" t="s">
        <v>255</v>
      </c>
      <c r="L233" s="12" t="s">
        <v>176</v>
      </c>
      <c r="M233" s="14" t="s">
        <v>1514</v>
      </c>
      <c r="N233" s="14" t="s">
        <v>1515</v>
      </c>
      <c r="O233" s="17" t="s">
        <v>1516</v>
      </c>
    </row>
    <row r="234" spans="1:15" x14ac:dyDescent="0.15">
      <c r="A234" s="21" t="s">
        <v>1517</v>
      </c>
      <c r="B234" s="19"/>
      <c r="C234" s="11"/>
      <c r="D234" s="17" t="s">
        <v>367</v>
      </c>
      <c r="E234" s="10" t="s">
        <v>163</v>
      </c>
      <c r="F234" s="11" t="s">
        <v>1518</v>
      </c>
      <c r="G234" s="12">
        <v>319.858</v>
      </c>
      <c r="H234" s="13">
        <v>42143</v>
      </c>
      <c r="I234" s="12" t="s">
        <v>215</v>
      </c>
      <c r="J234" s="12" t="s">
        <v>1519</v>
      </c>
      <c r="K234" s="12" t="s">
        <v>255</v>
      </c>
      <c r="L234" s="12" t="s">
        <v>1520</v>
      </c>
      <c r="M234" s="14" t="s">
        <v>1521</v>
      </c>
      <c r="N234" s="14" t="s">
        <v>1522</v>
      </c>
      <c r="O234" s="17" t="s">
        <v>1523</v>
      </c>
    </row>
    <row r="235" spans="1:15" x14ac:dyDescent="0.15">
      <c r="A235" s="21" t="s">
        <v>1524</v>
      </c>
      <c r="B235" s="19"/>
      <c r="C235" s="11"/>
      <c r="D235" s="17" t="s">
        <v>1525</v>
      </c>
      <c r="E235" s="10" t="s">
        <v>163</v>
      </c>
      <c r="F235" s="11" t="s">
        <v>1526</v>
      </c>
      <c r="G235" s="18">
        <f>17.498*L235</f>
        <v>227.47400000000002</v>
      </c>
      <c r="H235" s="13">
        <v>42143</v>
      </c>
      <c r="I235" s="12" t="s">
        <v>635</v>
      </c>
      <c r="J235" s="12" t="s">
        <v>1527</v>
      </c>
      <c r="K235" s="12" t="s">
        <v>227</v>
      </c>
      <c r="L235" s="12">
        <v>13</v>
      </c>
      <c r="M235" s="14" t="s">
        <v>1528</v>
      </c>
      <c r="N235" s="14" t="s">
        <v>101</v>
      </c>
      <c r="O235" s="17" t="s">
        <v>1529</v>
      </c>
    </row>
    <row r="236" spans="1:15" x14ac:dyDescent="0.15">
      <c r="A236" s="21" t="s">
        <v>1173</v>
      </c>
      <c r="B236" s="22" t="s">
        <v>912</v>
      </c>
      <c r="C236" s="11"/>
      <c r="D236" s="17" t="s">
        <v>1174</v>
      </c>
      <c r="E236" s="10" t="s">
        <v>163</v>
      </c>
      <c r="F236" s="11" t="s">
        <v>1530</v>
      </c>
      <c r="G236" s="12">
        <f>9.871*L236</f>
        <v>19.742000000000001</v>
      </c>
      <c r="H236" s="13">
        <v>42143</v>
      </c>
      <c r="I236" s="12" t="s">
        <v>648</v>
      </c>
      <c r="J236" s="12" t="s">
        <v>1531</v>
      </c>
      <c r="K236" s="18" t="s">
        <v>227</v>
      </c>
      <c r="L236" s="12">
        <v>2</v>
      </c>
      <c r="M236" s="14" t="s">
        <v>1532</v>
      </c>
      <c r="N236" s="14" t="s">
        <v>393</v>
      </c>
      <c r="O236" s="17" t="s">
        <v>1533</v>
      </c>
    </row>
    <row r="237" spans="1:15" x14ac:dyDescent="0.15">
      <c r="A237" s="20" t="s">
        <v>1534</v>
      </c>
      <c r="B237" s="19"/>
      <c r="C237" s="11"/>
      <c r="D237" s="17" t="s">
        <v>1535</v>
      </c>
      <c r="E237" s="10" t="s">
        <v>163</v>
      </c>
      <c r="F237" s="11" t="s">
        <v>1536</v>
      </c>
      <c r="G237" s="25">
        <f>15.873*L237</f>
        <v>15.872999999999999</v>
      </c>
      <c r="H237" s="13">
        <v>42146</v>
      </c>
      <c r="I237" s="12" t="s">
        <v>1537</v>
      </c>
      <c r="J237" s="12" t="s">
        <v>1538</v>
      </c>
      <c r="K237" s="12" t="s">
        <v>227</v>
      </c>
      <c r="L237" s="12">
        <v>1</v>
      </c>
      <c r="M237" s="14" t="s">
        <v>1539</v>
      </c>
      <c r="N237" s="14" t="s">
        <v>1423</v>
      </c>
      <c r="O237" s="17" t="s">
        <v>1540</v>
      </c>
    </row>
    <row r="238" spans="1:15" x14ac:dyDescent="0.15">
      <c r="A238" s="21" t="s">
        <v>1025</v>
      </c>
      <c r="B238" s="19"/>
      <c r="C238" s="11"/>
      <c r="D238" s="17" t="s">
        <v>453</v>
      </c>
      <c r="E238" s="10" t="s">
        <v>163</v>
      </c>
      <c r="F238" s="11" t="s">
        <v>1541</v>
      </c>
      <c r="G238" s="25">
        <v>267.18599999999998</v>
      </c>
      <c r="H238" s="13">
        <v>42146</v>
      </c>
      <c r="I238" s="12" t="s">
        <v>215</v>
      </c>
      <c r="J238" s="12" t="s">
        <v>1542</v>
      </c>
      <c r="K238" s="12" t="s">
        <v>175</v>
      </c>
      <c r="L238" s="12" t="s">
        <v>1334</v>
      </c>
      <c r="M238" s="14" t="s">
        <v>1543</v>
      </c>
      <c r="N238" s="14" t="s">
        <v>1544</v>
      </c>
      <c r="O238" s="17" t="s">
        <v>1545</v>
      </c>
    </row>
    <row r="239" spans="1:15" x14ac:dyDescent="0.15">
      <c r="A239" s="21" t="s">
        <v>1546</v>
      </c>
      <c r="B239" s="19"/>
      <c r="C239" s="11"/>
      <c r="D239" s="17" t="s">
        <v>1547</v>
      </c>
      <c r="E239" s="10" t="s">
        <v>163</v>
      </c>
      <c r="F239" s="11" t="s">
        <v>1548</v>
      </c>
      <c r="G239" s="26">
        <v>136.667</v>
      </c>
      <c r="H239" s="13">
        <v>42146</v>
      </c>
      <c r="I239" s="12" t="s">
        <v>215</v>
      </c>
      <c r="J239" s="12" t="s">
        <v>1549</v>
      </c>
      <c r="K239" s="12" t="s">
        <v>39</v>
      </c>
      <c r="L239" s="12" t="s">
        <v>166</v>
      </c>
      <c r="M239" s="14" t="s">
        <v>1550</v>
      </c>
      <c r="N239" s="14" t="s">
        <v>1551</v>
      </c>
      <c r="O239" s="17" t="s">
        <v>1552</v>
      </c>
    </row>
    <row r="240" spans="1:15" x14ac:dyDescent="0.15">
      <c r="A240" s="21" t="s">
        <v>1553</v>
      </c>
      <c r="B240" s="19"/>
      <c r="C240" s="11"/>
      <c r="D240" s="17" t="s">
        <v>16</v>
      </c>
      <c r="E240" s="10" t="s">
        <v>163</v>
      </c>
      <c r="F240" s="11" t="s">
        <v>1554</v>
      </c>
      <c r="G240" s="12">
        <f>17.498*L240</f>
        <v>34.996000000000002</v>
      </c>
      <c r="H240" s="13">
        <v>42149</v>
      </c>
      <c r="I240" s="12" t="s">
        <v>233</v>
      </c>
      <c r="J240" s="12" t="s">
        <v>1555</v>
      </c>
      <c r="K240" s="12" t="s">
        <v>21</v>
      </c>
      <c r="L240" s="12">
        <v>2</v>
      </c>
      <c r="M240" s="14" t="s">
        <v>1556</v>
      </c>
      <c r="N240" s="14" t="s">
        <v>1557</v>
      </c>
      <c r="O240" s="17" t="s">
        <v>1558</v>
      </c>
    </row>
    <row r="241" spans="1:15" x14ac:dyDescent="0.15">
      <c r="A241" s="21" t="s">
        <v>1387</v>
      </c>
      <c r="B241" s="19"/>
      <c r="C241" s="11"/>
      <c r="D241" s="17" t="s">
        <v>432</v>
      </c>
      <c r="E241" s="10" t="s">
        <v>163</v>
      </c>
      <c r="F241" s="11" t="s">
        <v>1559</v>
      </c>
      <c r="G241" s="12">
        <v>185.821</v>
      </c>
      <c r="H241" s="13">
        <v>42149</v>
      </c>
      <c r="I241" s="12" t="s">
        <v>215</v>
      </c>
      <c r="J241" s="12" t="s">
        <v>1560</v>
      </c>
      <c r="K241" s="12" t="s">
        <v>175</v>
      </c>
      <c r="L241" s="12" t="s">
        <v>1028</v>
      </c>
      <c r="M241" s="14" t="s">
        <v>1561</v>
      </c>
      <c r="N241" s="14" t="s">
        <v>1562</v>
      </c>
      <c r="O241" s="17" t="s">
        <v>1563</v>
      </c>
    </row>
    <row r="242" spans="1:15" x14ac:dyDescent="0.15">
      <c r="A242" s="21" t="s">
        <v>1025</v>
      </c>
      <c r="B242" s="19"/>
      <c r="C242" s="11"/>
      <c r="D242" s="17" t="s">
        <v>453</v>
      </c>
      <c r="E242" s="10" t="s">
        <v>163</v>
      </c>
      <c r="F242" s="11" t="s">
        <v>1564</v>
      </c>
      <c r="G242" s="12">
        <v>383.23</v>
      </c>
      <c r="H242" s="13">
        <v>42149</v>
      </c>
      <c r="I242" s="12" t="s">
        <v>215</v>
      </c>
      <c r="J242" s="12" t="s">
        <v>1565</v>
      </c>
      <c r="K242" s="12" t="s">
        <v>175</v>
      </c>
      <c r="L242" s="12" t="s">
        <v>1445</v>
      </c>
      <c r="M242" s="14" t="s">
        <v>1566</v>
      </c>
      <c r="N242" s="14" t="s">
        <v>1567</v>
      </c>
      <c r="O242" s="17" t="s">
        <v>1568</v>
      </c>
    </row>
    <row r="243" spans="1:15" x14ac:dyDescent="0.15">
      <c r="A243" s="21" t="s">
        <v>1325</v>
      </c>
      <c r="B243" s="19"/>
      <c r="C243" s="11"/>
      <c r="D243" s="17" t="s">
        <v>453</v>
      </c>
      <c r="E243" s="10" t="s">
        <v>163</v>
      </c>
      <c r="F243" s="11" t="s">
        <v>1569</v>
      </c>
      <c r="G243" s="12">
        <v>232.15600000000001</v>
      </c>
      <c r="H243" s="13">
        <v>42149</v>
      </c>
      <c r="I243" s="18" t="s">
        <v>737</v>
      </c>
      <c r="J243" s="12" t="s">
        <v>1570</v>
      </c>
      <c r="K243" s="12" t="s">
        <v>328</v>
      </c>
      <c r="L243" s="12" t="s">
        <v>1571</v>
      </c>
      <c r="M243" s="14" t="s">
        <v>1572</v>
      </c>
      <c r="N243" s="14" t="s">
        <v>1573</v>
      </c>
      <c r="O243" s="17" t="s">
        <v>1574</v>
      </c>
    </row>
    <row r="244" spans="1:15" x14ac:dyDescent="0.15">
      <c r="A244" s="21" t="s">
        <v>1575</v>
      </c>
      <c r="B244" s="19"/>
      <c r="C244" s="11"/>
      <c r="D244" s="17" t="s">
        <v>533</v>
      </c>
      <c r="E244" s="10" t="s">
        <v>163</v>
      </c>
      <c r="F244" s="11" t="s">
        <v>1576</v>
      </c>
      <c r="G244" s="12">
        <v>209.03700000000001</v>
      </c>
      <c r="H244" s="13">
        <v>42150</v>
      </c>
      <c r="I244" s="18" t="s">
        <v>737</v>
      </c>
      <c r="J244" s="12" t="s">
        <v>1577</v>
      </c>
      <c r="K244" s="12" t="s">
        <v>328</v>
      </c>
      <c r="L244" s="12" t="s">
        <v>1578</v>
      </c>
      <c r="M244" s="14" t="s">
        <v>1579</v>
      </c>
      <c r="N244" s="14" t="s">
        <v>1580</v>
      </c>
      <c r="O244" s="17" t="s">
        <v>1581</v>
      </c>
    </row>
    <row r="245" spans="1:15" x14ac:dyDescent="0.15">
      <c r="A245" s="21" t="s">
        <v>1582</v>
      </c>
      <c r="B245" s="19"/>
      <c r="C245" s="11"/>
      <c r="D245" s="17" t="s">
        <v>1583</v>
      </c>
      <c r="E245" s="10" t="s">
        <v>163</v>
      </c>
      <c r="F245" s="11" t="s">
        <v>1584</v>
      </c>
      <c r="G245" s="12">
        <f>17.52*L245</f>
        <v>262.8</v>
      </c>
      <c r="H245" s="13">
        <v>42150</v>
      </c>
      <c r="I245" s="12" t="s">
        <v>1585</v>
      </c>
      <c r="J245" s="12" t="s">
        <v>1586</v>
      </c>
      <c r="K245" s="12" t="s">
        <v>227</v>
      </c>
      <c r="L245" s="12">
        <v>15</v>
      </c>
      <c r="M245" s="14" t="s">
        <v>1587</v>
      </c>
      <c r="N245" s="14" t="s">
        <v>1151</v>
      </c>
      <c r="O245" s="17" t="s">
        <v>1588</v>
      </c>
    </row>
    <row r="246" spans="1:15" x14ac:dyDescent="0.15">
      <c r="A246" s="21" t="s">
        <v>1589</v>
      </c>
      <c r="B246" s="19"/>
      <c r="C246" s="11"/>
      <c r="D246" s="17" t="s">
        <v>927</v>
      </c>
      <c r="E246" s="10" t="s">
        <v>163</v>
      </c>
      <c r="F246" s="11" t="s">
        <v>1590</v>
      </c>
      <c r="G246" s="12">
        <f>20.816*L246</f>
        <v>228.976</v>
      </c>
      <c r="H246" s="13">
        <v>42150</v>
      </c>
      <c r="I246" s="12" t="s">
        <v>207</v>
      </c>
      <c r="J246" s="12" t="s">
        <v>1591</v>
      </c>
      <c r="K246" s="12" t="s">
        <v>184</v>
      </c>
      <c r="L246" s="12">
        <v>11</v>
      </c>
      <c r="M246" s="14" t="s">
        <v>1592</v>
      </c>
      <c r="N246" s="14" t="s">
        <v>1457</v>
      </c>
      <c r="O246" s="17" t="s">
        <v>1593</v>
      </c>
    </row>
    <row r="247" spans="1:15" x14ac:dyDescent="0.15">
      <c r="A247" s="21" t="s">
        <v>1594</v>
      </c>
      <c r="B247" s="19"/>
      <c r="C247" s="11"/>
      <c r="D247" s="17" t="s">
        <v>1595</v>
      </c>
      <c r="E247" s="10" t="s">
        <v>163</v>
      </c>
      <c r="F247" s="11" t="s">
        <v>1596</v>
      </c>
      <c r="G247" s="12">
        <v>108.27800000000001</v>
      </c>
      <c r="H247" s="13">
        <v>42150</v>
      </c>
      <c r="I247" s="12" t="s">
        <v>215</v>
      </c>
      <c r="J247" s="12" t="s">
        <v>1597</v>
      </c>
      <c r="K247" s="12" t="s">
        <v>175</v>
      </c>
      <c r="L247" s="12" t="s">
        <v>1598</v>
      </c>
      <c r="M247" s="14" t="s">
        <v>1599</v>
      </c>
      <c r="N247" s="14" t="s">
        <v>1600</v>
      </c>
      <c r="O247" s="17" t="s">
        <v>1601</v>
      </c>
    </row>
    <row r="248" spans="1:15" x14ac:dyDescent="0.15">
      <c r="A248" s="21" t="s">
        <v>1546</v>
      </c>
      <c r="B248" s="19"/>
      <c r="C248" s="11"/>
      <c r="D248" s="17" t="s">
        <v>1547</v>
      </c>
      <c r="E248" s="10" t="s">
        <v>163</v>
      </c>
      <c r="F248" s="11" t="s">
        <v>1602</v>
      </c>
      <c r="G248" s="12">
        <v>170.352</v>
      </c>
      <c r="H248" s="13">
        <v>42150</v>
      </c>
      <c r="I248" s="12" t="s">
        <v>215</v>
      </c>
      <c r="J248" s="12" t="s">
        <v>1603</v>
      </c>
      <c r="K248" s="12" t="s">
        <v>39</v>
      </c>
      <c r="L248" s="12" t="s">
        <v>1604</v>
      </c>
      <c r="M248" s="14" t="s">
        <v>1605</v>
      </c>
      <c r="N248" s="14" t="s">
        <v>1606</v>
      </c>
      <c r="O248" s="17" t="s">
        <v>1607</v>
      </c>
    </row>
    <row r="249" spans="1:15" x14ac:dyDescent="0.15">
      <c r="A249" s="21" t="s">
        <v>1608</v>
      </c>
      <c r="B249" s="19"/>
      <c r="C249" s="11"/>
      <c r="D249" s="17" t="s">
        <v>1609</v>
      </c>
      <c r="E249" s="10" t="s">
        <v>163</v>
      </c>
      <c r="F249" s="11" t="s">
        <v>1610</v>
      </c>
      <c r="G249" s="12">
        <f>20.558*L249</f>
        <v>246.696</v>
      </c>
      <c r="H249" s="13">
        <v>42152</v>
      </c>
      <c r="I249" s="12" t="s">
        <v>1098</v>
      </c>
      <c r="J249" s="12" t="s">
        <v>1611</v>
      </c>
      <c r="K249" s="12" t="s">
        <v>227</v>
      </c>
      <c r="L249" s="12">
        <v>12</v>
      </c>
      <c r="M249" s="14" t="s">
        <v>1612</v>
      </c>
      <c r="N249" s="14" t="s">
        <v>597</v>
      </c>
      <c r="O249" s="17" t="s">
        <v>1613</v>
      </c>
    </row>
    <row r="250" spans="1:15" x14ac:dyDescent="0.15">
      <c r="A250" s="21" t="s">
        <v>1270</v>
      </c>
      <c r="B250" s="19"/>
      <c r="C250" s="11"/>
      <c r="D250" s="17" t="s">
        <v>1257</v>
      </c>
      <c r="E250" s="10" t="s">
        <v>163</v>
      </c>
      <c r="F250" s="11" t="s">
        <v>1614</v>
      </c>
      <c r="G250" s="12">
        <v>86.641999999999996</v>
      </c>
      <c r="H250" s="13">
        <v>42152</v>
      </c>
      <c r="I250" s="12" t="s">
        <v>215</v>
      </c>
      <c r="J250" s="12" t="s">
        <v>1615</v>
      </c>
      <c r="K250" s="12" t="s">
        <v>39</v>
      </c>
      <c r="L250" s="12" t="s">
        <v>1616</v>
      </c>
      <c r="M250" s="14" t="s">
        <v>1617</v>
      </c>
      <c r="N250" s="14" t="s">
        <v>1618</v>
      </c>
      <c r="O250" s="17" t="s">
        <v>1619</v>
      </c>
    </row>
    <row r="251" spans="1:15" x14ac:dyDescent="0.15">
      <c r="A251" s="21" t="s">
        <v>1503</v>
      </c>
      <c r="B251" s="19"/>
      <c r="C251" s="11"/>
      <c r="D251" s="17" t="s">
        <v>460</v>
      </c>
      <c r="E251" s="10" t="s">
        <v>163</v>
      </c>
      <c r="F251" s="11" t="s">
        <v>1620</v>
      </c>
      <c r="G251" s="12">
        <v>85.962999999999994</v>
      </c>
      <c r="H251" s="13">
        <v>42152</v>
      </c>
      <c r="I251" s="12" t="s">
        <v>215</v>
      </c>
      <c r="J251" s="12" t="s">
        <v>1621</v>
      </c>
      <c r="K251" s="12" t="s">
        <v>255</v>
      </c>
      <c r="L251" s="12" t="s">
        <v>1622</v>
      </c>
      <c r="M251" s="14" t="s">
        <v>1623</v>
      </c>
      <c r="N251" s="14" t="s">
        <v>1624</v>
      </c>
      <c r="O251" s="17" t="s">
        <v>1625</v>
      </c>
    </row>
    <row r="252" spans="1:15" x14ac:dyDescent="0.15">
      <c r="A252" s="20" t="s">
        <v>1626</v>
      </c>
      <c r="B252" s="22" t="s">
        <v>1113</v>
      </c>
      <c r="C252" s="11"/>
      <c r="D252" s="17" t="s">
        <v>1627</v>
      </c>
      <c r="E252" s="10" t="s">
        <v>163</v>
      </c>
      <c r="F252" s="11" t="s">
        <v>1628</v>
      </c>
      <c r="G252" s="18">
        <f>29.101*L252</f>
        <v>29.100999999999999</v>
      </c>
      <c r="H252" s="13">
        <v>42152</v>
      </c>
      <c r="I252" s="12" t="s">
        <v>757</v>
      </c>
      <c r="J252" s="12" t="s">
        <v>1629</v>
      </c>
      <c r="K252" s="12" t="s">
        <v>227</v>
      </c>
      <c r="L252" s="12">
        <v>1</v>
      </c>
      <c r="M252" s="14" t="s">
        <v>1630</v>
      </c>
      <c r="N252" s="14" t="s">
        <v>1431</v>
      </c>
      <c r="O252" s="17" t="s">
        <v>1631</v>
      </c>
    </row>
    <row r="253" spans="1:15" x14ac:dyDescent="0.15">
      <c r="A253" s="20" t="s">
        <v>1632</v>
      </c>
      <c r="B253" s="22" t="s">
        <v>1113</v>
      </c>
      <c r="C253" s="11"/>
      <c r="D253" s="17" t="s">
        <v>1633</v>
      </c>
      <c r="E253" s="10" t="s">
        <v>163</v>
      </c>
      <c r="F253" s="11" t="s">
        <v>1634</v>
      </c>
      <c r="G253" s="18">
        <f>4.701*L253</f>
        <v>18.803999999999998</v>
      </c>
      <c r="H253" s="13">
        <v>42152</v>
      </c>
      <c r="I253" s="12" t="s">
        <v>1635</v>
      </c>
      <c r="J253" s="12" t="s">
        <v>1636</v>
      </c>
      <c r="K253" s="12" t="s">
        <v>227</v>
      </c>
      <c r="L253" s="12">
        <v>4</v>
      </c>
      <c r="M253" s="14" t="s">
        <v>1637</v>
      </c>
      <c r="N253" s="14" t="s">
        <v>793</v>
      </c>
      <c r="O253" s="17" t="s">
        <v>1638</v>
      </c>
    </row>
    <row r="254" spans="1:15" x14ac:dyDescent="0.15">
      <c r="A254" s="21" t="s">
        <v>1639</v>
      </c>
      <c r="B254" s="19"/>
      <c r="C254" s="11"/>
      <c r="D254" s="17" t="s">
        <v>375</v>
      </c>
      <c r="E254" s="10" t="s">
        <v>163</v>
      </c>
      <c r="F254" s="11" t="s">
        <v>1640</v>
      </c>
      <c r="G254" s="18">
        <f>17.52*L254</f>
        <v>175.2</v>
      </c>
      <c r="H254" s="13">
        <v>42153</v>
      </c>
      <c r="I254" s="12" t="s">
        <v>215</v>
      </c>
      <c r="J254" s="12" t="s">
        <v>1641</v>
      </c>
      <c r="K254" s="12" t="s">
        <v>227</v>
      </c>
      <c r="L254" s="12">
        <v>10</v>
      </c>
      <c r="M254" s="14" t="s">
        <v>1352</v>
      </c>
      <c r="N254" s="14" t="s">
        <v>58</v>
      </c>
      <c r="O254" s="17" t="s">
        <v>1642</v>
      </c>
    </row>
    <row r="255" spans="1:15" x14ac:dyDescent="0.15">
      <c r="A255" s="21" t="s">
        <v>1643</v>
      </c>
      <c r="B255" s="19"/>
      <c r="C255" s="11"/>
      <c r="D255" s="17" t="s">
        <v>1644</v>
      </c>
      <c r="E255" s="10" t="s">
        <v>163</v>
      </c>
      <c r="F255" s="11" t="s">
        <v>1645</v>
      </c>
      <c r="G255" s="18">
        <f>17.52*L255</f>
        <v>175.2</v>
      </c>
      <c r="H255" s="13">
        <v>42153</v>
      </c>
      <c r="I255" s="12" t="s">
        <v>215</v>
      </c>
      <c r="J255" s="12" t="s">
        <v>1646</v>
      </c>
      <c r="K255" s="12" t="s">
        <v>184</v>
      </c>
      <c r="L255" s="12">
        <v>10</v>
      </c>
      <c r="M255" s="14" t="s">
        <v>1647</v>
      </c>
      <c r="N255" s="14" t="s">
        <v>58</v>
      </c>
      <c r="O255" s="17" t="s">
        <v>1648</v>
      </c>
    </row>
    <row r="256" spans="1:15" x14ac:dyDescent="0.15">
      <c r="A256" s="21" t="s">
        <v>1649</v>
      </c>
      <c r="B256" s="19"/>
      <c r="C256" s="11"/>
      <c r="D256" s="17" t="s">
        <v>552</v>
      </c>
      <c r="E256" s="10" t="s">
        <v>163</v>
      </c>
      <c r="F256" s="11" t="s">
        <v>1650</v>
      </c>
      <c r="G256" s="12">
        <f>17.52*L256</f>
        <v>262.8</v>
      </c>
      <c r="H256" s="13">
        <v>42153</v>
      </c>
      <c r="I256" s="18" t="s">
        <v>1651</v>
      </c>
      <c r="J256" s="12" t="s">
        <v>1652</v>
      </c>
      <c r="K256" s="12" t="s">
        <v>227</v>
      </c>
      <c r="L256" s="12">
        <v>15</v>
      </c>
      <c r="M256" s="14" t="s">
        <v>1653</v>
      </c>
      <c r="N256" s="14" t="s">
        <v>236</v>
      </c>
      <c r="O256" s="17" t="s">
        <v>1653</v>
      </c>
    </row>
    <row r="257" spans="1:15" x14ac:dyDescent="0.15">
      <c r="A257" s="21" t="s">
        <v>1051</v>
      </c>
      <c r="B257" s="19"/>
      <c r="C257" s="11"/>
      <c r="D257" s="17" t="s">
        <v>546</v>
      </c>
      <c r="E257" s="10" t="s">
        <v>163</v>
      </c>
      <c r="F257" s="11" t="s">
        <v>1654</v>
      </c>
      <c r="G257" s="12">
        <f>17.52*L257</f>
        <v>227.76</v>
      </c>
      <c r="H257" s="13">
        <v>42153</v>
      </c>
      <c r="I257" s="12" t="s">
        <v>635</v>
      </c>
      <c r="J257" s="12" t="s">
        <v>1655</v>
      </c>
      <c r="K257" s="12" t="s">
        <v>21</v>
      </c>
      <c r="L257" s="12">
        <v>13</v>
      </c>
      <c r="M257" s="14" t="s">
        <v>1656</v>
      </c>
      <c r="N257" s="14" t="s">
        <v>101</v>
      </c>
      <c r="O257" s="17" t="s">
        <v>1657</v>
      </c>
    </row>
    <row r="258" spans="1:15" x14ac:dyDescent="0.15">
      <c r="A258" s="21" t="s">
        <v>1658</v>
      </c>
      <c r="B258" s="19"/>
      <c r="C258" s="11"/>
      <c r="D258" s="17" t="s">
        <v>1659</v>
      </c>
      <c r="E258" s="10" t="s">
        <v>163</v>
      </c>
      <c r="F258" s="11" t="s">
        <v>1660</v>
      </c>
      <c r="G258" s="12">
        <f>29.101*L258</f>
        <v>232.80799999999999</v>
      </c>
      <c r="H258" s="13">
        <v>42153</v>
      </c>
      <c r="I258" s="12" t="s">
        <v>1661</v>
      </c>
      <c r="J258" s="12" t="s">
        <v>1662</v>
      </c>
      <c r="K258" s="12" t="s">
        <v>184</v>
      </c>
      <c r="L258" s="12">
        <v>8</v>
      </c>
      <c r="M258" s="14" t="s">
        <v>1663</v>
      </c>
      <c r="N258" s="14" t="s">
        <v>1041</v>
      </c>
      <c r="O258" s="17" t="s">
        <v>1664</v>
      </c>
    </row>
    <row r="259" spans="1:15" x14ac:dyDescent="0.15">
      <c r="A259" s="21" t="s">
        <v>1524</v>
      </c>
      <c r="B259" s="19"/>
      <c r="C259" s="11"/>
      <c r="D259" s="17" t="s">
        <v>1525</v>
      </c>
      <c r="E259" s="10" t="s">
        <v>163</v>
      </c>
      <c r="F259" s="11" t="s">
        <v>1665</v>
      </c>
      <c r="G259" s="18">
        <f>17.498*L259</f>
        <v>209.976</v>
      </c>
      <c r="H259" s="13">
        <v>42153</v>
      </c>
      <c r="I259" s="12" t="s">
        <v>635</v>
      </c>
      <c r="J259" s="12" t="s">
        <v>1666</v>
      </c>
      <c r="K259" s="12" t="s">
        <v>227</v>
      </c>
      <c r="L259" s="12">
        <v>12</v>
      </c>
      <c r="M259" s="14" t="s">
        <v>1528</v>
      </c>
      <c r="N259" s="14" t="s">
        <v>597</v>
      </c>
      <c r="O259" s="17" t="s">
        <v>1667</v>
      </c>
    </row>
    <row r="260" spans="1:15" x14ac:dyDescent="0.15">
      <c r="A260" s="21" t="s">
        <v>1668</v>
      </c>
      <c r="B260" s="19"/>
      <c r="C260" s="11"/>
      <c r="D260" s="17" t="s">
        <v>1669</v>
      </c>
      <c r="E260" s="10" t="s">
        <v>163</v>
      </c>
      <c r="F260" s="11" t="s">
        <v>1670</v>
      </c>
      <c r="G260" s="18">
        <f>13.006*L260</f>
        <v>325.14999999999998</v>
      </c>
      <c r="H260" s="13">
        <v>42153</v>
      </c>
      <c r="I260" s="12" t="s">
        <v>1671</v>
      </c>
      <c r="J260" s="12" t="s">
        <v>1672</v>
      </c>
      <c r="K260" s="18" t="s">
        <v>227</v>
      </c>
      <c r="L260" s="12">
        <v>25</v>
      </c>
      <c r="M260" s="14" t="s">
        <v>1673</v>
      </c>
      <c r="N260" s="14" t="s">
        <v>338</v>
      </c>
      <c r="O260" s="17" t="s">
        <v>1674</v>
      </c>
    </row>
    <row r="261" spans="1:15" x14ac:dyDescent="0.15">
      <c r="A261" s="21" t="s">
        <v>1675</v>
      </c>
      <c r="B261" s="19"/>
      <c r="C261" s="11"/>
      <c r="D261" s="17" t="s">
        <v>1669</v>
      </c>
      <c r="E261" s="10" t="s">
        <v>163</v>
      </c>
      <c r="F261" s="11" t="s">
        <v>1676</v>
      </c>
      <c r="G261" s="18">
        <f>13.006*L261</f>
        <v>325.14999999999998</v>
      </c>
      <c r="H261" s="13">
        <v>42153</v>
      </c>
      <c r="I261" s="12" t="s">
        <v>1671</v>
      </c>
      <c r="J261" s="12" t="s">
        <v>1677</v>
      </c>
      <c r="K261" s="18" t="s">
        <v>227</v>
      </c>
      <c r="L261" s="12">
        <v>25</v>
      </c>
      <c r="M261" s="14" t="s">
        <v>1678</v>
      </c>
      <c r="N261" s="14" t="s">
        <v>338</v>
      </c>
      <c r="O261" s="17" t="s">
        <v>1679</v>
      </c>
    </row>
    <row r="262" spans="1:15" x14ac:dyDescent="0.15">
      <c r="A262" s="21" t="s">
        <v>1668</v>
      </c>
      <c r="B262" s="19"/>
      <c r="C262" s="11"/>
      <c r="D262" s="17" t="s">
        <v>1669</v>
      </c>
      <c r="E262" s="10" t="s">
        <v>163</v>
      </c>
      <c r="F262" s="11" t="s">
        <v>1680</v>
      </c>
      <c r="G262" s="18">
        <f>13.006*L262</f>
        <v>325.14999999999998</v>
      </c>
      <c r="H262" s="13">
        <v>42153</v>
      </c>
      <c r="I262" s="12" t="s">
        <v>1671</v>
      </c>
      <c r="J262" s="12" t="s">
        <v>1681</v>
      </c>
      <c r="K262" s="18" t="s">
        <v>227</v>
      </c>
      <c r="L262" s="12">
        <v>25</v>
      </c>
      <c r="M262" s="14" t="s">
        <v>1682</v>
      </c>
      <c r="N262" s="14" t="s">
        <v>338</v>
      </c>
      <c r="O262" s="17" t="s">
        <v>1683</v>
      </c>
    </row>
    <row r="263" spans="1:15" x14ac:dyDescent="0.15">
      <c r="A263" s="21" t="s">
        <v>1684</v>
      </c>
      <c r="B263" s="19"/>
      <c r="C263" s="11"/>
      <c r="D263" s="17" t="s">
        <v>1685</v>
      </c>
      <c r="E263" s="10" t="s">
        <v>163</v>
      </c>
      <c r="F263" s="11" t="s">
        <v>1686</v>
      </c>
      <c r="G263" s="12">
        <f>12.838*L263</f>
        <v>64.19</v>
      </c>
      <c r="H263" s="13">
        <v>42153</v>
      </c>
      <c r="I263" s="12" t="s">
        <v>215</v>
      </c>
      <c r="J263" s="12" t="s">
        <v>1687</v>
      </c>
      <c r="K263" s="12" t="s">
        <v>227</v>
      </c>
      <c r="L263" s="12">
        <v>5</v>
      </c>
      <c r="M263" s="14" t="s">
        <v>1688</v>
      </c>
      <c r="N263" s="14" t="s">
        <v>1689</v>
      </c>
      <c r="O263" s="17" t="s">
        <v>1690</v>
      </c>
    </row>
    <row r="264" spans="1:15" x14ac:dyDescent="0.15">
      <c r="A264" s="21" t="s">
        <v>1691</v>
      </c>
      <c r="B264" s="19"/>
      <c r="C264" s="11"/>
      <c r="D264" s="17" t="s">
        <v>1692</v>
      </c>
      <c r="E264" s="10" t="s">
        <v>163</v>
      </c>
      <c r="F264" s="11" t="s">
        <v>1693</v>
      </c>
      <c r="G264" s="12">
        <v>308.24</v>
      </c>
      <c r="H264" s="13">
        <v>42153</v>
      </c>
      <c r="I264" s="12" t="s">
        <v>215</v>
      </c>
      <c r="J264" s="12" t="s">
        <v>1694</v>
      </c>
      <c r="K264" s="12" t="s">
        <v>255</v>
      </c>
      <c r="L264" s="12" t="s">
        <v>1328</v>
      </c>
      <c r="M264" s="14" t="s">
        <v>1695</v>
      </c>
      <c r="N264" s="14" t="s">
        <v>1696</v>
      </c>
      <c r="O264" s="17" t="s">
        <v>1697</v>
      </c>
    </row>
    <row r="265" spans="1:15" x14ac:dyDescent="0.15">
      <c r="A265" s="21" t="s">
        <v>1691</v>
      </c>
      <c r="B265" s="19"/>
      <c r="C265" s="11"/>
      <c r="D265" s="17" t="s">
        <v>1692</v>
      </c>
      <c r="E265" s="10" t="s">
        <v>163</v>
      </c>
      <c r="F265" s="11" t="s">
        <v>1698</v>
      </c>
      <c r="G265" s="12">
        <v>270.53300000000002</v>
      </c>
      <c r="H265" s="13">
        <v>42153</v>
      </c>
      <c r="I265" s="12" t="s">
        <v>215</v>
      </c>
      <c r="J265" s="12" t="s">
        <v>1699</v>
      </c>
      <c r="K265" s="12" t="s">
        <v>255</v>
      </c>
      <c r="L265" s="12" t="s">
        <v>1334</v>
      </c>
      <c r="M265" s="14" t="s">
        <v>1700</v>
      </c>
      <c r="N265" s="14" t="s">
        <v>1701</v>
      </c>
      <c r="O265" s="17" t="s">
        <v>1702</v>
      </c>
    </row>
    <row r="266" spans="1:15" x14ac:dyDescent="0.15">
      <c r="A266" s="21" t="s">
        <v>1691</v>
      </c>
      <c r="B266" s="19"/>
      <c r="C266" s="11"/>
      <c r="D266" s="17" t="s">
        <v>1692</v>
      </c>
      <c r="E266" s="10" t="s">
        <v>163</v>
      </c>
      <c r="F266" s="11" t="s">
        <v>1703</v>
      </c>
      <c r="G266" s="12">
        <v>308.137</v>
      </c>
      <c r="H266" s="13">
        <v>42153</v>
      </c>
      <c r="I266" s="12" t="s">
        <v>215</v>
      </c>
      <c r="J266" s="12" t="s">
        <v>1704</v>
      </c>
      <c r="K266" s="12" t="s">
        <v>255</v>
      </c>
      <c r="L266" s="12" t="s">
        <v>1328</v>
      </c>
      <c r="M266" s="14" t="s">
        <v>1705</v>
      </c>
      <c r="N266" s="14" t="s">
        <v>1706</v>
      </c>
      <c r="O266" s="17" t="s">
        <v>1707</v>
      </c>
    </row>
    <row r="267" spans="1:15" x14ac:dyDescent="0.15">
      <c r="A267" s="21" t="s">
        <v>1708</v>
      </c>
      <c r="B267" s="19"/>
      <c r="C267" s="11"/>
      <c r="D267" s="17" t="s">
        <v>1692</v>
      </c>
      <c r="E267" s="10" t="s">
        <v>163</v>
      </c>
      <c r="F267" s="11" t="s">
        <v>1709</v>
      </c>
      <c r="G267" s="12">
        <v>378.72500000000002</v>
      </c>
      <c r="H267" s="13">
        <v>42153</v>
      </c>
      <c r="I267" s="12" t="s">
        <v>215</v>
      </c>
      <c r="J267" s="12" t="s">
        <v>1710</v>
      </c>
      <c r="K267" s="12" t="s">
        <v>255</v>
      </c>
      <c r="L267" s="12" t="s">
        <v>1711</v>
      </c>
      <c r="M267" s="14" t="s">
        <v>1712</v>
      </c>
      <c r="N267" s="14" t="s">
        <v>1713</v>
      </c>
      <c r="O267" s="17" t="s">
        <v>1714</v>
      </c>
    </row>
    <row r="268" spans="1:15" x14ac:dyDescent="0.15">
      <c r="A268" s="20" t="s">
        <v>1715</v>
      </c>
      <c r="B268" s="19"/>
      <c r="C268" s="11"/>
      <c r="D268" s="17" t="s">
        <v>1716</v>
      </c>
      <c r="E268" s="10" t="s">
        <v>163</v>
      </c>
      <c r="F268" s="11" t="s">
        <v>1717</v>
      </c>
      <c r="G268" s="12">
        <v>100.595</v>
      </c>
      <c r="H268" s="13">
        <v>42157</v>
      </c>
      <c r="I268" s="12" t="s">
        <v>215</v>
      </c>
      <c r="J268" s="12" t="s">
        <v>1718</v>
      </c>
      <c r="K268" s="12" t="s">
        <v>175</v>
      </c>
      <c r="L268" s="12" t="s">
        <v>1028</v>
      </c>
      <c r="M268" s="14" t="s">
        <v>1719</v>
      </c>
      <c r="N268" s="14" t="s">
        <v>1720</v>
      </c>
      <c r="O268" s="17" t="s">
        <v>1721</v>
      </c>
    </row>
    <row r="269" spans="1:15" x14ac:dyDescent="0.15">
      <c r="A269" s="20" t="s">
        <v>1715</v>
      </c>
      <c r="B269" s="19"/>
      <c r="C269" s="11"/>
      <c r="D269" s="17" t="s">
        <v>1716</v>
      </c>
      <c r="E269" s="10" t="s">
        <v>163</v>
      </c>
      <c r="F269" s="11" t="s">
        <v>1722</v>
      </c>
      <c r="G269" s="12">
        <v>99.588999999999999</v>
      </c>
      <c r="H269" s="13">
        <v>42157</v>
      </c>
      <c r="I269" s="12" t="s">
        <v>215</v>
      </c>
      <c r="J269" s="12" t="s">
        <v>1723</v>
      </c>
      <c r="K269" s="12" t="s">
        <v>175</v>
      </c>
      <c r="L269" s="12" t="s">
        <v>1028</v>
      </c>
      <c r="M269" s="14" t="s">
        <v>1724</v>
      </c>
      <c r="N269" s="14" t="s">
        <v>1725</v>
      </c>
      <c r="O269" s="17" t="s">
        <v>1726</v>
      </c>
    </row>
    <row r="270" spans="1:15" x14ac:dyDescent="0.15">
      <c r="A270" s="20" t="s">
        <v>1715</v>
      </c>
      <c r="B270" s="19"/>
      <c r="C270" s="11"/>
      <c r="D270" s="17" t="s">
        <v>1716</v>
      </c>
      <c r="E270" s="10" t="s">
        <v>163</v>
      </c>
      <c r="F270" s="11" t="s">
        <v>1727</v>
      </c>
      <c r="G270" s="12">
        <v>141.364</v>
      </c>
      <c r="H270" s="13">
        <v>42157</v>
      </c>
      <c r="I270" s="12" t="s">
        <v>215</v>
      </c>
      <c r="J270" s="12" t="s">
        <v>1728</v>
      </c>
      <c r="K270" s="12" t="s">
        <v>175</v>
      </c>
      <c r="L270" s="12" t="s">
        <v>1334</v>
      </c>
      <c r="M270" s="14" t="s">
        <v>1729</v>
      </c>
      <c r="N270" s="14" t="s">
        <v>1730</v>
      </c>
      <c r="O270" s="17" t="s">
        <v>1731</v>
      </c>
    </row>
    <row r="271" spans="1:15" x14ac:dyDescent="0.15">
      <c r="A271" s="20" t="s">
        <v>1715</v>
      </c>
      <c r="B271" s="19"/>
      <c r="C271" s="11"/>
      <c r="D271" s="17" t="s">
        <v>1716</v>
      </c>
      <c r="E271" s="10" t="s">
        <v>163</v>
      </c>
      <c r="F271" s="11" t="s">
        <v>1732</v>
      </c>
      <c r="G271" s="12">
        <v>141.244</v>
      </c>
      <c r="H271" s="13">
        <v>42157</v>
      </c>
      <c r="I271" s="12" t="s">
        <v>215</v>
      </c>
      <c r="J271" s="12" t="s">
        <v>1733</v>
      </c>
      <c r="K271" s="12" t="s">
        <v>175</v>
      </c>
      <c r="L271" s="12" t="s">
        <v>1334</v>
      </c>
      <c r="M271" s="14" t="s">
        <v>1734</v>
      </c>
      <c r="N271" s="14" t="s">
        <v>1701</v>
      </c>
      <c r="O271" s="17" t="s">
        <v>1735</v>
      </c>
    </row>
    <row r="272" spans="1:15" x14ac:dyDescent="0.15">
      <c r="A272" s="21" t="s">
        <v>1546</v>
      </c>
      <c r="B272" s="19"/>
      <c r="C272" s="11"/>
      <c r="D272" s="17" t="s">
        <v>1547</v>
      </c>
      <c r="E272" s="10" t="s">
        <v>163</v>
      </c>
      <c r="F272" s="11" t="s">
        <v>1736</v>
      </c>
      <c r="G272" s="12">
        <v>47.624000000000002</v>
      </c>
      <c r="H272" s="13">
        <v>42157</v>
      </c>
      <c r="I272" s="12" t="s">
        <v>215</v>
      </c>
      <c r="J272" s="12" t="s">
        <v>1737</v>
      </c>
      <c r="K272" s="12" t="s">
        <v>39</v>
      </c>
      <c r="L272" s="12" t="s">
        <v>972</v>
      </c>
      <c r="M272" s="14" t="s">
        <v>1738</v>
      </c>
      <c r="N272" s="14" t="s">
        <v>1739</v>
      </c>
      <c r="O272" s="17" t="s">
        <v>1740</v>
      </c>
    </row>
    <row r="273" spans="1:15" x14ac:dyDescent="0.15">
      <c r="A273" s="21" t="s">
        <v>1741</v>
      </c>
      <c r="B273" s="19"/>
      <c r="C273" s="11"/>
      <c r="D273" s="17" t="s">
        <v>1742</v>
      </c>
      <c r="E273" s="10" t="s">
        <v>163</v>
      </c>
      <c r="F273" s="11" t="s">
        <v>1743</v>
      </c>
      <c r="G273" s="12">
        <v>140.98699999999999</v>
      </c>
      <c r="H273" s="13">
        <v>42157</v>
      </c>
      <c r="I273" s="18" t="s">
        <v>191</v>
      </c>
      <c r="J273" s="12" t="s">
        <v>1744</v>
      </c>
      <c r="K273" s="12" t="s">
        <v>255</v>
      </c>
      <c r="L273" s="12" t="s">
        <v>1745</v>
      </c>
      <c r="M273" s="14" t="s">
        <v>1746</v>
      </c>
      <c r="N273" s="14" t="s">
        <v>1747</v>
      </c>
      <c r="O273" s="17" t="s">
        <v>1748</v>
      </c>
    </row>
    <row r="274" spans="1:15" x14ac:dyDescent="0.15">
      <c r="A274" s="21" t="s">
        <v>1503</v>
      </c>
      <c r="B274" s="19"/>
      <c r="C274" s="11"/>
      <c r="D274" s="17" t="s">
        <v>460</v>
      </c>
      <c r="E274" s="10" t="s">
        <v>163</v>
      </c>
      <c r="F274" s="11" t="s">
        <v>1749</v>
      </c>
      <c r="G274" s="12">
        <v>85.558000000000007</v>
      </c>
      <c r="H274" s="13">
        <v>42157</v>
      </c>
      <c r="I274" s="12" t="s">
        <v>215</v>
      </c>
      <c r="J274" s="12" t="s">
        <v>1750</v>
      </c>
      <c r="K274" s="12" t="s">
        <v>255</v>
      </c>
      <c r="L274" s="12" t="s">
        <v>1622</v>
      </c>
      <c r="M274" s="14" t="s">
        <v>1751</v>
      </c>
      <c r="N274" s="14" t="s">
        <v>1752</v>
      </c>
      <c r="O274" s="17" t="s">
        <v>1753</v>
      </c>
    </row>
    <row r="275" spans="1:15" x14ac:dyDescent="0.15">
      <c r="A275" s="21" t="s">
        <v>616</v>
      </c>
      <c r="B275" s="19"/>
      <c r="C275" s="11"/>
      <c r="D275" s="17" t="s">
        <v>833</v>
      </c>
      <c r="E275" s="10" t="s">
        <v>163</v>
      </c>
      <c r="F275" s="11" t="s">
        <v>1754</v>
      </c>
      <c r="G275" s="12">
        <v>201.952</v>
      </c>
      <c r="H275" s="13">
        <v>42157</v>
      </c>
      <c r="I275" s="12" t="s">
        <v>215</v>
      </c>
      <c r="J275" s="12" t="s">
        <v>1755</v>
      </c>
      <c r="K275" s="12" t="s">
        <v>255</v>
      </c>
      <c r="L275" s="12" t="s">
        <v>620</v>
      </c>
      <c r="M275" s="14" t="s">
        <v>1756</v>
      </c>
      <c r="N275" s="14" t="s">
        <v>1757</v>
      </c>
      <c r="O275" s="17" t="s">
        <v>1758</v>
      </c>
    </row>
    <row r="276" spans="1:15" x14ac:dyDescent="0.15">
      <c r="A276" s="21" t="s">
        <v>832</v>
      </c>
      <c r="B276" s="19"/>
      <c r="C276" s="11"/>
      <c r="D276" s="17" t="s">
        <v>833</v>
      </c>
      <c r="E276" s="10" t="s">
        <v>163</v>
      </c>
      <c r="F276" s="11" t="s">
        <v>1759</v>
      </c>
      <c r="G276" s="12">
        <v>201.63800000000001</v>
      </c>
      <c r="H276" s="13">
        <v>42157</v>
      </c>
      <c r="I276" s="12" t="s">
        <v>215</v>
      </c>
      <c r="J276" s="12" t="s">
        <v>1760</v>
      </c>
      <c r="K276" s="12" t="s">
        <v>255</v>
      </c>
      <c r="L276" s="12" t="s">
        <v>620</v>
      </c>
      <c r="M276" s="14" t="s">
        <v>1761</v>
      </c>
      <c r="N276" s="14" t="s">
        <v>1762</v>
      </c>
      <c r="O276" s="17" t="s">
        <v>1763</v>
      </c>
    </row>
    <row r="277" spans="1:15" x14ac:dyDescent="0.15">
      <c r="A277" s="21" t="s">
        <v>616</v>
      </c>
      <c r="B277" s="19"/>
      <c r="C277" s="11"/>
      <c r="D277" s="17" t="s">
        <v>833</v>
      </c>
      <c r="E277" s="10" t="s">
        <v>163</v>
      </c>
      <c r="F277" s="11" t="s">
        <v>1764</v>
      </c>
      <c r="G277" s="12">
        <v>232.738</v>
      </c>
      <c r="H277" s="13">
        <v>42157</v>
      </c>
      <c r="I277" s="12" t="s">
        <v>215</v>
      </c>
      <c r="J277" s="12" t="s">
        <v>1765</v>
      </c>
      <c r="K277" s="12" t="s">
        <v>255</v>
      </c>
      <c r="L277" s="12" t="s">
        <v>1016</v>
      </c>
      <c r="M277" s="14" t="s">
        <v>1766</v>
      </c>
      <c r="N277" s="14" t="s">
        <v>1767</v>
      </c>
      <c r="O277" s="17" t="s">
        <v>1768</v>
      </c>
    </row>
    <row r="278" spans="1:15" x14ac:dyDescent="0.15">
      <c r="A278" s="21" t="s">
        <v>1007</v>
      </c>
      <c r="B278" s="19"/>
      <c r="C278" s="11"/>
      <c r="D278" s="17" t="s">
        <v>833</v>
      </c>
      <c r="E278" s="10" t="s">
        <v>163</v>
      </c>
      <c r="F278" s="11" t="s">
        <v>1769</v>
      </c>
      <c r="G278" s="12">
        <v>232.91900000000001</v>
      </c>
      <c r="H278" s="13">
        <v>42157</v>
      </c>
      <c r="I278" s="12" t="s">
        <v>683</v>
      </c>
      <c r="J278" s="12" t="s">
        <v>1770</v>
      </c>
      <c r="K278" s="12" t="s">
        <v>255</v>
      </c>
      <c r="L278" s="12" t="s">
        <v>1016</v>
      </c>
      <c r="M278" s="14" t="s">
        <v>1771</v>
      </c>
      <c r="N278" s="14" t="s">
        <v>1772</v>
      </c>
      <c r="O278" s="17" t="s">
        <v>1773</v>
      </c>
    </row>
    <row r="279" spans="1:15" x14ac:dyDescent="0.15">
      <c r="A279" s="21" t="s">
        <v>1007</v>
      </c>
      <c r="B279" s="19"/>
      <c r="C279" s="11"/>
      <c r="D279" s="17" t="s">
        <v>833</v>
      </c>
      <c r="E279" s="10" t="s">
        <v>163</v>
      </c>
      <c r="F279" s="11" t="s">
        <v>1774</v>
      </c>
      <c r="G279" s="12">
        <v>262.55599999999998</v>
      </c>
      <c r="H279" s="13">
        <v>42157</v>
      </c>
      <c r="I279" s="12" t="s">
        <v>683</v>
      </c>
      <c r="J279" s="12" t="s">
        <v>1775</v>
      </c>
      <c r="K279" s="12" t="s">
        <v>255</v>
      </c>
      <c r="L279" s="12" t="s">
        <v>1776</v>
      </c>
      <c r="M279" s="14" t="s">
        <v>1777</v>
      </c>
      <c r="N279" s="14" t="s">
        <v>1778</v>
      </c>
      <c r="O279" s="17" t="s">
        <v>1779</v>
      </c>
    </row>
    <row r="280" spans="1:15" x14ac:dyDescent="0.15">
      <c r="A280" s="21" t="s">
        <v>1780</v>
      </c>
      <c r="B280" s="19"/>
      <c r="C280" s="11"/>
      <c r="D280" s="17" t="s">
        <v>1781</v>
      </c>
      <c r="E280" s="10" t="s">
        <v>163</v>
      </c>
      <c r="F280" s="11" t="s">
        <v>1782</v>
      </c>
      <c r="G280" s="12">
        <f>17.52*L280</f>
        <v>157.68</v>
      </c>
      <c r="H280" s="13">
        <v>42158</v>
      </c>
      <c r="I280" s="11" t="s">
        <v>191</v>
      </c>
      <c r="J280" s="11" t="s">
        <v>1783</v>
      </c>
      <c r="K280" s="11" t="s">
        <v>227</v>
      </c>
      <c r="L280" s="11">
        <v>9</v>
      </c>
      <c r="M280" s="14" t="s">
        <v>1784</v>
      </c>
      <c r="N280" s="14" t="s">
        <v>1185</v>
      </c>
      <c r="O280" s="17" t="s">
        <v>1785</v>
      </c>
    </row>
    <row r="281" spans="1:15" x14ac:dyDescent="0.15">
      <c r="A281" s="21" t="s">
        <v>1134</v>
      </c>
      <c r="B281" s="19"/>
      <c r="C281" s="11"/>
      <c r="D281" s="17" t="s">
        <v>1135</v>
      </c>
      <c r="E281" s="10" t="s">
        <v>163</v>
      </c>
      <c r="F281" s="11" t="s">
        <v>1786</v>
      </c>
      <c r="G281" s="18">
        <f>25.399*L281</f>
        <v>330.18700000000001</v>
      </c>
      <c r="H281" s="13">
        <v>42158</v>
      </c>
      <c r="I281" s="12" t="s">
        <v>635</v>
      </c>
      <c r="J281" s="12" t="s">
        <v>1787</v>
      </c>
      <c r="K281" s="12" t="s">
        <v>184</v>
      </c>
      <c r="L281" s="12">
        <v>13</v>
      </c>
      <c r="M281" s="14" t="s">
        <v>1788</v>
      </c>
      <c r="N281" s="14" t="s">
        <v>473</v>
      </c>
      <c r="O281" s="17" t="s">
        <v>1789</v>
      </c>
    </row>
    <row r="282" spans="1:15" x14ac:dyDescent="0.15">
      <c r="A282" s="21" t="s">
        <v>1153</v>
      </c>
      <c r="B282" s="19" t="s">
        <v>418</v>
      </c>
      <c r="C282" s="11"/>
      <c r="D282" s="17" t="s">
        <v>656</v>
      </c>
      <c r="E282" s="10" t="s">
        <v>163</v>
      </c>
      <c r="F282" s="11" t="s">
        <v>1790</v>
      </c>
      <c r="G282" s="12">
        <f>9.871*L282</f>
        <v>118.452</v>
      </c>
      <c r="H282" s="13">
        <v>42158</v>
      </c>
      <c r="I282" s="12" t="s">
        <v>648</v>
      </c>
      <c r="J282" s="12" t="s">
        <v>1791</v>
      </c>
      <c r="K282" s="12" t="s">
        <v>227</v>
      </c>
      <c r="L282" s="12">
        <v>12</v>
      </c>
      <c r="M282" s="14" t="s">
        <v>1792</v>
      </c>
      <c r="N282" s="14" t="s">
        <v>186</v>
      </c>
      <c r="O282" s="17" t="s">
        <v>1793</v>
      </c>
    </row>
    <row r="283" spans="1:15" x14ac:dyDescent="0.15">
      <c r="A283" s="21" t="s">
        <v>655</v>
      </c>
      <c r="B283" s="19" t="s">
        <v>418</v>
      </c>
      <c r="C283" s="11"/>
      <c r="D283" s="17" t="s">
        <v>656</v>
      </c>
      <c r="E283" s="10" t="s">
        <v>163</v>
      </c>
      <c r="F283" s="11" t="s">
        <v>1794</v>
      </c>
      <c r="G283" s="12">
        <f>9.871*L283</f>
        <v>128.32300000000001</v>
      </c>
      <c r="H283" s="13">
        <v>42158</v>
      </c>
      <c r="I283" s="12" t="s">
        <v>648</v>
      </c>
      <c r="J283" s="12" t="s">
        <v>1795</v>
      </c>
      <c r="K283" s="12" t="s">
        <v>227</v>
      </c>
      <c r="L283" s="12">
        <v>13</v>
      </c>
      <c r="M283" s="14" t="s">
        <v>1792</v>
      </c>
      <c r="N283" s="14" t="s">
        <v>134</v>
      </c>
      <c r="O283" s="17" t="s">
        <v>1796</v>
      </c>
    </row>
    <row r="284" spans="1:15" x14ac:dyDescent="0.15">
      <c r="A284" s="21" t="s">
        <v>1675</v>
      </c>
      <c r="B284" s="19"/>
      <c r="C284" s="11"/>
      <c r="D284" s="17" t="s">
        <v>1669</v>
      </c>
      <c r="E284" s="10" t="s">
        <v>163</v>
      </c>
      <c r="F284" s="11" t="s">
        <v>1797</v>
      </c>
      <c r="G284" s="18">
        <f>13.006*L284</f>
        <v>169.078</v>
      </c>
      <c r="H284" s="13">
        <v>42158</v>
      </c>
      <c r="I284" s="12" t="s">
        <v>1671</v>
      </c>
      <c r="J284" s="12" t="s">
        <v>1798</v>
      </c>
      <c r="K284" s="18" t="s">
        <v>227</v>
      </c>
      <c r="L284" s="12">
        <v>13</v>
      </c>
      <c r="M284" s="14" t="s">
        <v>1799</v>
      </c>
      <c r="N284" s="14" t="s">
        <v>1472</v>
      </c>
      <c r="O284" s="17" t="s">
        <v>1800</v>
      </c>
    </row>
    <row r="285" spans="1:15" x14ac:dyDescent="0.15">
      <c r="A285" s="21" t="s">
        <v>1668</v>
      </c>
      <c r="B285" s="19"/>
      <c r="C285" s="11"/>
      <c r="D285" s="17" t="s">
        <v>1669</v>
      </c>
      <c r="E285" s="10" t="s">
        <v>163</v>
      </c>
      <c r="F285" s="11" t="s">
        <v>1801</v>
      </c>
      <c r="G285" s="18">
        <f>13.006*L285</f>
        <v>325.14999999999998</v>
      </c>
      <c r="H285" s="13">
        <v>42158</v>
      </c>
      <c r="I285" s="12" t="s">
        <v>1671</v>
      </c>
      <c r="J285" s="12" t="s">
        <v>1802</v>
      </c>
      <c r="K285" s="18" t="s">
        <v>227</v>
      </c>
      <c r="L285" s="12">
        <v>25</v>
      </c>
      <c r="M285" s="14" t="s">
        <v>1803</v>
      </c>
      <c r="N285" s="14" t="s">
        <v>338</v>
      </c>
      <c r="O285" s="17" t="s">
        <v>1804</v>
      </c>
    </row>
    <row r="286" spans="1:15" x14ac:dyDescent="0.15">
      <c r="A286" s="21" t="s">
        <v>1805</v>
      </c>
      <c r="B286" s="19"/>
      <c r="C286" s="11"/>
      <c r="D286" s="17" t="s">
        <v>307</v>
      </c>
      <c r="E286" s="10" t="s">
        <v>163</v>
      </c>
      <c r="F286" s="11" t="s">
        <v>1806</v>
      </c>
      <c r="G286" s="12">
        <f>17.712*L286</f>
        <v>106.27199999999999</v>
      </c>
      <c r="H286" s="13">
        <v>42158</v>
      </c>
      <c r="I286" s="12" t="s">
        <v>635</v>
      </c>
      <c r="J286" s="12" t="s">
        <v>1807</v>
      </c>
      <c r="K286" s="12" t="s">
        <v>227</v>
      </c>
      <c r="L286" s="12">
        <v>6</v>
      </c>
      <c r="M286" s="14" t="s">
        <v>1190</v>
      </c>
      <c r="N286" s="14" t="s">
        <v>1808</v>
      </c>
      <c r="O286" s="17" t="s">
        <v>1809</v>
      </c>
    </row>
    <row r="287" spans="1:15" x14ac:dyDescent="0.15">
      <c r="A287" s="21" t="s">
        <v>1805</v>
      </c>
      <c r="B287" s="19"/>
      <c r="C287" s="11"/>
      <c r="D287" s="17" t="s">
        <v>307</v>
      </c>
      <c r="E287" s="10" t="s">
        <v>163</v>
      </c>
      <c r="F287" s="11" t="s">
        <v>1810</v>
      </c>
      <c r="G287" s="12">
        <f>17.712*L287</f>
        <v>212.54399999999998</v>
      </c>
      <c r="H287" s="13">
        <v>42158</v>
      </c>
      <c r="I287" s="12" t="s">
        <v>635</v>
      </c>
      <c r="J287" s="12" t="s">
        <v>1811</v>
      </c>
      <c r="K287" s="12" t="s">
        <v>227</v>
      </c>
      <c r="L287" s="12">
        <v>12</v>
      </c>
      <c r="M287" s="14" t="s">
        <v>1812</v>
      </c>
      <c r="N287" s="14" t="s">
        <v>242</v>
      </c>
      <c r="O287" s="17" t="s">
        <v>1813</v>
      </c>
    </row>
    <row r="288" spans="1:15" x14ac:dyDescent="0.15">
      <c r="A288" s="21" t="s">
        <v>1192</v>
      </c>
      <c r="B288" s="19"/>
      <c r="C288" s="11"/>
      <c r="D288" s="17" t="s">
        <v>307</v>
      </c>
      <c r="E288" s="10" t="s">
        <v>163</v>
      </c>
      <c r="F288" s="11" t="s">
        <v>1814</v>
      </c>
      <c r="G288" s="12">
        <f>17.712*L288</f>
        <v>230.256</v>
      </c>
      <c r="H288" s="13">
        <v>42158</v>
      </c>
      <c r="I288" s="12" t="s">
        <v>635</v>
      </c>
      <c r="J288" s="12" t="s">
        <v>1815</v>
      </c>
      <c r="K288" s="12" t="s">
        <v>227</v>
      </c>
      <c r="L288" s="12">
        <v>13</v>
      </c>
      <c r="M288" s="14" t="s">
        <v>1812</v>
      </c>
      <c r="N288" s="14" t="s">
        <v>473</v>
      </c>
      <c r="O288" s="17" t="s">
        <v>1816</v>
      </c>
    </row>
    <row r="289" spans="1:15" x14ac:dyDescent="0.15">
      <c r="A289" s="21" t="s">
        <v>1817</v>
      </c>
      <c r="B289" s="19"/>
      <c r="C289" s="11"/>
      <c r="D289" s="17" t="s">
        <v>54</v>
      </c>
      <c r="E289" s="10" t="s">
        <v>163</v>
      </c>
      <c r="F289" s="11" t="s">
        <v>1818</v>
      </c>
      <c r="G289" s="18">
        <f>6.405*L289</f>
        <v>160.125</v>
      </c>
      <c r="H289" s="13">
        <v>42158</v>
      </c>
      <c r="I289" s="12" t="s">
        <v>233</v>
      </c>
      <c r="J289" s="12" t="s">
        <v>1819</v>
      </c>
      <c r="K289" s="12" t="s">
        <v>227</v>
      </c>
      <c r="L289" s="12">
        <v>25</v>
      </c>
      <c r="M289" s="14" t="s">
        <v>1820</v>
      </c>
      <c r="N289" s="14" t="s">
        <v>338</v>
      </c>
      <c r="O289" s="17" t="s">
        <v>1821</v>
      </c>
    </row>
    <row r="290" spans="1:15" x14ac:dyDescent="0.15">
      <c r="A290" s="21" t="s">
        <v>1197</v>
      </c>
      <c r="B290" s="19"/>
      <c r="C290" s="11"/>
      <c r="D290" s="17" t="s">
        <v>54</v>
      </c>
      <c r="E290" s="10" t="s">
        <v>163</v>
      </c>
      <c r="F290" s="11" t="s">
        <v>1822</v>
      </c>
      <c r="G290" s="18">
        <f>6.405*L290</f>
        <v>38.43</v>
      </c>
      <c r="H290" s="13">
        <v>42158</v>
      </c>
      <c r="I290" s="12" t="s">
        <v>1199</v>
      </c>
      <c r="J290" s="12" t="s">
        <v>1823</v>
      </c>
      <c r="K290" s="12" t="s">
        <v>132</v>
      </c>
      <c r="L290" s="12">
        <v>6</v>
      </c>
      <c r="M290" s="14" t="s">
        <v>1300</v>
      </c>
      <c r="N290" s="14" t="s">
        <v>1808</v>
      </c>
      <c r="O290" s="17" t="s">
        <v>1824</v>
      </c>
    </row>
    <row r="291" spans="1:15" x14ac:dyDescent="0.15">
      <c r="A291" s="21" t="s">
        <v>1825</v>
      </c>
      <c r="B291" s="19"/>
      <c r="C291" s="11"/>
      <c r="D291" s="17" t="s">
        <v>1826</v>
      </c>
      <c r="E291" s="10" t="s">
        <v>163</v>
      </c>
      <c r="F291" s="11" t="s">
        <v>1827</v>
      </c>
      <c r="G291" s="12">
        <f>20.545*L291</f>
        <v>61.635000000000005</v>
      </c>
      <c r="H291" s="13">
        <v>42158</v>
      </c>
      <c r="I291" s="12" t="s">
        <v>635</v>
      </c>
      <c r="J291" s="12" t="s">
        <v>1828</v>
      </c>
      <c r="K291" s="12" t="s">
        <v>184</v>
      </c>
      <c r="L291" s="12">
        <v>3</v>
      </c>
      <c r="M291" s="14" t="s">
        <v>1829</v>
      </c>
      <c r="N291" s="14" t="s">
        <v>1830</v>
      </c>
      <c r="O291" s="17" t="s">
        <v>1831</v>
      </c>
    </row>
    <row r="292" spans="1:15" x14ac:dyDescent="0.15">
      <c r="A292" s="21" t="s">
        <v>1608</v>
      </c>
      <c r="B292" s="19"/>
      <c r="C292" s="11"/>
      <c r="D292" s="17" t="s">
        <v>1609</v>
      </c>
      <c r="E292" s="10" t="s">
        <v>163</v>
      </c>
      <c r="F292" s="11" t="s">
        <v>1832</v>
      </c>
      <c r="G292" s="12">
        <f>20.545*L292</f>
        <v>246.54000000000002</v>
      </c>
      <c r="H292" s="13">
        <v>42158</v>
      </c>
      <c r="I292" s="12" t="s">
        <v>1098</v>
      </c>
      <c r="J292" s="12" t="s">
        <v>1833</v>
      </c>
      <c r="K292" s="12" t="s">
        <v>227</v>
      </c>
      <c r="L292" s="12">
        <v>12</v>
      </c>
      <c r="M292" s="14" t="s">
        <v>1834</v>
      </c>
      <c r="N292" s="14" t="s">
        <v>242</v>
      </c>
      <c r="O292" s="17" t="s">
        <v>1835</v>
      </c>
    </row>
    <row r="293" spans="1:15" x14ac:dyDescent="0.15">
      <c r="A293" s="21" t="s">
        <v>1836</v>
      </c>
      <c r="B293" s="19"/>
      <c r="C293" s="11"/>
      <c r="D293" s="17" t="s">
        <v>1609</v>
      </c>
      <c r="E293" s="10" t="s">
        <v>163</v>
      </c>
      <c r="F293" s="11" t="s">
        <v>1837</v>
      </c>
      <c r="G293" s="12">
        <f>20.545*L293</f>
        <v>267.08500000000004</v>
      </c>
      <c r="H293" s="13">
        <v>42158</v>
      </c>
      <c r="I293" s="12" t="s">
        <v>1098</v>
      </c>
      <c r="J293" s="12" t="s">
        <v>1838</v>
      </c>
      <c r="K293" s="12" t="s">
        <v>227</v>
      </c>
      <c r="L293" s="12">
        <v>13</v>
      </c>
      <c r="M293" s="14" t="s">
        <v>1834</v>
      </c>
      <c r="N293" s="14" t="s">
        <v>473</v>
      </c>
      <c r="O293" s="17" t="s">
        <v>1839</v>
      </c>
    </row>
    <row r="294" spans="1:15" x14ac:dyDescent="0.15">
      <c r="A294" s="21" t="s">
        <v>1840</v>
      </c>
      <c r="B294" s="19"/>
      <c r="C294" s="11"/>
      <c r="D294" s="17" t="s">
        <v>1841</v>
      </c>
      <c r="E294" s="10" t="s">
        <v>163</v>
      </c>
      <c r="F294" s="11" t="s">
        <v>1842</v>
      </c>
      <c r="G294" s="12">
        <f>17.52*L294</f>
        <v>87.6</v>
      </c>
      <c r="H294" s="13">
        <v>42158</v>
      </c>
      <c r="I294" s="12" t="s">
        <v>635</v>
      </c>
      <c r="J294" s="12" t="s">
        <v>1843</v>
      </c>
      <c r="K294" s="12" t="s">
        <v>227</v>
      </c>
      <c r="L294" s="12">
        <v>5</v>
      </c>
      <c r="M294" s="14" t="s">
        <v>1844</v>
      </c>
      <c r="N294" s="14" t="s">
        <v>1845</v>
      </c>
      <c r="O294" s="17" t="s">
        <v>1846</v>
      </c>
    </row>
    <row r="295" spans="1:15" x14ac:dyDescent="0.15">
      <c r="A295" s="21" t="s">
        <v>1649</v>
      </c>
      <c r="B295" s="19"/>
      <c r="C295" s="11"/>
      <c r="D295" s="17" t="s">
        <v>552</v>
      </c>
      <c r="E295" s="10" t="s">
        <v>163</v>
      </c>
      <c r="F295" s="11" t="s">
        <v>1847</v>
      </c>
      <c r="G295" s="12">
        <f>17.52*L295</f>
        <v>105.12</v>
      </c>
      <c r="H295" s="13">
        <v>42158</v>
      </c>
      <c r="I295" s="18" t="s">
        <v>1651</v>
      </c>
      <c r="J295" s="12" t="s">
        <v>1848</v>
      </c>
      <c r="K295" s="12" t="s">
        <v>227</v>
      </c>
      <c r="L295" s="12">
        <v>6</v>
      </c>
      <c r="M295" s="14" t="s">
        <v>1849</v>
      </c>
      <c r="N295" s="14" t="s">
        <v>1808</v>
      </c>
      <c r="O295" s="17" t="s">
        <v>1850</v>
      </c>
    </row>
    <row r="296" spans="1:15" x14ac:dyDescent="0.15">
      <c r="A296" s="21" t="s">
        <v>1649</v>
      </c>
      <c r="B296" s="19"/>
      <c r="C296" s="11"/>
      <c r="D296" s="17" t="s">
        <v>552</v>
      </c>
      <c r="E296" s="10" t="s">
        <v>163</v>
      </c>
      <c r="F296" s="11" t="s">
        <v>1851</v>
      </c>
      <c r="G296" s="12">
        <f>17.52*L296</f>
        <v>87.6</v>
      </c>
      <c r="H296" s="13">
        <v>42158</v>
      </c>
      <c r="I296" s="18" t="s">
        <v>1651</v>
      </c>
      <c r="J296" s="12" t="s">
        <v>1852</v>
      </c>
      <c r="K296" s="12" t="s">
        <v>227</v>
      </c>
      <c r="L296" s="12">
        <v>5</v>
      </c>
      <c r="M296" s="14" t="s">
        <v>1853</v>
      </c>
      <c r="N296" s="14" t="s">
        <v>680</v>
      </c>
      <c r="O296" s="17" t="s">
        <v>1854</v>
      </c>
    </row>
    <row r="297" spans="1:15" x14ac:dyDescent="0.15">
      <c r="A297" s="21" t="s">
        <v>825</v>
      </c>
      <c r="B297" s="19"/>
      <c r="C297" s="11"/>
      <c r="D297" s="17" t="s">
        <v>826</v>
      </c>
      <c r="E297" s="10" t="s">
        <v>163</v>
      </c>
      <c r="F297" s="11" t="s">
        <v>1855</v>
      </c>
      <c r="G297" s="18">
        <f>29.101*L297</f>
        <v>87.302999999999997</v>
      </c>
      <c r="H297" s="13">
        <v>42158</v>
      </c>
      <c r="I297" s="12" t="s">
        <v>683</v>
      </c>
      <c r="J297" s="12" t="s">
        <v>1856</v>
      </c>
      <c r="K297" s="12" t="s">
        <v>21</v>
      </c>
      <c r="L297" s="12">
        <v>3</v>
      </c>
      <c r="M297" s="14" t="s">
        <v>1857</v>
      </c>
      <c r="N297" s="14" t="s">
        <v>1858</v>
      </c>
      <c r="O297" s="17" t="s">
        <v>1859</v>
      </c>
    </row>
    <row r="298" spans="1:15" x14ac:dyDescent="0.15">
      <c r="A298" s="21" t="s">
        <v>1860</v>
      </c>
      <c r="B298" s="19"/>
      <c r="C298" s="11"/>
      <c r="D298" s="17" t="s">
        <v>408</v>
      </c>
      <c r="E298" s="10" t="s">
        <v>163</v>
      </c>
      <c r="F298" s="11" t="s">
        <v>1861</v>
      </c>
      <c r="G298" s="18">
        <f>29.101*L298</f>
        <v>349.21199999999999</v>
      </c>
      <c r="H298" s="13">
        <v>42158</v>
      </c>
      <c r="I298" s="12" t="s">
        <v>683</v>
      </c>
      <c r="J298" s="12" t="s">
        <v>1862</v>
      </c>
      <c r="K298" s="12" t="s">
        <v>21</v>
      </c>
      <c r="L298" s="12">
        <v>12</v>
      </c>
      <c r="M298" s="14" t="s">
        <v>1863</v>
      </c>
      <c r="N298" s="14" t="s">
        <v>643</v>
      </c>
      <c r="O298" s="17" t="s">
        <v>1864</v>
      </c>
    </row>
    <row r="299" spans="1:15" x14ac:dyDescent="0.15">
      <c r="A299" s="21" t="s">
        <v>1865</v>
      </c>
      <c r="B299" s="19"/>
      <c r="C299" s="11"/>
      <c r="D299" s="17" t="s">
        <v>408</v>
      </c>
      <c r="E299" s="10" t="s">
        <v>163</v>
      </c>
      <c r="F299" s="11" t="s">
        <v>1866</v>
      </c>
      <c r="G299" s="18">
        <f>29.101*L299</f>
        <v>378.31299999999999</v>
      </c>
      <c r="H299" s="13">
        <v>42158</v>
      </c>
      <c r="I299" s="12" t="s">
        <v>683</v>
      </c>
      <c r="J299" s="12" t="s">
        <v>1867</v>
      </c>
      <c r="K299" s="12" t="s">
        <v>21</v>
      </c>
      <c r="L299" s="12">
        <v>13</v>
      </c>
      <c r="M299" s="14" t="s">
        <v>1863</v>
      </c>
      <c r="N299" s="14" t="s">
        <v>686</v>
      </c>
      <c r="O299" s="17" t="s">
        <v>1868</v>
      </c>
    </row>
    <row r="300" spans="1:15" x14ac:dyDescent="0.15">
      <c r="A300" s="21" t="s">
        <v>1860</v>
      </c>
      <c r="B300" s="19"/>
      <c r="C300" s="11"/>
      <c r="D300" s="17" t="s">
        <v>408</v>
      </c>
      <c r="E300" s="10" t="s">
        <v>163</v>
      </c>
      <c r="F300" s="11" t="s">
        <v>1869</v>
      </c>
      <c r="G300" s="18">
        <f>29.101*L300</f>
        <v>145.505</v>
      </c>
      <c r="H300" s="13">
        <v>42158</v>
      </c>
      <c r="I300" s="12" t="s">
        <v>683</v>
      </c>
      <c r="J300" s="12" t="s">
        <v>1870</v>
      </c>
      <c r="K300" s="12" t="s">
        <v>21</v>
      </c>
      <c r="L300" s="12">
        <v>5</v>
      </c>
      <c r="M300" s="14" t="s">
        <v>1871</v>
      </c>
      <c r="N300" s="14" t="s">
        <v>229</v>
      </c>
      <c r="O300" s="17" t="s">
        <v>1872</v>
      </c>
    </row>
    <row r="301" spans="1:15" x14ac:dyDescent="0.15">
      <c r="A301" s="21" t="s">
        <v>681</v>
      </c>
      <c r="B301" s="19"/>
      <c r="C301" s="11"/>
      <c r="D301" s="17" t="s">
        <v>408</v>
      </c>
      <c r="E301" s="10" t="s">
        <v>163</v>
      </c>
      <c r="F301" s="11" t="s">
        <v>1873</v>
      </c>
      <c r="G301" s="18">
        <f>29.101*L301</f>
        <v>116.404</v>
      </c>
      <c r="H301" s="13">
        <v>42158</v>
      </c>
      <c r="I301" s="12" t="s">
        <v>683</v>
      </c>
      <c r="J301" s="12" t="s">
        <v>1874</v>
      </c>
      <c r="K301" s="12" t="s">
        <v>21</v>
      </c>
      <c r="L301" s="12">
        <v>4</v>
      </c>
      <c r="M301" s="14" t="s">
        <v>1871</v>
      </c>
      <c r="N301" s="14" t="s">
        <v>1875</v>
      </c>
      <c r="O301" s="17" t="s">
        <v>1876</v>
      </c>
    </row>
    <row r="302" spans="1:15" x14ac:dyDescent="0.15">
      <c r="A302" s="21" t="s">
        <v>688</v>
      </c>
      <c r="B302" s="19"/>
      <c r="C302" s="11"/>
      <c r="D302" s="17" t="s">
        <v>689</v>
      </c>
      <c r="E302" s="10" t="s">
        <v>163</v>
      </c>
      <c r="F302" s="11" t="s">
        <v>1877</v>
      </c>
      <c r="G302" s="12">
        <f>14.405*L302</f>
        <v>187.26499999999999</v>
      </c>
      <c r="H302" s="13">
        <v>42158</v>
      </c>
      <c r="I302" s="12" t="s">
        <v>635</v>
      </c>
      <c r="J302" s="12" t="s">
        <v>1878</v>
      </c>
      <c r="K302" s="12" t="s">
        <v>227</v>
      </c>
      <c r="L302" s="12">
        <v>13</v>
      </c>
      <c r="M302" s="14" t="s">
        <v>1879</v>
      </c>
      <c r="N302" s="14" t="s">
        <v>1880</v>
      </c>
      <c r="O302" s="17" t="s">
        <v>1881</v>
      </c>
    </row>
    <row r="303" spans="1:15" x14ac:dyDescent="0.15">
      <c r="A303" s="21" t="s">
        <v>1213</v>
      </c>
      <c r="B303" s="19"/>
      <c r="C303" s="11"/>
      <c r="D303" s="17" t="s">
        <v>567</v>
      </c>
      <c r="E303" s="10" t="s">
        <v>163</v>
      </c>
      <c r="F303" s="11" t="s">
        <v>1882</v>
      </c>
      <c r="G303" s="12">
        <f>27.688*L303</f>
        <v>332.25599999999997</v>
      </c>
      <c r="H303" s="13">
        <v>42158</v>
      </c>
      <c r="I303" s="12" t="s">
        <v>635</v>
      </c>
      <c r="J303" s="12" t="s">
        <v>1883</v>
      </c>
      <c r="K303" s="12" t="s">
        <v>21</v>
      </c>
      <c r="L303" s="12">
        <v>12</v>
      </c>
      <c r="M303" s="14" t="s">
        <v>1884</v>
      </c>
      <c r="N303" s="14" t="s">
        <v>242</v>
      </c>
      <c r="O303" s="17" t="s">
        <v>1885</v>
      </c>
    </row>
    <row r="304" spans="1:15" x14ac:dyDescent="0.15">
      <c r="A304" s="21" t="s">
        <v>1886</v>
      </c>
      <c r="B304" s="19"/>
      <c r="C304" s="11"/>
      <c r="D304" s="17" t="s">
        <v>223</v>
      </c>
      <c r="E304" s="10" t="s">
        <v>163</v>
      </c>
      <c r="F304" s="11" t="s">
        <v>1887</v>
      </c>
      <c r="G304" s="12">
        <f>29.101*L304</f>
        <v>116.404</v>
      </c>
      <c r="H304" s="13">
        <v>42158</v>
      </c>
      <c r="I304" s="12" t="s">
        <v>1661</v>
      </c>
      <c r="J304" s="12" t="s">
        <v>1888</v>
      </c>
      <c r="K304" s="12" t="s">
        <v>227</v>
      </c>
      <c r="L304" s="12">
        <v>4</v>
      </c>
      <c r="M304" s="14" t="s">
        <v>1889</v>
      </c>
      <c r="N304" s="14" t="s">
        <v>571</v>
      </c>
      <c r="O304" s="17" t="s">
        <v>1890</v>
      </c>
    </row>
    <row r="305" spans="1:15" x14ac:dyDescent="0.15">
      <c r="A305" s="21" t="s">
        <v>221</v>
      </c>
      <c r="B305" s="11" t="s">
        <v>222</v>
      </c>
      <c r="C305" s="11"/>
      <c r="D305" s="17" t="s">
        <v>223</v>
      </c>
      <c r="E305" s="10" t="s">
        <v>163</v>
      </c>
      <c r="F305" s="11" t="s">
        <v>1891</v>
      </c>
      <c r="G305" s="12">
        <f>29.101*L305/2</f>
        <v>116.404</v>
      </c>
      <c r="H305" s="13">
        <v>42158</v>
      </c>
      <c r="I305" s="12" t="s">
        <v>225</v>
      </c>
      <c r="J305" s="12" t="s">
        <v>1892</v>
      </c>
      <c r="K305" s="12" t="s">
        <v>227</v>
      </c>
      <c r="L305" s="12">
        <v>8</v>
      </c>
      <c r="M305" s="14" t="s">
        <v>1889</v>
      </c>
      <c r="N305" s="14" t="s">
        <v>1893</v>
      </c>
      <c r="O305" s="17" t="s">
        <v>1894</v>
      </c>
    </row>
    <row r="306" spans="1:15" x14ac:dyDescent="0.15">
      <c r="A306" s="21" t="s">
        <v>1229</v>
      </c>
      <c r="B306" s="19"/>
      <c r="C306" s="11"/>
      <c r="D306" s="17" t="s">
        <v>1230</v>
      </c>
      <c r="E306" s="10" t="s">
        <v>163</v>
      </c>
      <c r="F306" s="11" t="s">
        <v>1895</v>
      </c>
      <c r="G306" s="12">
        <f>29.101*L306</f>
        <v>232.80799999999999</v>
      </c>
      <c r="H306" s="13">
        <v>42158</v>
      </c>
      <c r="I306" s="12" t="s">
        <v>1232</v>
      </c>
      <c r="J306" s="12" t="s">
        <v>1896</v>
      </c>
      <c r="K306" s="12" t="s">
        <v>132</v>
      </c>
      <c r="L306" s="12">
        <v>8</v>
      </c>
      <c r="M306" s="14" t="s">
        <v>1400</v>
      </c>
      <c r="N306" s="14" t="s">
        <v>1041</v>
      </c>
      <c r="O306" s="17" t="s">
        <v>1897</v>
      </c>
    </row>
    <row r="307" spans="1:15" x14ac:dyDescent="0.15">
      <c r="A307" s="21" t="s">
        <v>1898</v>
      </c>
      <c r="B307" s="19"/>
      <c r="C307" s="11"/>
      <c r="D307" s="17" t="s">
        <v>341</v>
      </c>
      <c r="E307" s="10" t="s">
        <v>163</v>
      </c>
      <c r="F307" s="11" t="s">
        <v>1899</v>
      </c>
      <c r="G307" s="12">
        <f>18.708*L307</f>
        <v>224.49599999999998</v>
      </c>
      <c r="H307" s="13">
        <v>42158</v>
      </c>
      <c r="I307" s="12" t="s">
        <v>1098</v>
      </c>
      <c r="J307" s="12" t="s">
        <v>1900</v>
      </c>
      <c r="K307" s="12" t="s">
        <v>227</v>
      </c>
      <c r="L307" s="12">
        <v>12</v>
      </c>
      <c r="M307" s="14" t="s">
        <v>1901</v>
      </c>
      <c r="N307" s="14" t="s">
        <v>242</v>
      </c>
      <c r="O307" s="17" t="s">
        <v>1902</v>
      </c>
    </row>
    <row r="308" spans="1:15" x14ac:dyDescent="0.15">
      <c r="A308" s="21" t="s">
        <v>1903</v>
      </c>
      <c r="B308" s="19"/>
      <c r="C308" s="11"/>
      <c r="D308" s="17" t="s">
        <v>16</v>
      </c>
      <c r="E308" s="10" t="s">
        <v>163</v>
      </c>
      <c r="F308" s="11" t="s">
        <v>1904</v>
      </c>
      <c r="G308" s="12">
        <f>17.498*L308</f>
        <v>52.494</v>
      </c>
      <c r="H308" s="13">
        <v>42158</v>
      </c>
      <c r="I308" s="12" t="s">
        <v>233</v>
      </c>
      <c r="J308" s="12" t="s">
        <v>1905</v>
      </c>
      <c r="K308" s="12" t="s">
        <v>227</v>
      </c>
      <c r="L308" s="12">
        <v>3</v>
      </c>
      <c r="M308" s="14" t="s">
        <v>1556</v>
      </c>
      <c r="N308" s="14" t="s">
        <v>1906</v>
      </c>
      <c r="O308" s="17" t="s">
        <v>1907</v>
      </c>
    </row>
    <row r="309" spans="1:15" x14ac:dyDescent="0.15">
      <c r="A309" s="21" t="s">
        <v>922</v>
      </c>
      <c r="B309" s="19" t="s">
        <v>180</v>
      </c>
      <c r="C309" s="11"/>
      <c r="D309" s="17" t="s">
        <v>128</v>
      </c>
      <c r="E309" s="10" t="s">
        <v>163</v>
      </c>
      <c r="F309" s="11" t="s">
        <v>1908</v>
      </c>
      <c r="G309" s="18">
        <f>8.606*L309</f>
        <v>215.15</v>
      </c>
      <c r="H309" s="13">
        <v>42158</v>
      </c>
      <c r="I309" s="12" t="s">
        <v>182</v>
      </c>
      <c r="J309" s="12" t="s">
        <v>1909</v>
      </c>
      <c r="K309" s="12" t="s">
        <v>227</v>
      </c>
      <c r="L309" s="12">
        <v>25</v>
      </c>
      <c r="M309" s="14" t="s">
        <v>1910</v>
      </c>
      <c r="N309" s="14" t="s">
        <v>338</v>
      </c>
      <c r="O309" s="17" t="s">
        <v>1911</v>
      </c>
    </row>
    <row r="310" spans="1:15" x14ac:dyDescent="0.15">
      <c r="A310" s="21" t="s">
        <v>1912</v>
      </c>
      <c r="B310" s="19"/>
      <c r="C310" s="11"/>
      <c r="D310" s="17" t="s">
        <v>1913</v>
      </c>
      <c r="E310" s="10" t="s">
        <v>163</v>
      </c>
      <c r="F310" s="11" t="s">
        <v>1914</v>
      </c>
      <c r="G310" s="12">
        <v>105.967</v>
      </c>
      <c r="H310" s="13">
        <v>42158</v>
      </c>
      <c r="I310" s="12" t="s">
        <v>215</v>
      </c>
      <c r="J310" s="12" t="s">
        <v>1915</v>
      </c>
      <c r="K310" s="12" t="s">
        <v>255</v>
      </c>
      <c r="L310" s="12" t="s">
        <v>1916</v>
      </c>
      <c r="M310" s="14" t="s">
        <v>1917</v>
      </c>
      <c r="N310" s="14" t="s">
        <v>1918</v>
      </c>
      <c r="O310" s="17" t="s">
        <v>1919</v>
      </c>
    </row>
    <row r="311" spans="1:15" x14ac:dyDescent="0.15">
      <c r="A311" s="21" t="s">
        <v>1708</v>
      </c>
      <c r="B311" s="19"/>
      <c r="C311" s="11"/>
      <c r="D311" s="17" t="s">
        <v>1692</v>
      </c>
      <c r="E311" s="10" t="s">
        <v>163</v>
      </c>
      <c r="F311" s="11" t="s">
        <v>1920</v>
      </c>
      <c r="G311" s="12">
        <v>153.80199999999999</v>
      </c>
      <c r="H311" s="13">
        <v>42158</v>
      </c>
      <c r="I311" s="12" t="s">
        <v>215</v>
      </c>
      <c r="J311" s="12" t="s">
        <v>1921</v>
      </c>
      <c r="K311" s="12" t="s">
        <v>255</v>
      </c>
      <c r="L311" s="12" t="s">
        <v>1922</v>
      </c>
      <c r="M311" s="14" t="s">
        <v>1923</v>
      </c>
      <c r="N311" s="14" t="s">
        <v>1924</v>
      </c>
      <c r="O311" s="17" t="s">
        <v>1925</v>
      </c>
    </row>
    <row r="312" spans="1:15" x14ac:dyDescent="0.15">
      <c r="A312" s="21" t="s">
        <v>1708</v>
      </c>
      <c r="B312" s="19"/>
      <c r="C312" s="11"/>
      <c r="D312" s="17" t="s">
        <v>1692</v>
      </c>
      <c r="E312" s="10" t="s">
        <v>163</v>
      </c>
      <c r="F312" s="11" t="s">
        <v>1926</v>
      </c>
      <c r="G312" s="12">
        <v>307.61200000000002</v>
      </c>
      <c r="H312" s="13">
        <v>42158</v>
      </c>
      <c r="I312" s="12" t="s">
        <v>215</v>
      </c>
      <c r="J312" s="12" t="s">
        <v>1927</v>
      </c>
      <c r="K312" s="12" t="s">
        <v>255</v>
      </c>
      <c r="L312" s="12" t="s">
        <v>1328</v>
      </c>
      <c r="M312" s="14" t="s">
        <v>1928</v>
      </c>
      <c r="N312" s="14" t="s">
        <v>1929</v>
      </c>
      <c r="O312" s="17" t="s">
        <v>1930</v>
      </c>
    </row>
    <row r="313" spans="1:15" x14ac:dyDescent="0.15">
      <c r="A313" s="21" t="s">
        <v>1708</v>
      </c>
      <c r="B313" s="19"/>
      <c r="C313" s="11"/>
      <c r="D313" s="17" t="s">
        <v>1692</v>
      </c>
      <c r="E313" s="10" t="s">
        <v>163</v>
      </c>
      <c r="F313" s="11" t="s">
        <v>1931</v>
      </c>
      <c r="G313" s="12">
        <v>305.37799999999999</v>
      </c>
      <c r="H313" s="13">
        <v>42158</v>
      </c>
      <c r="I313" s="12" t="s">
        <v>215</v>
      </c>
      <c r="J313" s="12" t="s">
        <v>1932</v>
      </c>
      <c r="K313" s="12" t="s">
        <v>255</v>
      </c>
      <c r="L313" s="12" t="s">
        <v>1328</v>
      </c>
      <c r="M313" s="14" t="s">
        <v>1933</v>
      </c>
      <c r="N313" s="14" t="s">
        <v>1934</v>
      </c>
      <c r="O313" s="17" t="s">
        <v>1935</v>
      </c>
    </row>
    <row r="314" spans="1:15" x14ac:dyDescent="0.15">
      <c r="A314" s="20" t="s">
        <v>1936</v>
      </c>
      <c r="B314" s="19"/>
      <c r="C314" s="11"/>
      <c r="D314" s="17" t="s">
        <v>1937</v>
      </c>
      <c r="E314" s="10" t="s">
        <v>163</v>
      </c>
      <c r="F314" s="11" t="s">
        <v>1938</v>
      </c>
      <c r="G314" s="12">
        <f>20.816*L314</f>
        <v>20.815999999999999</v>
      </c>
      <c r="H314" s="13">
        <v>42159</v>
      </c>
      <c r="I314" s="12" t="s">
        <v>207</v>
      </c>
      <c r="J314" s="12" t="s">
        <v>1939</v>
      </c>
      <c r="K314" s="12" t="s">
        <v>184</v>
      </c>
      <c r="L314" s="12">
        <v>1</v>
      </c>
      <c r="M314" s="14" t="s">
        <v>1940</v>
      </c>
      <c r="N314" s="14" t="s">
        <v>1431</v>
      </c>
      <c r="O314" s="17" t="s">
        <v>1941</v>
      </c>
    </row>
    <row r="315" spans="1:15" x14ac:dyDescent="0.15">
      <c r="A315" s="21" t="s">
        <v>1066</v>
      </c>
      <c r="B315" s="19"/>
      <c r="C315" s="11"/>
      <c r="D315" s="17" t="s">
        <v>573</v>
      </c>
      <c r="E315" s="10" t="s">
        <v>163</v>
      </c>
      <c r="F315" s="11" t="s">
        <v>1942</v>
      </c>
      <c r="G315" s="12">
        <f>17.52*L315</f>
        <v>35.04</v>
      </c>
      <c r="H315" s="13">
        <v>42159</v>
      </c>
      <c r="I315" s="23" t="s">
        <v>1068</v>
      </c>
      <c r="J315" s="23" t="s">
        <v>1943</v>
      </c>
      <c r="K315" s="12" t="s">
        <v>227</v>
      </c>
      <c r="L315" s="12">
        <v>2</v>
      </c>
      <c r="M315" s="14" t="s">
        <v>1070</v>
      </c>
      <c r="N315" s="14" t="s">
        <v>577</v>
      </c>
      <c r="O315" s="17" t="s">
        <v>1944</v>
      </c>
    </row>
    <row r="316" spans="1:15" x14ac:dyDescent="0.15">
      <c r="A316" s="21" t="s">
        <v>1945</v>
      </c>
      <c r="B316" s="19"/>
      <c r="C316" s="11"/>
      <c r="D316" s="17" t="s">
        <v>389</v>
      </c>
      <c r="E316" s="10" t="s">
        <v>163</v>
      </c>
      <c r="F316" s="11" t="s">
        <v>1946</v>
      </c>
      <c r="G316" s="12">
        <f>17.52*L316</f>
        <v>52.56</v>
      </c>
      <c r="H316" s="13">
        <v>42159</v>
      </c>
      <c r="I316" s="12" t="s">
        <v>635</v>
      </c>
      <c r="J316" s="12" t="s">
        <v>1947</v>
      </c>
      <c r="K316" s="12" t="s">
        <v>184</v>
      </c>
      <c r="L316" s="12">
        <v>3</v>
      </c>
      <c r="M316" s="14" t="s">
        <v>1948</v>
      </c>
      <c r="N316" s="14" t="s">
        <v>1949</v>
      </c>
      <c r="O316" s="17" t="s">
        <v>1950</v>
      </c>
    </row>
    <row r="317" spans="1:15" x14ac:dyDescent="0.15">
      <c r="A317" s="21" t="s">
        <v>1951</v>
      </c>
      <c r="B317" s="19"/>
      <c r="C317" s="11"/>
      <c r="D317" s="17" t="s">
        <v>1952</v>
      </c>
      <c r="E317" s="10" t="s">
        <v>163</v>
      </c>
      <c r="F317" s="11" t="s">
        <v>1953</v>
      </c>
      <c r="G317" s="12">
        <f>18.708*L317</f>
        <v>280.62</v>
      </c>
      <c r="H317" s="13">
        <v>42159</v>
      </c>
      <c r="I317" s="12" t="s">
        <v>1098</v>
      </c>
      <c r="J317" s="12" t="s">
        <v>1954</v>
      </c>
      <c r="K317" s="12" t="s">
        <v>227</v>
      </c>
      <c r="L317" s="12">
        <v>15</v>
      </c>
      <c r="M317" s="14" t="s">
        <v>1955</v>
      </c>
      <c r="N317" s="14" t="s">
        <v>1151</v>
      </c>
      <c r="O317" s="17" t="s">
        <v>1956</v>
      </c>
    </row>
    <row r="318" spans="1:15" x14ac:dyDescent="0.15">
      <c r="A318" s="21" t="s">
        <v>1957</v>
      </c>
      <c r="B318" s="19"/>
      <c r="C318" s="11"/>
      <c r="D318" s="17" t="s">
        <v>425</v>
      </c>
      <c r="E318" s="10" t="s">
        <v>163</v>
      </c>
      <c r="F318" s="11" t="s">
        <v>1958</v>
      </c>
      <c r="G318" s="12">
        <f>18.708*L318</f>
        <v>187.07999999999998</v>
      </c>
      <c r="H318" s="13">
        <v>42159</v>
      </c>
      <c r="I318" s="12" t="s">
        <v>1098</v>
      </c>
      <c r="J318" s="12" t="s">
        <v>1959</v>
      </c>
      <c r="K318" s="12" t="s">
        <v>132</v>
      </c>
      <c r="L318" s="12">
        <v>10</v>
      </c>
      <c r="M318" s="14" t="s">
        <v>1955</v>
      </c>
      <c r="N318" s="14" t="s">
        <v>58</v>
      </c>
      <c r="O318" s="17" t="s">
        <v>1960</v>
      </c>
    </row>
    <row r="319" spans="1:15" x14ac:dyDescent="0.15">
      <c r="A319" s="21" t="s">
        <v>1243</v>
      </c>
      <c r="B319" s="19"/>
      <c r="C319" s="11"/>
      <c r="D319" s="17" t="s">
        <v>334</v>
      </c>
      <c r="E319" s="10" t="s">
        <v>163</v>
      </c>
      <c r="F319" s="11" t="s">
        <v>1961</v>
      </c>
      <c r="G319" s="12">
        <f>18.708*L319</f>
        <v>224.49599999999998</v>
      </c>
      <c r="H319" s="13">
        <v>42159</v>
      </c>
      <c r="I319" s="12" t="s">
        <v>1098</v>
      </c>
      <c r="J319" s="12" t="s">
        <v>1962</v>
      </c>
      <c r="K319" s="12" t="s">
        <v>132</v>
      </c>
      <c r="L319" s="12">
        <v>12</v>
      </c>
      <c r="M319" s="14" t="s">
        <v>1963</v>
      </c>
      <c r="N319" s="14" t="s">
        <v>242</v>
      </c>
      <c r="O319" s="17" t="s">
        <v>1964</v>
      </c>
    </row>
    <row r="320" spans="1:15" x14ac:dyDescent="0.15">
      <c r="A320" s="21" t="s">
        <v>1243</v>
      </c>
      <c r="B320" s="19"/>
      <c r="C320" s="11"/>
      <c r="D320" s="17" t="s">
        <v>334</v>
      </c>
      <c r="E320" s="10" t="s">
        <v>163</v>
      </c>
      <c r="F320" s="11" t="s">
        <v>1965</v>
      </c>
      <c r="G320" s="12">
        <f>18.708*L320</f>
        <v>243.20399999999998</v>
      </c>
      <c r="H320" s="13">
        <v>42159</v>
      </c>
      <c r="I320" s="12" t="s">
        <v>1098</v>
      </c>
      <c r="J320" s="12" t="s">
        <v>1966</v>
      </c>
      <c r="K320" s="12" t="s">
        <v>132</v>
      </c>
      <c r="L320" s="12">
        <v>13</v>
      </c>
      <c r="M320" s="14" t="s">
        <v>1963</v>
      </c>
      <c r="N320" s="14" t="s">
        <v>1472</v>
      </c>
      <c r="O320" s="17" t="s">
        <v>1967</v>
      </c>
    </row>
    <row r="321" spans="1:15" x14ac:dyDescent="0.15">
      <c r="A321" s="21" t="s">
        <v>1124</v>
      </c>
      <c r="B321" s="19"/>
      <c r="C321" s="11"/>
      <c r="D321" s="17" t="s">
        <v>705</v>
      </c>
      <c r="E321" s="10" t="s">
        <v>163</v>
      </c>
      <c r="F321" s="11" t="s">
        <v>1968</v>
      </c>
      <c r="G321" s="18">
        <f>17.498*L321</f>
        <v>122.486</v>
      </c>
      <c r="H321" s="13">
        <v>42159</v>
      </c>
      <c r="I321" s="12" t="s">
        <v>635</v>
      </c>
      <c r="J321" s="12" t="s">
        <v>1969</v>
      </c>
      <c r="K321" s="12" t="s">
        <v>227</v>
      </c>
      <c r="L321" s="12">
        <v>7</v>
      </c>
      <c r="M321" s="14" t="s">
        <v>1127</v>
      </c>
      <c r="N321" s="14" t="s">
        <v>1970</v>
      </c>
      <c r="O321" s="17" t="s">
        <v>1971</v>
      </c>
    </row>
    <row r="322" spans="1:15" x14ac:dyDescent="0.15">
      <c r="A322" s="21" t="s">
        <v>1972</v>
      </c>
      <c r="B322" s="19"/>
      <c r="C322" s="11"/>
      <c r="D322" s="17" t="s">
        <v>1973</v>
      </c>
      <c r="E322" s="10" t="s">
        <v>163</v>
      </c>
      <c r="F322" s="11" t="s">
        <v>1974</v>
      </c>
      <c r="G322" s="23">
        <f>12.838*L322</f>
        <v>269.59799999999996</v>
      </c>
      <c r="H322" s="13">
        <v>42159</v>
      </c>
      <c r="I322" s="12" t="s">
        <v>233</v>
      </c>
      <c r="J322" s="12" t="s">
        <v>1975</v>
      </c>
      <c r="K322" s="12" t="s">
        <v>227</v>
      </c>
      <c r="L322" s="12">
        <v>21</v>
      </c>
      <c r="M322" s="14" t="s">
        <v>1976</v>
      </c>
      <c r="N322" s="14" t="s">
        <v>1977</v>
      </c>
      <c r="O322" s="17" t="s">
        <v>1978</v>
      </c>
    </row>
    <row r="323" spans="1:15" x14ac:dyDescent="0.15">
      <c r="A323" s="21" t="s">
        <v>688</v>
      </c>
      <c r="B323" s="19"/>
      <c r="C323" s="11"/>
      <c r="D323" s="17" t="s">
        <v>689</v>
      </c>
      <c r="E323" s="10" t="s">
        <v>163</v>
      </c>
      <c r="F323" s="11" t="s">
        <v>1979</v>
      </c>
      <c r="G323" s="12">
        <f>14.405*L323</f>
        <v>86.429999999999993</v>
      </c>
      <c r="H323" s="13">
        <v>42160</v>
      </c>
      <c r="I323" s="12" t="s">
        <v>635</v>
      </c>
      <c r="J323" s="12" t="s">
        <v>1980</v>
      </c>
      <c r="K323" s="12" t="s">
        <v>227</v>
      </c>
      <c r="L323" s="12">
        <v>6</v>
      </c>
      <c r="M323" s="14" t="s">
        <v>1981</v>
      </c>
      <c r="N323" s="14" t="s">
        <v>1982</v>
      </c>
      <c r="O323" s="17" t="s">
        <v>1983</v>
      </c>
    </row>
    <row r="324" spans="1:15" x14ac:dyDescent="0.15">
      <c r="A324" s="21" t="s">
        <v>1984</v>
      </c>
      <c r="B324" s="19"/>
      <c r="C324" s="11"/>
      <c r="D324" s="17" t="s">
        <v>1475</v>
      </c>
      <c r="E324" s="10" t="s">
        <v>163</v>
      </c>
      <c r="F324" s="11" t="s">
        <v>1985</v>
      </c>
      <c r="G324" s="12">
        <v>99.923000000000002</v>
      </c>
      <c r="H324" s="13">
        <v>42163</v>
      </c>
      <c r="I324" s="12" t="s">
        <v>215</v>
      </c>
      <c r="J324" s="12" t="s">
        <v>1986</v>
      </c>
      <c r="K324" s="12" t="s">
        <v>175</v>
      </c>
      <c r="L324" s="12" t="s">
        <v>1478</v>
      </c>
      <c r="M324" s="14" t="s">
        <v>1987</v>
      </c>
      <c r="N324" s="14" t="s">
        <v>1988</v>
      </c>
      <c r="O324" s="17" t="s">
        <v>1989</v>
      </c>
    </row>
    <row r="325" spans="1:15" x14ac:dyDescent="0.15">
      <c r="A325" s="21" t="s">
        <v>1984</v>
      </c>
      <c r="B325" s="19"/>
      <c r="C325" s="11"/>
      <c r="D325" s="17" t="s">
        <v>1475</v>
      </c>
      <c r="E325" s="10" t="s">
        <v>163</v>
      </c>
      <c r="F325" s="11" t="s">
        <v>1990</v>
      </c>
      <c r="G325" s="12">
        <v>100.182</v>
      </c>
      <c r="H325" s="13">
        <v>42163</v>
      </c>
      <c r="I325" s="12" t="s">
        <v>215</v>
      </c>
      <c r="J325" s="12" t="s">
        <v>1991</v>
      </c>
      <c r="K325" s="12" t="s">
        <v>175</v>
      </c>
      <c r="L325" s="12" t="s">
        <v>1478</v>
      </c>
      <c r="M325" s="14" t="s">
        <v>1992</v>
      </c>
      <c r="N325" s="14" t="s">
        <v>1993</v>
      </c>
      <c r="O325" s="17" t="s">
        <v>1994</v>
      </c>
    </row>
    <row r="326" spans="1:15" x14ac:dyDescent="0.15">
      <c r="A326" s="21" t="s">
        <v>1995</v>
      </c>
      <c r="B326" s="19"/>
      <c r="C326" s="11"/>
      <c r="D326" s="17" t="s">
        <v>1742</v>
      </c>
      <c r="E326" s="10" t="s">
        <v>163</v>
      </c>
      <c r="F326" s="11" t="s">
        <v>1996</v>
      </c>
      <c r="G326" s="12">
        <v>79.284999999999997</v>
      </c>
      <c r="H326" s="13">
        <v>42163</v>
      </c>
      <c r="I326" s="18" t="s">
        <v>191</v>
      </c>
      <c r="J326" s="12" t="s">
        <v>1997</v>
      </c>
      <c r="K326" s="12" t="s">
        <v>255</v>
      </c>
      <c r="L326" s="12" t="s">
        <v>1598</v>
      </c>
      <c r="M326" s="14" t="s">
        <v>1998</v>
      </c>
      <c r="N326" s="14" t="s">
        <v>1999</v>
      </c>
      <c r="O326" s="17" t="s">
        <v>2000</v>
      </c>
    </row>
    <row r="327" spans="1:15" x14ac:dyDescent="0.15">
      <c r="A327" s="21" t="s">
        <v>2001</v>
      </c>
      <c r="B327" s="19"/>
      <c r="C327" s="11"/>
      <c r="D327" s="17" t="s">
        <v>432</v>
      </c>
      <c r="E327" s="10" t="s">
        <v>163</v>
      </c>
      <c r="F327" s="11" t="s">
        <v>2002</v>
      </c>
      <c r="G327" s="12">
        <v>267.56099999999998</v>
      </c>
      <c r="H327" s="13">
        <v>42163</v>
      </c>
      <c r="I327" s="12" t="s">
        <v>215</v>
      </c>
      <c r="J327" s="12" t="s">
        <v>2003</v>
      </c>
      <c r="K327" s="12" t="s">
        <v>175</v>
      </c>
      <c r="L327" s="12" t="s">
        <v>1334</v>
      </c>
      <c r="M327" s="14" t="s">
        <v>2004</v>
      </c>
      <c r="N327" s="14" t="s">
        <v>1701</v>
      </c>
      <c r="O327" s="17" t="s">
        <v>2005</v>
      </c>
    </row>
    <row r="328" spans="1:15" x14ac:dyDescent="0.15">
      <c r="A328" s="21" t="s">
        <v>1387</v>
      </c>
      <c r="B328" s="19"/>
      <c r="C328" s="11"/>
      <c r="D328" s="17" t="s">
        <v>432</v>
      </c>
      <c r="E328" s="10" t="s">
        <v>163</v>
      </c>
      <c r="F328" s="11" t="s">
        <v>2006</v>
      </c>
      <c r="G328" s="12">
        <v>302.49799999999999</v>
      </c>
      <c r="H328" s="13">
        <v>42163</v>
      </c>
      <c r="I328" s="12" t="s">
        <v>215</v>
      </c>
      <c r="J328" s="12" t="s">
        <v>2007</v>
      </c>
      <c r="K328" s="12" t="s">
        <v>175</v>
      </c>
      <c r="L328" s="12" t="s">
        <v>1328</v>
      </c>
      <c r="M328" s="14" t="s">
        <v>2008</v>
      </c>
      <c r="N328" s="14" t="s">
        <v>2009</v>
      </c>
      <c r="O328" s="17" t="s">
        <v>2010</v>
      </c>
    </row>
    <row r="329" spans="1:15" x14ac:dyDescent="0.15">
      <c r="A329" s="21" t="s">
        <v>1025</v>
      </c>
      <c r="B329" s="19"/>
      <c r="C329" s="11"/>
      <c r="D329" s="17" t="s">
        <v>453</v>
      </c>
      <c r="E329" s="10" t="s">
        <v>163</v>
      </c>
      <c r="F329" s="11" t="s">
        <v>2011</v>
      </c>
      <c r="G329" s="12">
        <v>383.03100000000001</v>
      </c>
      <c r="H329" s="13">
        <v>42163</v>
      </c>
      <c r="I329" s="12" t="s">
        <v>215</v>
      </c>
      <c r="J329" s="12" t="s">
        <v>2012</v>
      </c>
      <c r="K329" s="12" t="s">
        <v>175</v>
      </c>
      <c r="L329" s="12" t="s">
        <v>1445</v>
      </c>
      <c r="M329" s="14" t="s">
        <v>2013</v>
      </c>
      <c r="N329" s="14" t="s">
        <v>2014</v>
      </c>
      <c r="O329" s="17" t="s">
        <v>2015</v>
      </c>
    </row>
    <row r="330" spans="1:15" x14ac:dyDescent="0.15">
      <c r="A330" s="21" t="s">
        <v>1025</v>
      </c>
      <c r="B330" s="19"/>
      <c r="C330" s="11"/>
      <c r="D330" s="17" t="s">
        <v>453</v>
      </c>
      <c r="E330" s="10" t="s">
        <v>163</v>
      </c>
      <c r="F330" s="11" t="s">
        <v>2016</v>
      </c>
      <c r="G330" s="12">
        <v>185.45599999999999</v>
      </c>
      <c r="H330" s="13">
        <v>42163</v>
      </c>
      <c r="I330" s="12" t="s">
        <v>215</v>
      </c>
      <c r="J330" s="12" t="s">
        <v>2017</v>
      </c>
      <c r="K330" s="12" t="s">
        <v>175</v>
      </c>
      <c r="L330" s="12" t="s">
        <v>1028</v>
      </c>
      <c r="M330" s="14" t="s">
        <v>2018</v>
      </c>
      <c r="N330" s="14" t="s">
        <v>2019</v>
      </c>
      <c r="O330" s="17" t="s">
        <v>2020</v>
      </c>
    </row>
    <row r="331" spans="1:15" x14ac:dyDescent="0.15">
      <c r="A331" s="21" t="s">
        <v>1325</v>
      </c>
      <c r="B331" s="19"/>
      <c r="C331" s="11"/>
      <c r="D331" s="17" t="s">
        <v>453</v>
      </c>
      <c r="E331" s="10" t="s">
        <v>163</v>
      </c>
      <c r="F331" s="11" t="s">
        <v>2021</v>
      </c>
      <c r="G331" s="12">
        <v>301.875</v>
      </c>
      <c r="H331" s="13">
        <v>42163</v>
      </c>
      <c r="I331" s="18" t="s">
        <v>737</v>
      </c>
      <c r="J331" s="12" t="s">
        <v>2022</v>
      </c>
      <c r="K331" s="12" t="s">
        <v>175</v>
      </c>
      <c r="L331" s="12" t="s">
        <v>1328</v>
      </c>
      <c r="M331" s="14" t="s">
        <v>2023</v>
      </c>
      <c r="N331" s="14" t="s">
        <v>2024</v>
      </c>
      <c r="O331" s="17" t="s">
        <v>2025</v>
      </c>
    </row>
    <row r="332" spans="1:15" x14ac:dyDescent="0.15">
      <c r="A332" s="21" t="s">
        <v>2026</v>
      </c>
      <c r="B332" s="19"/>
      <c r="C332" s="11"/>
      <c r="D332" s="17" t="s">
        <v>846</v>
      </c>
      <c r="E332" s="10" t="s">
        <v>163</v>
      </c>
      <c r="F332" s="11" t="s">
        <v>2027</v>
      </c>
      <c r="G332" s="12">
        <v>262.13099999999997</v>
      </c>
      <c r="H332" s="13">
        <v>42163</v>
      </c>
      <c r="I332" s="18" t="s">
        <v>191</v>
      </c>
      <c r="J332" s="12" t="s">
        <v>2028</v>
      </c>
      <c r="K332" s="12" t="s">
        <v>175</v>
      </c>
      <c r="L332" s="12" t="s">
        <v>849</v>
      </c>
      <c r="M332" s="14" t="s">
        <v>2029</v>
      </c>
      <c r="N332" s="14" t="s">
        <v>2030</v>
      </c>
      <c r="O332" s="17" t="s">
        <v>2031</v>
      </c>
    </row>
    <row r="333" spans="1:15" x14ac:dyDescent="0.15">
      <c r="A333" s="21" t="s">
        <v>2026</v>
      </c>
      <c r="B333" s="19"/>
      <c r="C333" s="11"/>
      <c r="D333" s="17" t="s">
        <v>846</v>
      </c>
      <c r="E333" s="10" t="s">
        <v>163</v>
      </c>
      <c r="F333" s="11" t="s">
        <v>2032</v>
      </c>
      <c r="G333" s="12">
        <v>231.422</v>
      </c>
      <c r="H333" s="13">
        <v>42163</v>
      </c>
      <c r="I333" s="18" t="s">
        <v>191</v>
      </c>
      <c r="J333" s="12" t="s">
        <v>2033</v>
      </c>
      <c r="K333" s="12" t="s">
        <v>175</v>
      </c>
      <c r="L333" s="12" t="s">
        <v>166</v>
      </c>
      <c r="M333" s="14" t="s">
        <v>2034</v>
      </c>
      <c r="N333" s="14" t="s">
        <v>2035</v>
      </c>
      <c r="O333" s="17" t="s">
        <v>2036</v>
      </c>
    </row>
    <row r="334" spans="1:15" x14ac:dyDescent="0.15">
      <c r="A334" s="21" t="s">
        <v>2026</v>
      </c>
      <c r="B334" s="19"/>
      <c r="C334" s="11"/>
      <c r="D334" s="17" t="s">
        <v>846</v>
      </c>
      <c r="E334" s="10" t="s">
        <v>163</v>
      </c>
      <c r="F334" s="11" t="s">
        <v>2037</v>
      </c>
      <c r="G334" s="12">
        <v>291.536</v>
      </c>
      <c r="H334" s="13">
        <v>42163</v>
      </c>
      <c r="I334" s="18" t="s">
        <v>191</v>
      </c>
      <c r="J334" s="12" t="s">
        <v>2038</v>
      </c>
      <c r="K334" s="12" t="s">
        <v>175</v>
      </c>
      <c r="L334" s="12" t="s">
        <v>2039</v>
      </c>
      <c r="M334" s="14" t="s">
        <v>2040</v>
      </c>
      <c r="N334" s="14" t="s">
        <v>2041</v>
      </c>
      <c r="O334" s="17" t="s">
        <v>2042</v>
      </c>
    </row>
    <row r="335" spans="1:15" x14ac:dyDescent="0.15">
      <c r="A335" s="21" t="s">
        <v>2026</v>
      </c>
      <c r="B335" s="19"/>
      <c r="C335" s="11"/>
      <c r="D335" s="17" t="s">
        <v>846</v>
      </c>
      <c r="E335" s="10" t="s">
        <v>163</v>
      </c>
      <c r="F335" s="11" t="s">
        <v>2043</v>
      </c>
      <c r="G335" s="12">
        <v>231.86699999999999</v>
      </c>
      <c r="H335" s="13">
        <v>42163</v>
      </c>
      <c r="I335" s="18" t="s">
        <v>191</v>
      </c>
      <c r="J335" s="12" t="s">
        <v>2044</v>
      </c>
      <c r="K335" s="12" t="s">
        <v>175</v>
      </c>
      <c r="L335" s="12" t="s">
        <v>166</v>
      </c>
      <c r="M335" s="14" t="s">
        <v>2045</v>
      </c>
      <c r="N335" s="14" t="s">
        <v>2046</v>
      </c>
      <c r="O335" s="17" t="s">
        <v>2047</v>
      </c>
    </row>
    <row r="336" spans="1:15" x14ac:dyDescent="0.15">
      <c r="A336" s="21" t="s">
        <v>2048</v>
      </c>
      <c r="B336" s="19"/>
      <c r="C336" s="11"/>
      <c r="D336" s="17" t="s">
        <v>2049</v>
      </c>
      <c r="E336" s="10" t="s">
        <v>163</v>
      </c>
      <c r="F336" s="11" t="s">
        <v>2050</v>
      </c>
      <c r="G336" s="12">
        <v>318.54300000000001</v>
      </c>
      <c r="H336" s="13">
        <v>42163</v>
      </c>
      <c r="I336" s="18" t="s">
        <v>191</v>
      </c>
      <c r="J336" s="12" t="s">
        <v>2051</v>
      </c>
      <c r="K336" s="12" t="s">
        <v>255</v>
      </c>
      <c r="L336" s="12" t="s">
        <v>1520</v>
      </c>
      <c r="M336" s="14" t="s">
        <v>2052</v>
      </c>
      <c r="N336" s="14" t="s">
        <v>2053</v>
      </c>
      <c r="O336" s="17" t="s">
        <v>2054</v>
      </c>
    </row>
    <row r="337" spans="1:15" x14ac:dyDescent="0.15">
      <c r="A337" s="21" t="s">
        <v>1594</v>
      </c>
      <c r="B337" s="19"/>
      <c r="C337" s="11"/>
      <c r="D337" s="17" t="s">
        <v>1595</v>
      </c>
      <c r="E337" s="10" t="s">
        <v>163</v>
      </c>
      <c r="F337" s="11" t="s">
        <v>2055</v>
      </c>
      <c r="G337" s="12">
        <v>108.187</v>
      </c>
      <c r="H337" s="13">
        <v>42163</v>
      </c>
      <c r="I337" s="12" t="s">
        <v>215</v>
      </c>
      <c r="J337" s="12" t="s">
        <v>2056</v>
      </c>
      <c r="K337" s="12" t="s">
        <v>175</v>
      </c>
      <c r="L337" s="12" t="s">
        <v>1598</v>
      </c>
      <c r="M337" s="14" t="s">
        <v>2057</v>
      </c>
      <c r="N337" s="14" t="s">
        <v>2058</v>
      </c>
      <c r="O337" s="17" t="s">
        <v>2059</v>
      </c>
    </row>
    <row r="338" spans="1:15" x14ac:dyDescent="0.15">
      <c r="A338" s="21" t="s">
        <v>2060</v>
      </c>
      <c r="B338" s="19"/>
      <c r="C338" s="11"/>
      <c r="D338" s="17" t="s">
        <v>1595</v>
      </c>
      <c r="E338" s="10" t="s">
        <v>163</v>
      </c>
      <c r="F338" s="11" t="s">
        <v>2061</v>
      </c>
      <c r="G338" s="12">
        <v>80.334000000000003</v>
      </c>
      <c r="H338" s="13">
        <v>42163</v>
      </c>
      <c r="I338" s="12" t="s">
        <v>215</v>
      </c>
      <c r="J338" s="12" t="s">
        <v>2062</v>
      </c>
      <c r="K338" s="12" t="s">
        <v>175</v>
      </c>
      <c r="L338" s="12" t="s">
        <v>980</v>
      </c>
      <c r="M338" s="14" t="s">
        <v>2063</v>
      </c>
      <c r="N338" s="14" t="s">
        <v>2064</v>
      </c>
      <c r="O338" s="17" t="s">
        <v>2065</v>
      </c>
    </row>
    <row r="339" spans="1:15" x14ac:dyDescent="0.15">
      <c r="A339" s="21" t="s">
        <v>1325</v>
      </c>
      <c r="B339" s="19"/>
      <c r="C339" s="11"/>
      <c r="D339" s="17" t="s">
        <v>453</v>
      </c>
      <c r="E339" s="10" t="s">
        <v>163</v>
      </c>
      <c r="F339" s="11" t="s">
        <v>2066</v>
      </c>
      <c r="G339" s="12">
        <v>267.31799999999998</v>
      </c>
      <c r="H339" s="13">
        <v>42163</v>
      </c>
      <c r="I339" s="18" t="s">
        <v>737</v>
      </c>
      <c r="J339" s="12" t="s">
        <v>2067</v>
      </c>
      <c r="K339" s="12" t="s">
        <v>175</v>
      </c>
      <c r="L339" s="12" t="s">
        <v>1334</v>
      </c>
      <c r="M339" s="14" t="s">
        <v>2068</v>
      </c>
      <c r="N339" s="14" t="s">
        <v>2069</v>
      </c>
      <c r="O339" s="17" t="s">
        <v>2070</v>
      </c>
    </row>
    <row r="340" spans="1:15" x14ac:dyDescent="0.15">
      <c r="A340" s="21" t="s">
        <v>845</v>
      </c>
      <c r="B340" s="19"/>
      <c r="C340" s="11"/>
      <c r="D340" s="17" t="s">
        <v>846</v>
      </c>
      <c r="E340" s="10" t="s">
        <v>163</v>
      </c>
      <c r="F340" s="11" t="s">
        <v>2071</v>
      </c>
      <c r="G340" s="12">
        <v>201.72300000000001</v>
      </c>
      <c r="H340" s="13">
        <v>42163</v>
      </c>
      <c r="I340" s="18" t="s">
        <v>737</v>
      </c>
      <c r="J340" s="12" t="s">
        <v>2072</v>
      </c>
      <c r="K340" s="12" t="s">
        <v>175</v>
      </c>
      <c r="L340" s="12" t="s">
        <v>2073</v>
      </c>
      <c r="M340" s="14" t="s">
        <v>2074</v>
      </c>
      <c r="N340" s="14" t="s">
        <v>2075</v>
      </c>
      <c r="O340" s="17" t="s">
        <v>2076</v>
      </c>
    </row>
    <row r="341" spans="1:15" x14ac:dyDescent="0.15">
      <c r="A341" s="21" t="s">
        <v>845</v>
      </c>
      <c r="B341" s="19"/>
      <c r="C341" s="11"/>
      <c r="D341" s="17" t="s">
        <v>846</v>
      </c>
      <c r="E341" s="10" t="s">
        <v>163</v>
      </c>
      <c r="F341" s="11" t="s">
        <v>2077</v>
      </c>
      <c r="G341" s="12">
        <v>141.172</v>
      </c>
      <c r="H341" s="13">
        <v>42163</v>
      </c>
      <c r="I341" s="18" t="s">
        <v>737</v>
      </c>
      <c r="J341" s="12" t="s">
        <v>2078</v>
      </c>
      <c r="K341" s="12" t="s">
        <v>175</v>
      </c>
      <c r="L341" s="12" t="s">
        <v>2079</v>
      </c>
      <c r="M341" s="14" t="s">
        <v>2080</v>
      </c>
      <c r="N341" s="14" t="s">
        <v>2081</v>
      </c>
      <c r="O341" s="17" t="s">
        <v>2082</v>
      </c>
    </row>
    <row r="342" spans="1:15" x14ac:dyDescent="0.15">
      <c r="A342" s="21" t="s">
        <v>845</v>
      </c>
      <c r="B342" s="19"/>
      <c r="C342" s="11"/>
      <c r="D342" s="17" t="s">
        <v>846</v>
      </c>
      <c r="E342" s="10" t="s">
        <v>163</v>
      </c>
      <c r="F342" s="11" t="s">
        <v>2083</v>
      </c>
      <c r="G342" s="12">
        <v>201.566</v>
      </c>
      <c r="H342" s="13">
        <v>42163</v>
      </c>
      <c r="I342" s="18" t="s">
        <v>737</v>
      </c>
      <c r="J342" s="12" t="s">
        <v>2084</v>
      </c>
      <c r="K342" s="12" t="s">
        <v>175</v>
      </c>
      <c r="L342" s="12" t="s">
        <v>2073</v>
      </c>
      <c r="M342" s="14" t="s">
        <v>2085</v>
      </c>
      <c r="N342" s="14" t="s">
        <v>2086</v>
      </c>
      <c r="O342" s="17" t="s">
        <v>2087</v>
      </c>
    </row>
    <row r="343" spans="1:15" x14ac:dyDescent="0.15">
      <c r="A343" s="21" t="s">
        <v>845</v>
      </c>
      <c r="B343" s="19"/>
      <c r="C343" s="11"/>
      <c r="D343" s="17" t="s">
        <v>846</v>
      </c>
      <c r="E343" s="10" t="s">
        <v>163</v>
      </c>
      <c r="F343" s="11" t="s">
        <v>2088</v>
      </c>
      <c r="G343" s="12">
        <v>231.773</v>
      </c>
      <c r="H343" s="13">
        <v>42163</v>
      </c>
      <c r="I343" s="18" t="s">
        <v>737</v>
      </c>
      <c r="J343" s="12" t="s">
        <v>2089</v>
      </c>
      <c r="K343" s="12" t="s">
        <v>175</v>
      </c>
      <c r="L343" s="12" t="s">
        <v>166</v>
      </c>
      <c r="M343" s="14" t="s">
        <v>2090</v>
      </c>
      <c r="N343" s="14" t="s">
        <v>2091</v>
      </c>
      <c r="O343" s="17" t="s">
        <v>2092</v>
      </c>
    </row>
    <row r="344" spans="1:15" x14ac:dyDescent="0.15">
      <c r="A344" s="21" t="s">
        <v>681</v>
      </c>
      <c r="B344" s="19"/>
      <c r="C344" s="11"/>
      <c r="D344" s="17" t="s">
        <v>408</v>
      </c>
      <c r="E344" s="10" t="s">
        <v>163</v>
      </c>
      <c r="F344" s="11" t="s">
        <v>2093</v>
      </c>
      <c r="G344" s="18">
        <f>29.101*L344</f>
        <v>116.404</v>
      </c>
      <c r="H344" s="13">
        <v>42164</v>
      </c>
      <c r="I344" s="12" t="s">
        <v>683</v>
      </c>
      <c r="J344" s="12" t="s">
        <v>2094</v>
      </c>
      <c r="K344" s="12" t="s">
        <v>21</v>
      </c>
      <c r="L344" s="12">
        <v>4</v>
      </c>
      <c r="M344" s="14" t="s">
        <v>1872</v>
      </c>
      <c r="N344" s="14" t="s">
        <v>2095</v>
      </c>
      <c r="O344" s="17" t="s">
        <v>2096</v>
      </c>
    </row>
    <row r="345" spans="1:15" x14ac:dyDescent="0.15">
      <c r="A345" s="21" t="s">
        <v>2097</v>
      </c>
      <c r="B345" s="19"/>
      <c r="C345" s="11"/>
      <c r="D345" s="17" t="s">
        <v>2098</v>
      </c>
      <c r="E345" s="10" t="s">
        <v>163</v>
      </c>
      <c r="F345" s="11" t="s">
        <v>2099</v>
      </c>
      <c r="G345" s="12">
        <f>17.712*L345</f>
        <v>212.54399999999998</v>
      </c>
      <c r="H345" s="13">
        <v>42164</v>
      </c>
      <c r="I345" s="12" t="s">
        <v>635</v>
      </c>
      <c r="J345" s="12" t="s">
        <v>2100</v>
      </c>
      <c r="K345" s="12" t="s">
        <v>227</v>
      </c>
      <c r="L345" s="12">
        <v>12</v>
      </c>
      <c r="M345" s="14" t="s">
        <v>2101</v>
      </c>
      <c r="N345" s="14" t="s">
        <v>242</v>
      </c>
      <c r="O345" s="17" t="s">
        <v>2101</v>
      </c>
    </row>
    <row r="346" spans="1:15" x14ac:dyDescent="0.15">
      <c r="A346" s="21" t="s">
        <v>2102</v>
      </c>
      <c r="B346" s="19"/>
      <c r="C346" s="11"/>
      <c r="D346" s="17" t="s">
        <v>2098</v>
      </c>
      <c r="E346" s="10" t="s">
        <v>163</v>
      </c>
      <c r="F346" s="11" t="s">
        <v>2103</v>
      </c>
      <c r="G346" s="12">
        <f>17.712*L346</f>
        <v>177.12</v>
      </c>
      <c r="H346" s="13">
        <v>42164</v>
      </c>
      <c r="I346" s="12" t="s">
        <v>635</v>
      </c>
      <c r="J346" s="12" t="s">
        <v>2104</v>
      </c>
      <c r="K346" s="12" t="s">
        <v>227</v>
      </c>
      <c r="L346" s="12">
        <v>10</v>
      </c>
      <c r="M346" s="14" t="s">
        <v>2105</v>
      </c>
      <c r="N346" s="14" t="s">
        <v>412</v>
      </c>
      <c r="O346" s="17" t="s">
        <v>2105</v>
      </c>
    </row>
    <row r="347" spans="1:15" x14ac:dyDescent="0.15">
      <c r="A347" s="21" t="s">
        <v>1951</v>
      </c>
      <c r="B347" s="19"/>
      <c r="C347" s="11"/>
      <c r="D347" s="17" t="s">
        <v>425</v>
      </c>
      <c r="E347" s="10" t="s">
        <v>163</v>
      </c>
      <c r="F347" s="11" t="s">
        <v>2106</v>
      </c>
      <c r="G347" s="12">
        <f t="shared" ref="G347:G352" si="2">18.708*L347</f>
        <v>224.49599999999998</v>
      </c>
      <c r="H347" s="13">
        <v>42164</v>
      </c>
      <c r="I347" s="12" t="s">
        <v>1098</v>
      </c>
      <c r="J347" s="12" t="s">
        <v>2107</v>
      </c>
      <c r="K347" s="12" t="s">
        <v>227</v>
      </c>
      <c r="L347" s="12">
        <v>12</v>
      </c>
      <c r="M347" s="14" t="s">
        <v>2108</v>
      </c>
      <c r="N347" s="14" t="s">
        <v>2109</v>
      </c>
      <c r="O347" s="17" t="s">
        <v>2108</v>
      </c>
    </row>
    <row r="348" spans="1:15" x14ac:dyDescent="0.15">
      <c r="A348" s="21" t="s">
        <v>1951</v>
      </c>
      <c r="B348" s="19"/>
      <c r="C348" s="11"/>
      <c r="D348" s="17" t="s">
        <v>425</v>
      </c>
      <c r="E348" s="10" t="s">
        <v>163</v>
      </c>
      <c r="F348" s="11" t="s">
        <v>2110</v>
      </c>
      <c r="G348" s="12">
        <f t="shared" si="2"/>
        <v>243.20399999999998</v>
      </c>
      <c r="H348" s="13">
        <v>42164</v>
      </c>
      <c r="I348" s="12" t="s">
        <v>1098</v>
      </c>
      <c r="J348" s="12" t="s">
        <v>2111</v>
      </c>
      <c r="K348" s="12" t="s">
        <v>227</v>
      </c>
      <c r="L348" s="12">
        <v>13</v>
      </c>
      <c r="M348" s="14" t="s">
        <v>2108</v>
      </c>
      <c r="N348" s="14" t="s">
        <v>473</v>
      </c>
      <c r="O348" s="17" t="s">
        <v>2112</v>
      </c>
    </row>
    <row r="349" spans="1:15" x14ac:dyDescent="0.15">
      <c r="A349" s="21" t="s">
        <v>1951</v>
      </c>
      <c r="B349" s="19"/>
      <c r="C349" s="11"/>
      <c r="D349" s="17" t="s">
        <v>425</v>
      </c>
      <c r="E349" s="10" t="s">
        <v>163</v>
      </c>
      <c r="F349" s="11" t="s">
        <v>2113</v>
      </c>
      <c r="G349" s="12">
        <f t="shared" si="2"/>
        <v>224.49599999999998</v>
      </c>
      <c r="H349" s="13">
        <v>42164</v>
      </c>
      <c r="I349" s="12" t="s">
        <v>1098</v>
      </c>
      <c r="J349" s="12" t="s">
        <v>2114</v>
      </c>
      <c r="K349" s="12" t="s">
        <v>227</v>
      </c>
      <c r="L349" s="12">
        <v>12</v>
      </c>
      <c r="M349" s="14" t="s">
        <v>2115</v>
      </c>
      <c r="N349" s="14" t="s">
        <v>242</v>
      </c>
      <c r="O349" s="17" t="s">
        <v>2115</v>
      </c>
    </row>
    <row r="350" spans="1:15" x14ac:dyDescent="0.15">
      <c r="A350" s="21" t="s">
        <v>1951</v>
      </c>
      <c r="B350" s="19"/>
      <c r="C350" s="11"/>
      <c r="D350" s="17" t="s">
        <v>425</v>
      </c>
      <c r="E350" s="10" t="s">
        <v>163</v>
      </c>
      <c r="F350" s="11" t="s">
        <v>2116</v>
      </c>
      <c r="G350" s="12">
        <f t="shared" si="2"/>
        <v>243.20399999999998</v>
      </c>
      <c r="H350" s="13">
        <v>42164</v>
      </c>
      <c r="I350" s="12" t="s">
        <v>1098</v>
      </c>
      <c r="J350" s="12" t="s">
        <v>2117</v>
      </c>
      <c r="K350" s="12" t="s">
        <v>227</v>
      </c>
      <c r="L350" s="12">
        <v>13</v>
      </c>
      <c r="M350" s="14" t="s">
        <v>2115</v>
      </c>
      <c r="N350" s="14" t="s">
        <v>473</v>
      </c>
      <c r="O350" s="17" t="s">
        <v>2118</v>
      </c>
    </row>
    <row r="351" spans="1:15" x14ac:dyDescent="0.15">
      <c r="A351" s="21" t="s">
        <v>1243</v>
      </c>
      <c r="B351" s="19"/>
      <c r="C351" s="11"/>
      <c r="D351" s="17" t="s">
        <v>334</v>
      </c>
      <c r="E351" s="10" t="s">
        <v>163</v>
      </c>
      <c r="F351" s="11" t="s">
        <v>2119</v>
      </c>
      <c r="G351" s="12">
        <f t="shared" si="2"/>
        <v>224.49599999999998</v>
      </c>
      <c r="H351" s="13">
        <v>42164</v>
      </c>
      <c r="I351" s="12" t="s">
        <v>1098</v>
      </c>
      <c r="J351" s="12" t="s">
        <v>2120</v>
      </c>
      <c r="K351" s="12" t="s">
        <v>132</v>
      </c>
      <c r="L351" s="12">
        <v>12</v>
      </c>
      <c r="M351" s="14" t="s">
        <v>2121</v>
      </c>
      <c r="N351" s="14" t="s">
        <v>242</v>
      </c>
      <c r="O351" s="17" t="s">
        <v>2121</v>
      </c>
    </row>
    <row r="352" spans="1:15" x14ac:dyDescent="0.15">
      <c r="A352" s="21" t="s">
        <v>1243</v>
      </c>
      <c r="B352" s="19"/>
      <c r="C352" s="11"/>
      <c r="D352" s="17" t="s">
        <v>334</v>
      </c>
      <c r="E352" s="10" t="s">
        <v>163</v>
      </c>
      <c r="F352" s="11" t="s">
        <v>2122</v>
      </c>
      <c r="G352" s="12">
        <f t="shared" si="2"/>
        <v>243.20399999999998</v>
      </c>
      <c r="H352" s="13">
        <v>42164</v>
      </c>
      <c r="I352" s="12" t="s">
        <v>1098</v>
      </c>
      <c r="J352" s="12" t="s">
        <v>2123</v>
      </c>
      <c r="K352" s="12" t="s">
        <v>132</v>
      </c>
      <c r="L352" s="12">
        <v>13</v>
      </c>
      <c r="M352" s="14" t="s">
        <v>2121</v>
      </c>
      <c r="N352" s="14" t="s">
        <v>473</v>
      </c>
      <c r="O352" s="17" t="s">
        <v>2124</v>
      </c>
    </row>
    <row r="353" spans="1:15" x14ac:dyDescent="0.15">
      <c r="A353" s="21" t="s">
        <v>662</v>
      </c>
      <c r="B353" s="11" t="s">
        <v>127</v>
      </c>
      <c r="C353" s="11"/>
      <c r="D353" s="17" t="s">
        <v>2125</v>
      </c>
      <c r="E353" s="10" t="s">
        <v>163</v>
      </c>
      <c r="F353" s="11" t="s">
        <v>2126</v>
      </c>
      <c r="G353" s="12">
        <f>9.871*L353</f>
        <v>98.710000000000008</v>
      </c>
      <c r="H353" s="13">
        <v>42164</v>
      </c>
      <c r="I353" s="18" t="s">
        <v>648</v>
      </c>
      <c r="J353" s="12" t="s">
        <v>2127</v>
      </c>
      <c r="K353" s="12" t="s">
        <v>227</v>
      </c>
      <c r="L353" s="12">
        <v>10</v>
      </c>
      <c r="M353" s="14" t="s">
        <v>2128</v>
      </c>
      <c r="N353" s="14" t="s">
        <v>412</v>
      </c>
      <c r="O353" s="17" t="s">
        <v>2129</v>
      </c>
    </row>
    <row r="354" spans="1:15" x14ac:dyDescent="0.15">
      <c r="A354" s="21" t="s">
        <v>2130</v>
      </c>
      <c r="B354" s="22" t="s">
        <v>912</v>
      </c>
      <c r="C354" s="11"/>
      <c r="D354" s="17" t="s">
        <v>1163</v>
      </c>
      <c r="E354" s="10" t="s">
        <v>163</v>
      </c>
      <c r="F354" s="11" t="s">
        <v>2131</v>
      </c>
      <c r="G354" s="12">
        <f>9.871*L354</f>
        <v>246.77500000000001</v>
      </c>
      <c r="H354" s="13">
        <v>42164</v>
      </c>
      <c r="I354" s="12" t="s">
        <v>648</v>
      </c>
      <c r="J354" s="12" t="s">
        <v>2132</v>
      </c>
      <c r="K354" s="18" t="s">
        <v>227</v>
      </c>
      <c r="L354" s="12">
        <v>25</v>
      </c>
      <c r="M354" s="14" t="s">
        <v>2133</v>
      </c>
      <c r="N354" s="14" t="s">
        <v>338</v>
      </c>
      <c r="O354" s="17" t="s">
        <v>2134</v>
      </c>
    </row>
    <row r="355" spans="1:15" x14ac:dyDescent="0.15">
      <c r="A355" s="21" t="s">
        <v>2135</v>
      </c>
      <c r="B355" s="19"/>
      <c r="C355" s="11"/>
      <c r="D355" s="17" t="s">
        <v>97</v>
      </c>
      <c r="E355" s="10" t="s">
        <v>163</v>
      </c>
      <c r="F355" s="11" t="s">
        <v>2136</v>
      </c>
      <c r="G355" s="12">
        <f>12.838*L355</f>
        <v>166.89399999999998</v>
      </c>
      <c r="H355" s="13">
        <v>42164</v>
      </c>
      <c r="I355" s="12" t="s">
        <v>233</v>
      </c>
      <c r="J355" s="12" t="s">
        <v>2137</v>
      </c>
      <c r="K355" s="12" t="s">
        <v>21</v>
      </c>
      <c r="L355" s="12">
        <v>13</v>
      </c>
      <c r="M355" s="14" t="s">
        <v>2138</v>
      </c>
      <c r="N355" s="14" t="s">
        <v>101</v>
      </c>
      <c r="O355" s="17" t="s">
        <v>2138</v>
      </c>
    </row>
    <row r="356" spans="1:15" x14ac:dyDescent="0.15">
      <c r="A356" s="20" t="s">
        <v>2139</v>
      </c>
      <c r="B356" s="19"/>
      <c r="C356" s="11"/>
      <c r="D356" s="27" t="s">
        <v>2140</v>
      </c>
      <c r="E356" s="10" t="s">
        <v>163</v>
      </c>
      <c r="F356" s="11" t="s">
        <v>2141</v>
      </c>
      <c r="G356" s="18">
        <f>22.211*L356</f>
        <v>199.899</v>
      </c>
      <c r="H356" s="13">
        <v>42164</v>
      </c>
      <c r="I356" s="18" t="s">
        <v>191</v>
      </c>
      <c r="J356" s="12" t="s">
        <v>2142</v>
      </c>
      <c r="K356" s="12" t="s">
        <v>184</v>
      </c>
      <c r="L356" s="12">
        <v>9</v>
      </c>
      <c r="M356" s="14" t="s">
        <v>2143</v>
      </c>
      <c r="N356" s="14" t="s">
        <v>2144</v>
      </c>
      <c r="O356" s="17" t="s">
        <v>2143</v>
      </c>
    </row>
    <row r="357" spans="1:15" x14ac:dyDescent="0.15">
      <c r="A357" s="21" t="s">
        <v>1836</v>
      </c>
      <c r="B357" s="19"/>
      <c r="C357" s="11"/>
      <c r="D357" s="17" t="s">
        <v>1609</v>
      </c>
      <c r="E357" s="10" t="s">
        <v>163</v>
      </c>
      <c r="F357" s="11" t="s">
        <v>2145</v>
      </c>
      <c r="G357" s="12">
        <f>20.558*L357</f>
        <v>246.696</v>
      </c>
      <c r="H357" s="13">
        <v>42164</v>
      </c>
      <c r="I357" s="12" t="s">
        <v>1098</v>
      </c>
      <c r="J357" s="12" t="s">
        <v>2146</v>
      </c>
      <c r="K357" s="12" t="s">
        <v>227</v>
      </c>
      <c r="L357" s="12">
        <v>12</v>
      </c>
      <c r="M357" s="14" t="s">
        <v>2147</v>
      </c>
      <c r="N357" s="14" t="s">
        <v>242</v>
      </c>
      <c r="O357" s="17" t="s">
        <v>2147</v>
      </c>
    </row>
    <row r="358" spans="1:15" x14ac:dyDescent="0.15">
      <c r="A358" s="21" t="s">
        <v>1836</v>
      </c>
      <c r="B358" s="19"/>
      <c r="C358" s="11"/>
      <c r="D358" s="17" t="s">
        <v>1609</v>
      </c>
      <c r="E358" s="10" t="s">
        <v>163</v>
      </c>
      <c r="F358" s="11" t="s">
        <v>2148</v>
      </c>
      <c r="G358" s="12">
        <f>20.558*L358</f>
        <v>267.25400000000002</v>
      </c>
      <c r="H358" s="13">
        <v>42164</v>
      </c>
      <c r="I358" s="12" t="s">
        <v>1098</v>
      </c>
      <c r="J358" s="12" t="s">
        <v>2149</v>
      </c>
      <c r="K358" s="12" t="s">
        <v>227</v>
      </c>
      <c r="L358" s="12">
        <v>13</v>
      </c>
      <c r="M358" s="14" t="s">
        <v>2147</v>
      </c>
      <c r="N358" s="14" t="s">
        <v>473</v>
      </c>
      <c r="O358" s="17" t="s">
        <v>2150</v>
      </c>
    </row>
    <row r="359" spans="1:15" x14ac:dyDescent="0.15">
      <c r="A359" s="21" t="s">
        <v>969</v>
      </c>
      <c r="B359" s="19"/>
      <c r="C359" s="11"/>
      <c r="D359" s="17" t="s">
        <v>35</v>
      </c>
      <c r="E359" s="10" t="s">
        <v>163</v>
      </c>
      <c r="F359" s="11" t="s">
        <v>2151</v>
      </c>
      <c r="G359" s="12">
        <v>104.267</v>
      </c>
      <c r="H359" s="13">
        <v>42164</v>
      </c>
      <c r="I359" s="12" t="s">
        <v>215</v>
      </c>
      <c r="J359" s="12" t="s">
        <v>2152</v>
      </c>
      <c r="K359" s="12" t="s">
        <v>255</v>
      </c>
      <c r="L359" s="12" t="s">
        <v>1321</v>
      </c>
      <c r="M359" s="14" t="s">
        <v>2153</v>
      </c>
      <c r="N359" s="14" t="s">
        <v>2154</v>
      </c>
      <c r="O359" s="17" t="s">
        <v>2155</v>
      </c>
    </row>
    <row r="360" spans="1:15" x14ac:dyDescent="0.15">
      <c r="A360" s="20" t="s">
        <v>999</v>
      </c>
      <c r="B360" s="19"/>
      <c r="C360" s="11"/>
      <c r="D360" s="17" t="s">
        <v>2156</v>
      </c>
      <c r="E360" s="10" t="s">
        <v>163</v>
      </c>
      <c r="F360" s="11" t="s">
        <v>2157</v>
      </c>
      <c r="G360" s="12">
        <v>53.404000000000003</v>
      </c>
      <c r="H360" s="13">
        <v>42164</v>
      </c>
      <c r="I360" s="12" t="s">
        <v>215</v>
      </c>
      <c r="J360" s="12" t="s">
        <v>2158</v>
      </c>
      <c r="K360" s="12" t="s">
        <v>255</v>
      </c>
      <c r="L360" s="12" t="s">
        <v>2159</v>
      </c>
      <c r="M360" s="14" t="s">
        <v>2160</v>
      </c>
      <c r="N360" s="14" t="s">
        <v>2161</v>
      </c>
      <c r="O360" s="17" t="s">
        <v>2162</v>
      </c>
    </row>
    <row r="361" spans="1:15" x14ac:dyDescent="0.15">
      <c r="A361" s="20" t="s">
        <v>999</v>
      </c>
      <c r="B361" s="19"/>
      <c r="C361" s="11"/>
      <c r="D361" s="17" t="s">
        <v>2156</v>
      </c>
      <c r="E361" s="10" t="s">
        <v>163</v>
      </c>
      <c r="F361" s="11" t="s">
        <v>2163</v>
      </c>
      <c r="G361" s="12">
        <v>53.267000000000003</v>
      </c>
      <c r="H361" s="13">
        <v>42164</v>
      </c>
      <c r="I361" s="12" t="s">
        <v>215</v>
      </c>
      <c r="J361" s="12" t="s">
        <v>2164</v>
      </c>
      <c r="K361" s="12" t="s">
        <v>255</v>
      </c>
      <c r="L361" s="12" t="s">
        <v>2159</v>
      </c>
      <c r="M361" s="14" t="s">
        <v>2165</v>
      </c>
      <c r="N361" s="14" t="s">
        <v>2166</v>
      </c>
      <c r="O361" s="17" t="s">
        <v>2167</v>
      </c>
    </row>
    <row r="362" spans="1:15" x14ac:dyDescent="0.15">
      <c r="A362" s="20" t="s">
        <v>999</v>
      </c>
      <c r="B362" s="19"/>
      <c r="C362" s="11"/>
      <c r="D362" s="17" t="s">
        <v>2156</v>
      </c>
      <c r="E362" s="10" t="s">
        <v>163</v>
      </c>
      <c r="F362" s="11" t="s">
        <v>2168</v>
      </c>
      <c r="G362" s="12">
        <v>53.503</v>
      </c>
      <c r="H362" s="13">
        <v>42164</v>
      </c>
      <c r="I362" s="12" t="s">
        <v>215</v>
      </c>
      <c r="J362" s="12" t="s">
        <v>2169</v>
      </c>
      <c r="K362" s="12" t="s">
        <v>255</v>
      </c>
      <c r="L362" s="12" t="s">
        <v>2159</v>
      </c>
      <c r="M362" s="14" t="s">
        <v>2170</v>
      </c>
      <c r="N362" s="14" t="s">
        <v>2171</v>
      </c>
      <c r="O362" s="17" t="s">
        <v>2172</v>
      </c>
    </row>
    <row r="363" spans="1:15" x14ac:dyDescent="0.15">
      <c r="A363" s="20" t="s">
        <v>2173</v>
      </c>
      <c r="B363" s="19" t="s">
        <v>1113</v>
      </c>
      <c r="C363" s="11"/>
      <c r="D363" s="17" t="s">
        <v>2174</v>
      </c>
      <c r="E363" s="10" t="s">
        <v>163</v>
      </c>
      <c r="F363" s="11" t="s">
        <v>2175</v>
      </c>
      <c r="G363" s="12">
        <f>29.101*L363</f>
        <v>58.201999999999998</v>
      </c>
      <c r="H363" s="13">
        <v>42164</v>
      </c>
      <c r="I363" s="12" t="s">
        <v>772</v>
      </c>
      <c r="J363" s="12" t="s">
        <v>2176</v>
      </c>
      <c r="K363" s="12" t="s">
        <v>227</v>
      </c>
      <c r="L363" s="12">
        <v>2</v>
      </c>
      <c r="M363" s="14" t="s">
        <v>2177</v>
      </c>
      <c r="N363" s="14" t="s">
        <v>2178</v>
      </c>
      <c r="O363" s="17" t="s">
        <v>2179</v>
      </c>
    </row>
    <row r="364" spans="1:15" x14ac:dyDescent="0.15">
      <c r="A364" s="20" t="s">
        <v>2180</v>
      </c>
      <c r="B364" s="22" t="s">
        <v>1113</v>
      </c>
      <c r="C364" s="11"/>
      <c r="D364" s="17" t="s">
        <v>2181</v>
      </c>
      <c r="E364" s="10" t="s">
        <v>163</v>
      </c>
      <c r="F364" s="11" t="s">
        <v>2182</v>
      </c>
      <c r="G364" s="12">
        <f>2.238*L364</f>
        <v>13.428000000000001</v>
      </c>
      <c r="H364" s="13">
        <v>42164</v>
      </c>
      <c r="I364" s="28" t="s">
        <v>2183</v>
      </c>
      <c r="J364" s="28" t="s">
        <v>2184</v>
      </c>
      <c r="K364" s="28" t="s">
        <v>227</v>
      </c>
      <c r="L364" s="12">
        <v>6</v>
      </c>
      <c r="M364" s="14" t="s">
        <v>2185</v>
      </c>
      <c r="N364" s="14" t="s">
        <v>2186</v>
      </c>
      <c r="O364" s="17" t="s">
        <v>2185</v>
      </c>
    </row>
    <row r="365" spans="1:15" x14ac:dyDescent="0.15">
      <c r="A365" s="21" t="s">
        <v>2187</v>
      </c>
      <c r="B365" s="19"/>
      <c r="C365" s="11"/>
      <c r="D365" s="17" t="s">
        <v>1525</v>
      </c>
      <c r="E365" s="10" t="s">
        <v>163</v>
      </c>
      <c r="F365" s="11" t="s">
        <v>2188</v>
      </c>
      <c r="G365" s="18">
        <f>17.498*L365</f>
        <v>139.98400000000001</v>
      </c>
      <c r="H365" s="13">
        <v>42165</v>
      </c>
      <c r="I365" s="12" t="s">
        <v>233</v>
      </c>
      <c r="J365" s="12" t="s">
        <v>2189</v>
      </c>
      <c r="K365" s="12" t="s">
        <v>227</v>
      </c>
      <c r="L365" s="12">
        <v>8</v>
      </c>
      <c r="M365" s="14" t="s">
        <v>2190</v>
      </c>
      <c r="N365" s="14" t="s">
        <v>1217</v>
      </c>
      <c r="O365" s="17" t="s">
        <v>2190</v>
      </c>
    </row>
    <row r="366" spans="1:15" x14ac:dyDescent="0.15">
      <c r="A366" s="21" t="s">
        <v>1524</v>
      </c>
      <c r="B366" s="19"/>
      <c r="C366" s="11"/>
      <c r="D366" s="17" t="s">
        <v>1525</v>
      </c>
      <c r="E366" s="10" t="s">
        <v>163</v>
      </c>
      <c r="F366" s="11" t="s">
        <v>2191</v>
      </c>
      <c r="G366" s="18">
        <f>17.498*L366</f>
        <v>297.46600000000001</v>
      </c>
      <c r="H366" s="13">
        <v>42165</v>
      </c>
      <c r="I366" s="12" t="s">
        <v>635</v>
      </c>
      <c r="J366" s="12" t="s">
        <v>2192</v>
      </c>
      <c r="K366" s="12" t="s">
        <v>227</v>
      </c>
      <c r="L366" s="12">
        <v>17</v>
      </c>
      <c r="M366" s="14" t="s">
        <v>2190</v>
      </c>
      <c r="N366" s="14" t="s">
        <v>2193</v>
      </c>
      <c r="O366" s="17" t="s">
        <v>2190</v>
      </c>
    </row>
    <row r="367" spans="1:15" x14ac:dyDescent="0.15">
      <c r="A367" s="21" t="s">
        <v>711</v>
      </c>
      <c r="B367" s="19"/>
      <c r="C367" s="11"/>
      <c r="D367" s="17" t="s">
        <v>1307</v>
      </c>
      <c r="E367" s="10" t="s">
        <v>163</v>
      </c>
      <c r="F367" s="11" t="s">
        <v>2194</v>
      </c>
      <c r="G367" s="12">
        <v>279.85000000000002</v>
      </c>
      <c r="H367" s="13">
        <v>42165</v>
      </c>
      <c r="I367" s="12" t="s">
        <v>215</v>
      </c>
      <c r="J367" s="12" t="s">
        <v>2195</v>
      </c>
      <c r="K367" s="12" t="s">
        <v>39</v>
      </c>
      <c r="L367" s="12" t="s">
        <v>2196</v>
      </c>
      <c r="M367" s="14" t="s">
        <v>2197</v>
      </c>
      <c r="N367" s="14" t="s">
        <v>2198</v>
      </c>
      <c r="O367" s="17" t="s">
        <v>2199</v>
      </c>
    </row>
    <row r="368" spans="1:15" x14ac:dyDescent="0.15">
      <c r="A368" s="20" t="s">
        <v>2200</v>
      </c>
      <c r="B368" s="19"/>
      <c r="C368" s="11"/>
      <c r="D368" s="17" t="s">
        <v>1475</v>
      </c>
      <c r="E368" s="10" t="s">
        <v>163</v>
      </c>
      <c r="F368" s="11" t="s">
        <v>2201</v>
      </c>
      <c r="G368" s="12">
        <v>99.948999999999998</v>
      </c>
      <c r="H368" s="13">
        <v>42165</v>
      </c>
      <c r="I368" s="12" t="s">
        <v>215</v>
      </c>
      <c r="J368" s="12" t="s">
        <v>2202</v>
      </c>
      <c r="K368" s="12" t="s">
        <v>175</v>
      </c>
      <c r="L368" s="12" t="s">
        <v>1478</v>
      </c>
      <c r="M368" s="14" t="s">
        <v>2203</v>
      </c>
      <c r="N368" s="14" t="s">
        <v>2204</v>
      </c>
      <c r="O368" s="17" t="s">
        <v>2205</v>
      </c>
    </row>
    <row r="369" spans="1:15" x14ac:dyDescent="0.15">
      <c r="A369" s="20" t="s">
        <v>2200</v>
      </c>
      <c r="B369" s="19"/>
      <c r="C369" s="11"/>
      <c r="D369" s="17" t="s">
        <v>1475</v>
      </c>
      <c r="E369" s="10" t="s">
        <v>163</v>
      </c>
      <c r="F369" s="11" t="s">
        <v>2206</v>
      </c>
      <c r="G369" s="12">
        <v>100.02500000000001</v>
      </c>
      <c r="H369" s="13">
        <v>42165</v>
      </c>
      <c r="I369" s="12" t="s">
        <v>215</v>
      </c>
      <c r="J369" s="12" t="s">
        <v>2207</v>
      </c>
      <c r="K369" s="12" t="s">
        <v>175</v>
      </c>
      <c r="L369" s="12" t="s">
        <v>1478</v>
      </c>
      <c r="M369" s="14" t="s">
        <v>2208</v>
      </c>
      <c r="N369" s="14" t="s">
        <v>2209</v>
      </c>
      <c r="O369" s="17" t="s">
        <v>2210</v>
      </c>
    </row>
    <row r="370" spans="1:15" x14ac:dyDescent="0.15">
      <c r="A370" s="21" t="s">
        <v>1325</v>
      </c>
      <c r="B370" s="19"/>
      <c r="C370" s="11"/>
      <c r="D370" s="17" t="s">
        <v>453</v>
      </c>
      <c r="E370" s="10" t="s">
        <v>163</v>
      </c>
      <c r="F370" s="11" t="s">
        <v>2211</v>
      </c>
      <c r="G370" s="12">
        <v>302.10300000000001</v>
      </c>
      <c r="H370" s="13">
        <v>42165</v>
      </c>
      <c r="I370" s="18" t="s">
        <v>737</v>
      </c>
      <c r="J370" s="12" t="s">
        <v>2212</v>
      </c>
      <c r="K370" s="12" t="s">
        <v>175</v>
      </c>
      <c r="L370" s="12" t="s">
        <v>1328</v>
      </c>
      <c r="M370" s="14" t="s">
        <v>2213</v>
      </c>
      <c r="N370" s="14" t="s">
        <v>2214</v>
      </c>
      <c r="O370" s="17" t="s">
        <v>2215</v>
      </c>
    </row>
    <row r="371" spans="1:15" x14ac:dyDescent="0.15">
      <c r="A371" s="21" t="s">
        <v>2060</v>
      </c>
      <c r="B371" s="19"/>
      <c r="C371" s="11"/>
      <c r="D371" s="17" t="s">
        <v>1595</v>
      </c>
      <c r="E371" s="10" t="s">
        <v>163</v>
      </c>
      <c r="F371" s="11" t="s">
        <v>2216</v>
      </c>
      <c r="G371" s="12">
        <v>108.217</v>
      </c>
      <c r="H371" s="13">
        <v>42165</v>
      </c>
      <c r="I371" s="12" t="s">
        <v>215</v>
      </c>
      <c r="J371" s="12" t="s">
        <v>2217</v>
      </c>
      <c r="K371" s="12" t="s">
        <v>175</v>
      </c>
      <c r="L371" s="12" t="s">
        <v>1598</v>
      </c>
      <c r="M371" s="14" t="s">
        <v>2218</v>
      </c>
      <c r="N371" s="14" t="s">
        <v>2219</v>
      </c>
      <c r="O371" s="17" t="s">
        <v>2220</v>
      </c>
    </row>
    <row r="372" spans="1:15" x14ac:dyDescent="0.15">
      <c r="A372" s="21" t="s">
        <v>845</v>
      </c>
      <c r="B372" s="19"/>
      <c r="C372" s="11"/>
      <c r="D372" s="17" t="s">
        <v>846</v>
      </c>
      <c r="E372" s="10" t="s">
        <v>163</v>
      </c>
      <c r="F372" s="11" t="s">
        <v>2221</v>
      </c>
      <c r="G372" s="12">
        <v>141.22800000000001</v>
      </c>
      <c r="H372" s="13">
        <v>42165</v>
      </c>
      <c r="I372" s="18" t="s">
        <v>737</v>
      </c>
      <c r="J372" s="12" t="s">
        <v>2222</v>
      </c>
      <c r="K372" s="12" t="s">
        <v>175</v>
      </c>
      <c r="L372" s="12" t="s">
        <v>2079</v>
      </c>
      <c r="M372" s="14" t="s">
        <v>2223</v>
      </c>
      <c r="N372" s="14" t="s">
        <v>2224</v>
      </c>
      <c r="O372" s="17" t="s">
        <v>2225</v>
      </c>
    </row>
    <row r="373" spans="1:15" x14ac:dyDescent="0.15">
      <c r="A373" s="21" t="s">
        <v>2226</v>
      </c>
      <c r="B373" s="19"/>
      <c r="C373" s="11"/>
      <c r="D373" s="17" t="s">
        <v>846</v>
      </c>
      <c r="E373" s="10" t="s">
        <v>163</v>
      </c>
      <c r="F373" s="11" t="s">
        <v>2227</v>
      </c>
      <c r="G373" s="12">
        <v>141.15600000000001</v>
      </c>
      <c r="H373" s="13">
        <v>42165</v>
      </c>
      <c r="I373" s="18" t="s">
        <v>191</v>
      </c>
      <c r="J373" s="12" t="s">
        <v>2228</v>
      </c>
      <c r="K373" s="12" t="s">
        <v>175</v>
      </c>
      <c r="L373" s="12" t="s">
        <v>2079</v>
      </c>
      <c r="M373" s="14" t="s">
        <v>2229</v>
      </c>
      <c r="N373" s="14" t="s">
        <v>2230</v>
      </c>
      <c r="O373" s="17" t="s">
        <v>2231</v>
      </c>
    </row>
    <row r="374" spans="1:15" x14ac:dyDescent="0.15">
      <c r="A374" s="21" t="s">
        <v>2026</v>
      </c>
      <c r="B374" s="19"/>
      <c r="C374" s="11"/>
      <c r="D374" s="17" t="s">
        <v>846</v>
      </c>
      <c r="E374" s="10" t="s">
        <v>163</v>
      </c>
      <c r="F374" s="11" t="s">
        <v>2232</v>
      </c>
      <c r="G374" s="12">
        <v>201.839</v>
      </c>
      <c r="H374" s="13">
        <v>42165</v>
      </c>
      <c r="I374" s="18" t="s">
        <v>191</v>
      </c>
      <c r="J374" s="12" t="s">
        <v>2233</v>
      </c>
      <c r="K374" s="12" t="s">
        <v>175</v>
      </c>
      <c r="L374" s="12" t="s">
        <v>2073</v>
      </c>
      <c r="M374" s="14" t="s">
        <v>2234</v>
      </c>
      <c r="N374" s="14" t="s">
        <v>2235</v>
      </c>
      <c r="O374" s="17" t="s">
        <v>2236</v>
      </c>
    </row>
    <row r="375" spans="1:15" x14ac:dyDescent="0.15">
      <c r="A375" s="21" t="s">
        <v>1708</v>
      </c>
      <c r="B375" s="19"/>
      <c r="C375" s="11"/>
      <c r="D375" s="17" t="s">
        <v>1692</v>
      </c>
      <c r="E375" s="10" t="s">
        <v>163</v>
      </c>
      <c r="F375" s="11" t="s">
        <v>2237</v>
      </c>
      <c r="G375" s="12">
        <v>269.62099999999998</v>
      </c>
      <c r="H375" s="13">
        <v>42165</v>
      </c>
      <c r="I375" s="12" t="s">
        <v>215</v>
      </c>
      <c r="J375" s="12" t="s">
        <v>2238</v>
      </c>
      <c r="K375" s="12" t="s">
        <v>255</v>
      </c>
      <c r="L375" s="12" t="s">
        <v>1334</v>
      </c>
      <c r="M375" s="14" t="s">
        <v>2239</v>
      </c>
      <c r="N375" s="14" t="s">
        <v>2069</v>
      </c>
      <c r="O375" s="17" t="s">
        <v>2240</v>
      </c>
    </row>
    <row r="376" spans="1:15" x14ac:dyDescent="0.15">
      <c r="A376" s="21" t="s">
        <v>1708</v>
      </c>
      <c r="B376" s="19"/>
      <c r="C376" s="11"/>
      <c r="D376" s="17" t="s">
        <v>1692</v>
      </c>
      <c r="E376" s="10" t="s">
        <v>163</v>
      </c>
      <c r="F376" s="11" t="s">
        <v>2241</v>
      </c>
      <c r="G376" s="12">
        <v>306.92099999999999</v>
      </c>
      <c r="H376" s="13">
        <v>42165</v>
      </c>
      <c r="I376" s="12" t="s">
        <v>215</v>
      </c>
      <c r="J376" s="12" t="s">
        <v>2242</v>
      </c>
      <c r="K376" s="12" t="s">
        <v>255</v>
      </c>
      <c r="L376" s="12" t="s">
        <v>1328</v>
      </c>
      <c r="M376" s="14" t="s">
        <v>2243</v>
      </c>
      <c r="N376" s="14" t="s">
        <v>2244</v>
      </c>
      <c r="O376" s="17" t="s">
        <v>2245</v>
      </c>
    </row>
    <row r="377" spans="1:15" x14ac:dyDescent="0.15">
      <c r="A377" s="21" t="s">
        <v>1032</v>
      </c>
      <c r="B377" s="29" t="s">
        <v>645</v>
      </c>
      <c r="C377" s="11"/>
      <c r="D377" s="17" t="s">
        <v>396</v>
      </c>
      <c r="E377" s="10" t="s">
        <v>163</v>
      </c>
      <c r="F377" s="11" t="s">
        <v>2246</v>
      </c>
      <c r="G377" s="18">
        <f>29.101*L377</f>
        <v>145.505</v>
      </c>
      <c r="H377" s="13">
        <v>42166</v>
      </c>
      <c r="I377" s="12" t="s">
        <v>757</v>
      </c>
      <c r="J377" s="12" t="s">
        <v>2247</v>
      </c>
      <c r="K377" s="12" t="s">
        <v>184</v>
      </c>
      <c r="L377" s="12">
        <v>5</v>
      </c>
      <c r="M377" s="14" t="s">
        <v>2248</v>
      </c>
      <c r="N377" s="14" t="s">
        <v>1845</v>
      </c>
      <c r="O377" s="17" t="s">
        <v>2249</v>
      </c>
    </row>
    <row r="378" spans="1:15" x14ac:dyDescent="0.15">
      <c r="A378" s="21" t="s">
        <v>1038</v>
      </c>
      <c r="B378" s="24" t="s">
        <v>1113</v>
      </c>
      <c r="C378" s="11"/>
      <c r="D378" s="17" t="s">
        <v>396</v>
      </c>
      <c r="E378" s="10" t="s">
        <v>163</v>
      </c>
      <c r="F378" s="11" t="s">
        <v>2250</v>
      </c>
      <c r="G378" s="18">
        <f>29.101*L378</f>
        <v>87.302999999999997</v>
      </c>
      <c r="H378" s="13">
        <v>42166</v>
      </c>
      <c r="I378" s="12" t="s">
        <v>757</v>
      </c>
      <c r="J378" s="12" t="s">
        <v>2251</v>
      </c>
      <c r="K378" s="12" t="s">
        <v>227</v>
      </c>
      <c r="L378" s="12">
        <v>3</v>
      </c>
      <c r="M378" s="14" t="s">
        <v>2248</v>
      </c>
      <c r="N378" s="14" t="s">
        <v>1078</v>
      </c>
      <c r="O378" s="17" t="s">
        <v>2252</v>
      </c>
    </row>
    <row r="379" spans="1:15" x14ac:dyDescent="0.15">
      <c r="A379" s="21" t="s">
        <v>954</v>
      </c>
      <c r="B379" s="19"/>
      <c r="C379" s="11"/>
      <c r="D379" s="17" t="s">
        <v>1219</v>
      </c>
      <c r="E379" s="10" t="s">
        <v>163</v>
      </c>
      <c r="F379" s="11" t="s">
        <v>2253</v>
      </c>
      <c r="G379" s="12">
        <f>24.694*L379</f>
        <v>148.16399999999999</v>
      </c>
      <c r="H379" s="13">
        <v>42166</v>
      </c>
      <c r="I379" s="12" t="s">
        <v>215</v>
      </c>
      <c r="J379" s="12" t="s">
        <v>2254</v>
      </c>
      <c r="K379" s="12" t="s">
        <v>227</v>
      </c>
      <c r="L379" s="12">
        <v>6</v>
      </c>
      <c r="M379" s="14" t="s">
        <v>2255</v>
      </c>
      <c r="N379" s="14" t="s">
        <v>2186</v>
      </c>
      <c r="O379" s="17" t="s">
        <v>2256</v>
      </c>
    </row>
    <row r="380" spans="1:15" x14ac:dyDescent="0.15">
      <c r="A380" s="21" t="s">
        <v>1995</v>
      </c>
      <c r="B380" s="19"/>
      <c r="C380" s="11"/>
      <c r="D380" s="17" t="s">
        <v>1742</v>
      </c>
      <c r="E380" s="10" t="s">
        <v>163</v>
      </c>
      <c r="F380" s="11" t="s">
        <v>2257</v>
      </c>
      <c r="G380" s="12">
        <v>143.79900000000001</v>
      </c>
      <c r="H380" s="13">
        <v>42166</v>
      </c>
      <c r="I380" s="18" t="s">
        <v>191</v>
      </c>
      <c r="J380" s="12" t="s">
        <v>2258</v>
      </c>
      <c r="K380" s="12" t="s">
        <v>255</v>
      </c>
      <c r="L380" s="12" t="s">
        <v>2259</v>
      </c>
      <c r="M380" s="14" t="s">
        <v>2260</v>
      </c>
      <c r="N380" s="14" t="s">
        <v>2261</v>
      </c>
      <c r="O380" s="17" t="s">
        <v>2262</v>
      </c>
    </row>
    <row r="381" spans="1:15" x14ac:dyDescent="0.15">
      <c r="A381" s="21" t="s">
        <v>1741</v>
      </c>
      <c r="B381" s="19"/>
      <c r="C381" s="11"/>
      <c r="D381" s="17" t="s">
        <v>1742</v>
      </c>
      <c r="E381" s="10" t="s">
        <v>163</v>
      </c>
      <c r="F381" s="11" t="s">
        <v>2263</v>
      </c>
      <c r="G381" s="12">
        <v>79.290999999999997</v>
      </c>
      <c r="H381" s="13">
        <v>42166</v>
      </c>
      <c r="I381" s="18" t="s">
        <v>191</v>
      </c>
      <c r="J381" s="12" t="s">
        <v>2264</v>
      </c>
      <c r="K381" s="12" t="s">
        <v>255</v>
      </c>
      <c r="L381" s="12" t="s">
        <v>1598</v>
      </c>
      <c r="M381" s="14" t="s">
        <v>2265</v>
      </c>
      <c r="N381" s="14" t="s">
        <v>2266</v>
      </c>
      <c r="O381" s="17" t="s">
        <v>2267</v>
      </c>
    </row>
    <row r="382" spans="1:15" x14ac:dyDescent="0.15">
      <c r="A382" s="21" t="s">
        <v>2060</v>
      </c>
      <c r="B382" s="19"/>
      <c r="C382" s="11"/>
      <c r="D382" s="17" t="s">
        <v>1595</v>
      </c>
      <c r="E382" s="10" t="s">
        <v>163</v>
      </c>
      <c r="F382" s="11" t="s">
        <v>2268</v>
      </c>
      <c r="G382" s="12">
        <v>108.429</v>
      </c>
      <c r="H382" s="13">
        <v>42166</v>
      </c>
      <c r="I382" s="12" t="s">
        <v>215</v>
      </c>
      <c r="J382" s="12" t="s">
        <v>2269</v>
      </c>
      <c r="K382" s="12" t="s">
        <v>175</v>
      </c>
      <c r="L382" s="12" t="s">
        <v>1598</v>
      </c>
      <c r="M382" s="14" t="s">
        <v>2270</v>
      </c>
      <c r="N382" s="14" t="s">
        <v>2271</v>
      </c>
      <c r="O382" s="17" t="s">
        <v>2272</v>
      </c>
    </row>
    <row r="383" spans="1:15" x14ac:dyDescent="0.15">
      <c r="A383" s="21" t="s">
        <v>2026</v>
      </c>
      <c r="B383" s="19"/>
      <c r="C383" s="11"/>
      <c r="D383" s="17" t="s">
        <v>846</v>
      </c>
      <c r="E383" s="10" t="s">
        <v>163</v>
      </c>
      <c r="F383" s="11" t="s">
        <v>2273</v>
      </c>
      <c r="G383" s="12">
        <v>262.18</v>
      </c>
      <c r="H383" s="13">
        <v>42166</v>
      </c>
      <c r="I383" s="18" t="s">
        <v>191</v>
      </c>
      <c r="J383" s="12" t="s">
        <v>2274</v>
      </c>
      <c r="K383" s="12" t="s">
        <v>175</v>
      </c>
      <c r="L383" s="12" t="s">
        <v>849</v>
      </c>
      <c r="M383" s="14" t="s">
        <v>2275</v>
      </c>
      <c r="N383" s="14" t="s">
        <v>2276</v>
      </c>
      <c r="O383" s="17" t="s">
        <v>2277</v>
      </c>
    </row>
    <row r="384" spans="1:15" x14ac:dyDescent="0.15">
      <c r="A384" s="21" t="s">
        <v>1025</v>
      </c>
      <c r="B384" s="19"/>
      <c r="C384" s="11"/>
      <c r="D384" s="17" t="s">
        <v>453</v>
      </c>
      <c r="E384" s="10" t="s">
        <v>163</v>
      </c>
      <c r="F384" s="11" t="s">
        <v>2278</v>
      </c>
      <c r="G384" s="12">
        <v>267.06700000000001</v>
      </c>
      <c r="H384" s="13">
        <v>42166</v>
      </c>
      <c r="I384" s="12" t="s">
        <v>215</v>
      </c>
      <c r="J384" s="12" t="s">
        <v>2279</v>
      </c>
      <c r="K384" s="12" t="s">
        <v>175</v>
      </c>
      <c r="L384" s="12" t="s">
        <v>1334</v>
      </c>
      <c r="M384" s="14" t="s">
        <v>2280</v>
      </c>
      <c r="N384" s="14" t="s">
        <v>2281</v>
      </c>
      <c r="O384" s="17" t="s">
        <v>2282</v>
      </c>
    </row>
    <row r="385" spans="1:15" x14ac:dyDescent="0.15">
      <c r="A385" s="21" t="s">
        <v>1025</v>
      </c>
      <c r="B385" s="19"/>
      <c r="C385" s="11"/>
      <c r="D385" s="17" t="s">
        <v>453</v>
      </c>
      <c r="E385" s="10" t="s">
        <v>163</v>
      </c>
      <c r="F385" s="11" t="s">
        <v>2283</v>
      </c>
      <c r="G385" s="12">
        <v>302.226</v>
      </c>
      <c r="H385" s="13">
        <v>42166</v>
      </c>
      <c r="I385" s="12" t="s">
        <v>215</v>
      </c>
      <c r="J385" s="12" t="s">
        <v>2284</v>
      </c>
      <c r="K385" s="12" t="s">
        <v>175</v>
      </c>
      <c r="L385" s="12" t="s">
        <v>1328</v>
      </c>
      <c r="M385" s="14" t="s">
        <v>2285</v>
      </c>
      <c r="N385" s="14" t="s">
        <v>2024</v>
      </c>
      <c r="O385" s="17" t="s">
        <v>2286</v>
      </c>
    </row>
    <row r="386" spans="1:15" x14ac:dyDescent="0.15">
      <c r="A386" s="21" t="s">
        <v>1741</v>
      </c>
      <c r="B386" s="19"/>
      <c r="C386" s="11"/>
      <c r="D386" s="17" t="s">
        <v>1742</v>
      </c>
      <c r="E386" s="10" t="s">
        <v>163</v>
      </c>
      <c r="F386" s="11" t="s">
        <v>2287</v>
      </c>
      <c r="G386" s="12">
        <v>143.815</v>
      </c>
      <c r="H386" s="13">
        <v>42167</v>
      </c>
      <c r="I386" s="18" t="s">
        <v>191</v>
      </c>
      <c r="J386" s="12" t="s">
        <v>2288</v>
      </c>
      <c r="K386" s="12" t="s">
        <v>255</v>
      </c>
      <c r="L386" s="12" t="s">
        <v>2259</v>
      </c>
      <c r="M386" s="14" t="s">
        <v>2289</v>
      </c>
      <c r="N386" s="14" t="s">
        <v>2290</v>
      </c>
      <c r="O386" s="17" t="s">
        <v>2291</v>
      </c>
    </row>
    <row r="387" spans="1:15" x14ac:dyDescent="0.15">
      <c r="A387" s="21" t="s">
        <v>1741</v>
      </c>
      <c r="B387" s="19"/>
      <c r="C387" s="11"/>
      <c r="D387" s="17" t="s">
        <v>1742</v>
      </c>
      <c r="E387" s="10" t="s">
        <v>163</v>
      </c>
      <c r="F387" s="11" t="s">
        <v>2292</v>
      </c>
      <c r="G387" s="12">
        <v>140.96700000000001</v>
      </c>
      <c r="H387" s="13">
        <v>42167</v>
      </c>
      <c r="I387" s="18" t="s">
        <v>191</v>
      </c>
      <c r="J387" s="12" t="s">
        <v>2293</v>
      </c>
      <c r="K387" s="12" t="s">
        <v>255</v>
      </c>
      <c r="L387" s="12" t="s">
        <v>1745</v>
      </c>
      <c r="M387" s="14" t="s">
        <v>2294</v>
      </c>
      <c r="N387" s="14" t="s">
        <v>2295</v>
      </c>
      <c r="O387" s="17" t="s">
        <v>2296</v>
      </c>
    </row>
    <row r="388" spans="1:15" x14ac:dyDescent="0.15">
      <c r="A388" s="21" t="s">
        <v>1741</v>
      </c>
      <c r="B388" s="19"/>
      <c r="C388" s="11"/>
      <c r="D388" s="17" t="s">
        <v>1742</v>
      </c>
      <c r="E388" s="10" t="s">
        <v>163</v>
      </c>
      <c r="F388" s="11" t="s">
        <v>2297</v>
      </c>
      <c r="G388" s="12">
        <v>82.177000000000007</v>
      </c>
      <c r="H388" s="13">
        <v>42167</v>
      </c>
      <c r="I388" s="18" t="s">
        <v>191</v>
      </c>
      <c r="J388" s="12" t="s">
        <v>2298</v>
      </c>
      <c r="K388" s="12" t="s">
        <v>255</v>
      </c>
      <c r="L388" s="12" t="s">
        <v>2299</v>
      </c>
      <c r="M388" s="14" t="s">
        <v>2300</v>
      </c>
      <c r="N388" s="14" t="s">
        <v>2301</v>
      </c>
      <c r="O388" s="17" t="s">
        <v>2302</v>
      </c>
    </row>
    <row r="389" spans="1:15" x14ac:dyDescent="0.15">
      <c r="A389" s="21" t="s">
        <v>1387</v>
      </c>
      <c r="B389" s="19"/>
      <c r="C389" s="11"/>
      <c r="D389" s="17" t="s">
        <v>432</v>
      </c>
      <c r="E389" s="10" t="s">
        <v>163</v>
      </c>
      <c r="F389" s="11" t="s">
        <v>2303</v>
      </c>
      <c r="G389" s="12">
        <v>302.64600000000002</v>
      </c>
      <c r="H389" s="13">
        <v>42167</v>
      </c>
      <c r="I389" s="12" t="s">
        <v>215</v>
      </c>
      <c r="J389" s="12" t="s">
        <v>2304</v>
      </c>
      <c r="K389" s="12" t="s">
        <v>175</v>
      </c>
      <c r="L389" s="12" t="s">
        <v>1328</v>
      </c>
      <c r="M389" s="14" t="s">
        <v>2305</v>
      </c>
      <c r="N389" s="14" t="s">
        <v>2306</v>
      </c>
      <c r="O389" s="17" t="s">
        <v>2307</v>
      </c>
    </row>
    <row r="390" spans="1:15" x14ac:dyDescent="0.15">
      <c r="A390" s="21" t="s">
        <v>1387</v>
      </c>
      <c r="B390" s="19"/>
      <c r="C390" s="11"/>
      <c r="D390" s="17" t="s">
        <v>432</v>
      </c>
      <c r="E390" s="10" t="s">
        <v>163</v>
      </c>
      <c r="F390" s="11" t="s">
        <v>2308</v>
      </c>
      <c r="G390" s="12">
        <v>186.25800000000001</v>
      </c>
      <c r="H390" s="13">
        <v>42167</v>
      </c>
      <c r="I390" s="12" t="s">
        <v>215</v>
      </c>
      <c r="J390" s="12" t="s">
        <v>2309</v>
      </c>
      <c r="K390" s="12" t="s">
        <v>175</v>
      </c>
      <c r="L390" s="12" t="s">
        <v>1028</v>
      </c>
      <c r="M390" s="14" t="s">
        <v>2310</v>
      </c>
      <c r="N390" s="14" t="s">
        <v>2311</v>
      </c>
      <c r="O390" s="17" t="s">
        <v>2312</v>
      </c>
    </row>
    <row r="391" spans="1:15" x14ac:dyDescent="0.15">
      <c r="A391" s="21" t="s">
        <v>1741</v>
      </c>
      <c r="B391" s="19"/>
      <c r="C391" s="11"/>
      <c r="D391" s="17" t="s">
        <v>1742</v>
      </c>
      <c r="E391" s="10" t="s">
        <v>163</v>
      </c>
      <c r="F391" s="11" t="s">
        <v>2313</v>
      </c>
      <c r="G391" s="12">
        <v>58.722000000000001</v>
      </c>
      <c r="H391" s="13">
        <v>42170</v>
      </c>
      <c r="I391" s="18" t="s">
        <v>191</v>
      </c>
      <c r="J391" s="12" t="s">
        <v>2314</v>
      </c>
      <c r="K391" s="12" t="s">
        <v>255</v>
      </c>
      <c r="L391" s="12" t="s">
        <v>980</v>
      </c>
      <c r="M391" s="14" t="s">
        <v>2315</v>
      </c>
      <c r="N391" s="14" t="s">
        <v>2316</v>
      </c>
      <c r="O391" s="17" t="s">
        <v>2317</v>
      </c>
    </row>
    <row r="392" spans="1:15" x14ac:dyDescent="0.15">
      <c r="A392" s="21" t="s">
        <v>2001</v>
      </c>
      <c r="B392" s="19"/>
      <c r="C392" s="11"/>
      <c r="D392" s="17" t="s">
        <v>432</v>
      </c>
      <c r="E392" s="10" t="s">
        <v>163</v>
      </c>
      <c r="F392" s="11" t="s">
        <v>2318</v>
      </c>
      <c r="G392" s="12">
        <v>384.14299999999997</v>
      </c>
      <c r="H392" s="13">
        <v>42170</v>
      </c>
      <c r="I392" s="12" t="s">
        <v>215</v>
      </c>
      <c r="J392" s="12" t="s">
        <v>2319</v>
      </c>
      <c r="K392" s="12" t="s">
        <v>175</v>
      </c>
      <c r="L392" s="12" t="s">
        <v>1445</v>
      </c>
      <c r="M392" s="14" t="s">
        <v>2320</v>
      </c>
      <c r="N392" s="14" t="s">
        <v>2014</v>
      </c>
      <c r="O392" s="17" t="s">
        <v>2321</v>
      </c>
    </row>
    <row r="393" spans="1:15" x14ac:dyDescent="0.15">
      <c r="A393" s="21" t="s">
        <v>2001</v>
      </c>
      <c r="B393" s="19"/>
      <c r="C393" s="11"/>
      <c r="D393" s="17" t="s">
        <v>432</v>
      </c>
      <c r="E393" s="10" t="s">
        <v>163</v>
      </c>
      <c r="F393" s="11" t="s">
        <v>2322</v>
      </c>
      <c r="G393" s="12">
        <v>384.072</v>
      </c>
      <c r="H393" s="13">
        <v>42170</v>
      </c>
      <c r="I393" s="12" t="s">
        <v>215</v>
      </c>
      <c r="J393" s="12" t="s">
        <v>2323</v>
      </c>
      <c r="K393" s="12" t="s">
        <v>175</v>
      </c>
      <c r="L393" s="12" t="s">
        <v>1445</v>
      </c>
      <c r="M393" s="14" t="s">
        <v>2324</v>
      </c>
      <c r="N393" s="14" t="s">
        <v>2325</v>
      </c>
      <c r="O393" s="17" t="s">
        <v>2326</v>
      </c>
    </row>
    <row r="394" spans="1:15" x14ac:dyDescent="0.15">
      <c r="A394" s="21" t="s">
        <v>1387</v>
      </c>
      <c r="B394" s="19"/>
      <c r="C394" s="11"/>
      <c r="D394" s="17" t="s">
        <v>432</v>
      </c>
      <c r="E394" s="10" t="s">
        <v>163</v>
      </c>
      <c r="F394" s="11" t="s">
        <v>2327</v>
      </c>
      <c r="G394" s="12">
        <v>384.02699999999999</v>
      </c>
      <c r="H394" s="13">
        <v>42170</v>
      </c>
      <c r="I394" s="12" t="s">
        <v>215</v>
      </c>
      <c r="J394" s="12" t="s">
        <v>2328</v>
      </c>
      <c r="K394" s="12" t="s">
        <v>175</v>
      </c>
      <c r="L394" s="12" t="s">
        <v>1445</v>
      </c>
      <c r="M394" s="14" t="s">
        <v>2329</v>
      </c>
      <c r="N394" s="14" t="s">
        <v>2330</v>
      </c>
      <c r="O394" s="17" t="s">
        <v>2331</v>
      </c>
    </row>
    <row r="395" spans="1:15" x14ac:dyDescent="0.15">
      <c r="A395" s="21" t="s">
        <v>1325</v>
      </c>
      <c r="B395" s="19"/>
      <c r="C395" s="11"/>
      <c r="D395" s="17" t="s">
        <v>453</v>
      </c>
      <c r="E395" s="10" t="s">
        <v>163</v>
      </c>
      <c r="F395" s="11" t="s">
        <v>2332</v>
      </c>
      <c r="G395" s="12">
        <v>267.37400000000002</v>
      </c>
      <c r="H395" s="13">
        <v>42170</v>
      </c>
      <c r="I395" s="18" t="s">
        <v>737</v>
      </c>
      <c r="J395" s="12" t="s">
        <v>2333</v>
      </c>
      <c r="K395" s="12" t="s">
        <v>175</v>
      </c>
      <c r="L395" s="12" t="s">
        <v>1334</v>
      </c>
      <c r="M395" s="14" t="s">
        <v>2334</v>
      </c>
      <c r="N395" s="14" t="s">
        <v>1701</v>
      </c>
      <c r="O395" s="17" t="s">
        <v>2335</v>
      </c>
    </row>
    <row r="396" spans="1:15" x14ac:dyDescent="0.15">
      <c r="A396" s="21" t="s">
        <v>2026</v>
      </c>
      <c r="B396" s="19"/>
      <c r="C396" s="11"/>
      <c r="D396" s="17" t="s">
        <v>846</v>
      </c>
      <c r="E396" s="10" t="s">
        <v>163</v>
      </c>
      <c r="F396" s="11" t="s">
        <v>2336</v>
      </c>
      <c r="G396" s="12">
        <v>262.25900000000001</v>
      </c>
      <c r="H396" s="13">
        <v>42170</v>
      </c>
      <c r="I396" s="18" t="s">
        <v>191</v>
      </c>
      <c r="J396" s="12" t="s">
        <v>2337</v>
      </c>
      <c r="K396" s="12" t="s">
        <v>175</v>
      </c>
      <c r="L396" s="12" t="s">
        <v>849</v>
      </c>
      <c r="M396" s="14" t="s">
        <v>2338</v>
      </c>
      <c r="N396" s="14" t="s">
        <v>2339</v>
      </c>
      <c r="O396" s="17" t="s">
        <v>2340</v>
      </c>
    </row>
    <row r="397" spans="1:15" x14ac:dyDescent="0.15">
      <c r="A397" s="21" t="s">
        <v>2026</v>
      </c>
      <c r="B397" s="19"/>
      <c r="C397" s="11"/>
      <c r="D397" s="17" t="s">
        <v>846</v>
      </c>
      <c r="E397" s="10" t="s">
        <v>163</v>
      </c>
      <c r="F397" s="11" t="s">
        <v>2341</v>
      </c>
      <c r="G397" s="12">
        <v>232.07900000000001</v>
      </c>
      <c r="H397" s="13">
        <v>42170</v>
      </c>
      <c r="I397" s="18" t="s">
        <v>191</v>
      </c>
      <c r="J397" s="12" t="s">
        <v>2342</v>
      </c>
      <c r="K397" s="12" t="s">
        <v>175</v>
      </c>
      <c r="L397" s="12" t="s">
        <v>166</v>
      </c>
      <c r="M397" s="14" t="s">
        <v>2343</v>
      </c>
      <c r="N397" s="14" t="s">
        <v>2344</v>
      </c>
      <c r="O397" s="17" t="s">
        <v>2345</v>
      </c>
    </row>
    <row r="398" spans="1:15" x14ac:dyDescent="0.15">
      <c r="A398" s="21" t="s">
        <v>2346</v>
      </c>
      <c r="B398" s="19"/>
      <c r="C398" s="11"/>
      <c r="D398" s="17" t="s">
        <v>540</v>
      </c>
      <c r="E398" s="10" t="s">
        <v>163</v>
      </c>
      <c r="F398" s="11" t="s">
        <v>2347</v>
      </c>
      <c r="G398" s="12">
        <f>17.52*L398</f>
        <v>157.68</v>
      </c>
      <c r="H398" s="13">
        <v>42171</v>
      </c>
      <c r="I398" s="12" t="s">
        <v>635</v>
      </c>
      <c r="J398" s="12" t="s">
        <v>2348</v>
      </c>
      <c r="K398" s="12" t="s">
        <v>227</v>
      </c>
      <c r="L398" s="12">
        <v>9</v>
      </c>
      <c r="M398" s="14" t="s">
        <v>2349</v>
      </c>
      <c r="N398" s="14" t="s">
        <v>143</v>
      </c>
      <c r="O398" s="17" t="s">
        <v>2350</v>
      </c>
    </row>
    <row r="399" spans="1:15" x14ac:dyDescent="0.15">
      <c r="A399" s="21" t="s">
        <v>2351</v>
      </c>
      <c r="B399" s="29" t="s">
        <v>418</v>
      </c>
      <c r="C399" s="11"/>
      <c r="D399" s="17" t="s">
        <v>592</v>
      </c>
      <c r="E399" s="10" t="s">
        <v>163</v>
      </c>
      <c r="F399" s="11" t="s">
        <v>2352</v>
      </c>
      <c r="G399" s="12">
        <f>29.101*L399</f>
        <v>349.21199999999999</v>
      </c>
      <c r="H399" s="13">
        <v>42171</v>
      </c>
      <c r="I399" s="12" t="s">
        <v>1092</v>
      </c>
      <c r="J399" s="12" t="s">
        <v>2353</v>
      </c>
      <c r="K399" s="12" t="s">
        <v>184</v>
      </c>
      <c r="L399" s="12">
        <v>12</v>
      </c>
      <c r="M399" s="14" t="s">
        <v>2354</v>
      </c>
      <c r="N399" s="14" t="s">
        <v>2109</v>
      </c>
      <c r="O399" s="17" t="s">
        <v>2355</v>
      </c>
    </row>
    <row r="400" spans="1:15" x14ac:dyDescent="0.15">
      <c r="A400" s="21" t="s">
        <v>1658</v>
      </c>
      <c r="B400" s="19"/>
      <c r="C400" s="11"/>
      <c r="D400" s="17" t="s">
        <v>1659</v>
      </c>
      <c r="E400" s="10" t="s">
        <v>163</v>
      </c>
      <c r="F400" s="11" t="s">
        <v>2356</v>
      </c>
      <c r="G400" s="12">
        <f>29.101*L400</f>
        <v>232.80799999999999</v>
      </c>
      <c r="H400" s="13">
        <v>42171</v>
      </c>
      <c r="I400" s="12" t="s">
        <v>1661</v>
      </c>
      <c r="J400" s="12" t="s">
        <v>2357</v>
      </c>
      <c r="K400" s="12" t="s">
        <v>184</v>
      </c>
      <c r="L400" s="12">
        <v>8</v>
      </c>
      <c r="M400" s="14" t="s">
        <v>2358</v>
      </c>
      <c r="N400" s="14" t="s">
        <v>775</v>
      </c>
      <c r="O400" s="17" t="s">
        <v>2359</v>
      </c>
    </row>
    <row r="401" spans="1:15" x14ac:dyDescent="0.15">
      <c r="A401" s="21" t="s">
        <v>681</v>
      </c>
      <c r="B401" s="19"/>
      <c r="C401" s="11"/>
      <c r="D401" s="17" t="s">
        <v>408</v>
      </c>
      <c r="E401" s="10" t="s">
        <v>163</v>
      </c>
      <c r="F401" s="11" t="s">
        <v>2360</v>
      </c>
      <c r="G401" s="12">
        <f>29.101*L401</f>
        <v>349.21199999999999</v>
      </c>
      <c r="H401" s="13">
        <v>42171</v>
      </c>
      <c r="I401" s="12" t="s">
        <v>683</v>
      </c>
      <c r="J401" s="12" t="s">
        <v>2361</v>
      </c>
      <c r="K401" s="12" t="s">
        <v>21</v>
      </c>
      <c r="L401" s="12">
        <v>12</v>
      </c>
      <c r="M401" s="14" t="s">
        <v>1871</v>
      </c>
      <c r="N401" s="14" t="s">
        <v>597</v>
      </c>
      <c r="O401" s="17" t="s">
        <v>2362</v>
      </c>
    </row>
    <row r="402" spans="1:15" x14ac:dyDescent="0.15">
      <c r="A402" s="21" t="s">
        <v>2363</v>
      </c>
      <c r="B402" s="19"/>
      <c r="C402" s="11"/>
      <c r="D402" s="17" t="s">
        <v>425</v>
      </c>
      <c r="E402" s="10" t="s">
        <v>163</v>
      </c>
      <c r="F402" s="11" t="s">
        <v>2364</v>
      </c>
      <c r="G402" s="12">
        <f>18.708*L402</f>
        <v>467.69999999999993</v>
      </c>
      <c r="H402" s="13">
        <v>42171</v>
      </c>
      <c r="I402" s="12" t="s">
        <v>1098</v>
      </c>
      <c r="J402" s="12" t="s">
        <v>2365</v>
      </c>
      <c r="K402" s="12" t="s">
        <v>227</v>
      </c>
      <c r="L402" s="12">
        <v>25</v>
      </c>
      <c r="M402" s="14" t="s">
        <v>2366</v>
      </c>
      <c r="N402" s="14" t="s">
        <v>2367</v>
      </c>
      <c r="O402" s="17" t="s">
        <v>2368</v>
      </c>
    </row>
    <row r="403" spans="1:15" x14ac:dyDescent="0.15">
      <c r="A403" s="21" t="s">
        <v>1951</v>
      </c>
      <c r="B403" s="19"/>
      <c r="C403" s="11"/>
      <c r="D403" s="17" t="s">
        <v>425</v>
      </c>
      <c r="E403" s="10" t="s">
        <v>163</v>
      </c>
      <c r="F403" s="11" t="s">
        <v>2369</v>
      </c>
      <c r="G403" s="12">
        <f>18.708*L403</f>
        <v>224.49599999999998</v>
      </c>
      <c r="H403" s="13">
        <v>42171</v>
      </c>
      <c r="I403" s="12" t="s">
        <v>1098</v>
      </c>
      <c r="J403" s="12" t="s">
        <v>2370</v>
      </c>
      <c r="K403" s="12" t="s">
        <v>227</v>
      </c>
      <c r="L403" s="12">
        <v>12</v>
      </c>
      <c r="M403" s="14" t="s">
        <v>2371</v>
      </c>
      <c r="N403" s="14" t="s">
        <v>242</v>
      </c>
      <c r="O403" s="17" t="s">
        <v>2372</v>
      </c>
    </row>
    <row r="404" spans="1:15" x14ac:dyDescent="0.15">
      <c r="A404" s="21" t="s">
        <v>688</v>
      </c>
      <c r="B404" s="19"/>
      <c r="C404" s="11"/>
      <c r="D404" s="17" t="s">
        <v>689</v>
      </c>
      <c r="E404" s="10" t="s">
        <v>163</v>
      </c>
      <c r="F404" s="11" t="s">
        <v>2373</v>
      </c>
      <c r="G404" s="12">
        <f>14.405*L404</f>
        <v>172.85999999999999</v>
      </c>
      <c r="H404" s="13">
        <v>42171</v>
      </c>
      <c r="I404" s="12" t="s">
        <v>635</v>
      </c>
      <c r="J404" s="12" t="s">
        <v>2374</v>
      </c>
      <c r="K404" s="12" t="s">
        <v>227</v>
      </c>
      <c r="L404" s="12">
        <v>12</v>
      </c>
      <c r="M404" s="14" t="s">
        <v>2375</v>
      </c>
      <c r="N404" s="14" t="s">
        <v>2376</v>
      </c>
      <c r="O404" s="17" t="s">
        <v>2377</v>
      </c>
    </row>
    <row r="405" spans="1:15" x14ac:dyDescent="0.15">
      <c r="A405" s="21" t="s">
        <v>2378</v>
      </c>
      <c r="B405" s="19"/>
      <c r="C405" s="11"/>
      <c r="D405" s="17" t="s">
        <v>54</v>
      </c>
      <c r="E405" s="10" t="s">
        <v>163</v>
      </c>
      <c r="F405" s="11" t="s">
        <v>2379</v>
      </c>
      <c r="G405" s="18">
        <f>6.405*L405</f>
        <v>96.075000000000003</v>
      </c>
      <c r="H405" s="13">
        <v>42171</v>
      </c>
      <c r="I405" s="12" t="s">
        <v>233</v>
      </c>
      <c r="J405" s="12" t="s">
        <v>2380</v>
      </c>
      <c r="K405" s="12" t="s">
        <v>227</v>
      </c>
      <c r="L405" s="12">
        <v>15</v>
      </c>
      <c r="M405" s="14" t="s">
        <v>2381</v>
      </c>
      <c r="N405" s="14" t="s">
        <v>2382</v>
      </c>
      <c r="O405" s="17" t="s">
        <v>2383</v>
      </c>
    </row>
    <row r="406" spans="1:15" x14ac:dyDescent="0.15">
      <c r="A406" s="21" t="s">
        <v>1817</v>
      </c>
      <c r="B406" s="19"/>
      <c r="C406" s="11"/>
      <c r="D406" s="17" t="s">
        <v>54</v>
      </c>
      <c r="E406" s="10" t="s">
        <v>163</v>
      </c>
      <c r="F406" s="11" t="s">
        <v>2384</v>
      </c>
      <c r="G406" s="18">
        <f>6.405*L406</f>
        <v>160.125</v>
      </c>
      <c r="H406" s="13">
        <v>42171</v>
      </c>
      <c r="I406" s="12" t="s">
        <v>233</v>
      </c>
      <c r="J406" s="12" t="s">
        <v>2385</v>
      </c>
      <c r="K406" s="12" t="s">
        <v>227</v>
      </c>
      <c r="L406" s="12">
        <v>25</v>
      </c>
      <c r="M406" s="14" t="s">
        <v>2386</v>
      </c>
      <c r="N406" s="14" t="s">
        <v>2367</v>
      </c>
      <c r="O406" s="17" t="s">
        <v>2387</v>
      </c>
    </row>
    <row r="407" spans="1:15" x14ac:dyDescent="0.15">
      <c r="A407" s="21" t="s">
        <v>611</v>
      </c>
      <c r="B407" s="19"/>
      <c r="C407" s="11"/>
      <c r="D407" s="17" t="s">
        <v>612</v>
      </c>
      <c r="E407" s="10" t="s">
        <v>163</v>
      </c>
      <c r="F407" s="11" t="s">
        <v>2388</v>
      </c>
      <c r="G407" s="18">
        <f>6.405*L407</f>
        <v>76.86</v>
      </c>
      <c r="H407" s="13">
        <v>42171</v>
      </c>
      <c r="I407" s="12" t="s">
        <v>233</v>
      </c>
      <c r="J407" s="12" t="s">
        <v>2389</v>
      </c>
      <c r="K407" s="12" t="s">
        <v>227</v>
      </c>
      <c r="L407" s="12">
        <v>12</v>
      </c>
      <c r="M407" s="14" t="s">
        <v>2390</v>
      </c>
      <c r="N407" s="14" t="s">
        <v>2109</v>
      </c>
      <c r="O407" s="17" t="s">
        <v>2391</v>
      </c>
    </row>
    <row r="408" spans="1:15" x14ac:dyDescent="0.15">
      <c r="A408" s="20" t="s">
        <v>204</v>
      </c>
      <c r="B408" s="19"/>
      <c r="C408" s="11"/>
      <c r="D408" s="27" t="s">
        <v>2392</v>
      </c>
      <c r="E408" s="10" t="s">
        <v>163</v>
      </c>
      <c r="F408" s="11" t="s">
        <v>2393</v>
      </c>
      <c r="G408" s="12">
        <f>20.816*L408</f>
        <v>187.34399999999999</v>
      </c>
      <c r="H408" s="13">
        <v>42171</v>
      </c>
      <c r="I408" s="12" t="s">
        <v>207</v>
      </c>
      <c r="J408" s="12" t="s">
        <v>2394</v>
      </c>
      <c r="K408" s="12" t="s">
        <v>184</v>
      </c>
      <c r="L408" s="12">
        <v>9</v>
      </c>
      <c r="M408" s="14" t="s">
        <v>2395</v>
      </c>
      <c r="N408" s="14" t="s">
        <v>2396</v>
      </c>
      <c r="O408" s="17" t="s">
        <v>2397</v>
      </c>
    </row>
    <row r="409" spans="1:15" x14ac:dyDescent="0.15">
      <c r="A409" s="20" t="s">
        <v>204</v>
      </c>
      <c r="B409" s="19"/>
      <c r="C409" s="11"/>
      <c r="D409" s="27" t="s">
        <v>2392</v>
      </c>
      <c r="E409" s="10" t="s">
        <v>163</v>
      </c>
      <c r="F409" s="11" t="s">
        <v>2398</v>
      </c>
      <c r="G409" s="12">
        <f>20.816*L409</f>
        <v>249.79199999999997</v>
      </c>
      <c r="H409" s="13">
        <v>42171</v>
      </c>
      <c r="I409" s="12" t="s">
        <v>207</v>
      </c>
      <c r="J409" s="12" t="s">
        <v>2399</v>
      </c>
      <c r="K409" s="12" t="s">
        <v>184</v>
      </c>
      <c r="L409" s="12">
        <v>12</v>
      </c>
      <c r="M409" s="14" t="s">
        <v>2400</v>
      </c>
      <c r="N409" s="14" t="s">
        <v>242</v>
      </c>
      <c r="O409" s="17" t="s">
        <v>2401</v>
      </c>
    </row>
    <row r="410" spans="1:15" x14ac:dyDescent="0.15">
      <c r="A410" s="20" t="s">
        <v>2402</v>
      </c>
      <c r="B410" s="19"/>
      <c r="C410" s="11"/>
      <c r="D410" s="17" t="s">
        <v>2403</v>
      </c>
      <c r="E410" s="10" t="s">
        <v>163</v>
      </c>
      <c r="F410" s="11" t="s">
        <v>2404</v>
      </c>
      <c r="G410" s="18">
        <f>27.67*L410</f>
        <v>221.36</v>
      </c>
      <c r="H410" s="13">
        <v>42171</v>
      </c>
      <c r="I410" s="12" t="s">
        <v>635</v>
      </c>
      <c r="J410" s="12" t="s">
        <v>2405</v>
      </c>
      <c r="K410" s="12" t="s">
        <v>21</v>
      </c>
      <c r="L410" s="12">
        <v>8</v>
      </c>
      <c r="M410" s="14" t="s">
        <v>2406</v>
      </c>
      <c r="N410" s="14" t="s">
        <v>2407</v>
      </c>
      <c r="O410" s="17" t="s">
        <v>2408</v>
      </c>
    </row>
    <row r="411" spans="1:15" x14ac:dyDescent="0.15">
      <c r="A411" s="21" t="s">
        <v>1144</v>
      </c>
      <c r="B411" s="19"/>
      <c r="C411" s="11"/>
      <c r="D411" s="17" t="s">
        <v>1135</v>
      </c>
      <c r="E411" s="10" t="s">
        <v>163</v>
      </c>
      <c r="F411" s="11" t="s">
        <v>2409</v>
      </c>
      <c r="G411" s="18">
        <f>25.399*L411</f>
        <v>304.78800000000001</v>
      </c>
      <c r="H411" s="13">
        <v>42171</v>
      </c>
      <c r="I411" s="12" t="s">
        <v>635</v>
      </c>
      <c r="J411" s="12" t="s">
        <v>2410</v>
      </c>
      <c r="K411" s="12" t="s">
        <v>184</v>
      </c>
      <c r="L411" s="12">
        <v>12</v>
      </c>
      <c r="M411" s="14" t="s">
        <v>2411</v>
      </c>
      <c r="N411" s="14" t="s">
        <v>242</v>
      </c>
      <c r="O411" s="17" t="s">
        <v>2412</v>
      </c>
    </row>
    <row r="412" spans="1:15" x14ac:dyDescent="0.15">
      <c r="A412" s="21" t="s">
        <v>1144</v>
      </c>
      <c r="B412" s="19"/>
      <c r="C412" s="11"/>
      <c r="D412" s="17" t="s">
        <v>1135</v>
      </c>
      <c r="E412" s="10" t="s">
        <v>163</v>
      </c>
      <c r="F412" s="11" t="s">
        <v>2413</v>
      </c>
      <c r="G412" s="18">
        <f>25.399*L412</f>
        <v>330.18700000000001</v>
      </c>
      <c r="H412" s="13">
        <v>42171</v>
      </c>
      <c r="I412" s="12" t="s">
        <v>635</v>
      </c>
      <c r="J412" s="12" t="s">
        <v>2414</v>
      </c>
      <c r="K412" s="12" t="s">
        <v>184</v>
      </c>
      <c r="L412" s="12">
        <v>13</v>
      </c>
      <c r="M412" s="14" t="s">
        <v>2411</v>
      </c>
      <c r="N412" s="14" t="s">
        <v>473</v>
      </c>
      <c r="O412" s="17" t="s">
        <v>2415</v>
      </c>
    </row>
    <row r="413" spans="1:15" x14ac:dyDescent="0.15">
      <c r="A413" s="21" t="s">
        <v>2416</v>
      </c>
      <c r="B413" s="19"/>
      <c r="C413" s="11"/>
      <c r="D413" s="17" t="s">
        <v>1181</v>
      </c>
      <c r="E413" s="10" t="s">
        <v>163</v>
      </c>
      <c r="F413" s="11" t="s">
        <v>2417</v>
      </c>
      <c r="G413" s="12">
        <f>17.712*L413</f>
        <v>212.54399999999998</v>
      </c>
      <c r="H413" s="13">
        <v>42171</v>
      </c>
      <c r="I413" s="12" t="s">
        <v>635</v>
      </c>
      <c r="J413" s="12" t="s">
        <v>2418</v>
      </c>
      <c r="K413" s="12" t="s">
        <v>227</v>
      </c>
      <c r="L413" s="12">
        <v>12</v>
      </c>
      <c r="M413" s="14" t="s">
        <v>2419</v>
      </c>
      <c r="N413" s="14" t="s">
        <v>242</v>
      </c>
      <c r="O413" s="17" t="s">
        <v>2420</v>
      </c>
    </row>
    <row r="414" spans="1:15" x14ac:dyDescent="0.15">
      <c r="A414" s="21" t="s">
        <v>845</v>
      </c>
      <c r="B414" s="19"/>
      <c r="C414" s="11"/>
      <c r="D414" s="17" t="s">
        <v>846</v>
      </c>
      <c r="E414" s="10" t="s">
        <v>163</v>
      </c>
      <c r="F414" s="11" t="s">
        <v>2421</v>
      </c>
      <c r="G414" s="30">
        <v>231.90299999999999</v>
      </c>
      <c r="H414" s="13">
        <v>42171</v>
      </c>
      <c r="I414" s="18" t="s">
        <v>737</v>
      </c>
      <c r="J414" s="12" t="s">
        <v>2422</v>
      </c>
      <c r="K414" s="12" t="s">
        <v>175</v>
      </c>
      <c r="L414" s="12" t="s">
        <v>166</v>
      </c>
      <c r="M414" s="14" t="s">
        <v>2423</v>
      </c>
      <c r="N414" s="14" t="s">
        <v>2424</v>
      </c>
      <c r="O414" s="17" t="s">
        <v>2425</v>
      </c>
    </row>
    <row r="415" spans="1:15" x14ac:dyDescent="0.15">
      <c r="A415" s="21" t="s">
        <v>845</v>
      </c>
      <c r="B415" s="19"/>
      <c r="C415" s="11"/>
      <c r="D415" s="17" t="s">
        <v>846</v>
      </c>
      <c r="E415" s="10" t="s">
        <v>163</v>
      </c>
      <c r="F415" s="11" t="s">
        <v>2426</v>
      </c>
      <c r="G415" s="30">
        <v>262.27300000000002</v>
      </c>
      <c r="H415" s="13">
        <v>42171</v>
      </c>
      <c r="I415" s="18" t="s">
        <v>737</v>
      </c>
      <c r="J415" s="12" t="s">
        <v>2427</v>
      </c>
      <c r="K415" s="12" t="s">
        <v>175</v>
      </c>
      <c r="L415" s="12" t="s">
        <v>849</v>
      </c>
      <c r="M415" s="14" t="s">
        <v>2428</v>
      </c>
      <c r="N415" s="14" t="s">
        <v>2429</v>
      </c>
      <c r="O415" s="17" t="s">
        <v>2430</v>
      </c>
    </row>
    <row r="416" spans="1:15" x14ac:dyDescent="0.15">
      <c r="A416" s="21" t="s">
        <v>845</v>
      </c>
      <c r="B416" s="19"/>
      <c r="C416" s="11"/>
      <c r="D416" s="17" t="s">
        <v>846</v>
      </c>
      <c r="E416" s="10" t="s">
        <v>163</v>
      </c>
      <c r="F416" s="11" t="s">
        <v>2431</v>
      </c>
      <c r="G416" s="30">
        <v>262.13900000000001</v>
      </c>
      <c r="H416" s="13">
        <v>42171</v>
      </c>
      <c r="I416" s="18" t="s">
        <v>737</v>
      </c>
      <c r="J416" s="12" t="s">
        <v>2432</v>
      </c>
      <c r="K416" s="12" t="s">
        <v>175</v>
      </c>
      <c r="L416" s="12" t="s">
        <v>849</v>
      </c>
      <c r="M416" s="14" t="s">
        <v>2433</v>
      </c>
      <c r="N416" s="14" t="s">
        <v>2030</v>
      </c>
      <c r="O416" s="17" t="s">
        <v>2434</v>
      </c>
    </row>
    <row r="417" spans="1:15" x14ac:dyDescent="0.15">
      <c r="A417" s="21" t="s">
        <v>845</v>
      </c>
      <c r="B417" s="19"/>
      <c r="C417" s="11"/>
      <c r="D417" s="17" t="s">
        <v>846</v>
      </c>
      <c r="E417" s="10" t="s">
        <v>163</v>
      </c>
      <c r="F417" s="11" t="s">
        <v>2435</v>
      </c>
      <c r="G417" s="30">
        <v>231.935</v>
      </c>
      <c r="H417" s="13">
        <v>42171</v>
      </c>
      <c r="I417" s="18" t="s">
        <v>737</v>
      </c>
      <c r="J417" s="12" t="s">
        <v>2436</v>
      </c>
      <c r="K417" s="12" t="s">
        <v>175</v>
      </c>
      <c r="L417" s="12" t="s">
        <v>166</v>
      </c>
      <c r="M417" s="14" t="s">
        <v>2437</v>
      </c>
      <c r="N417" s="14" t="s">
        <v>2035</v>
      </c>
      <c r="O417" s="17" t="s">
        <v>2438</v>
      </c>
    </row>
    <row r="418" spans="1:15" x14ac:dyDescent="0.15">
      <c r="A418" s="21" t="s">
        <v>845</v>
      </c>
      <c r="B418" s="19"/>
      <c r="C418" s="11"/>
      <c r="D418" s="17" t="s">
        <v>846</v>
      </c>
      <c r="E418" s="10" t="s">
        <v>163</v>
      </c>
      <c r="F418" s="11" t="s">
        <v>2439</v>
      </c>
      <c r="G418" s="30">
        <v>231.96899999999999</v>
      </c>
      <c r="H418" s="13">
        <v>42171</v>
      </c>
      <c r="I418" s="18" t="s">
        <v>737</v>
      </c>
      <c r="J418" s="12" t="s">
        <v>2440</v>
      </c>
      <c r="K418" s="12" t="s">
        <v>175</v>
      </c>
      <c r="L418" s="12" t="s">
        <v>166</v>
      </c>
      <c r="M418" s="14" t="s">
        <v>2441</v>
      </c>
      <c r="N418" s="14" t="s">
        <v>2442</v>
      </c>
      <c r="O418" s="17" t="s">
        <v>2443</v>
      </c>
    </row>
    <row r="419" spans="1:15" x14ac:dyDescent="0.15">
      <c r="A419" s="21" t="s">
        <v>2226</v>
      </c>
      <c r="B419" s="19"/>
      <c r="C419" s="11"/>
      <c r="D419" s="17" t="s">
        <v>846</v>
      </c>
      <c r="E419" s="10" t="s">
        <v>163</v>
      </c>
      <c r="F419" s="11" t="s">
        <v>2444</v>
      </c>
      <c r="G419" s="30">
        <v>262.334</v>
      </c>
      <c r="H419" s="13">
        <v>42171</v>
      </c>
      <c r="I419" s="18" t="s">
        <v>191</v>
      </c>
      <c r="J419" s="12" t="s">
        <v>2445</v>
      </c>
      <c r="K419" s="12" t="s">
        <v>175</v>
      </c>
      <c r="L419" s="12" t="s">
        <v>849</v>
      </c>
      <c r="M419" s="14" t="s">
        <v>2446</v>
      </c>
      <c r="N419" s="14" t="s">
        <v>2447</v>
      </c>
      <c r="O419" s="17" t="s">
        <v>2448</v>
      </c>
    </row>
    <row r="420" spans="1:15" x14ac:dyDescent="0.15">
      <c r="A420" s="21" t="s">
        <v>2026</v>
      </c>
      <c r="B420" s="19"/>
      <c r="C420" s="11"/>
      <c r="D420" s="17" t="s">
        <v>846</v>
      </c>
      <c r="E420" s="10" t="s">
        <v>163</v>
      </c>
      <c r="F420" s="11" t="s">
        <v>2449</v>
      </c>
      <c r="G420" s="30">
        <v>262.06700000000001</v>
      </c>
      <c r="H420" s="13">
        <v>42171</v>
      </c>
      <c r="I420" s="18" t="s">
        <v>191</v>
      </c>
      <c r="J420" s="12" t="s">
        <v>2450</v>
      </c>
      <c r="K420" s="12" t="s">
        <v>175</v>
      </c>
      <c r="L420" s="12" t="s">
        <v>849</v>
      </c>
      <c r="M420" s="14" t="s">
        <v>2451</v>
      </c>
      <c r="N420" s="14" t="s">
        <v>2452</v>
      </c>
      <c r="O420" s="17" t="s">
        <v>2453</v>
      </c>
    </row>
    <row r="421" spans="1:15" x14ac:dyDescent="0.15">
      <c r="A421" s="21" t="s">
        <v>2226</v>
      </c>
      <c r="B421" s="19"/>
      <c r="C421" s="11"/>
      <c r="D421" s="17" t="s">
        <v>846</v>
      </c>
      <c r="E421" s="10" t="s">
        <v>163</v>
      </c>
      <c r="F421" s="11" t="s">
        <v>2454</v>
      </c>
      <c r="G421" s="30">
        <v>262.39699999999999</v>
      </c>
      <c r="H421" s="13">
        <v>42171</v>
      </c>
      <c r="I421" s="18" t="s">
        <v>191</v>
      </c>
      <c r="J421" s="12" t="s">
        <v>2455</v>
      </c>
      <c r="K421" s="12" t="s">
        <v>175</v>
      </c>
      <c r="L421" s="12" t="s">
        <v>849</v>
      </c>
      <c r="M421" s="14" t="s">
        <v>2456</v>
      </c>
      <c r="N421" s="14" t="s">
        <v>2447</v>
      </c>
      <c r="O421" s="17" t="s">
        <v>2457</v>
      </c>
    </row>
    <row r="422" spans="1:15" x14ac:dyDescent="0.15">
      <c r="A422" s="21" t="s">
        <v>2458</v>
      </c>
      <c r="B422" s="19"/>
      <c r="C422" s="11"/>
      <c r="D422" s="17" t="s">
        <v>171</v>
      </c>
      <c r="E422" s="10" t="s">
        <v>163</v>
      </c>
      <c r="F422" s="11" t="s">
        <v>2459</v>
      </c>
      <c r="G422" s="30">
        <v>80.700999999999993</v>
      </c>
      <c r="H422" s="13">
        <v>42171</v>
      </c>
      <c r="I422" s="12" t="s">
        <v>683</v>
      </c>
      <c r="J422" s="12" t="s">
        <v>2460</v>
      </c>
      <c r="K422" s="12" t="s">
        <v>175</v>
      </c>
      <c r="L422" s="12" t="s">
        <v>972</v>
      </c>
      <c r="M422" s="14" t="s">
        <v>2461</v>
      </c>
      <c r="N422" s="14" t="s">
        <v>2462</v>
      </c>
      <c r="O422" s="17" t="s">
        <v>2463</v>
      </c>
    </row>
    <row r="423" spans="1:15" x14ac:dyDescent="0.15">
      <c r="A423" s="21" t="s">
        <v>2200</v>
      </c>
      <c r="B423" s="19"/>
      <c r="C423" s="11"/>
      <c r="D423" s="17" t="s">
        <v>1475</v>
      </c>
      <c r="E423" s="10" t="s">
        <v>163</v>
      </c>
      <c r="F423" s="11" t="s">
        <v>2464</v>
      </c>
      <c r="G423" s="30">
        <v>59.204000000000001</v>
      </c>
      <c r="H423" s="13">
        <v>42171</v>
      </c>
      <c r="I423" s="12" t="s">
        <v>215</v>
      </c>
      <c r="J423" s="12" t="s">
        <v>2465</v>
      </c>
      <c r="K423" s="12" t="s">
        <v>175</v>
      </c>
      <c r="L423" s="12" t="s">
        <v>988</v>
      </c>
      <c r="M423" s="14" t="s">
        <v>2466</v>
      </c>
      <c r="N423" s="14" t="s">
        <v>2467</v>
      </c>
      <c r="O423" s="17" t="s">
        <v>2468</v>
      </c>
    </row>
    <row r="424" spans="1:15" x14ac:dyDescent="0.15">
      <c r="A424" s="21" t="s">
        <v>1474</v>
      </c>
      <c r="B424" s="19"/>
      <c r="C424" s="11"/>
      <c r="D424" s="17" t="s">
        <v>1475</v>
      </c>
      <c r="E424" s="10" t="s">
        <v>163</v>
      </c>
      <c r="F424" s="11" t="s">
        <v>2469</v>
      </c>
      <c r="G424" s="30">
        <v>138.51499999999999</v>
      </c>
      <c r="H424" s="13">
        <v>42171</v>
      </c>
      <c r="I424" s="12" t="s">
        <v>215</v>
      </c>
      <c r="J424" s="12" t="s">
        <v>2470</v>
      </c>
      <c r="K424" s="12" t="s">
        <v>175</v>
      </c>
      <c r="L424" s="12" t="s">
        <v>2471</v>
      </c>
      <c r="M424" s="14" t="s">
        <v>2472</v>
      </c>
      <c r="N424" s="14" t="s">
        <v>2473</v>
      </c>
      <c r="O424" s="17" t="s">
        <v>2474</v>
      </c>
    </row>
    <row r="425" spans="1:15" x14ac:dyDescent="0.15">
      <c r="A425" s="21" t="s">
        <v>1984</v>
      </c>
      <c r="B425" s="19"/>
      <c r="C425" s="11"/>
      <c r="D425" s="17" t="s">
        <v>1475</v>
      </c>
      <c r="E425" s="10" t="s">
        <v>163</v>
      </c>
      <c r="F425" s="11" t="s">
        <v>2475</v>
      </c>
      <c r="G425" s="30">
        <v>99.150999999999996</v>
      </c>
      <c r="H425" s="13">
        <v>42171</v>
      </c>
      <c r="I425" s="12" t="s">
        <v>215</v>
      </c>
      <c r="J425" s="12" t="s">
        <v>2476</v>
      </c>
      <c r="K425" s="12" t="s">
        <v>175</v>
      </c>
      <c r="L425" s="12" t="s">
        <v>1478</v>
      </c>
      <c r="M425" s="14" t="s">
        <v>2477</v>
      </c>
      <c r="N425" s="14" t="s">
        <v>2478</v>
      </c>
      <c r="O425" s="17" t="s">
        <v>2479</v>
      </c>
    </row>
    <row r="426" spans="1:15" x14ac:dyDescent="0.15">
      <c r="A426" s="21" t="s">
        <v>1984</v>
      </c>
      <c r="B426" s="19"/>
      <c r="C426" s="11"/>
      <c r="D426" s="17" t="s">
        <v>1475</v>
      </c>
      <c r="E426" s="10" t="s">
        <v>163</v>
      </c>
      <c r="F426" s="11" t="s">
        <v>2480</v>
      </c>
      <c r="G426" s="30">
        <v>99.152000000000001</v>
      </c>
      <c r="H426" s="13">
        <v>42171</v>
      </c>
      <c r="I426" s="12" t="s">
        <v>215</v>
      </c>
      <c r="J426" s="12" t="s">
        <v>2481</v>
      </c>
      <c r="K426" s="12" t="s">
        <v>175</v>
      </c>
      <c r="L426" s="12" t="s">
        <v>1478</v>
      </c>
      <c r="M426" s="14" t="s">
        <v>2482</v>
      </c>
      <c r="N426" s="14" t="s">
        <v>2483</v>
      </c>
      <c r="O426" s="17" t="s">
        <v>2484</v>
      </c>
    </row>
    <row r="427" spans="1:15" x14ac:dyDescent="0.15">
      <c r="A427" s="21" t="s">
        <v>1984</v>
      </c>
      <c r="B427" s="19"/>
      <c r="C427" s="11"/>
      <c r="D427" s="17" t="s">
        <v>1475</v>
      </c>
      <c r="E427" s="10" t="s">
        <v>163</v>
      </c>
      <c r="F427" s="11" t="s">
        <v>2485</v>
      </c>
      <c r="G427" s="30">
        <v>99.105999999999995</v>
      </c>
      <c r="H427" s="13">
        <v>42171</v>
      </c>
      <c r="I427" s="12" t="s">
        <v>215</v>
      </c>
      <c r="J427" s="12" t="s">
        <v>2486</v>
      </c>
      <c r="K427" s="12" t="s">
        <v>175</v>
      </c>
      <c r="L427" s="12" t="s">
        <v>1478</v>
      </c>
      <c r="M427" s="14" t="s">
        <v>2487</v>
      </c>
      <c r="N427" s="14" t="s">
        <v>2488</v>
      </c>
      <c r="O427" s="17" t="s">
        <v>2489</v>
      </c>
    </row>
    <row r="428" spans="1:15" x14ac:dyDescent="0.15">
      <c r="A428" s="21" t="s">
        <v>1741</v>
      </c>
      <c r="B428" s="19"/>
      <c r="C428" s="11"/>
      <c r="D428" s="17" t="s">
        <v>1742</v>
      </c>
      <c r="E428" s="10" t="s">
        <v>163</v>
      </c>
      <c r="F428" s="11" t="s">
        <v>2490</v>
      </c>
      <c r="G428" s="30">
        <v>161.77799999999999</v>
      </c>
      <c r="H428" s="13">
        <v>42171</v>
      </c>
      <c r="I428" s="18" t="s">
        <v>191</v>
      </c>
      <c r="J428" s="12" t="s">
        <v>2491</v>
      </c>
      <c r="K428" s="12" t="s">
        <v>255</v>
      </c>
      <c r="L428" s="12" t="s">
        <v>2492</v>
      </c>
      <c r="M428" s="14" t="s">
        <v>2493</v>
      </c>
      <c r="N428" s="14" t="s">
        <v>2494</v>
      </c>
      <c r="O428" s="17" t="s">
        <v>2495</v>
      </c>
    </row>
    <row r="429" spans="1:15" x14ac:dyDescent="0.15">
      <c r="A429" s="21" t="s">
        <v>2048</v>
      </c>
      <c r="B429" s="19"/>
      <c r="C429" s="11"/>
      <c r="D429" s="17" t="s">
        <v>2049</v>
      </c>
      <c r="E429" s="10" t="s">
        <v>163</v>
      </c>
      <c r="F429" s="11" t="s">
        <v>2496</v>
      </c>
      <c r="G429" s="30">
        <v>259.71899999999999</v>
      </c>
      <c r="H429" s="13">
        <v>42171</v>
      </c>
      <c r="I429" s="18" t="s">
        <v>191</v>
      </c>
      <c r="J429" s="12" t="s">
        <v>2497</v>
      </c>
      <c r="K429" s="12" t="s">
        <v>255</v>
      </c>
      <c r="L429" s="12" t="s">
        <v>2498</v>
      </c>
      <c r="M429" s="14" t="s">
        <v>2499</v>
      </c>
      <c r="N429" s="14" t="s">
        <v>2500</v>
      </c>
      <c r="O429" s="17" t="s">
        <v>2501</v>
      </c>
    </row>
    <row r="430" spans="1:15" x14ac:dyDescent="0.15">
      <c r="A430" s="21" t="s">
        <v>2502</v>
      </c>
      <c r="B430" s="19"/>
      <c r="C430" s="11"/>
      <c r="D430" s="17" t="s">
        <v>2503</v>
      </c>
      <c r="E430" s="10" t="s">
        <v>163</v>
      </c>
      <c r="F430" s="11" t="s">
        <v>2504</v>
      </c>
      <c r="G430" s="30">
        <v>40.283999999999999</v>
      </c>
      <c r="H430" s="13">
        <v>42171</v>
      </c>
      <c r="I430" s="18" t="s">
        <v>191</v>
      </c>
      <c r="J430" s="12" t="s">
        <v>2505</v>
      </c>
      <c r="K430" s="12" t="s">
        <v>328</v>
      </c>
      <c r="L430" s="12" t="s">
        <v>2506</v>
      </c>
      <c r="M430" s="14" t="s">
        <v>2507</v>
      </c>
      <c r="N430" s="14" t="s">
        <v>2508</v>
      </c>
      <c r="O430" s="17" t="s">
        <v>2509</v>
      </c>
    </row>
    <row r="431" spans="1:15" x14ac:dyDescent="0.15">
      <c r="A431" s="21" t="s">
        <v>999</v>
      </c>
      <c r="B431" s="19"/>
      <c r="C431" s="11"/>
      <c r="D431" s="17" t="s">
        <v>2156</v>
      </c>
      <c r="E431" s="10" t="s">
        <v>163</v>
      </c>
      <c r="F431" s="11" t="s">
        <v>2510</v>
      </c>
      <c r="G431" s="30">
        <v>106.619</v>
      </c>
      <c r="H431" s="13">
        <v>42171</v>
      </c>
      <c r="I431" s="12" t="s">
        <v>215</v>
      </c>
      <c r="J431" s="12" t="s">
        <v>2511</v>
      </c>
      <c r="K431" s="12" t="s">
        <v>255</v>
      </c>
      <c r="L431" s="12" t="s">
        <v>2512</v>
      </c>
      <c r="M431" s="14" t="s">
        <v>2513</v>
      </c>
      <c r="N431" s="14" t="s">
        <v>2514</v>
      </c>
      <c r="O431" s="17" t="s">
        <v>2515</v>
      </c>
    </row>
    <row r="432" spans="1:15" x14ac:dyDescent="0.15">
      <c r="A432" s="21" t="s">
        <v>1025</v>
      </c>
      <c r="B432" s="19"/>
      <c r="C432" s="11"/>
      <c r="D432" s="17" t="s">
        <v>453</v>
      </c>
      <c r="E432" s="10" t="s">
        <v>163</v>
      </c>
      <c r="F432" s="11" t="s">
        <v>2516</v>
      </c>
      <c r="G432" s="18">
        <v>301.80099999999999</v>
      </c>
      <c r="H432" s="13">
        <v>42173</v>
      </c>
      <c r="I432" s="12" t="s">
        <v>215</v>
      </c>
      <c r="J432" s="12" t="s">
        <v>2517</v>
      </c>
      <c r="K432" s="12" t="s">
        <v>175</v>
      </c>
      <c r="L432" s="12" t="s">
        <v>1328</v>
      </c>
      <c r="M432" s="14" t="s">
        <v>2518</v>
      </c>
      <c r="N432" s="14" t="s">
        <v>2519</v>
      </c>
      <c r="O432" s="17" t="s">
        <v>2520</v>
      </c>
    </row>
    <row r="433" spans="1:15" x14ac:dyDescent="0.15">
      <c r="A433" s="21" t="s">
        <v>1025</v>
      </c>
      <c r="B433" s="19"/>
      <c r="C433" s="11"/>
      <c r="D433" s="17" t="s">
        <v>453</v>
      </c>
      <c r="E433" s="10" t="s">
        <v>163</v>
      </c>
      <c r="F433" s="11" t="s">
        <v>2521</v>
      </c>
      <c r="G433" s="18">
        <v>151.08000000000001</v>
      </c>
      <c r="H433" s="13">
        <v>42173</v>
      </c>
      <c r="I433" s="12" t="s">
        <v>215</v>
      </c>
      <c r="J433" s="12" t="s">
        <v>2522</v>
      </c>
      <c r="K433" s="12" t="s">
        <v>175</v>
      </c>
      <c r="L433" s="12" t="s">
        <v>1922</v>
      </c>
      <c r="M433" s="14" t="s">
        <v>2523</v>
      </c>
      <c r="N433" s="14" t="s">
        <v>2524</v>
      </c>
      <c r="O433" s="17" t="s">
        <v>2525</v>
      </c>
    </row>
    <row r="434" spans="1:15" x14ac:dyDescent="0.15">
      <c r="A434" s="21" t="s">
        <v>845</v>
      </c>
      <c r="B434" s="19"/>
      <c r="C434" s="11"/>
      <c r="D434" s="17" t="s">
        <v>846</v>
      </c>
      <c r="E434" s="10" t="s">
        <v>163</v>
      </c>
      <c r="F434" s="11" t="s">
        <v>2526</v>
      </c>
      <c r="G434" s="18">
        <v>262.20600000000002</v>
      </c>
      <c r="H434" s="13">
        <v>42173</v>
      </c>
      <c r="I434" s="18" t="s">
        <v>3866</v>
      </c>
      <c r="J434" s="12" t="s">
        <v>8625</v>
      </c>
      <c r="K434" s="12" t="s">
        <v>175</v>
      </c>
      <c r="L434" s="12" t="s">
        <v>849</v>
      </c>
      <c r="M434" s="14" t="s">
        <v>2527</v>
      </c>
      <c r="N434" s="14" t="s">
        <v>2528</v>
      </c>
      <c r="O434" s="17" t="s">
        <v>2529</v>
      </c>
    </row>
    <row r="435" spans="1:15" x14ac:dyDescent="0.15">
      <c r="A435" s="21" t="s">
        <v>2048</v>
      </c>
      <c r="B435" s="19"/>
      <c r="C435" s="11"/>
      <c r="D435" s="17" t="s">
        <v>2049</v>
      </c>
      <c r="E435" s="10" t="s">
        <v>163</v>
      </c>
      <c r="F435" s="11" t="s">
        <v>2530</v>
      </c>
      <c r="G435" s="18">
        <v>233.392</v>
      </c>
      <c r="H435" s="13">
        <v>42173</v>
      </c>
      <c r="I435" s="18" t="s">
        <v>191</v>
      </c>
      <c r="J435" s="12" t="s">
        <v>2531</v>
      </c>
      <c r="K435" s="12" t="s">
        <v>255</v>
      </c>
      <c r="L435" s="12" t="s">
        <v>2532</v>
      </c>
      <c r="M435" s="14" t="s">
        <v>2533</v>
      </c>
      <c r="N435" s="14" t="s">
        <v>2534</v>
      </c>
      <c r="O435" s="17" t="s">
        <v>2535</v>
      </c>
    </row>
    <row r="436" spans="1:15" x14ac:dyDescent="0.15">
      <c r="A436" s="21" t="s">
        <v>1708</v>
      </c>
      <c r="B436" s="19"/>
      <c r="C436" s="11"/>
      <c r="D436" s="17" t="s">
        <v>1692</v>
      </c>
      <c r="E436" s="10" t="s">
        <v>163</v>
      </c>
      <c r="F436" s="11" t="s">
        <v>2536</v>
      </c>
      <c r="G436" s="18">
        <v>308.60899999999998</v>
      </c>
      <c r="H436" s="13">
        <v>42173</v>
      </c>
      <c r="I436" s="12" t="s">
        <v>215</v>
      </c>
      <c r="J436" s="12" t="s">
        <v>2537</v>
      </c>
      <c r="K436" s="12" t="s">
        <v>255</v>
      </c>
      <c r="L436" s="12" t="s">
        <v>1328</v>
      </c>
      <c r="M436" s="14" t="s">
        <v>2538</v>
      </c>
      <c r="N436" s="14" t="s">
        <v>2539</v>
      </c>
      <c r="O436" s="17" t="s">
        <v>2540</v>
      </c>
    </row>
    <row r="437" spans="1:15" x14ac:dyDescent="0.15">
      <c r="A437" s="21" t="s">
        <v>1708</v>
      </c>
      <c r="B437" s="19"/>
      <c r="C437" s="11"/>
      <c r="D437" s="17" t="s">
        <v>1692</v>
      </c>
      <c r="E437" s="10" t="s">
        <v>163</v>
      </c>
      <c r="F437" s="11" t="s">
        <v>2541</v>
      </c>
      <c r="G437" s="18">
        <v>308.86099999999999</v>
      </c>
      <c r="H437" s="13">
        <v>42173</v>
      </c>
      <c r="I437" s="12" t="s">
        <v>215</v>
      </c>
      <c r="J437" s="12" t="s">
        <v>2542</v>
      </c>
      <c r="K437" s="12" t="s">
        <v>255</v>
      </c>
      <c r="L437" s="12" t="s">
        <v>1328</v>
      </c>
      <c r="M437" s="14" t="s">
        <v>2543</v>
      </c>
      <c r="N437" s="14" t="s">
        <v>2544</v>
      </c>
      <c r="O437" s="17" t="s">
        <v>2545</v>
      </c>
    </row>
    <row r="438" spans="1:15" x14ac:dyDescent="0.15">
      <c r="A438" s="21" t="s">
        <v>1708</v>
      </c>
      <c r="B438" s="19"/>
      <c r="C438" s="11"/>
      <c r="D438" s="17" t="s">
        <v>1692</v>
      </c>
      <c r="E438" s="10" t="s">
        <v>163</v>
      </c>
      <c r="F438" s="11" t="s">
        <v>2546</v>
      </c>
      <c r="G438" s="18">
        <v>341.17700000000002</v>
      </c>
      <c r="H438" s="13">
        <v>42173</v>
      </c>
      <c r="I438" s="12" t="s">
        <v>215</v>
      </c>
      <c r="J438" s="12" t="s">
        <v>2547</v>
      </c>
      <c r="K438" s="12" t="s">
        <v>255</v>
      </c>
      <c r="L438" s="12" t="s">
        <v>2548</v>
      </c>
      <c r="M438" s="14" t="s">
        <v>2549</v>
      </c>
      <c r="N438" s="14" t="s">
        <v>2550</v>
      </c>
      <c r="O438" s="17" t="s">
        <v>2551</v>
      </c>
    </row>
    <row r="439" spans="1:15" x14ac:dyDescent="0.15">
      <c r="A439" s="21" t="s">
        <v>1741</v>
      </c>
      <c r="B439" s="19"/>
      <c r="C439" s="11"/>
      <c r="D439" s="17" t="s">
        <v>1742</v>
      </c>
      <c r="E439" s="10" t="s">
        <v>163</v>
      </c>
      <c r="F439" s="11" t="s">
        <v>2552</v>
      </c>
      <c r="G439" s="30">
        <v>141.10400000000001</v>
      </c>
      <c r="H439" s="13">
        <v>42174</v>
      </c>
      <c r="I439" s="18" t="s">
        <v>191</v>
      </c>
      <c r="J439" s="12" t="s">
        <v>2553</v>
      </c>
      <c r="K439" s="12" t="s">
        <v>255</v>
      </c>
      <c r="L439" s="12" t="s">
        <v>1745</v>
      </c>
      <c r="M439" s="14" t="s">
        <v>2554</v>
      </c>
      <c r="N439" s="14" t="s">
        <v>2555</v>
      </c>
      <c r="O439" s="17" t="s">
        <v>2556</v>
      </c>
    </row>
    <row r="440" spans="1:15" x14ac:dyDescent="0.15">
      <c r="A440" s="21" t="s">
        <v>1741</v>
      </c>
      <c r="B440" s="19"/>
      <c r="C440" s="11"/>
      <c r="D440" s="17" t="s">
        <v>1742</v>
      </c>
      <c r="E440" s="10" t="s">
        <v>163</v>
      </c>
      <c r="F440" s="11" t="s">
        <v>2557</v>
      </c>
      <c r="G440" s="30">
        <v>79.337000000000003</v>
      </c>
      <c r="H440" s="13">
        <v>42174</v>
      </c>
      <c r="I440" s="18" t="s">
        <v>191</v>
      </c>
      <c r="J440" s="12" t="s">
        <v>2558</v>
      </c>
      <c r="K440" s="12" t="s">
        <v>255</v>
      </c>
      <c r="L440" s="12" t="s">
        <v>1598</v>
      </c>
      <c r="M440" s="14" t="s">
        <v>2559</v>
      </c>
      <c r="N440" s="14" t="s">
        <v>2560</v>
      </c>
      <c r="O440" s="17" t="s">
        <v>2561</v>
      </c>
    </row>
    <row r="441" spans="1:15" x14ac:dyDescent="0.15">
      <c r="A441" s="21" t="s">
        <v>1025</v>
      </c>
      <c r="B441" s="19"/>
      <c r="C441" s="11"/>
      <c r="D441" s="17" t="s">
        <v>453</v>
      </c>
      <c r="E441" s="10" t="s">
        <v>163</v>
      </c>
      <c r="F441" s="11" t="s">
        <v>2562</v>
      </c>
      <c r="G441" s="30">
        <v>302.08600000000001</v>
      </c>
      <c r="H441" s="13">
        <v>42174</v>
      </c>
      <c r="I441" s="12" t="s">
        <v>215</v>
      </c>
      <c r="J441" s="12" t="s">
        <v>2563</v>
      </c>
      <c r="K441" s="12" t="s">
        <v>175</v>
      </c>
      <c r="L441" s="12" t="s">
        <v>1328</v>
      </c>
      <c r="M441" s="14" t="s">
        <v>2564</v>
      </c>
      <c r="N441" s="14" t="s">
        <v>2024</v>
      </c>
      <c r="O441" s="17" t="s">
        <v>2565</v>
      </c>
    </row>
    <row r="442" spans="1:15" x14ac:dyDescent="0.15">
      <c r="A442" s="21" t="s">
        <v>1741</v>
      </c>
      <c r="B442" s="19"/>
      <c r="C442" s="11"/>
      <c r="D442" s="17" t="s">
        <v>1742</v>
      </c>
      <c r="E442" s="10" t="s">
        <v>163</v>
      </c>
      <c r="F442" s="11" t="s">
        <v>2566</v>
      </c>
      <c r="G442" s="30">
        <v>120.53100000000001</v>
      </c>
      <c r="H442" s="13">
        <v>42174</v>
      </c>
      <c r="I442" s="18" t="s">
        <v>191</v>
      </c>
      <c r="J442" s="12" t="s">
        <v>2567</v>
      </c>
      <c r="K442" s="12" t="s">
        <v>255</v>
      </c>
      <c r="L442" s="12" t="s">
        <v>2568</v>
      </c>
      <c r="M442" s="14" t="s">
        <v>2569</v>
      </c>
      <c r="N442" s="14" t="s">
        <v>2570</v>
      </c>
      <c r="O442" s="17" t="s">
        <v>2571</v>
      </c>
    </row>
    <row r="443" spans="1:15" x14ac:dyDescent="0.15">
      <c r="A443" s="21" t="s">
        <v>632</v>
      </c>
      <c r="B443" s="19"/>
      <c r="C443" s="11"/>
      <c r="D443" s="17" t="s">
        <v>633</v>
      </c>
      <c r="E443" s="10" t="s">
        <v>163</v>
      </c>
      <c r="F443" s="11" t="s">
        <v>2572</v>
      </c>
      <c r="G443" s="12">
        <f>17.498*L443</f>
        <v>262.47000000000003</v>
      </c>
      <c r="H443" s="13">
        <v>42178</v>
      </c>
      <c r="I443" s="12" t="s">
        <v>635</v>
      </c>
      <c r="J443" s="12" t="s">
        <v>2573</v>
      </c>
      <c r="K443" s="12" t="s">
        <v>227</v>
      </c>
      <c r="L443" s="12">
        <v>15</v>
      </c>
      <c r="M443" s="14" t="s">
        <v>2574</v>
      </c>
      <c r="N443" s="14" t="s">
        <v>2575</v>
      </c>
      <c r="O443" s="17" t="s">
        <v>2576</v>
      </c>
    </row>
    <row r="444" spans="1:15" x14ac:dyDescent="0.15">
      <c r="A444" s="21" t="s">
        <v>885</v>
      </c>
      <c r="B444" s="19"/>
      <c r="C444" s="11"/>
      <c r="D444" s="17" t="s">
        <v>886</v>
      </c>
      <c r="E444" s="10" t="s">
        <v>163</v>
      </c>
      <c r="F444" s="11" t="s">
        <v>2577</v>
      </c>
      <c r="G444" s="12">
        <v>168.916</v>
      </c>
      <c r="H444" s="13">
        <v>42178</v>
      </c>
      <c r="I444" s="12" t="s">
        <v>215</v>
      </c>
      <c r="J444" s="12" t="s">
        <v>2578</v>
      </c>
      <c r="K444" s="12" t="s">
        <v>255</v>
      </c>
      <c r="L444" s="12" t="s">
        <v>2579</v>
      </c>
      <c r="M444" s="14" t="s">
        <v>2580</v>
      </c>
      <c r="N444" s="14" t="s">
        <v>2581</v>
      </c>
      <c r="O444" s="17" t="s">
        <v>2582</v>
      </c>
    </row>
    <row r="445" spans="1:15" x14ac:dyDescent="0.15">
      <c r="A445" s="21" t="s">
        <v>2060</v>
      </c>
      <c r="B445" s="19"/>
      <c r="C445" s="11"/>
      <c r="D445" s="17" t="s">
        <v>1595</v>
      </c>
      <c r="E445" s="10" t="s">
        <v>163</v>
      </c>
      <c r="F445" s="11" t="s">
        <v>2583</v>
      </c>
      <c r="G445" s="12">
        <v>80.227000000000004</v>
      </c>
      <c r="H445" s="13">
        <v>42178</v>
      </c>
      <c r="I445" s="12" t="s">
        <v>215</v>
      </c>
      <c r="J445" s="12" t="s">
        <v>2584</v>
      </c>
      <c r="K445" s="12" t="s">
        <v>175</v>
      </c>
      <c r="L445" s="12" t="s">
        <v>980</v>
      </c>
      <c r="M445" s="14" t="s">
        <v>2585</v>
      </c>
      <c r="N445" s="14" t="s">
        <v>2586</v>
      </c>
      <c r="O445" s="17" t="s">
        <v>2587</v>
      </c>
    </row>
    <row r="446" spans="1:15" x14ac:dyDescent="0.15">
      <c r="A446" s="21" t="s">
        <v>1387</v>
      </c>
      <c r="B446" s="19"/>
      <c r="C446" s="11"/>
      <c r="D446" s="17" t="s">
        <v>432</v>
      </c>
      <c r="E446" s="10" t="s">
        <v>163</v>
      </c>
      <c r="F446" s="11" t="s">
        <v>2588</v>
      </c>
      <c r="G446" s="12">
        <v>302.43900000000002</v>
      </c>
      <c r="H446" s="13">
        <v>42178</v>
      </c>
      <c r="I446" s="12" t="s">
        <v>215</v>
      </c>
      <c r="J446" s="12" t="s">
        <v>2589</v>
      </c>
      <c r="K446" s="12" t="s">
        <v>175</v>
      </c>
      <c r="L446" s="12" t="s">
        <v>1328</v>
      </c>
      <c r="M446" s="14" t="s">
        <v>2590</v>
      </c>
      <c r="N446" s="14" t="s">
        <v>2591</v>
      </c>
      <c r="O446" s="17" t="s">
        <v>2592</v>
      </c>
    </row>
    <row r="447" spans="1:15" x14ac:dyDescent="0.15">
      <c r="A447" s="21" t="s">
        <v>1387</v>
      </c>
      <c r="B447" s="19"/>
      <c r="C447" s="11"/>
      <c r="D447" s="17" t="s">
        <v>432</v>
      </c>
      <c r="E447" s="10" t="s">
        <v>163</v>
      </c>
      <c r="F447" s="11" t="s">
        <v>2593</v>
      </c>
      <c r="G447" s="12">
        <v>383.74099999999999</v>
      </c>
      <c r="H447" s="13">
        <v>42178</v>
      </c>
      <c r="I447" s="12" t="s">
        <v>215</v>
      </c>
      <c r="J447" s="12" t="s">
        <v>2594</v>
      </c>
      <c r="K447" s="12" t="s">
        <v>175</v>
      </c>
      <c r="L447" s="12" t="s">
        <v>1445</v>
      </c>
      <c r="M447" s="14" t="s">
        <v>2595</v>
      </c>
      <c r="N447" s="14" t="s">
        <v>2330</v>
      </c>
      <c r="O447" s="17" t="s">
        <v>2596</v>
      </c>
    </row>
    <row r="448" spans="1:15" x14ac:dyDescent="0.15">
      <c r="A448" s="21" t="s">
        <v>1387</v>
      </c>
      <c r="B448" s="19"/>
      <c r="C448" s="11"/>
      <c r="D448" s="17" t="s">
        <v>432</v>
      </c>
      <c r="E448" s="10" t="s">
        <v>163</v>
      </c>
      <c r="F448" s="11" t="s">
        <v>2597</v>
      </c>
      <c r="G448" s="12">
        <v>302.49700000000001</v>
      </c>
      <c r="H448" s="13">
        <v>42178</v>
      </c>
      <c r="I448" s="12" t="s">
        <v>215</v>
      </c>
      <c r="J448" s="12" t="s">
        <v>2598</v>
      </c>
      <c r="K448" s="12" t="s">
        <v>175</v>
      </c>
      <c r="L448" s="12" t="s">
        <v>1328</v>
      </c>
      <c r="M448" s="14" t="s">
        <v>2599</v>
      </c>
      <c r="N448" s="14" t="s">
        <v>2024</v>
      </c>
      <c r="O448" s="17" t="s">
        <v>2600</v>
      </c>
    </row>
    <row r="449" spans="1:15" x14ac:dyDescent="0.15">
      <c r="A449" s="21" t="s">
        <v>1387</v>
      </c>
      <c r="B449" s="19"/>
      <c r="C449" s="11"/>
      <c r="D449" s="17" t="s">
        <v>432</v>
      </c>
      <c r="E449" s="10" t="s">
        <v>163</v>
      </c>
      <c r="F449" s="11" t="s">
        <v>2601</v>
      </c>
      <c r="G449" s="12">
        <v>384.11200000000002</v>
      </c>
      <c r="H449" s="13">
        <v>42178</v>
      </c>
      <c r="I449" s="12" t="s">
        <v>215</v>
      </c>
      <c r="J449" s="12" t="s">
        <v>2602</v>
      </c>
      <c r="K449" s="12" t="s">
        <v>175</v>
      </c>
      <c r="L449" s="12" t="s">
        <v>1445</v>
      </c>
      <c r="M449" s="14" t="s">
        <v>2603</v>
      </c>
      <c r="N449" s="14" t="s">
        <v>2604</v>
      </c>
      <c r="O449" s="17" t="s">
        <v>2605</v>
      </c>
    </row>
    <row r="450" spans="1:15" x14ac:dyDescent="0.15">
      <c r="A450" s="21" t="s">
        <v>1325</v>
      </c>
      <c r="B450" s="19"/>
      <c r="C450" s="11"/>
      <c r="D450" s="17" t="s">
        <v>453</v>
      </c>
      <c r="E450" s="10" t="s">
        <v>163</v>
      </c>
      <c r="F450" s="11" t="s">
        <v>2606</v>
      </c>
      <c r="G450" s="12">
        <v>267.483</v>
      </c>
      <c r="H450" s="13">
        <v>42178</v>
      </c>
      <c r="I450" s="18" t="s">
        <v>737</v>
      </c>
      <c r="J450" s="12" t="s">
        <v>2607</v>
      </c>
      <c r="K450" s="12" t="s">
        <v>175</v>
      </c>
      <c r="L450" s="12" t="s">
        <v>1334</v>
      </c>
      <c r="M450" s="14" t="s">
        <v>2608</v>
      </c>
      <c r="N450" s="14" t="s">
        <v>2609</v>
      </c>
      <c r="O450" s="17" t="s">
        <v>2610</v>
      </c>
    </row>
    <row r="451" spans="1:15" x14ac:dyDescent="0.15">
      <c r="A451" s="21" t="s">
        <v>1325</v>
      </c>
      <c r="B451" s="19"/>
      <c r="C451" s="11"/>
      <c r="D451" s="17" t="s">
        <v>453</v>
      </c>
      <c r="E451" s="10" t="s">
        <v>163</v>
      </c>
      <c r="F451" s="11" t="s">
        <v>2611</v>
      </c>
      <c r="G451" s="12">
        <v>302.22199999999998</v>
      </c>
      <c r="H451" s="13">
        <v>42178</v>
      </c>
      <c r="I451" s="18" t="s">
        <v>737</v>
      </c>
      <c r="J451" s="12" t="s">
        <v>2612</v>
      </c>
      <c r="K451" s="12" t="s">
        <v>175</v>
      </c>
      <c r="L451" s="12" t="s">
        <v>1328</v>
      </c>
      <c r="M451" s="14" t="s">
        <v>2613</v>
      </c>
      <c r="N451" s="14" t="s">
        <v>2519</v>
      </c>
      <c r="O451" s="17" t="s">
        <v>2614</v>
      </c>
    </row>
    <row r="452" spans="1:15" x14ac:dyDescent="0.15">
      <c r="A452" s="21" t="s">
        <v>1325</v>
      </c>
      <c r="B452" s="19"/>
      <c r="C452" s="11"/>
      <c r="D452" s="17" t="s">
        <v>453</v>
      </c>
      <c r="E452" s="10" t="s">
        <v>163</v>
      </c>
      <c r="F452" s="11" t="s">
        <v>2615</v>
      </c>
      <c r="G452" s="12">
        <v>302.14100000000002</v>
      </c>
      <c r="H452" s="13">
        <v>42178</v>
      </c>
      <c r="I452" s="18" t="s">
        <v>737</v>
      </c>
      <c r="J452" s="12" t="s">
        <v>2616</v>
      </c>
      <c r="K452" s="12" t="s">
        <v>175</v>
      </c>
      <c r="L452" s="12" t="s">
        <v>1328</v>
      </c>
      <c r="M452" s="14" t="s">
        <v>2617</v>
      </c>
      <c r="N452" s="14" t="s">
        <v>2618</v>
      </c>
      <c r="O452" s="17" t="s">
        <v>2619</v>
      </c>
    </row>
    <row r="453" spans="1:15" x14ac:dyDescent="0.15">
      <c r="A453" s="21" t="s">
        <v>1474</v>
      </c>
      <c r="B453" s="19"/>
      <c r="C453" s="11"/>
      <c r="D453" s="17" t="s">
        <v>1475</v>
      </c>
      <c r="E453" s="10" t="s">
        <v>163</v>
      </c>
      <c r="F453" s="11" t="s">
        <v>2620</v>
      </c>
      <c r="G453" s="12">
        <v>40.085000000000001</v>
      </c>
      <c r="H453" s="13">
        <v>42178</v>
      </c>
      <c r="I453" s="12" t="s">
        <v>215</v>
      </c>
      <c r="J453" s="12" t="s">
        <v>2621</v>
      </c>
      <c r="K453" s="12" t="s">
        <v>175</v>
      </c>
      <c r="L453" s="12" t="s">
        <v>937</v>
      </c>
      <c r="M453" s="14" t="s">
        <v>2622</v>
      </c>
      <c r="N453" s="14" t="s">
        <v>2623</v>
      </c>
      <c r="O453" s="17" t="s">
        <v>2624</v>
      </c>
    </row>
    <row r="454" spans="1:15" x14ac:dyDescent="0.15">
      <c r="A454" s="21" t="s">
        <v>1474</v>
      </c>
      <c r="B454" s="19"/>
      <c r="C454" s="11"/>
      <c r="D454" s="17" t="s">
        <v>1475</v>
      </c>
      <c r="E454" s="10" t="s">
        <v>163</v>
      </c>
      <c r="F454" s="11" t="s">
        <v>2625</v>
      </c>
      <c r="G454" s="12">
        <v>159.971</v>
      </c>
      <c r="H454" s="13">
        <v>42178</v>
      </c>
      <c r="I454" s="12" t="s">
        <v>215</v>
      </c>
      <c r="J454" s="12" t="s">
        <v>2626</v>
      </c>
      <c r="K454" s="12" t="s">
        <v>175</v>
      </c>
      <c r="L454" s="12" t="s">
        <v>2627</v>
      </c>
      <c r="M454" s="14" t="s">
        <v>2628</v>
      </c>
      <c r="N454" s="14" t="s">
        <v>2629</v>
      </c>
      <c r="O454" s="17" t="s">
        <v>2630</v>
      </c>
    </row>
    <row r="455" spans="1:15" x14ac:dyDescent="0.15">
      <c r="A455" s="21" t="s">
        <v>1387</v>
      </c>
      <c r="B455" s="19"/>
      <c r="C455" s="11"/>
      <c r="D455" s="17" t="s">
        <v>432</v>
      </c>
      <c r="E455" s="10" t="s">
        <v>163</v>
      </c>
      <c r="F455" s="11" t="s">
        <v>2631</v>
      </c>
      <c r="G455" s="12">
        <v>302.40499999999997</v>
      </c>
      <c r="H455" s="13">
        <v>42178</v>
      </c>
      <c r="I455" s="12" t="s">
        <v>215</v>
      </c>
      <c r="J455" s="12" t="s">
        <v>2632</v>
      </c>
      <c r="K455" s="12" t="s">
        <v>175</v>
      </c>
      <c r="L455" s="12" t="s">
        <v>1328</v>
      </c>
      <c r="M455" s="14" t="s">
        <v>2633</v>
      </c>
      <c r="N455" s="14" t="s">
        <v>2214</v>
      </c>
      <c r="O455" s="17" t="s">
        <v>2634</v>
      </c>
    </row>
    <row r="456" spans="1:15" x14ac:dyDescent="0.15">
      <c r="A456" s="21" t="s">
        <v>1387</v>
      </c>
      <c r="B456" s="19"/>
      <c r="C456" s="11"/>
      <c r="D456" s="17" t="s">
        <v>432</v>
      </c>
      <c r="E456" s="10" t="s">
        <v>163</v>
      </c>
      <c r="F456" s="11" t="s">
        <v>2635</v>
      </c>
      <c r="G456" s="12">
        <v>302.25900000000001</v>
      </c>
      <c r="H456" s="13">
        <v>42178</v>
      </c>
      <c r="I456" s="12" t="s">
        <v>215</v>
      </c>
      <c r="J456" s="12" t="s">
        <v>2636</v>
      </c>
      <c r="K456" s="12" t="s">
        <v>175</v>
      </c>
      <c r="L456" s="12" t="s">
        <v>1328</v>
      </c>
      <c r="M456" s="14" t="s">
        <v>2637</v>
      </c>
      <c r="N456" s="14" t="s">
        <v>2306</v>
      </c>
      <c r="O456" s="17" t="s">
        <v>2638</v>
      </c>
    </row>
    <row r="457" spans="1:15" x14ac:dyDescent="0.15">
      <c r="A457" s="21" t="s">
        <v>1387</v>
      </c>
      <c r="B457" s="19"/>
      <c r="C457" s="11"/>
      <c r="D457" s="17" t="s">
        <v>432</v>
      </c>
      <c r="E457" s="10" t="s">
        <v>163</v>
      </c>
      <c r="F457" s="11" t="s">
        <v>2639</v>
      </c>
      <c r="G457" s="12">
        <v>267.63400000000001</v>
      </c>
      <c r="H457" s="13">
        <v>42178</v>
      </c>
      <c r="I457" s="12" t="s">
        <v>215</v>
      </c>
      <c r="J457" s="12" t="s">
        <v>2640</v>
      </c>
      <c r="K457" s="12" t="s">
        <v>175</v>
      </c>
      <c r="L457" s="12" t="s">
        <v>1334</v>
      </c>
      <c r="M457" s="14" t="s">
        <v>2641</v>
      </c>
      <c r="N457" s="14" t="s">
        <v>1701</v>
      </c>
      <c r="O457" s="17" t="s">
        <v>2642</v>
      </c>
    </row>
    <row r="458" spans="1:15" x14ac:dyDescent="0.15">
      <c r="A458" s="21" t="s">
        <v>1387</v>
      </c>
      <c r="B458" s="19"/>
      <c r="C458" s="11"/>
      <c r="D458" s="17" t="s">
        <v>432</v>
      </c>
      <c r="E458" s="10" t="s">
        <v>163</v>
      </c>
      <c r="F458" s="11" t="s">
        <v>2643</v>
      </c>
      <c r="G458" s="12">
        <v>302.43</v>
      </c>
      <c r="H458" s="13">
        <v>42178</v>
      </c>
      <c r="I458" s="12" t="s">
        <v>215</v>
      </c>
      <c r="J458" s="12" t="s">
        <v>2644</v>
      </c>
      <c r="K458" s="12" t="s">
        <v>175</v>
      </c>
      <c r="L458" s="12" t="s">
        <v>1328</v>
      </c>
      <c r="M458" s="14" t="s">
        <v>2645</v>
      </c>
      <c r="N458" s="14" t="s">
        <v>2009</v>
      </c>
      <c r="O458" s="17" t="s">
        <v>2646</v>
      </c>
    </row>
    <row r="459" spans="1:15" x14ac:dyDescent="0.15">
      <c r="A459" s="21" t="s">
        <v>1474</v>
      </c>
      <c r="B459" s="19"/>
      <c r="C459" s="11"/>
      <c r="D459" s="17" t="s">
        <v>1475</v>
      </c>
      <c r="E459" s="10" t="s">
        <v>163</v>
      </c>
      <c r="F459" s="11" t="s">
        <v>2647</v>
      </c>
      <c r="G459" s="12">
        <v>99.052000000000007</v>
      </c>
      <c r="H459" s="13">
        <v>42179</v>
      </c>
      <c r="I459" s="12" t="s">
        <v>215</v>
      </c>
      <c r="J459" s="12" t="s">
        <v>2648</v>
      </c>
      <c r="K459" s="12" t="s">
        <v>175</v>
      </c>
      <c r="L459" s="12" t="s">
        <v>1478</v>
      </c>
      <c r="M459" s="14" t="s">
        <v>2649</v>
      </c>
      <c r="N459" s="14" t="s">
        <v>1993</v>
      </c>
      <c r="O459" s="17" t="s">
        <v>2650</v>
      </c>
    </row>
    <row r="460" spans="1:15" x14ac:dyDescent="0.15">
      <c r="A460" s="21" t="s">
        <v>1474</v>
      </c>
      <c r="B460" s="19"/>
      <c r="C460" s="11"/>
      <c r="D460" s="17" t="s">
        <v>1475</v>
      </c>
      <c r="E460" s="10" t="s">
        <v>163</v>
      </c>
      <c r="F460" s="11" t="s">
        <v>2651</v>
      </c>
      <c r="G460" s="12">
        <v>98.775000000000006</v>
      </c>
      <c r="H460" s="13">
        <v>42179</v>
      </c>
      <c r="I460" s="12" t="s">
        <v>215</v>
      </c>
      <c r="J460" s="12" t="s">
        <v>2652</v>
      </c>
      <c r="K460" s="12" t="s">
        <v>175</v>
      </c>
      <c r="L460" s="12" t="s">
        <v>1478</v>
      </c>
      <c r="M460" s="14" t="s">
        <v>2653</v>
      </c>
      <c r="N460" s="14" t="s">
        <v>2204</v>
      </c>
      <c r="O460" s="17" t="s">
        <v>2654</v>
      </c>
    </row>
    <row r="461" spans="1:15" x14ac:dyDescent="0.15">
      <c r="A461" s="21" t="s">
        <v>1503</v>
      </c>
      <c r="B461" s="19"/>
      <c r="C461" s="11"/>
      <c r="D461" s="17" t="s">
        <v>460</v>
      </c>
      <c r="E461" s="10" t="s">
        <v>163</v>
      </c>
      <c r="F461" s="11" t="s">
        <v>2655</v>
      </c>
      <c r="G461" s="12">
        <v>85.778000000000006</v>
      </c>
      <c r="H461" s="13">
        <v>42179</v>
      </c>
      <c r="I461" s="12" t="s">
        <v>215</v>
      </c>
      <c r="J461" s="12" t="s">
        <v>2656</v>
      </c>
      <c r="K461" s="12" t="s">
        <v>255</v>
      </c>
      <c r="L461" s="12" t="s">
        <v>1622</v>
      </c>
      <c r="M461" s="14" t="s">
        <v>2657</v>
      </c>
      <c r="N461" s="14" t="s">
        <v>2658</v>
      </c>
      <c r="O461" s="17" t="s">
        <v>2659</v>
      </c>
    </row>
    <row r="462" spans="1:15" x14ac:dyDescent="0.15">
      <c r="A462" s="21" t="s">
        <v>1912</v>
      </c>
      <c r="B462" s="19"/>
      <c r="C462" s="11"/>
      <c r="D462" s="17" t="s">
        <v>2660</v>
      </c>
      <c r="E462" s="10" t="s">
        <v>163</v>
      </c>
      <c r="F462" s="11" t="s">
        <v>2661</v>
      </c>
      <c r="G462" s="12">
        <v>161.27000000000001</v>
      </c>
      <c r="H462" s="13">
        <v>42179</v>
      </c>
      <c r="I462" s="12" t="s">
        <v>215</v>
      </c>
      <c r="J462" s="12" t="s">
        <v>2662</v>
      </c>
      <c r="K462" s="12" t="s">
        <v>255</v>
      </c>
      <c r="L462" s="12" t="s">
        <v>2663</v>
      </c>
      <c r="M462" s="14" t="s">
        <v>2664</v>
      </c>
      <c r="N462" s="14" t="s">
        <v>2665</v>
      </c>
      <c r="O462" s="17" t="s">
        <v>2666</v>
      </c>
    </row>
    <row r="463" spans="1:15" x14ac:dyDescent="0.15">
      <c r="A463" s="21" t="s">
        <v>1708</v>
      </c>
      <c r="B463" s="19"/>
      <c r="C463" s="11"/>
      <c r="D463" s="17" t="s">
        <v>1692</v>
      </c>
      <c r="E463" s="10" t="s">
        <v>163</v>
      </c>
      <c r="F463" s="11" t="s">
        <v>2667</v>
      </c>
      <c r="G463" s="12">
        <v>342.38299999999998</v>
      </c>
      <c r="H463" s="13">
        <v>42179</v>
      </c>
      <c r="I463" s="12" t="s">
        <v>215</v>
      </c>
      <c r="J463" s="12" t="s">
        <v>2668</v>
      </c>
      <c r="K463" s="12" t="s">
        <v>255</v>
      </c>
      <c r="L463" s="12" t="s">
        <v>2548</v>
      </c>
      <c r="M463" s="14" t="s">
        <v>2669</v>
      </c>
      <c r="N463" s="14" t="s">
        <v>2670</v>
      </c>
      <c r="O463" s="17" t="s">
        <v>2671</v>
      </c>
    </row>
    <row r="464" spans="1:15" x14ac:dyDescent="0.15">
      <c r="A464" s="21" t="s">
        <v>1708</v>
      </c>
      <c r="B464" s="19"/>
      <c r="C464" s="11"/>
      <c r="D464" s="17" t="s">
        <v>1692</v>
      </c>
      <c r="E464" s="10" t="s">
        <v>163</v>
      </c>
      <c r="F464" s="11" t="s">
        <v>2672</v>
      </c>
      <c r="G464" s="12">
        <v>342.286</v>
      </c>
      <c r="H464" s="13">
        <v>42179</v>
      </c>
      <c r="I464" s="12" t="s">
        <v>215</v>
      </c>
      <c r="J464" s="12" t="s">
        <v>2673</v>
      </c>
      <c r="K464" s="12" t="s">
        <v>255</v>
      </c>
      <c r="L464" s="12" t="s">
        <v>2548</v>
      </c>
      <c r="M464" s="14" t="s">
        <v>2674</v>
      </c>
      <c r="N464" s="14" t="s">
        <v>2675</v>
      </c>
      <c r="O464" s="17" t="s">
        <v>2676</v>
      </c>
    </row>
    <row r="465" spans="1:15" x14ac:dyDescent="0.15">
      <c r="A465" s="21" t="s">
        <v>1025</v>
      </c>
      <c r="B465" s="19"/>
      <c r="C465" s="11"/>
      <c r="D465" s="17" t="s">
        <v>453</v>
      </c>
      <c r="E465" s="10" t="s">
        <v>163</v>
      </c>
      <c r="F465" s="11" t="s">
        <v>2677</v>
      </c>
      <c r="G465" s="12">
        <v>34.866999999999997</v>
      </c>
      <c r="H465" s="13">
        <v>42179</v>
      </c>
      <c r="I465" s="12" t="s">
        <v>215</v>
      </c>
      <c r="J465" s="12" t="s">
        <v>2678</v>
      </c>
      <c r="K465" s="12" t="s">
        <v>175</v>
      </c>
      <c r="L465" s="12" t="s">
        <v>2679</v>
      </c>
      <c r="M465" s="14" t="s">
        <v>2680</v>
      </c>
      <c r="N465" s="14" t="s">
        <v>2681</v>
      </c>
      <c r="O465" s="17" t="s">
        <v>2682</v>
      </c>
    </row>
    <row r="466" spans="1:15" x14ac:dyDescent="0.15">
      <c r="A466" s="21" t="s">
        <v>949</v>
      </c>
      <c r="B466" s="29" t="s">
        <v>2683</v>
      </c>
      <c r="C466" s="11"/>
      <c r="D466" s="17" t="s">
        <v>419</v>
      </c>
      <c r="E466" s="10" t="s">
        <v>163</v>
      </c>
      <c r="F466" s="11" t="s">
        <v>2684</v>
      </c>
      <c r="G466" s="18">
        <f>8.606*L466</f>
        <v>215.15</v>
      </c>
      <c r="H466" s="13">
        <v>42181</v>
      </c>
      <c r="I466" s="12" t="s">
        <v>182</v>
      </c>
      <c r="J466" s="12" t="s">
        <v>2685</v>
      </c>
      <c r="K466" s="18" t="s">
        <v>227</v>
      </c>
      <c r="L466" s="12">
        <v>25</v>
      </c>
      <c r="M466" s="14" t="s">
        <v>2686</v>
      </c>
      <c r="N466" s="14" t="s">
        <v>338</v>
      </c>
      <c r="O466" s="17" t="s">
        <v>2687</v>
      </c>
    </row>
    <row r="467" spans="1:15" x14ac:dyDescent="0.15">
      <c r="A467" s="21" t="s">
        <v>2688</v>
      </c>
      <c r="B467" s="19"/>
      <c r="C467" s="11"/>
      <c r="D467" s="17" t="s">
        <v>1685</v>
      </c>
      <c r="E467" s="10" t="s">
        <v>163</v>
      </c>
      <c r="F467" s="11" t="s">
        <v>2689</v>
      </c>
      <c r="G467" s="12">
        <f>12.838*L467</f>
        <v>51.351999999999997</v>
      </c>
      <c r="H467" s="13">
        <v>42181</v>
      </c>
      <c r="I467" s="12" t="s">
        <v>215</v>
      </c>
      <c r="J467" s="12" t="s">
        <v>2690</v>
      </c>
      <c r="K467" s="12" t="s">
        <v>227</v>
      </c>
      <c r="L467" s="12">
        <v>4</v>
      </c>
      <c r="M467" s="14" t="s">
        <v>2691</v>
      </c>
      <c r="N467" s="14" t="s">
        <v>2692</v>
      </c>
      <c r="O467" s="17" t="s">
        <v>2693</v>
      </c>
    </row>
    <row r="468" spans="1:15" x14ac:dyDescent="0.15">
      <c r="A468" s="21" t="s">
        <v>2694</v>
      </c>
      <c r="B468" s="19"/>
      <c r="C468" s="11"/>
      <c r="D468" s="17" t="s">
        <v>2695</v>
      </c>
      <c r="E468" s="10" t="s">
        <v>163</v>
      </c>
      <c r="F468" s="11" t="s">
        <v>2696</v>
      </c>
      <c r="G468" s="18">
        <f>12.838*L468</f>
        <v>128.38</v>
      </c>
      <c r="H468" s="13">
        <v>42181</v>
      </c>
      <c r="I468" s="18" t="s">
        <v>2697</v>
      </c>
      <c r="J468" s="12" t="s">
        <v>2698</v>
      </c>
      <c r="K468" s="12" t="s">
        <v>227</v>
      </c>
      <c r="L468" s="12">
        <v>10</v>
      </c>
      <c r="M468" s="14" t="s">
        <v>2699</v>
      </c>
      <c r="N468" s="14" t="s">
        <v>412</v>
      </c>
      <c r="O468" s="17" t="s">
        <v>2700</v>
      </c>
    </row>
    <row r="469" spans="1:15" x14ac:dyDescent="0.15">
      <c r="A469" s="21" t="s">
        <v>1608</v>
      </c>
      <c r="B469" s="19"/>
      <c r="C469" s="11"/>
      <c r="D469" s="17" t="s">
        <v>1609</v>
      </c>
      <c r="E469" s="10" t="s">
        <v>163</v>
      </c>
      <c r="F469" s="11" t="s">
        <v>2701</v>
      </c>
      <c r="G469" s="12">
        <f>20.558*L469</f>
        <v>246.696</v>
      </c>
      <c r="H469" s="13">
        <v>42181</v>
      </c>
      <c r="I469" s="12" t="s">
        <v>1098</v>
      </c>
      <c r="J469" s="12" t="s">
        <v>2702</v>
      </c>
      <c r="K469" s="12" t="s">
        <v>227</v>
      </c>
      <c r="L469" s="12">
        <v>12</v>
      </c>
      <c r="M469" s="14" t="s">
        <v>2703</v>
      </c>
      <c r="N469" s="14" t="s">
        <v>242</v>
      </c>
      <c r="O469" s="17" t="s">
        <v>2704</v>
      </c>
    </row>
    <row r="470" spans="1:15" x14ac:dyDescent="0.15">
      <c r="A470" s="21" t="s">
        <v>1608</v>
      </c>
      <c r="B470" s="19"/>
      <c r="C470" s="11"/>
      <c r="D470" s="17" t="s">
        <v>1609</v>
      </c>
      <c r="E470" s="10" t="s">
        <v>163</v>
      </c>
      <c r="F470" s="11" t="s">
        <v>2705</v>
      </c>
      <c r="G470" s="12">
        <f>20.558*L470</f>
        <v>267.25400000000002</v>
      </c>
      <c r="H470" s="13">
        <v>42181</v>
      </c>
      <c r="I470" s="12" t="s">
        <v>1098</v>
      </c>
      <c r="J470" s="12" t="s">
        <v>2706</v>
      </c>
      <c r="K470" s="12" t="s">
        <v>227</v>
      </c>
      <c r="L470" s="12">
        <v>13</v>
      </c>
      <c r="M470" s="14" t="s">
        <v>2703</v>
      </c>
      <c r="N470" s="14" t="s">
        <v>473</v>
      </c>
      <c r="O470" s="17" t="s">
        <v>2707</v>
      </c>
    </row>
    <row r="471" spans="1:15" x14ac:dyDescent="0.15">
      <c r="A471" s="21" t="s">
        <v>2200</v>
      </c>
      <c r="B471" s="19"/>
      <c r="C471" s="11"/>
      <c r="D471" s="17" t="s">
        <v>1475</v>
      </c>
      <c r="E471" s="10" t="s">
        <v>163</v>
      </c>
      <c r="F471" s="11" t="s">
        <v>2708</v>
      </c>
      <c r="G471" s="12">
        <v>100.066</v>
      </c>
      <c r="H471" s="13">
        <v>42181</v>
      </c>
      <c r="I471" s="12" t="s">
        <v>215</v>
      </c>
      <c r="J471" s="12" t="s">
        <v>2709</v>
      </c>
      <c r="K471" s="12" t="s">
        <v>175</v>
      </c>
      <c r="L471" s="12" t="s">
        <v>1478</v>
      </c>
      <c r="M471" s="14" t="s">
        <v>2710</v>
      </c>
      <c r="N471" s="14" t="s">
        <v>2209</v>
      </c>
      <c r="O471" s="17" t="s">
        <v>2711</v>
      </c>
    </row>
    <row r="472" spans="1:15" x14ac:dyDescent="0.15">
      <c r="A472" s="21" t="s">
        <v>2200</v>
      </c>
      <c r="B472" s="19"/>
      <c r="C472" s="11"/>
      <c r="D472" s="17" t="s">
        <v>1475</v>
      </c>
      <c r="E472" s="10" t="s">
        <v>163</v>
      </c>
      <c r="F472" s="11" t="s">
        <v>2712</v>
      </c>
      <c r="G472" s="12">
        <v>100.10899999999999</v>
      </c>
      <c r="H472" s="13">
        <v>42181</v>
      </c>
      <c r="I472" s="12" t="s">
        <v>215</v>
      </c>
      <c r="J472" s="12" t="s">
        <v>2713</v>
      </c>
      <c r="K472" s="12" t="s">
        <v>175</v>
      </c>
      <c r="L472" s="12" t="s">
        <v>1478</v>
      </c>
      <c r="M472" s="14" t="s">
        <v>2714</v>
      </c>
      <c r="N472" s="14" t="s">
        <v>1490</v>
      </c>
      <c r="O472" s="17" t="s">
        <v>2715</v>
      </c>
    </row>
    <row r="473" spans="1:15" x14ac:dyDescent="0.15">
      <c r="A473" s="21" t="s">
        <v>2060</v>
      </c>
      <c r="B473" s="19"/>
      <c r="C473" s="11"/>
      <c r="D473" s="17" t="s">
        <v>1595</v>
      </c>
      <c r="E473" s="10" t="s">
        <v>163</v>
      </c>
      <c r="F473" s="11" t="s">
        <v>2716</v>
      </c>
      <c r="G473" s="12">
        <v>192.517</v>
      </c>
      <c r="H473" s="13">
        <v>42181</v>
      </c>
      <c r="I473" s="12" t="s">
        <v>215</v>
      </c>
      <c r="J473" s="12" t="s">
        <v>2717</v>
      </c>
      <c r="K473" s="12" t="s">
        <v>175</v>
      </c>
      <c r="L473" s="12" t="s">
        <v>1745</v>
      </c>
      <c r="M473" s="14" t="s">
        <v>2718</v>
      </c>
      <c r="N473" s="14" t="s">
        <v>2719</v>
      </c>
      <c r="O473" s="17" t="s">
        <v>2720</v>
      </c>
    </row>
    <row r="474" spans="1:15" x14ac:dyDescent="0.15">
      <c r="A474" s="21" t="s">
        <v>2060</v>
      </c>
      <c r="B474" s="19"/>
      <c r="C474" s="11"/>
      <c r="D474" s="17" t="s">
        <v>1595</v>
      </c>
      <c r="E474" s="10" t="s">
        <v>163</v>
      </c>
      <c r="F474" s="11" t="s">
        <v>2721</v>
      </c>
      <c r="G474" s="12">
        <v>108.249</v>
      </c>
      <c r="H474" s="13">
        <v>42181</v>
      </c>
      <c r="I474" s="12" t="s">
        <v>215</v>
      </c>
      <c r="J474" s="12" t="s">
        <v>2722</v>
      </c>
      <c r="K474" s="12" t="s">
        <v>175</v>
      </c>
      <c r="L474" s="12" t="s">
        <v>1598</v>
      </c>
      <c r="M474" s="14" t="s">
        <v>2723</v>
      </c>
      <c r="N474" s="14" t="s">
        <v>2724</v>
      </c>
      <c r="O474" s="17" t="s">
        <v>2725</v>
      </c>
    </row>
    <row r="475" spans="1:15" x14ac:dyDescent="0.15">
      <c r="A475" s="21" t="s">
        <v>2060</v>
      </c>
      <c r="B475" s="19"/>
      <c r="C475" s="11"/>
      <c r="D475" s="17" t="s">
        <v>1595</v>
      </c>
      <c r="E475" s="10" t="s">
        <v>163</v>
      </c>
      <c r="F475" s="11" t="s">
        <v>2726</v>
      </c>
      <c r="G475" s="12">
        <v>220.453</v>
      </c>
      <c r="H475" s="13">
        <v>42181</v>
      </c>
      <c r="I475" s="12" t="s">
        <v>215</v>
      </c>
      <c r="J475" s="12" t="s">
        <v>2727</v>
      </c>
      <c r="K475" s="12" t="s">
        <v>175</v>
      </c>
      <c r="L475" s="12" t="s">
        <v>2492</v>
      </c>
      <c r="M475" s="14" t="s">
        <v>2728</v>
      </c>
      <c r="N475" s="14" t="s">
        <v>2729</v>
      </c>
      <c r="O475" s="17" t="s">
        <v>2730</v>
      </c>
    </row>
    <row r="476" spans="1:15" x14ac:dyDescent="0.15">
      <c r="A476" s="21" t="s">
        <v>1474</v>
      </c>
      <c r="B476" s="19"/>
      <c r="C476" s="11"/>
      <c r="D476" s="17" t="s">
        <v>1475</v>
      </c>
      <c r="E476" s="10" t="s">
        <v>163</v>
      </c>
      <c r="F476" s="11" t="s">
        <v>2731</v>
      </c>
      <c r="G476" s="12">
        <v>201.804</v>
      </c>
      <c r="H476" s="13">
        <v>42181</v>
      </c>
      <c r="I476" s="12" t="s">
        <v>215</v>
      </c>
      <c r="J476" s="12" t="s">
        <v>2732</v>
      </c>
      <c r="K476" s="12" t="s">
        <v>175</v>
      </c>
      <c r="L476" s="12" t="s">
        <v>2733</v>
      </c>
      <c r="M476" s="14" t="s">
        <v>2734</v>
      </c>
      <c r="N476" s="14" t="s">
        <v>2735</v>
      </c>
      <c r="O476" s="17" t="s">
        <v>2736</v>
      </c>
    </row>
    <row r="477" spans="1:15" x14ac:dyDescent="0.15">
      <c r="A477" s="20" t="s">
        <v>2737</v>
      </c>
      <c r="B477" s="19" t="s">
        <v>6884</v>
      </c>
      <c r="C477" s="11"/>
      <c r="D477" s="17" t="s">
        <v>2738</v>
      </c>
      <c r="E477" s="10" t="s">
        <v>163</v>
      </c>
      <c r="F477" s="11" t="s">
        <v>2739</v>
      </c>
      <c r="G477" s="12">
        <f>2.078*L477</f>
        <v>20.779999999999998</v>
      </c>
      <c r="H477" s="13">
        <v>42184</v>
      </c>
      <c r="I477" s="12" t="s">
        <v>2740</v>
      </c>
      <c r="J477" s="12" t="s">
        <v>2741</v>
      </c>
      <c r="K477" s="12" t="s">
        <v>227</v>
      </c>
      <c r="L477" s="12">
        <v>10</v>
      </c>
      <c r="M477" s="14" t="s">
        <v>2742</v>
      </c>
      <c r="N477" s="14" t="s">
        <v>2743</v>
      </c>
      <c r="O477" s="17" t="s">
        <v>2744</v>
      </c>
    </row>
    <row r="478" spans="1:15" x14ac:dyDescent="0.15">
      <c r="A478" s="21" t="s">
        <v>251</v>
      </c>
      <c r="B478" s="19"/>
      <c r="C478" s="11"/>
      <c r="D478" s="17" t="s">
        <v>893</v>
      </c>
      <c r="E478" s="10" t="s">
        <v>163</v>
      </c>
      <c r="F478" s="11" t="s">
        <v>2745</v>
      </c>
      <c r="G478" s="12">
        <v>360.24900000000002</v>
      </c>
      <c r="H478" s="13">
        <v>42186</v>
      </c>
      <c r="I478" s="12" t="s">
        <v>215</v>
      </c>
      <c r="J478" s="12" t="s">
        <v>2746</v>
      </c>
      <c r="K478" s="12" t="s">
        <v>255</v>
      </c>
      <c r="L478" s="12" t="s">
        <v>2747</v>
      </c>
      <c r="M478" s="14" t="s">
        <v>2748</v>
      </c>
      <c r="N478" s="14" t="s">
        <v>2749</v>
      </c>
      <c r="O478" s="17" t="s">
        <v>2750</v>
      </c>
    </row>
    <row r="479" spans="1:15" x14ac:dyDescent="0.15">
      <c r="A479" s="21" t="s">
        <v>1325</v>
      </c>
      <c r="B479" s="19"/>
      <c r="C479" s="11"/>
      <c r="D479" s="17" t="s">
        <v>453</v>
      </c>
      <c r="E479" s="10" t="s">
        <v>163</v>
      </c>
      <c r="F479" s="11" t="s">
        <v>2751</v>
      </c>
      <c r="G479" s="12">
        <v>383.39100000000002</v>
      </c>
      <c r="H479" s="13">
        <v>42186</v>
      </c>
      <c r="I479" s="18" t="s">
        <v>737</v>
      </c>
      <c r="J479" s="12" t="s">
        <v>2752</v>
      </c>
      <c r="K479" s="12" t="s">
        <v>175</v>
      </c>
      <c r="L479" s="12" t="s">
        <v>1445</v>
      </c>
      <c r="M479" s="14" t="s">
        <v>2753</v>
      </c>
      <c r="N479" s="14" t="s">
        <v>2754</v>
      </c>
      <c r="O479" s="17" t="s">
        <v>2755</v>
      </c>
    </row>
    <row r="480" spans="1:15" x14ac:dyDescent="0.15">
      <c r="A480" s="20" t="s">
        <v>2756</v>
      </c>
      <c r="B480" s="19"/>
      <c r="C480" s="11"/>
      <c r="D480" s="17" t="s">
        <v>2757</v>
      </c>
      <c r="E480" s="10" t="s">
        <v>163</v>
      </c>
      <c r="F480" s="11" t="s">
        <v>2758</v>
      </c>
      <c r="G480" s="12">
        <v>20.545000000000002</v>
      </c>
      <c r="H480" s="13">
        <v>42186</v>
      </c>
      <c r="I480" s="18" t="s">
        <v>191</v>
      </c>
      <c r="J480" s="12" t="s">
        <v>2759</v>
      </c>
      <c r="K480" s="12" t="s">
        <v>255</v>
      </c>
      <c r="L480" s="12" t="s">
        <v>2760</v>
      </c>
      <c r="M480" s="14" t="s">
        <v>2761</v>
      </c>
      <c r="N480" s="14" t="s">
        <v>2762</v>
      </c>
      <c r="O480" s="17" t="s">
        <v>2763</v>
      </c>
    </row>
    <row r="481" spans="1:15" x14ac:dyDescent="0.15">
      <c r="A481" s="21" t="s">
        <v>1474</v>
      </c>
      <c r="B481" s="19"/>
      <c r="C481" s="11"/>
      <c r="D481" s="17" t="s">
        <v>1475</v>
      </c>
      <c r="E481" s="10" t="s">
        <v>163</v>
      </c>
      <c r="F481" s="11" t="s">
        <v>2764</v>
      </c>
      <c r="G481" s="12">
        <v>98.74</v>
      </c>
      <c r="H481" s="13">
        <v>42186</v>
      </c>
      <c r="I481" s="12" t="s">
        <v>215</v>
      </c>
      <c r="J481" s="12" t="s">
        <v>2765</v>
      </c>
      <c r="K481" s="12" t="s">
        <v>175</v>
      </c>
      <c r="L481" s="12" t="s">
        <v>1478</v>
      </c>
      <c r="M481" s="14" t="s">
        <v>2766</v>
      </c>
      <c r="N481" s="14" t="s">
        <v>2483</v>
      </c>
      <c r="O481" s="17" t="s">
        <v>2767</v>
      </c>
    </row>
    <row r="482" spans="1:15" x14ac:dyDescent="0.15">
      <c r="A482" s="21" t="s">
        <v>1474</v>
      </c>
      <c r="B482" s="19"/>
      <c r="C482" s="11"/>
      <c r="D482" s="17" t="s">
        <v>1475</v>
      </c>
      <c r="E482" s="10" t="s">
        <v>163</v>
      </c>
      <c r="F482" s="11" t="s">
        <v>2768</v>
      </c>
      <c r="G482" s="12">
        <v>98.382999999999996</v>
      </c>
      <c r="H482" s="13">
        <v>42186</v>
      </c>
      <c r="I482" s="12" t="s">
        <v>215</v>
      </c>
      <c r="J482" s="12" t="s">
        <v>2769</v>
      </c>
      <c r="K482" s="12" t="s">
        <v>175</v>
      </c>
      <c r="L482" s="12" t="s">
        <v>1478</v>
      </c>
      <c r="M482" s="14" t="s">
        <v>2770</v>
      </c>
      <c r="N482" s="14" t="s">
        <v>2488</v>
      </c>
      <c r="O482" s="17" t="s">
        <v>2771</v>
      </c>
    </row>
    <row r="483" spans="1:15" x14ac:dyDescent="0.15">
      <c r="A483" s="21" t="s">
        <v>1524</v>
      </c>
      <c r="B483" s="19"/>
      <c r="C483" s="11"/>
      <c r="D483" s="17" t="s">
        <v>2772</v>
      </c>
      <c r="E483" s="10" t="s">
        <v>163</v>
      </c>
      <c r="F483" s="11" t="s">
        <v>2773</v>
      </c>
      <c r="G483" s="12">
        <f>17.498*L483</f>
        <v>227.47400000000002</v>
      </c>
      <c r="H483" s="13">
        <v>42186</v>
      </c>
      <c r="I483" s="12" t="s">
        <v>635</v>
      </c>
      <c r="J483" s="12" t="s">
        <v>2774</v>
      </c>
      <c r="K483" s="12" t="s">
        <v>227</v>
      </c>
      <c r="L483" s="12">
        <v>13</v>
      </c>
      <c r="M483" s="14" t="s">
        <v>2775</v>
      </c>
      <c r="N483" s="14" t="s">
        <v>1472</v>
      </c>
      <c r="O483" s="17" t="s">
        <v>2776</v>
      </c>
    </row>
    <row r="484" spans="1:15" x14ac:dyDescent="0.15">
      <c r="A484" s="21" t="s">
        <v>1144</v>
      </c>
      <c r="B484" s="19"/>
      <c r="C484" s="11"/>
      <c r="D484" s="17" t="s">
        <v>2777</v>
      </c>
      <c r="E484" s="10" t="s">
        <v>163</v>
      </c>
      <c r="F484" s="11" t="s">
        <v>2778</v>
      </c>
      <c r="G484" s="12">
        <f>25.399*L484</f>
        <v>304.78800000000001</v>
      </c>
      <c r="H484" s="13">
        <v>42186</v>
      </c>
      <c r="I484" s="12" t="s">
        <v>635</v>
      </c>
      <c r="J484" s="12" t="s">
        <v>2779</v>
      </c>
      <c r="K484" s="12" t="s">
        <v>184</v>
      </c>
      <c r="L484" s="12">
        <v>12</v>
      </c>
      <c r="M484" s="14" t="s">
        <v>2780</v>
      </c>
      <c r="N484" s="14" t="s">
        <v>242</v>
      </c>
      <c r="O484" s="17" t="s">
        <v>2780</v>
      </c>
    </row>
    <row r="485" spans="1:15" x14ac:dyDescent="0.15">
      <c r="A485" s="21" t="s">
        <v>1144</v>
      </c>
      <c r="B485" s="19"/>
      <c r="C485" s="11"/>
      <c r="D485" s="17" t="s">
        <v>2777</v>
      </c>
      <c r="E485" s="10" t="s">
        <v>163</v>
      </c>
      <c r="F485" s="11" t="s">
        <v>2781</v>
      </c>
      <c r="G485" s="12">
        <f>25.399*L485</f>
        <v>330.18700000000001</v>
      </c>
      <c r="H485" s="13">
        <v>42186</v>
      </c>
      <c r="I485" s="12" t="s">
        <v>635</v>
      </c>
      <c r="J485" s="12" t="s">
        <v>2782</v>
      </c>
      <c r="K485" s="12" t="s">
        <v>184</v>
      </c>
      <c r="L485" s="12">
        <v>13</v>
      </c>
      <c r="M485" s="14" t="s">
        <v>2780</v>
      </c>
      <c r="N485" s="14" t="s">
        <v>1472</v>
      </c>
      <c r="O485" s="17" t="s">
        <v>2783</v>
      </c>
    </row>
    <row r="486" spans="1:15" x14ac:dyDescent="0.15">
      <c r="A486" s="21" t="s">
        <v>1957</v>
      </c>
      <c r="B486" s="19"/>
      <c r="C486" s="11"/>
      <c r="D486" s="17" t="s">
        <v>1952</v>
      </c>
      <c r="E486" s="10" t="s">
        <v>163</v>
      </c>
      <c r="F486" s="11" t="s">
        <v>2784</v>
      </c>
      <c r="G486" s="12">
        <f>18.708*L486</f>
        <v>243.20399999999998</v>
      </c>
      <c r="H486" s="13">
        <v>42186</v>
      </c>
      <c r="I486" s="12" t="s">
        <v>1098</v>
      </c>
      <c r="J486" s="12" t="s">
        <v>2785</v>
      </c>
      <c r="K486" s="12" t="s">
        <v>132</v>
      </c>
      <c r="L486" s="12">
        <v>13</v>
      </c>
      <c r="M486" s="14" t="s">
        <v>2372</v>
      </c>
      <c r="N486" s="14" t="s">
        <v>473</v>
      </c>
      <c r="O486" s="17" t="s">
        <v>2786</v>
      </c>
    </row>
    <row r="487" spans="1:15" x14ac:dyDescent="0.15">
      <c r="A487" s="21" t="s">
        <v>2787</v>
      </c>
      <c r="B487" s="19"/>
      <c r="C487" s="11"/>
      <c r="D487" s="17" t="s">
        <v>1952</v>
      </c>
      <c r="E487" s="10" t="s">
        <v>163</v>
      </c>
      <c r="F487" s="11" t="s">
        <v>2788</v>
      </c>
      <c r="G487" s="12">
        <f>18.708*L487</f>
        <v>187.07999999999998</v>
      </c>
      <c r="H487" s="13">
        <v>42187</v>
      </c>
      <c r="I487" s="12" t="s">
        <v>683</v>
      </c>
      <c r="J487" s="12" t="s">
        <v>2789</v>
      </c>
      <c r="K487" s="12" t="s">
        <v>227</v>
      </c>
      <c r="L487" s="12">
        <v>10</v>
      </c>
      <c r="M487" s="14" t="s">
        <v>2790</v>
      </c>
      <c r="N487" s="14" t="s">
        <v>58</v>
      </c>
      <c r="O487" s="17" t="s">
        <v>2790</v>
      </c>
    </row>
    <row r="488" spans="1:15" x14ac:dyDescent="0.15">
      <c r="A488" s="21" t="s">
        <v>1649</v>
      </c>
      <c r="B488" s="19"/>
      <c r="C488" s="11"/>
      <c r="D488" s="17" t="s">
        <v>552</v>
      </c>
      <c r="E488" s="10" t="s">
        <v>163</v>
      </c>
      <c r="F488" s="11" t="s">
        <v>2791</v>
      </c>
      <c r="G488" s="12">
        <f>17.52*L488</f>
        <v>175.2</v>
      </c>
      <c r="H488" s="13">
        <v>42188</v>
      </c>
      <c r="I488" s="18" t="s">
        <v>1651</v>
      </c>
      <c r="J488" s="12" t="s">
        <v>2792</v>
      </c>
      <c r="K488" s="12" t="s">
        <v>227</v>
      </c>
      <c r="L488" s="12">
        <v>10</v>
      </c>
      <c r="M488" s="14" t="s">
        <v>2793</v>
      </c>
      <c r="N488" s="14" t="s">
        <v>2794</v>
      </c>
      <c r="O488" s="17" t="s">
        <v>2795</v>
      </c>
    </row>
    <row r="489" spans="1:15" x14ac:dyDescent="0.15">
      <c r="A489" s="21" t="s">
        <v>632</v>
      </c>
      <c r="B489" s="19"/>
      <c r="C489" s="11"/>
      <c r="D489" s="17" t="s">
        <v>633</v>
      </c>
      <c r="E489" s="10" t="s">
        <v>163</v>
      </c>
      <c r="F489" s="11" t="s">
        <v>2796</v>
      </c>
      <c r="G489" s="12">
        <f>17.498*L489</f>
        <v>262.47000000000003</v>
      </c>
      <c r="H489" s="13">
        <v>42188</v>
      </c>
      <c r="I489" s="12" t="s">
        <v>635</v>
      </c>
      <c r="J489" s="12" t="s">
        <v>2797</v>
      </c>
      <c r="K489" s="12" t="s">
        <v>227</v>
      </c>
      <c r="L489" s="12">
        <v>15</v>
      </c>
      <c r="M489" s="14" t="s">
        <v>2798</v>
      </c>
      <c r="N489" s="14" t="s">
        <v>1353</v>
      </c>
      <c r="O489" s="17" t="s">
        <v>2799</v>
      </c>
    </row>
    <row r="490" spans="1:15" x14ac:dyDescent="0.15">
      <c r="A490" s="21" t="s">
        <v>1355</v>
      </c>
      <c r="B490" s="19"/>
      <c r="C490" s="11"/>
      <c r="D490" s="17" t="s">
        <v>633</v>
      </c>
      <c r="E490" s="10" t="s">
        <v>163</v>
      </c>
      <c r="F490" s="11" t="s">
        <v>2800</v>
      </c>
      <c r="G490" s="12">
        <f>17.498*L490</f>
        <v>437.45000000000005</v>
      </c>
      <c r="H490" s="13">
        <v>42188</v>
      </c>
      <c r="I490" s="12" t="s">
        <v>635</v>
      </c>
      <c r="J490" s="12" t="s">
        <v>2801</v>
      </c>
      <c r="K490" s="12" t="s">
        <v>227</v>
      </c>
      <c r="L490" s="12">
        <v>25</v>
      </c>
      <c r="M490" s="14" t="s">
        <v>2802</v>
      </c>
      <c r="N490" s="14" t="s">
        <v>2367</v>
      </c>
      <c r="O490" s="17" t="s">
        <v>2803</v>
      </c>
    </row>
    <row r="491" spans="1:15" x14ac:dyDescent="0.15">
      <c r="A491" s="21" t="s">
        <v>825</v>
      </c>
      <c r="B491" s="19"/>
      <c r="C491" s="11"/>
      <c r="D491" s="17" t="s">
        <v>826</v>
      </c>
      <c r="E491" s="10" t="s">
        <v>163</v>
      </c>
      <c r="F491" s="11" t="s">
        <v>2804</v>
      </c>
      <c r="G491" s="18">
        <f>29.101*L491</f>
        <v>87.302999999999997</v>
      </c>
      <c r="H491" s="13">
        <v>42188</v>
      </c>
      <c r="I491" s="12" t="s">
        <v>683</v>
      </c>
      <c r="J491" s="12" t="s">
        <v>2805</v>
      </c>
      <c r="K491" s="12" t="s">
        <v>21</v>
      </c>
      <c r="L491" s="12">
        <v>3</v>
      </c>
      <c r="M491" s="14" t="s">
        <v>1857</v>
      </c>
      <c r="N491" s="14" t="s">
        <v>2806</v>
      </c>
      <c r="O491" s="17" t="s">
        <v>2807</v>
      </c>
    </row>
    <row r="492" spans="1:15" x14ac:dyDescent="0.15">
      <c r="A492" s="21" t="s">
        <v>2416</v>
      </c>
      <c r="B492" s="19"/>
      <c r="C492" s="11"/>
      <c r="D492" s="17" t="s">
        <v>1181</v>
      </c>
      <c r="E492" s="10" t="s">
        <v>163</v>
      </c>
      <c r="F492" s="11" t="s">
        <v>2808</v>
      </c>
      <c r="G492" s="12">
        <f>17.712*L492</f>
        <v>230.256</v>
      </c>
      <c r="H492" s="13">
        <v>42188</v>
      </c>
      <c r="I492" s="12" t="s">
        <v>635</v>
      </c>
      <c r="J492" s="12" t="s">
        <v>2809</v>
      </c>
      <c r="K492" s="12" t="s">
        <v>227</v>
      </c>
      <c r="L492" s="12">
        <v>13</v>
      </c>
      <c r="M492" s="14" t="s">
        <v>2420</v>
      </c>
      <c r="N492" s="14" t="s">
        <v>473</v>
      </c>
      <c r="O492" s="17" t="s">
        <v>2810</v>
      </c>
    </row>
    <row r="493" spans="1:15" x14ac:dyDescent="0.15">
      <c r="A493" s="21" t="s">
        <v>2811</v>
      </c>
      <c r="B493" s="19"/>
      <c r="C493" s="11"/>
      <c r="D493" s="17" t="s">
        <v>689</v>
      </c>
      <c r="E493" s="10" t="s">
        <v>163</v>
      </c>
      <c r="F493" s="11" t="s">
        <v>2812</v>
      </c>
      <c r="G493" s="12">
        <f>14.405*L493</f>
        <v>331.315</v>
      </c>
      <c r="H493" s="13">
        <v>42188</v>
      </c>
      <c r="I493" s="12" t="s">
        <v>635</v>
      </c>
      <c r="J493" s="12" t="s">
        <v>2813</v>
      </c>
      <c r="K493" s="12" t="s">
        <v>227</v>
      </c>
      <c r="L493" s="12">
        <v>23</v>
      </c>
      <c r="M493" s="14" t="s">
        <v>2814</v>
      </c>
      <c r="N493" s="14" t="s">
        <v>2815</v>
      </c>
      <c r="O493" s="17" t="s">
        <v>2814</v>
      </c>
    </row>
    <row r="494" spans="1:15" x14ac:dyDescent="0.15">
      <c r="A494" s="21" t="s">
        <v>688</v>
      </c>
      <c r="B494" s="19"/>
      <c r="C494" s="11"/>
      <c r="D494" s="17" t="s">
        <v>689</v>
      </c>
      <c r="E494" s="10" t="s">
        <v>163</v>
      </c>
      <c r="F494" s="11" t="s">
        <v>2816</v>
      </c>
      <c r="G494" s="12">
        <f>14.405*L494</f>
        <v>360.125</v>
      </c>
      <c r="H494" s="13">
        <v>42188</v>
      </c>
      <c r="I494" s="12" t="s">
        <v>635</v>
      </c>
      <c r="J494" s="12" t="s">
        <v>2817</v>
      </c>
      <c r="K494" s="12" t="s">
        <v>227</v>
      </c>
      <c r="L494" s="12">
        <v>25</v>
      </c>
      <c r="M494" s="14" t="s">
        <v>2818</v>
      </c>
      <c r="N494" s="14" t="s">
        <v>338</v>
      </c>
      <c r="O494" s="17" t="s">
        <v>2818</v>
      </c>
    </row>
    <row r="495" spans="1:15" x14ac:dyDescent="0.15">
      <c r="A495" s="21" t="s">
        <v>688</v>
      </c>
      <c r="B495" s="19"/>
      <c r="C495" s="11"/>
      <c r="D495" s="17" t="s">
        <v>689</v>
      </c>
      <c r="E495" s="10" t="s">
        <v>163</v>
      </c>
      <c r="F495" s="11" t="s">
        <v>2819</v>
      </c>
      <c r="G495" s="12">
        <f>14.405*L495</f>
        <v>360.125</v>
      </c>
      <c r="H495" s="13">
        <v>42188</v>
      </c>
      <c r="I495" s="12" t="s">
        <v>635</v>
      </c>
      <c r="J495" s="12" t="s">
        <v>2820</v>
      </c>
      <c r="K495" s="12" t="s">
        <v>227</v>
      </c>
      <c r="L495" s="12">
        <v>25</v>
      </c>
      <c r="M495" s="14" t="s">
        <v>2821</v>
      </c>
      <c r="N495" s="14" t="s">
        <v>338</v>
      </c>
      <c r="O495" s="17" t="s">
        <v>2821</v>
      </c>
    </row>
    <row r="496" spans="1:15" x14ac:dyDescent="0.15">
      <c r="A496" s="21" t="s">
        <v>2822</v>
      </c>
      <c r="B496" s="19"/>
      <c r="C496" s="11"/>
      <c r="D496" s="17" t="s">
        <v>389</v>
      </c>
      <c r="E496" s="10" t="s">
        <v>163</v>
      </c>
      <c r="F496" s="11" t="s">
        <v>2823</v>
      </c>
      <c r="G496" s="12">
        <f>17.52*L496</f>
        <v>87.6</v>
      </c>
      <c r="H496" s="13">
        <v>42188</v>
      </c>
      <c r="I496" s="12" t="s">
        <v>635</v>
      </c>
      <c r="J496" s="12" t="s">
        <v>2824</v>
      </c>
      <c r="K496" s="12" t="s">
        <v>227</v>
      </c>
      <c r="L496" s="12">
        <v>5</v>
      </c>
      <c r="M496" s="14" t="s">
        <v>2825</v>
      </c>
      <c r="N496" s="14" t="s">
        <v>2826</v>
      </c>
      <c r="O496" s="17" t="s">
        <v>2825</v>
      </c>
    </row>
    <row r="497" spans="1:15" x14ac:dyDescent="0.15">
      <c r="A497" s="21" t="s">
        <v>1080</v>
      </c>
      <c r="B497" s="19"/>
      <c r="C497" s="11"/>
      <c r="D497" s="17" t="s">
        <v>1081</v>
      </c>
      <c r="E497" s="10" t="s">
        <v>163</v>
      </c>
      <c r="F497" s="11" t="s">
        <v>2827</v>
      </c>
      <c r="G497" s="18">
        <f>27.688*L497</f>
        <v>304.56799999999998</v>
      </c>
      <c r="H497" s="13">
        <v>42188</v>
      </c>
      <c r="I497" s="12" t="s">
        <v>627</v>
      </c>
      <c r="J497" s="12" t="s">
        <v>2828</v>
      </c>
      <c r="K497" s="12" t="s">
        <v>227</v>
      </c>
      <c r="L497" s="12">
        <v>11</v>
      </c>
      <c r="M497" s="14" t="s">
        <v>2829</v>
      </c>
      <c r="N497" s="14" t="s">
        <v>2830</v>
      </c>
      <c r="O497" s="17" t="s">
        <v>2831</v>
      </c>
    </row>
    <row r="498" spans="1:15" x14ac:dyDescent="0.15">
      <c r="A498" s="21" t="s">
        <v>2832</v>
      </c>
      <c r="B498" s="29" t="s">
        <v>2833</v>
      </c>
      <c r="C498" s="11"/>
      <c r="D498" s="17" t="s">
        <v>2834</v>
      </c>
      <c r="E498" s="10" t="s">
        <v>163</v>
      </c>
      <c r="F498" s="11" t="s">
        <v>2835</v>
      </c>
      <c r="G498" s="18">
        <f>17.498*L498</f>
        <v>384.95600000000002</v>
      </c>
      <c r="H498" s="13">
        <v>42188</v>
      </c>
      <c r="I498" s="12" t="s">
        <v>635</v>
      </c>
      <c r="J498" s="12" t="s">
        <v>2836</v>
      </c>
      <c r="K498" s="12" t="s">
        <v>227</v>
      </c>
      <c r="L498" s="12">
        <v>22</v>
      </c>
      <c r="M498" s="14" t="s">
        <v>2837</v>
      </c>
      <c r="N498" s="14" t="s">
        <v>2838</v>
      </c>
      <c r="O498" s="17" t="s">
        <v>2839</v>
      </c>
    </row>
    <row r="499" spans="1:15" x14ac:dyDescent="0.15">
      <c r="A499" s="20" t="s">
        <v>2840</v>
      </c>
      <c r="B499" s="19"/>
      <c r="C499" s="11"/>
      <c r="D499" s="17" t="s">
        <v>2841</v>
      </c>
      <c r="E499" s="10" t="s">
        <v>163</v>
      </c>
      <c r="F499" s="11" t="s">
        <v>2842</v>
      </c>
      <c r="G499" s="18">
        <v>188.68100000000001</v>
      </c>
      <c r="H499" s="13">
        <v>42188</v>
      </c>
      <c r="I499" s="12" t="s">
        <v>215</v>
      </c>
      <c r="J499" s="12" t="s">
        <v>2843</v>
      </c>
      <c r="K499" s="12" t="s">
        <v>175</v>
      </c>
      <c r="L499" s="12" t="s">
        <v>2844</v>
      </c>
      <c r="M499" s="14" t="s">
        <v>2845</v>
      </c>
      <c r="N499" s="14" t="s">
        <v>2846</v>
      </c>
      <c r="O499" s="17" t="s">
        <v>2847</v>
      </c>
    </row>
    <row r="500" spans="1:15" x14ac:dyDescent="0.15">
      <c r="A500" s="21" t="s">
        <v>2848</v>
      </c>
      <c r="B500" s="19"/>
      <c r="C500" s="11"/>
      <c r="D500" s="17" t="s">
        <v>425</v>
      </c>
      <c r="E500" s="10" t="s">
        <v>163</v>
      </c>
      <c r="F500" s="11" t="s">
        <v>2849</v>
      </c>
      <c r="G500" s="12">
        <f>18.708*L500</f>
        <v>224.49599999999998</v>
      </c>
      <c r="H500" s="13">
        <v>42188</v>
      </c>
      <c r="I500" s="12" t="s">
        <v>1098</v>
      </c>
      <c r="J500" s="12" t="s">
        <v>2850</v>
      </c>
      <c r="K500" s="12" t="s">
        <v>132</v>
      </c>
      <c r="L500" s="12">
        <v>12</v>
      </c>
      <c r="M500" s="14" t="s">
        <v>2851</v>
      </c>
      <c r="N500" s="14" t="s">
        <v>2109</v>
      </c>
      <c r="O500" s="17" t="s">
        <v>2851</v>
      </c>
    </row>
    <row r="501" spans="1:15" x14ac:dyDescent="0.15">
      <c r="A501" s="21" t="s">
        <v>2848</v>
      </c>
      <c r="B501" s="19"/>
      <c r="C501" s="11"/>
      <c r="D501" s="17" t="s">
        <v>425</v>
      </c>
      <c r="E501" s="10" t="s">
        <v>163</v>
      </c>
      <c r="F501" s="11" t="s">
        <v>2852</v>
      </c>
      <c r="G501" s="12">
        <f>18.708*L501</f>
        <v>243.20399999999998</v>
      </c>
      <c r="H501" s="13">
        <v>42188</v>
      </c>
      <c r="I501" s="12" t="s">
        <v>1098</v>
      </c>
      <c r="J501" s="12" t="s">
        <v>2853</v>
      </c>
      <c r="K501" s="12" t="s">
        <v>132</v>
      </c>
      <c r="L501" s="12">
        <v>13</v>
      </c>
      <c r="M501" s="14" t="s">
        <v>2851</v>
      </c>
      <c r="N501" s="14" t="s">
        <v>1472</v>
      </c>
      <c r="O501" s="17" t="s">
        <v>2854</v>
      </c>
    </row>
    <row r="502" spans="1:15" x14ac:dyDescent="0.15">
      <c r="A502" s="21" t="s">
        <v>662</v>
      </c>
      <c r="B502" s="11" t="s">
        <v>127</v>
      </c>
      <c r="C502" s="11"/>
      <c r="D502" s="17" t="s">
        <v>2125</v>
      </c>
      <c r="E502" s="10" t="s">
        <v>163</v>
      </c>
      <c r="F502" s="11" t="s">
        <v>2855</v>
      </c>
      <c r="G502" s="12">
        <f>9.871*L502</f>
        <v>39.484000000000002</v>
      </c>
      <c r="H502" s="13">
        <v>42188</v>
      </c>
      <c r="I502" s="18" t="s">
        <v>648</v>
      </c>
      <c r="J502" s="12" t="s">
        <v>2856</v>
      </c>
      <c r="K502" s="12" t="s">
        <v>227</v>
      </c>
      <c r="L502" s="12">
        <v>4</v>
      </c>
      <c r="M502" s="14" t="s">
        <v>2857</v>
      </c>
      <c r="N502" s="14" t="s">
        <v>2858</v>
      </c>
      <c r="O502" s="17" t="s">
        <v>2859</v>
      </c>
    </row>
    <row r="503" spans="1:15" x14ac:dyDescent="0.15">
      <c r="A503" s="21" t="s">
        <v>2860</v>
      </c>
      <c r="B503" s="19"/>
      <c r="C503" s="11"/>
      <c r="D503" s="17" t="s">
        <v>2861</v>
      </c>
      <c r="E503" s="10" t="s">
        <v>163</v>
      </c>
      <c r="F503" s="11" t="s">
        <v>2862</v>
      </c>
      <c r="G503" s="12">
        <f>14.405*L503</f>
        <v>14.404999999999999</v>
      </c>
      <c r="H503" s="13">
        <v>42188</v>
      </c>
      <c r="I503" s="12" t="s">
        <v>1239</v>
      </c>
      <c r="J503" s="12" t="s">
        <v>2863</v>
      </c>
      <c r="K503" s="12" t="s">
        <v>227</v>
      </c>
      <c r="L503" s="12">
        <v>1</v>
      </c>
      <c r="M503" s="14" t="s">
        <v>2864</v>
      </c>
      <c r="N503" s="14" t="s">
        <v>2865</v>
      </c>
      <c r="O503" s="17" t="s">
        <v>2866</v>
      </c>
    </row>
    <row r="504" spans="1:15" x14ac:dyDescent="0.15">
      <c r="A504" s="21" t="s">
        <v>2187</v>
      </c>
      <c r="B504" s="19"/>
      <c r="C504" s="11"/>
      <c r="D504" s="17" t="s">
        <v>1525</v>
      </c>
      <c r="E504" s="10" t="s">
        <v>163</v>
      </c>
      <c r="F504" s="11" t="s">
        <v>2867</v>
      </c>
      <c r="G504" s="18">
        <f>17.498*L504</f>
        <v>87.490000000000009</v>
      </c>
      <c r="H504" s="13">
        <v>42188</v>
      </c>
      <c r="I504" s="12" t="s">
        <v>233</v>
      </c>
      <c r="J504" s="12" t="s">
        <v>2868</v>
      </c>
      <c r="K504" s="12" t="s">
        <v>227</v>
      </c>
      <c r="L504" s="12">
        <v>5</v>
      </c>
      <c r="M504" s="14" t="s">
        <v>2869</v>
      </c>
      <c r="N504" s="14" t="s">
        <v>229</v>
      </c>
      <c r="O504" s="17" t="s">
        <v>2869</v>
      </c>
    </row>
    <row r="505" spans="1:15" x14ac:dyDescent="0.15">
      <c r="A505" s="21" t="s">
        <v>1951</v>
      </c>
      <c r="B505" s="19"/>
      <c r="C505" s="11"/>
      <c r="D505" s="17" t="s">
        <v>425</v>
      </c>
      <c r="E505" s="10" t="s">
        <v>163</v>
      </c>
      <c r="F505" s="11" t="s">
        <v>2870</v>
      </c>
      <c r="G505" s="12">
        <f>18.708*L505</f>
        <v>467.69999999999993</v>
      </c>
      <c r="H505" s="13">
        <v>42188</v>
      </c>
      <c r="I505" s="12" t="s">
        <v>1098</v>
      </c>
      <c r="J505" s="12" t="s">
        <v>2871</v>
      </c>
      <c r="K505" s="12" t="s">
        <v>227</v>
      </c>
      <c r="L505" s="12">
        <v>25</v>
      </c>
      <c r="M505" s="14" t="s">
        <v>2872</v>
      </c>
      <c r="N505" s="14" t="s">
        <v>338</v>
      </c>
      <c r="O505" s="17" t="s">
        <v>2872</v>
      </c>
    </row>
    <row r="506" spans="1:15" x14ac:dyDescent="0.15">
      <c r="A506" s="21" t="s">
        <v>1658</v>
      </c>
      <c r="B506" s="19"/>
      <c r="C506" s="11"/>
      <c r="D506" s="17" t="s">
        <v>1659</v>
      </c>
      <c r="E506" s="10" t="s">
        <v>163</v>
      </c>
      <c r="F506" s="11" t="s">
        <v>2873</v>
      </c>
      <c r="G506" s="12">
        <f>29.101*L506</f>
        <v>232.80799999999999</v>
      </c>
      <c r="H506" s="13">
        <v>42188</v>
      </c>
      <c r="I506" s="12" t="s">
        <v>1661</v>
      </c>
      <c r="J506" s="12" t="s">
        <v>2874</v>
      </c>
      <c r="K506" s="12" t="s">
        <v>184</v>
      </c>
      <c r="L506" s="12">
        <v>8</v>
      </c>
      <c r="M506" s="14" t="s">
        <v>2358</v>
      </c>
      <c r="N506" s="14" t="s">
        <v>2875</v>
      </c>
      <c r="O506" s="17" t="s">
        <v>2876</v>
      </c>
    </row>
    <row r="507" spans="1:15" x14ac:dyDescent="0.15">
      <c r="A507" s="21" t="s">
        <v>1144</v>
      </c>
      <c r="B507" s="19"/>
      <c r="C507" s="11"/>
      <c r="D507" s="17" t="s">
        <v>1135</v>
      </c>
      <c r="E507" s="10" t="s">
        <v>163</v>
      </c>
      <c r="F507" s="11" t="s">
        <v>2877</v>
      </c>
      <c r="G507" s="12">
        <f>25.399*L507</f>
        <v>634.97500000000002</v>
      </c>
      <c r="H507" s="13">
        <v>42192</v>
      </c>
      <c r="I507" s="12" t="s">
        <v>635</v>
      </c>
      <c r="J507" s="12" t="s">
        <v>2878</v>
      </c>
      <c r="K507" s="12" t="s">
        <v>184</v>
      </c>
      <c r="L507" s="12">
        <v>25</v>
      </c>
      <c r="M507" s="14" t="s">
        <v>2879</v>
      </c>
      <c r="N507" s="14" t="s">
        <v>2367</v>
      </c>
      <c r="O507" s="17" t="s">
        <v>2879</v>
      </c>
    </row>
    <row r="508" spans="1:15" x14ac:dyDescent="0.15">
      <c r="A508" s="21" t="s">
        <v>1134</v>
      </c>
      <c r="B508" s="19"/>
      <c r="C508" s="11"/>
      <c r="D508" s="17" t="s">
        <v>1135</v>
      </c>
      <c r="E508" s="10" t="s">
        <v>163</v>
      </c>
      <c r="F508" s="11" t="s">
        <v>2880</v>
      </c>
      <c r="G508" s="12">
        <f>25.399*L508</f>
        <v>634.97500000000002</v>
      </c>
      <c r="H508" s="13">
        <v>42192</v>
      </c>
      <c r="I508" s="12" t="s">
        <v>635</v>
      </c>
      <c r="J508" s="12" t="s">
        <v>2881</v>
      </c>
      <c r="K508" s="12" t="s">
        <v>184</v>
      </c>
      <c r="L508" s="12">
        <v>25</v>
      </c>
      <c r="M508" s="14" t="s">
        <v>2882</v>
      </c>
      <c r="N508" s="14" t="s">
        <v>2367</v>
      </c>
      <c r="O508" s="17" t="s">
        <v>2882</v>
      </c>
    </row>
    <row r="509" spans="1:15" x14ac:dyDescent="0.15">
      <c r="A509" s="21" t="s">
        <v>1144</v>
      </c>
      <c r="B509" s="19"/>
      <c r="C509" s="11"/>
      <c r="D509" s="17" t="s">
        <v>1135</v>
      </c>
      <c r="E509" s="10" t="s">
        <v>163</v>
      </c>
      <c r="F509" s="11" t="s">
        <v>2883</v>
      </c>
      <c r="G509" s="12">
        <f>25.399*L509</f>
        <v>304.78800000000001</v>
      </c>
      <c r="H509" s="13">
        <v>42192</v>
      </c>
      <c r="I509" s="12" t="s">
        <v>635</v>
      </c>
      <c r="J509" s="12" t="s">
        <v>2884</v>
      </c>
      <c r="K509" s="12" t="s">
        <v>184</v>
      </c>
      <c r="L509" s="12">
        <v>12</v>
      </c>
      <c r="M509" s="14" t="s">
        <v>2885</v>
      </c>
      <c r="N509" s="14" t="s">
        <v>242</v>
      </c>
      <c r="O509" s="17" t="s">
        <v>2886</v>
      </c>
    </row>
    <row r="510" spans="1:15" x14ac:dyDescent="0.15">
      <c r="A510" s="21" t="s">
        <v>1898</v>
      </c>
      <c r="B510" s="19"/>
      <c r="C510" s="11"/>
      <c r="D510" s="17" t="s">
        <v>341</v>
      </c>
      <c r="E510" s="10" t="s">
        <v>163</v>
      </c>
      <c r="F510" s="11" t="s">
        <v>2887</v>
      </c>
      <c r="G510" s="12">
        <f>18.708*L510</f>
        <v>243.20399999999998</v>
      </c>
      <c r="H510" s="13">
        <v>42192</v>
      </c>
      <c r="I510" s="12" t="s">
        <v>1098</v>
      </c>
      <c r="J510" s="12" t="s">
        <v>2888</v>
      </c>
      <c r="K510" s="12" t="s">
        <v>227</v>
      </c>
      <c r="L510" s="12">
        <v>13</v>
      </c>
      <c r="M510" s="14" t="s">
        <v>1902</v>
      </c>
      <c r="N510" s="14" t="s">
        <v>473</v>
      </c>
      <c r="O510" s="17" t="s">
        <v>2889</v>
      </c>
    </row>
    <row r="511" spans="1:15" x14ac:dyDescent="0.15">
      <c r="A511" s="21" t="s">
        <v>1675</v>
      </c>
      <c r="B511" s="19"/>
      <c r="C511" s="11"/>
      <c r="D511" s="17" t="s">
        <v>1669</v>
      </c>
      <c r="E511" s="10" t="s">
        <v>163</v>
      </c>
      <c r="F511" s="11" t="s">
        <v>2890</v>
      </c>
      <c r="G511" s="18">
        <f>13.006*L511</f>
        <v>325.14999999999998</v>
      </c>
      <c r="H511" s="13">
        <v>42192</v>
      </c>
      <c r="I511" s="12" t="s">
        <v>1671</v>
      </c>
      <c r="J511" s="12" t="s">
        <v>2891</v>
      </c>
      <c r="K511" s="18" t="s">
        <v>227</v>
      </c>
      <c r="L511" s="12">
        <v>25</v>
      </c>
      <c r="M511" s="14" t="s">
        <v>2892</v>
      </c>
      <c r="N511" s="14" t="s">
        <v>338</v>
      </c>
      <c r="O511" s="17" t="s">
        <v>2892</v>
      </c>
    </row>
    <row r="512" spans="1:15" x14ac:dyDescent="0.15">
      <c r="A512" s="21" t="s">
        <v>1675</v>
      </c>
      <c r="B512" s="19"/>
      <c r="C512" s="11"/>
      <c r="D512" s="17" t="s">
        <v>1669</v>
      </c>
      <c r="E512" s="10" t="s">
        <v>163</v>
      </c>
      <c r="F512" s="11" t="s">
        <v>2893</v>
      </c>
      <c r="G512" s="18">
        <f>13.006*L512</f>
        <v>325.14999999999998</v>
      </c>
      <c r="H512" s="13">
        <v>42192</v>
      </c>
      <c r="I512" s="12" t="s">
        <v>1671</v>
      </c>
      <c r="J512" s="12" t="s">
        <v>2894</v>
      </c>
      <c r="K512" s="18" t="s">
        <v>227</v>
      </c>
      <c r="L512" s="12">
        <v>25</v>
      </c>
      <c r="M512" s="14" t="s">
        <v>2895</v>
      </c>
      <c r="N512" s="14" t="s">
        <v>338</v>
      </c>
      <c r="O512" s="17" t="s">
        <v>2895</v>
      </c>
    </row>
    <row r="513" spans="1:15" x14ac:dyDescent="0.15">
      <c r="A513" s="21" t="s">
        <v>655</v>
      </c>
      <c r="B513" s="19" t="s">
        <v>418</v>
      </c>
      <c r="C513" s="11"/>
      <c r="D513" s="17" t="s">
        <v>656</v>
      </c>
      <c r="E513" s="10" t="s">
        <v>163</v>
      </c>
      <c r="F513" s="11" t="s">
        <v>2896</v>
      </c>
      <c r="G513" s="12">
        <f>9.871*L513</f>
        <v>108.581</v>
      </c>
      <c r="H513" s="13">
        <v>42192</v>
      </c>
      <c r="I513" s="12" t="s">
        <v>648</v>
      </c>
      <c r="J513" s="12" t="s">
        <v>2897</v>
      </c>
      <c r="K513" s="12" t="s">
        <v>227</v>
      </c>
      <c r="L513" s="12">
        <v>11</v>
      </c>
      <c r="M513" s="14" t="s">
        <v>2898</v>
      </c>
      <c r="N513" s="14" t="s">
        <v>660</v>
      </c>
      <c r="O513" s="17" t="s">
        <v>2898</v>
      </c>
    </row>
    <row r="514" spans="1:15" x14ac:dyDescent="0.15">
      <c r="A514" s="21" t="s">
        <v>662</v>
      </c>
      <c r="B514" s="11" t="s">
        <v>127</v>
      </c>
      <c r="C514" s="11"/>
      <c r="D514" s="17" t="s">
        <v>2125</v>
      </c>
      <c r="E514" s="10" t="s">
        <v>163</v>
      </c>
      <c r="F514" s="11" t="s">
        <v>2899</v>
      </c>
      <c r="G514" s="12">
        <f>9.871*L514</f>
        <v>138.19400000000002</v>
      </c>
      <c r="H514" s="13">
        <v>42192</v>
      </c>
      <c r="I514" s="18" t="s">
        <v>648</v>
      </c>
      <c r="J514" s="12" t="s">
        <v>2900</v>
      </c>
      <c r="K514" s="12" t="s">
        <v>227</v>
      </c>
      <c r="L514" s="12">
        <v>14</v>
      </c>
      <c r="M514" s="14" t="s">
        <v>2901</v>
      </c>
      <c r="N514" s="14" t="s">
        <v>2902</v>
      </c>
      <c r="O514" s="17" t="s">
        <v>2901</v>
      </c>
    </row>
    <row r="515" spans="1:15" x14ac:dyDescent="0.15">
      <c r="A515" s="21" t="s">
        <v>2130</v>
      </c>
      <c r="B515" s="22" t="s">
        <v>912</v>
      </c>
      <c r="C515" s="11"/>
      <c r="D515" s="17" t="s">
        <v>1163</v>
      </c>
      <c r="E515" s="10" t="s">
        <v>163</v>
      </c>
      <c r="F515" s="11" t="s">
        <v>2903</v>
      </c>
      <c r="G515" s="12">
        <f>9.871*L515</f>
        <v>246.77500000000001</v>
      </c>
      <c r="H515" s="13">
        <v>42192</v>
      </c>
      <c r="I515" s="12" t="s">
        <v>648</v>
      </c>
      <c r="J515" s="12" t="s">
        <v>2904</v>
      </c>
      <c r="K515" s="18" t="s">
        <v>227</v>
      </c>
      <c r="L515" s="12">
        <v>25</v>
      </c>
      <c r="M515" s="14" t="s">
        <v>2905</v>
      </c>
      <c r="N515" s="14" t="s">
        <v>338</v>
      </c>
      <c r="O515" s="17" t="s">
        <v>2906</v>
      </c>
    </row>
    <row r="516" spans="1:15" x14ac:dyDescent="0.15">
      <c r="A516" s="21" t="s">
        <v>1363</v>
      </c>
      <c r="B516" s="19"/>
      <c r="C516" s="11"/>
      <c r="D516" s="17" t="s">
        <v>97</v>
      </c>
      <c r="E516" s="10" t="s">
        <v>163</v>
      </c>
      <c r="F516" s="11" t="s">
        <v>2907</v>
      </c>
      <c r="G516" s="12">
        <f>12.838*L516</f>
        <v>154.05599999999998</v>
      </c>
      <c r="H516" s="13">
        <v>42192</v>
      </c>
      <c r="I516" s="12" t="s">
        <v>233</v>
      </c>
      <c r="J516" s="12" t="s">
        <v>2908</v>
      </c>
      <c r="K516" s="12" t="s">
        <v>227</v>
      </c>
      <c r="L516" s="12">
        <v>12</v>
      </c>
      <c r="M516" s="14" t="s">
        <v>2138</v>
      </c>
      <c r="N516" s="14" t="s">
        <v>597</v>
      </c>
      <c r="O516" s="17" t="s">
        <v>2909</v>
      </c>
    </row>
    <row r="517" spans="1:15" x14ac:dyDescent="0.15">
      <c r="A517" s="21" t="s">
        <v>611</v>
      </c>
      <c r="B517" s="19"/>
      <c r="C517" s="11"/>
      <c r="D517" s="17" t="s">
        <v>612</v>
      </c>
      <c r="E517" s="10" t="s">
        <v>163</v>
      </c>
      <c r="F517" s="11" t="s">
        <v>2910</v>
      </c>
      <c r="G517" s="18">
        <f>6.405*L517</f>
        <v>83.265000000000001</v>
      </c>
      <c r="H517" s="13">
        <v>42192</v>
      </c>
      <c r="I517" s="12" t="s">
        <v>233</v>
      </c>
      <c r="J517" s="12" t="s">
        <v>2911</v>
      </c>
      <c r="K517" s="12" t="s">
        <v>227</v>
      </c>
      <c r="L517" s="12">
        <v>13</v>
      </c>
      <c r="M517" s="14" t="s">
        <v>2391</v>
      </c>
      <c r="N517" s="14" t="s">
        <v>473</v>
      </c>
      <c r="O517" s="17" t="s">
        <v>2912</v>
      </c>
    </row>
    <row r="518" spans="1:15" x14ac:dyDescent="0.15">
      <c r="A518" s="21" t="s">
        <v>1972</v>
      </c>
      <c r="B518" s="19"/>
      <c r="C518" s="11"/>
      <c r="D518" s="17" t="s">
        <v>1973</v>
      </c>
      <c r="E518" s="10" t="s">
        <v>163</v>
      </c>
      <c r="F518" s="11" t="s">
        <v>2913</v>
      </c>
      <c r="G518" s="23">
        <f>12.838*L518</f>
        <v>128.38</v>
      </c>
      <c r="H518" s="13">
        <v>42192</v>
      </c>
      <c r="I518" s="12" t="s">
        <v>233</v>
      </c>
      <c r="J518" s="12" t="s">
        <v>2914</v>
      </c>
      <c r="K518" s="12" t="s">
        <v>227</v>
      </c>
      <c r="L518" s="12">
        <v>10</v>
      </c>
      <c r="M518" s="14" t="s">
        <v>2915</v>
      </c>
      <c r="N518" s="14" t="s">
        <v>412</v>
      </c>
      <c r="O518" s="17" t="s">
        <v>2915</v>
      </c>
    </row>
    <row r="519" spans="1:15" x14ac:dyDescent="0.15">
      <c r="A519" s="21" t="s">
        <v>949</v>
      </c>
      <c r="B519" s="29" t="s">
        <v>6886</v>
      </c>
      <c r="C519" s="11"/>
      <c r="D519" s="17" t="s">
        <v>419</v>
      </c>
      <c r="E519" s="10" t="s">
        <v>163</v>
      </c>
      <c r="F519" s="11" t="s">
        <v>2916</v>
      </c>
      <c r="G519" s="18">
        <f>8.606*L519</f>
        <v>215.15</v>
      </c>
      <c r="H519" s="13">
        <v>42192</v>
      </c>
      <c r="I519" s="12" t="s">
        <v>182</v>
      </c>
      <c r="J519" s="12" t="s">
        <v>2917</v>
      </c>
      <c r="K519" s="18" t="s">
        <v>227</v>
      </c>
      <c r="L519" s="12">
        <v>25</v>
      </c>
      <c r="M519" s="14" t="s">
        <v>2918</v>
      </c>
      <c r="N519" s="14" t="s">
        <v>338</v>
      </c>
      <c r="O519" s="17" t="s">
        <v>2919</v>
      </c>
    </row>
    <row r="520" spans="1:15" x14ac:dyDescent="0.15">
      <c r="A520" s="21" t="s">
        <v>204</v>
      </c>
      <c r="B520" s="19"/>
      <c r="C520" s="11"/>
      <c r="D520" s="17" t="s">
        <v>2920</v>
      </c>
      <c r="E520" s="10" t="s">
        <v>163</v>
      </c>
      <c r="F520" s="11" t="s">
        <v>2921</v>
      </c>
      <c r="G520" s="12">
        <f>20.816*L520</f>
        <v>520.4</v>
      </c>
      <c r="H520" s="13">
        <v>42192</v>
      </c>
      <c r="I520" s="12" t="s">
        <v>207</v>
      </c>
      <c r="J520" s="12" t="s">
        <v>2922</v>
      </c>
      <c r="K520" s="12" t="s">
        <v>184</v>
      </c>
      <c r="L520" s="12">
        <v>25</v>
      </c>
      <c r="M520" s="14" t="s">
        <v>2923</v>
      </c>
      <c r="N520" s="14" t="s">
        <v>2367</v>
      </c>
      <c r="O520" s="17" t="s">
        <v>2923</v>
      </c>
    </row>
    <row r="521" spans="1:15" x14ac:dyDescent="0.15">
      <c r="A521" s="21" t="s">
        <v>711</v>
      </c>
      <c r="B521" s="19"/>
      <c r="C521" s="11"/>
      <c r="D521" s="17" t="s">
        <v>1307</v>
      </c>
      <c r="E521" s="10" t="s">
        <v>163</v>
      </c>
      <c r="F521" s="11" t="s">
        <v>2924</v>
      </c>
      <c r="G521" s="12">
        <v>310.75599999999997</v>
      </c>
      <c r="H521" s="13">
        <v>42192</v>
      </c>
      <c r="I521" s="12" t="s">
        <v>215</v>
      </c>
      <c r="J521" s="12" t="s">
        <v>2925</v>
      </c>
      <c r="K521" s="12" t="s">
        <v>39</v>
      </c>
      <c r="L521" s="12" t="s">
        <v>2926</v>
      </c>
      <c r="M521" s="14" t="s">
        <v>2927</v>
      </c>
      <c r="N521" s="14" t="s">
        <v>2928</v>
      </c>
      <c r="O521" s="17" t="s">
        <v>2929</v>
      </c>
    </row>
    <row r="522" spans="1:15" x14ac:dyDescent="0.15">
      <c r="A522" s="21" t="s">
        <v>2930</v>
      </c>
      <c r="B522" s="19"/>
      <c r="C522" s="11"/>
      <c r="D522" s="17" t="s">
        <v>1511</v>
      </c>
      <c r="E522" s="10" t="s">
        <v>163</v>
      </c>
      <c r="F522" s="11" t="s">
        <v>2931</v>
      </c>
      <c r="G522" s="12">
        <v>67.494</v>
      </c>
      <c r="H522" s="13">
        <v>42192</v>
      </c>
      <c r="I522" s="12" t="s">
        <v>215</v>
      </c>
      <c r="J522" s="12" t="s">
        <v>2932</v>
      </c>
      <c r="K522" s="12" t="s">
        <v>255</v>
      </c>
      <c r="L522" s="12" t="s">
        <v>873</v>
      </c>
      <c r="M522" s="14" t="s">
        <v>2933</v>
      </c>
      <c r="N522" s="14" t="s">
        <v>2934</v>
      </c>
      <c r="O522" s="17" t="s">
        <v>2935</v>
      </c>
    </row>
    <row r="523" spans="1:15" x14ac:dyDescent="0.15">
      <c r="A523" s="21" t="s">
        <v>870</v>
      </c>
      <c r="B523" s="19"/>
      <c r="C523" s="11"/>
      <c r="D523" s="17" t="s">
        <v>298</v>
      </c>
      <c r="E523" s="10" t="s">
        <v>163</v>
      </c>
      <c r="F523" s="11" t="s">
        <v>2936</v>
      </c>
      <c r="G523" s="12">
        <v>141.18199999999999</v>
      </c>
      <c r="H523" s="13">
        <v>42192</v>
      </c>
      <c r="I523" s="12" t="s">
        <v>683</v>
      </c>
      <c r="J523" s="12" t="s">
        <v>2937</v>
      </c>
      <c r="K523" s="12" t="s">
        <v>175</v>
      </c>
      <c r="L523" s="12" t="s">
        <v>2079</v>
      </c>
      <c r="M523" s="14" t="s">
        <v>2938</v>
      </c>
      <c r="N523" s="14" t="s">
        <v>2939</v>
      </c>
      <c r="O523" s="17" t="s">
        <v>2940</v>
      </c>
    </row>
    <row r="524" spans="1:15" x14ac:dyDescent="0.15">
      <c r="A524" s="21" t="s">
        <v>1325</v>
      </c>
      <c r="B524" s="19"/>
      <c r="C524" s="11"/>
      <c r="D524" s="17" t="s">
        <v>453</v>
      </c>
      <c r="E524" s="10" t="s">
        <v>163</v>
      </c>
      <c r="F524" s="11" t="s">
        <v>2941</v>
      </c>
      <c r="G524" s="12">
        <v>302.09100000000001</v>
      </c>
      <c r="H524" s="13">
        <v>42192</v>
      </c>
      <c r="I524" s="18" t="s">
        <v>737</v>
      </c>
      <c r="J524" s="12" t="s">
        <v>2942</v>
      </c>
      <c r="K524" s="12" t="s">
        <v>175</v>
      </c>
      <c r="L524" s="12" t="s">
        <v>1328</v>
      </c>
      <c r="M524" s="14" t="s">
        <v>2943</v>
      </c>
      <c r="N524" s="14" t="s">
        <v>2519</v>
      </c>
      <c r="O524" s="17" t="s">
        <v>2944</v>
      </c>
    </row>
    <row r="525" spans="1:15" x14ac:dyDescent="0.15">
      <c r="A525" s="21" t="s">
        <v>2130</v>
      </c>
      <c r="B525" s="22" t="s">
        <v>912</v>
      </c>
      <c r="C525" s="11"/>
      <c r="D525" s="17" t="s">
        <v>1163</v>
      </c>
      <c r="E525" s="10" t="s">
        <v>163</v>
      </c>
      <c r="F525" s="11" t="s">
        <v>2945</v>
      </c>
      <c r="G525" s="12">
        <f>9.871*L525</f>
        <v>49.355000000000004</v>
      </c>
      <c r="H525" s="13">
        <v>42194</v>
      </c>
      <c r="I525" s="12" t="s">
        <v>648</v>
      </c>
      <c r="J525" s="12" t="s">
        <v>2946</v>
      </c>
      <c r="K525" s="18" t="s">
        <v>227</v>
      </c>
      <c r="L525" s="12">
        <v>5</v>
      </c>
      <c r="M525" s="14" t="s">
        <v>2947</v>
      </c>
      <c r="N525" s="14" t="s">
        <v>229</v>
      </c>
      <c r="O525" s="17" t="s">
        <v>2948</v>
      </c>
    </row>
    <row r="526" spans="1:15" x14ac:dyDescent="0.15">
      <c r="A526" s="21" t="s">
        <v>1608</v>
      </c>
      <c r="B526" s="19"/>
      <c r="C526" s="11"/>
      <c r="D526" s="17" t="s">
        <v>1609</v>
      </c>
      <c r="E526" s="10" t="s">
        <v>163</v>
      </c>
      <c r="F526" s="11" t="s">
        <v>2949</v>
      </c>
      <c r="G526" s="12">
        <f>20.558*L526</f>
        <v>513.95000000000005</v>
      </c>
      <c r="H526" s="13">
        <v>42194</v>
      </c>
      <c r="I526" s="12" t="s">
        <v>1098</v>
      </c>
      <c r="J526" s="12" t="s">
        <v>2950</v>
      </c>
      <c r="K526" s="12" t="s">
        <v>227</v>
      </c>
      <c r="L526" s="12">
        <v>25</v>
      </c>
      <c r="M526" s="14" t="s">
        <v>2951</v>
      </c>
      <c r="N526" s="14" t="s">
        <v>338</v>
      </c>
      <c r="O526" s="17" t="s">
        <v>2951</v>
      </c>
    </row>
    <row r="527" spans="1:15" x14ac:dyDescent="0.15">
      <c r="A527" s="21" t="s">
        <v>810</v>
      </c>
      <c r="B527" s="19"/>
      <c r="C527" s="11"/>
      <c r="D527" s="17" t="s">
        <v>811</v>
      </c>
      <c r="E527" s="10" t="s">
        <v>163</v>
      </c>
      <c r="F527" s="11" t="s">
        <v>2952</v>
      </c>
      <c r="G527" s="12">
        <f>18.708*L527</f>
        <v>56.123999999999995</v>
      </c>
      <c r="H527" s="13">
        <v>42194</v>
      </c>
      <c r="I527" s="12" t="s">
        <v>813</v>
      </c>
      <c r="J527" s="12" t="s">
        <v>2953</v>
      </c>
      <c r="K527" s="12" t="s">
        <v>227</v>
      </c>
      <c r="L527" s="12">
        <v>3</v>
      </c>
      <c r="M527" s="14" t="s">
        <v>2954</v>
      </c>
      <c r="N527" s="14" t="s">
        <v>2955</v>
      </c>
      <c r="O527" s="17" t="s">
        <v>2954</v>
      </c>
    </row>
    <row r="528" spans="1:15" x14ac:dyDescent="0.15">
      <c r="A528" s="21" t="s">
        <v>204</v>
      </c>
      <c r="B528" s="19"/>
      <c r="C528" s="11"/>
      <c r="D528" s="17" t="s">
        <v>2920</v>
      </c>
      <c r="E528" s="10" t="s">
        <v>163</v>
      </c>
      <c r="F528" s="11" t="s">
        <v>2956</v>
      </c>
      <c r="G528" s="12">
        <f>20.816*L528</f>
        <v>520.4</v>
      </c>
      <c r="H528" s="13">
        <v>42194</v>
      </c>
      <c r="I528" s="12" t="s">
        <v>207</v>
      </c>
      <c r="J528" s="12" t="s">
        <v>2957</v>
      </c>
      <c r="K528" s="12" t="s">
        <v>184</v>
      </c>
      <c r="L528" s="12">
        <v>25</v>
      </c>
      <c r="M528" s="14" t="s">
        <v>2958</v>
      </c>
      <c r="N528" s="14" t="s">
        <v>338</v>
      </c>
      <c r="O528" s="17" t="s">
        <v>2958</v>
      </c>
    </row>
    <row r="529" spans="1:15" x14ac:dyDescent="0.15">
      <c r="A529" s="21" t="s">
        <v>204</v>
      </c>
      <c r="B529" s="19"/>
      <c r="C529" s="11"/>
      <c r="D529" s="17" t="s">
        <v>2920</v>
      </c>
      <c r="E529" s="10" t="s">
        <v>163</v>
      </c>
      <c r="F529" s="11" t="s">
        <v>2959</v>
      </c>
      <c r="G529" s="12">
        <f>20.816*L529</f>
        <v>395.50399999999996</v>
      </c>
      <c r="H529" s="13">
        <v>42194</v>
      </c>
      <c r="I529" s="12" t="s">
        <v>207</v>
      </c>
      <c r="J529" s="12" t="s">
        <v>2960</v>
      </c>
      <c r="K529" s="12" t="s">
        <v>184</v>
      </c>
      <c r="L529" s="12">
        <v>19</v>
      </c>
      <c r="M529" s="14" t="s">
        <v>2961</v>
      </c>
      <c r="N529" s="14" t="s">
        <v>2962</v>
      </c>
      <c r="O529" s="17" t="s">
        <v>2961</v>
      </c>
    </row>
    <row r="530" spans="1:15" x14ac:dyDescent="0.15">
      <c r="A530" s="21" t="s">
        <v>2963</v>
      </c>
      <c r="B530" s="19"/>
      <c r="C530" s="11"/>
      <c r="D530" s="17" t="s">
        <v>1230</v>
      </c>
      <c r="E530" s="10" t="s">
        <v>163</v>
      </c>
      <c r="F530" s="11" t="s">
        <v>2964</v>
      </c>
      <c r="G530" s="12">
        <f>29.101*L530</f>
        <v>261.90899999999999</v>
      </c>
      <c r="H530" s="13">
        <v>42194</v>
      </c>
      <c r="I530" s="12" t="s">
        <v>1232</v>
      </c>
      <c r="J530" s="12" t="s">
        <v>2965</v>
      </c>
      <c r="K530" s="12" t="s">
        <v>132</v>
      </c>
      <c r="L530" s="12">
        <v>9</v>
      </c>
      <c r="M530" s="14" t="s">
        <v>2966</v>
      </c>
      <c r="N530" s="14" t="s">
        <v>2967</v>
      </c>
      <c r="O530" s="17" t="s">
        <v>2968</v>
      </c>
    </row>
    <row r="531" spans="1:15" x14ac:dyDescent="0.15">
      <c r="A531" s="21" t="s">
        <v>126</v>
      </c>
      <c r="B531" s="19" t="s">
        <v>180</v>
      </c>
      <c r="C531" s="11"/>
      <c r="D531" s="17" t="s">
        <v>128</v>
      </c>
      <c r="E531" s="10" t="s">
        <v>163</v>
      </c>
      <c r="F531" s="11" t="s">
        <v>2969</v>
      </c>
      <c r="G531" s="12">
        <f>8.606*L531</f>
        <v>215.15</v>
      </c>
      <c r="H531" s="13">
        <v>42194</v>
      </c>
      <c r="I531" s="12" t="s">
        <v>182</v>
      </c>
      <c r="J531" s="12" t="s">
        <v>2970</v>
      </c>
      <c r="K531" s="18" t="s">
        <v>227</v>
      </c>
      <c r="L531" s="12">
        <v>25</v>
      </c>
      <c r="M531" s="14" t="s">
        <v>2971</v>
      </c>
      <c r="N531" s="14" t="s">
        <v>2367</v>
      </c>
      <c r="O531" s="17" t="s">
        <v>2971</v>
      </c>
    </row>
    <row r="532" spans="1:15" x14ac:dyDescent="0.15">
      <c r="A532" s="21" t="s">
        <v>1658</v>
      </c>
      <c r="B532" s="19"/>
      <c r="C532" s="11"/>
      <c r="D532" s="17" t="s">
        <v>2972</v>
      </c>
      <c r="E532" s="10" t="s">
        <v>163</v>
      </c>
      <c r="F532" s="11" t="s">
        <v>2973</v>
      </c>
      <c r="G532" s="12">
        <f>29.101*L532</f>
        <v>261.90899999999999</v>
      </c>
      <c r="H532" s="13">
        <v>42194</v>
      </c>
      <c r="I532" s="12" t="s">
        <v>1661</v>
      </c>
      <c r="J532" s="12" t="s">
        <v>2974</v>
      </c>
      <c r="K532" s="12" t="s">
        <v>184</v>
      </c>
      <c r="L532" s="12">
        <v>9</v>
      </c>
      <c r="M532" s="14" t="s">
        <v>2358</v>
      </c>
      <c r="N532" s="14" t="s">
        <v>2396</v>
      </c>
      <c r="O532" s="17" t="s">
        <v>2975</v>
      </c>
    </row>
    <row r="533" spans="1:15" x14ac:dyDescent="0.15">
      <c r="A533" s="21" t="s">
        <v>1886</v>
      </c>
      <c r="B533" s="19"/>
      <c r="C533" s="11"/>
      <c r="D533" s="17" t="s">
        <v>2976</v>
      </c>
      <c r="E533" s="10" t="s">
        <v>163</v>
      </c>
      <c r="F533" s="11" t="s">
        <v>2977</v>
      </c>
      <c r="G533" s="12">
        <f>29.101*L533</f>
        <v>87.302999999999997</v>
      </c>
      <c r="H533" s="13">
        <v>42194</v>
      </c>
      <c r="I533" s="12" t="s">
        <v>1661</v>
      </c>
      <c r="J533" s="12" t="s">
        <v>2978</v>
      </c>
      <c r="K533" s="12" t="s">
        <v>227</v>
      </c>
      <c r="L533" s="12">
        <v>3</v>
      </c>
      <c r="M533" s="14" t="s">
        <v>1889</v>
      </c>
      <c r="N533" s="14" t="s">
        <v>2979</v>
      </c>
      <c r="O533" s="17" t="s">
        <v>2980</v>
      </c>
    </row>
    <row r="534" spans="1:15" x14ac:dyDescent="0.15">
      <c r="A534" s="21" t="s">
        <v>1296</v>
      </c>
      <c r="B534" s="19"/>
      <c r="C534" s="11"/>
      <c r="D534" s="17" t="s">
        <v>238</v>
      </c>
      <c r="E534" s="10" t="s">
        <v>163</v>
      </c>
      <c r="F534" s="11" t="s">
        <v>2981</v>
      </c>
      <c r="G534" s="18">
        <f>6.405*L534</f>
        <v>64.05</v>
      </c>
      <c r="H534" s="13">
        <v>42194</v>
      </c>
      <c r="I534" s="12" t="s">
        <v>1298</v>
      </c>
      <c r="J534" s="12" t="s">
        <v>2982</v>
      </c>
      <c r="K534" s="12" t="s">
        <v>227</v>
      </c>
      <c r="L534" s="12">
        <v>10</v>
      </c>
      <c r="M534" s="14" t="s">
        <v>2983</v>
      </c>
      <c r="N534" s="14" t="s">
        <v>2984</v>
      </c>
      <c r="O534" s="17" t="s">
        <v>2985</v>
      </c>
    </row>
    <row r="535" spans="1:15" x14ac:dyDescent="0.15">
      <c r="A535" s="21" t="s">
        <v>2986</v>
      </c>
      <c r="B535" s="19"/>
      <c r="C535" s="11"/>
      <c r="D535" s="17" t="s">
        <v>2987</v>
      </c>
      <c r="E535" s="10" t="s">
        <v>163</v>
      </c>
      <c r="F535" s="11" t="s">
        <v>2988</v>
      </c>
      <c r="G535" s="18">
        <f>17.712*L535</f>
        <v>177.12</v>
      </c>
      <c r="H535" s="13">
        <v>42194</v>
      </c>
      <c r="I535" s="12" t="s">
        <v>1661</v>
      </c>
      <c r="J535" s="12" t="s">
        <v>2989</v>
      </c>
      <c r="K535" s="12" t="s">
        <v>227</v>
      </c>
      <c r="L535" s="12">
        <v>10</v>
      </c>
      <c r="M535" s="14" t="s">
        <v>2990</v>
      </c>
      <c r="N535" s="14" t="s">
        <v>2984</v>
      </c>
      <c r="O535" s="17" t="s">
        <v>2991</v>
      </c>
    </row>
    <row r="536" spans="1:15" x14ac:dyDescent="0.15">
      <c r="A536" s="21" t="s">
        <v>1213</v>
      </c>
      <c r="B536" s="19"/>
      <c r="C536" s="11"/>
      <c r="D536" s="17" t="s">
        <v>2992</v>
      </c>
      <c r="E536" s="10" t="s">
        <v>163</v>
      </c>
      <c r="F536" s="11" t="s">
        <v>2993</v>
      </c>
      <c r="G536" s="12">
        <f>27.688*L536</f>
        <v>110.752</v>
      </c>
      <c r="H536" s="13">
        <v>42194</v>
      </c>
      <c r="I536" s="12" t="s">
        <v>635</v>
      </c>
      <c r="J536" s="12" t="s">
        <v>2994</v>
      </c>
      <c r="K536" s="12" t="s">
        <v>227</v>
      </c>
      <c r="L536" s="12">
        <v>4</v>
      </c>
      <c r="M536" s="14" t="s">
        <v>1884</v>
      </c>
      <c r="N536" s="14" t="s">
        <v>2995</v>
      </c>
      <c r="O536" s="17" t="s">
        <v>2996</v>
      </c>
    </row>
    <row r="537" spans="1:15" x14ac:dyDescent="0.15">
      <c r="A537" s="21" t="s">
        <v>681</v>
      </c>
      <c r="B537" s="19"/>
      <c r="C537" s="11"/>
      <c r="D537" s="17" t="s">
        <v>2997</v>
      </c>
      <c r="E537" s="10" t="s">
        <v>163</v>
      </c>
      <c r="F537" s="11" t="s">
        <v>2998</v>
      </c>
      <c r="G537" s="12">
        <f>29.101*L537</f>
        <v>349.21199999999999</v>
      </c>
      <c r="H537" s="13">
        <v>42194</v>
      </c>
      <c r="I537" s="12" t="s">
        <v>683</v>
      </c>
      <c r="J537" s="12" t="s">
        <v>2999</v>
      </c>
      <c r="K537" s="12" t="s">
        <v>227</v>
      </c>
      <c r="L537" s="12">
        <v>12</v>
      </c>
      <c r="M537" s="14" t="s">
        <v>3000</v>
      </c>
      <c r="N537" s="14" t="s">
        <v>2109</v>
      </c>
      <c r="O537" s="17" t="s">
        <v>3001</v>
      </c>
    </row>
    <row r="538" spans="1:15" x14ac:dyDescent="0.15">
      <c r="A538" s="21" t="s">
        <v>681</v>
      </c>
      <c r="B538" s="19"/>
      <c r="C538" s="11"/>
      <c r="D538" s="17" t="s">
        <v>2997</v>
      </c>
      <c r="E538" s="10" t="s">
        <v>163</v>
      </c>
      <c r="F538" s="11" t="s">
        <v>3002</v>
      </c>
      <c r="G538" s="12">
        <f>29.101*L538</f>
        <v>378.31299999999999</v>
      </c>
      <c r="H538" s="13">
        <v>42194</v>
      </c>
      <c r="I538" s="12" t="s">
        <v>683</v>
      </c>
      <c r="J538" s="12" t="s">
        <v>3003</v>
      </c>
      <c r="K538" s="12" t="s">
        <v>21</v>
      </c>
      <c r="L538" s="12">
        <v>13</v>
      </c>
      <c r="M538" s="14" t="s">
        <v>3001</v>
      </c>
      <c r="N538" s="14" t="s">
        <v>473</v>
      </c>
      <c r="O538" s="17" t="s">
        <v>3004</v>
      </c>
    </row>
    <row r="539" spans="1:15" x14ac:dyDescent="0.15">
      <c r="A539" s="21" t="s">
        <v>1144</v>
      </c>
      <c r="B539" s="19"/>
      <c r="C539" s="11"/>
      <c r="D539" s="17" t="s">
        <v>1135</v>
      </c>
      <c r="E539" s="10" t="s">
        <v>163</v>
      </c>
      <c r="F539" s="11" t="s">
        <v>3005</v>
      </c>
      <c r="G539" s="12">
        <f>25.399*L539</f>
        <v>330.18700000000001</v>
      </c>
      <c r="H539" s="13">
        <v>42194</v>
      </c>
      <c r="I539" s="12" t="s">
        <v>635</v>
      </c>
      <c r="J539" s="12" t="s">
        <v>3006</v>
      </c>
      <c r="K539" s="12" t="s">
        <v>184</v>
      </c>
      <c r="L539" s="12">
        <v>13</v>
      </c>
      <c r="M539" s="14" t="s">
        <v>2886</v>
      </c>
      <c r="N539" s="14" t="s">
        <v>473</v>
      </c>
      <c r="O539" s="17" t="s">
        <v>3007</v>
      </c>
    </row>
    <row r="540" spans="1:15" x14ac:dyDescent="0.15">
      <c r="A540" s="21" t="s">
        <v>3008</v>
      </c>
      <c r="B540" s="19"/>
      <c r="C540" s="11"/>
      <c r="D540" s="17" t="s">
        <v>3009</v>
      </c>
      <c r="E540" s="10" t="s">
        <v>163</v>
      </c>
      <c r="F540" s="11" t="s">
        <v>3010</v>
      </c>
      <c r="G540" s="12">
        <v>100.021</v>
      </c>
      <c r="H540" s="13">
        <v>42194</v>
      </c>
      <c r="I540" s="12" t="s">
        <v>215</v>
      </c>
      <c r="J540" s="12" t="s">
        <v>3011</v>
      </c>
      <c r="K540" s="12" t="s">
        <v>175</v>
      </c>
      <c r="L540" s="12" t="s">
        <v>3012</v>
      </c>
      <c r="M540" s="14" t="s">
        <v>3013</v>
      </c>
      <c r="N540" s="14" t="s">
        <v>3014</v>
      </c>
      <c r="O540" s="17" t="s">
        <v>3015</v>
      </c>
    </row>
    <row r="541" spans="1:15" x14ac:dyDescent="0.15">
      <c r="A541" s="21" t="s">
        <v>1817</v>
      </c>
      <c r="B541" s="19"/>
      <c r="C541" s="11"/>
      <c r="D541" s="17" t="s">
        <v>54</v>
      </c>
      <c r="E541" s="10" t="s">
        <v>163</v>
      </c>
      <c r="F541" s="11" t="s">
        <v>3016</v>
      </c>
      <c r="G541" s="18">
        <f>6.405*L541</f>
        <v>160.125</v>
      </c>
      <c r="H541" s="13">
        <v>42194</v>
      </c>
      <c r="I541" s="12" t="s">
        <v>233</v>
      </c>
      <c r="J541" s="12" t="s">
        <v>3017</v>
      </c>
      <c r="K541" s="12" t="s">
        <v>227</v>
      </c>
      <c r="L541" s="12">
        <v>25</v>
      </c>
      <c r="M541" s="14" t="s">
        <v>3018</v>
      </c>
      <c r="N541" s="14" t="s">
        <v>338</v>
      </c>
      <c r="O541" s="17" t="s">
        <v>3018</v>
      </c>
    </row>
    <row r="542" spans="1:15" x14ac:dyDescent="0.15">
      <c r="A542" s="21" t="s">
        <v>1363</v>
      </c>
      <c r="B542" s="19"/>
      <c r="C542" s="11"/>
      <c r="D542" s="17" t="s">
        <v>97</v>
      </c>
      <c r="E542" s="10" t="s">
        <v>163</v>
      </c>
      <c r="F542" s="11" t="s">
        <v>3019</v>
      </c>
      <c r="G542" s="12">
        <f>12.838*L542</f>
        <v>89.866</v>
      </c>
      <c r="H542" s="13">
        <v>42194</v>
      </c>
      <c r="I542" s="12" t="s">
        <v>233</v>
      </c>
      <c r="J542" s="12" t="s">
        <v>3020</v>
      </c>
      <c r="K542" s="12" t="s">
        <v>227</v>
      </c>
      <c r="L542" s="12">
        <v>7</v>
      </c>
      <c r="M542" s="14" t="s">
        <v>3021</v>
      </c>
      <c r="N542" s="14" t="s">
        <v>3022</v>
      </c>
      <c r="O542" s="17" t="s">
        <v>3021</v>
      </c>
    </row>
    <row r="543" spans="1:15" x14ac:dyDescent="0.15">
      <c r="A543" s="21" t="s">
        <v>1972</v>
      </c>
      <c r="B543" s="19"/>
      <c r="C543" s="11"/>
      <c r="D543" s="17" t="s">
        <v>1973</v>
      </c>
      <c r="E543" s="10" t="s">
        <v>163</v>
      </c>
      <c r="F543" s="11" t="s">
        <v>3023</v>
      </c>
      <c r="G543" s="23">
        <f>12.838*L543</f>
        <v>89.866</v>
      </c>
      <c r="H543" s="13">
        <v>42194</v>
      </c>
      <c r="I543" s="12" t="s">
        <v>233</v>
      </c>
      <c r="J543" s="12" t="s">
        <v>3024</v>
      </c>
      <c r="K543" s="12" t="s">
        <v>227</v>
      </c>
      <c r="L543" s="12">
        <v>7</v>
      </c>
      <c r="M543" s="14" t="s">
        <v>2915</v>
      </c>
      <c r="N543" s="14" t="s">
        <v>1467</v>
      </c>
      <c r="O543" s="17" t="s">
        <v>3025</v>
      </c>
    </row>
    <row r="544" spans="1:15" x14ac:dyDescent="0.15">
      <c r="A544" s="21" t="s">
        <v>2135</v>
      </c>
      <c r="B544" s="19"/>
      <c r="C544" s="11"/>
      <c r="D544" s="17" t="s">
        <v>97</v>
      </c>
      <c r="E544" s="10" t="s">
        <v>163</v>
      </c>
      <c r="F544" s="11" t="s">
        <v>3026</v>
      </c>
      <c r="G544" s="23">
        <f>12.838*L544</f>
        <v>102.70399999999999</v>
      </c>
      <c r="H544" s="13">
        <v>42194</v>
      </c>
      <c r="I544" s="12" t="s">
        <v>233</v>
      </c>
      <c r="J544" s="12" t="s">
        <v>3027</v>
      </c>
      <c r="K544" s="12" t="s">
        <v>227</v>
      </c>
      <c r="L544" s="12">
        <v>8</v>
      </c>
      <c r="M544" s="14" t="s">
        <v>3021</v>
      </c>
      <c r="N544" s="14" t="s">
        <v>1041</v>
      </c>
      <c r="O544" s="17" t="s">
        <v>3028</v>
      </c>
    </row>
    <row r="545" spans="1:15" x14ac:dyDescent="0.15">
      <c r="A545" s="21" t="s">
        <v>1474</v>
      </c>
      <c r="B545" s="19"/>
      <c r="C545" s="11"/>
      <c r="D545" s="17" t="s">
        <v>1475</v>
      </c>
      <c r="E545" s="10" t="s">
        <v>163</v>
      </c>
      <c r="F545" s="11" t="s">
        <v>3029</v>
      </c>
      <c r="G545" s="23">
        <v>205.36799999999999</v>
      </c>
      <c r="H545" s="13">
        <v>42195</v>
      </c>
      <c r="I545" s="12" t="s">
        <v>215</v>
      </c>
      <c r="J545" s="12" t="s">
        <v>3030</v>
      </c>
      <c r="K545" s="12" t="s">
        <v>175</v>
      </c>
      <c r="L545" s="12" t="s">
        <v>3031</v>
      </c>
      <c r="M545" s="14" t="s">
        <v>3032</v>
      </c>
      <c r="N545" s="14" t="s">
        <v>3033</v>
      </c>
      <c r="O545" s="17" t="s">
        <v>3034</v>
      </c>
    </row>
    <row r="546" spans="1:15" x14ac:dyDescent="0.15">
      <c r="A546" s="21" t="s">
        <v>1474</v>
      </c>
      <c r="B546" s="19"/>
      <c r="C546" s="11"/>
      <c r="D546" s="17" t="s">
        <v>1475</v>
      </c>
      <c r="E546" s="10" t="s">
        <v>163</v>
      </c>
      <c r="F546" s="11" t="s">
        <v>3035</v>
      </c>
      <c r="G546" s="23">
        <v>99.096000000000004</v>
      </c>
      <c r="H546" s="13">
        <v>42195</v>
      </c>
      <c r="I546" s="12" t="s">
        <v>215</v>
      </c>
      <c r="J546" s="12" t="s">
        <v>3036</v>
      </c>
      <c r="K546" s="12" t="s">
        <v>175</v>
      </c>
      <c r="L546" s="12" t="s">
        <v>1478</v>
      </c>
      <c r="M546" s="14" t="s">
        <v>3037</v>
      </c>
      <c r="N546" s="14" t="s">
        <v>2209</v>
      </c>
      <c r="O546" s="17" t="s">
        <v>3038</v>
      </c>
    </row>
    <row r="547" spans="1:15" x14ac:dyDescent="0.15">
      <c r="A547" s="21" t="s">
        <v>1474</v>
      </c>
      <c r="B547" s="19"/>
      <c r="C547" s="11"/>
      <c r="D547" s="17" t="s">
        <v>1475</v>
      </c>
      <c r="E547" s="10" t="s">
        <v>163</v>
      </c>
      <c r="F547" s="11" t="s">
        <v>3039</v>
      </c>
      <c r="G547" s="23">
        <v>80.049000000000007</v>
      </c>
      <c r="H547" s="13">
        <v>42195</v>
      </c>
      <c r="I547" s="12" t="s">
        <v>215</v>
      </c>
      <c r="J547" s="12" t="s">
        <v>3040</v>
      </c>
      <c r="K547" s="12" t="s">
        <v>175</v>
      </c>
      <c r="L547" s="12" t="s">
        <v>3041</v>
      </c>
      <c r="M547" s="14" t="s">
        <v>3042</v>
      </c>
      <c r="N547" s="14" t="s">
        <v>3043</v>
      </c>
      <c r="O547" s="17" t="s">
        <v>3044</v>
      </c>
    </row>
    <row r="548" spans="1:15" x14ac:dyDescent="0.15">
      <c r="A548" s="21" t="s">
        <v>1474</v>
      </c>
      <c r="B548" s="19"/>
      <c r="C548" s="11"/>
      <c r="D548" s="17" t="s">
        <v>1475</v>
      </c>
      <c r="E548" s="10" t="s">
        <v>163</v>
      </c>
      <c r="F548" s="11" t="s">
        <v>3045</v>
      </c>
      <c r="G548" s="23">
        <v>203.02699999999999</v>
      </c>
      <c r="H548" s="13">
        <v>42195</v>
      </c>
      <c r="I548" s="12" t="s">
        <v>215</v>
      </c>
      <c r="J548" s="12" t="s">
        <v>3046</v>
      </c>
      <c r="K548" s="12" t="s">
        <v>175</v>
      </c>
      <c r="L548" s="12" t="s">
        <v>2733</v>
      </c>
      <c r="M548" s="14" t="s">
        <v>3047</v>
      </c>
      <c r="N548" s="14" t="s">
        <v>3048</v>
      </c>
      <c r="O548" s="17" t="s">
        <v>3049</v>
      </c>
    </row>
    <row r="549" spans="1:15" x14ac:dyDescent="0.15">
      <c r="A549" s="21" t="s">
        <v>2200</v>
      </c>
      <c r="B549" s="19"/>
      <c r="C549" s="11"/>
      <c r="D549" s="17" t="s">
        <v>1475</v>
      </c>
      <c r="E549" s="10" t="s">
        <v>163</v>
      </c>
      <c r="F549" s="11" t="s">
        <v>3050</v>
      </c>
      <c r="G549" s="23">
        <v>99.457999999999998</v>
      </c>
      <c r="H549" s="13">
        <v>42195</v>
      </c>
      <c r="I549" s="12" t="s">
        <v>215</v>
      </c>
      <c r="J549" s="12" t="s">
        <v>3051</v>
      </c>
      <c r="K549" s="12" t="s">
        <v>175</v>
      </c>
      <c r="L549" s="12" t="s">
        <v>1478</v>
      </c>
      <c r="M549" s="14" t="s">
        <v>3052</v>
      </c>
      <c r="N549" s="14" t="s">
        <v>2209</v>
      </c>
      <c r="O549" s="17" t="s">
        <v>3053</v>
      </c>
    </row>
    <row r="550" spans="1:15" x14ac:dyDescent="0.15">
      <c r="A550" s="21" t="s">
        <v>1741</v>
      </c>
      <c r="B550" s="19"/>
      <c r="C550" s="11"/>
      <c r="D550" s="17" t="s">
        <v>1742</v>
      </c>
      <c r="E550" s="10" t="s">
        <v>163</v>
      </c>
      <c r="F550" s="11" t="s">
        <v>3054</v>
      </c>
      <c r="G550" s="23">
        <v>120.423</v>
      </c>
      <c r="H550" s="13">
        <v>42195</v>
      </c>
      <c r="I550" s="18" t="s">
        <v>191</v>
      </c>
      <c r="J550" s="12" t="s">
        <v>3055</v>
      </c>
      <c r="K550" s="12" t="s">
        <v>255</v>
      </c>
      <c r="L550" s="12" t="s">
        <v>2568</v>
      </c>
      <c r="M550" s="14" t="s">
        <v>3056</v>
      </c>
      <c r="N550" s="14" t="s">
        <v>3057</v>
      </c>
      <c r="O550" s="17" t="s">
        <v>3058</v>
      </c>
    </row>
    <row r="551" spans="1:15" x14ac:dyDescent="0.15">
      <c r="A551" s="21" t="s">
        <v>1639</v>
      </c>
      <c r="B551" s="19"/>
      <c r="C551" s="11"/>
      <c r="D551" s="17" t="s">
        <v>375</v>
      </c>
      <c r="E551" s="10" t="s">
        <v>163</v>
      </c>
      <c r="F551" s="11" t="s">
        <v>3059</v>
      </c>
      <c r="G551" s="18">
        <f>17.52*L551</f>
        <v>227.76</v>
      </c>
      <c r="H551" s="13">
        <v>42195</v>
      </c>
      <c r="I551" s="12" t="s">
        <v>215</v>
      </c>
      <c r="J551" s="12" t="s">
        <v>3060</v>
      </c>
      <c r="K551" s="12" t="s">
        <v>227</v>
      </c>
      <c r="L551" s="12">
        <v>13</v>
      </c>
      <c r="M551" s="14" t="s">
        <v>3061</v>
      </c>
      <c r="N551" s="14" t="s">
        <v>1472</v>
      </c>
      <c r="O551" s="17" t="s">
        <v>3062</v>
      </c>
    </row>
    <row r="552" spans="1:15" x14ac:dyDescent="0.15">
      <c r="A552" s="21" t="s">
        <v>2060</v>
      </c>
      <c r="B552" s="19"/>
      <c r="C552" s="11"/>
      <c r="D552" s="17" t="s">
        <v>1595</v>
      </c>
      <c r="E552" s="10" t="s">
        <v>163</v>
      </c>
      <c r="F552" s="11" t="s">
        <v>3063</v>
      </c>
      <c r="G552" s="12">
        <v>192.73099999999999</v>
      </c>
      <c r="H552" s="13">
        <v>42195</v>
      </c>
      <c r="I552" s="12" t="s">
        <v>215</v>
      </c>
      <c r="J552" s="12" t="s">
        <v>3064</v>
      </c>
      <c r="K552" s="12" t="s">
        <v>175</v>
      </c>
      <c r="L552" s="12" t="s">
        <v>1745</v>
      </c>
      <c r="M552" s="14" t="s">
        <v>3065</v>
      </c>
      <c r="N552" s="14" t="s">
        <v>3066</v>
      </c>
      <c r="O552" s="17" t="s">
        <v>3067</v>
      </c>
    </row>
    <row r="553" spans="1:15" x14ac:dyDescent="0.15">
      <c r="A553" s="21" t="s">
        <v>2001</v>
      </c>
      <c r="B553" s="19"/>
      <c r="C553" s="11"/>
      <c r="D553" s="17" t="s">
        <v>432</v>
      </c>
      <c r="E553" s="10" t="s">
        <v>163</v>
      </c>
      <c r="F553" s="11" t="s">
        <v>3068</v>
      </c>
      <c r="G553" s="12">
        <v>302.62</v>
      </c>
      <c r="H553" s="13">
        <v>42198</v>
      </c>
      <c r="I553" s="12" t="s">
        <v>215</v>
      </c>
      <c r="J553" s="12" t="s">
        <v>3069</v>
      </c>
      <c r="K553" s="12" t="s">
        <v>175</v>
      </c>
      <c r="L553" s="12" t="s">
        <v>1328</v>
      </c>
      <c r="M553" s="14" t="s">
        <v>3070</v>
      </c>
      <c r="N553" s="14" t="s">
        <v>2591</v>
      </c>
      <c r="O553" s="17" t="s">
        <v>3071</v>
      </c>
    </row>
    <row r="554" spans="1:15" x14ac:dyDescent="0.15">
      <c r="A554" s="21" t="s">
        <v>1387</v>
      </c>
      <c r="B554" s="19"/>
      <c r="C554" s="11"/>
      <c r="D554" s="17" t="s">
        <v>432</v>
      </c>
      <c r="E554" s="10" t="s">
        <v>163</v>
      </c>
      <c r="F554" s="11" t="s">
        <v>3072</v>
      </c>
      <c r="G554" s="12">
        <v>303.642</v>
      </c>
      <c r="H554" s="13">
        <v>42198</v>
      </c>
      <c r="I554" s="12" t="s">
        <v>215</v>
      </c>
      <c r="J554" s="12" t="s">
        <v>3073</v>
      </c>
      <c r="K554" s="12" t="s">
        <v>175</v>
      </c>
      <c r="L554" s="12" t="s">
        <v>1328</v>
      </c>
      <c r="M554" s="14" t="s">
        <v>3074</v>
      </c>
      <c r="N554" s="14" t="s">
        <v>3075</v>
      </c>
      <c r="O554" s="17" t="s">
        <v>3076</v>
      </c>
    </row>
    <row r="555" spans="1:15" x14ac:dyDescent="0.15">
      <c r="A555" s="21" t="s">
        <v>1025</v>
      </c>
      <c r="B555" s="19"/>
      <c r="C555" s="11"/>
      <c r="D555" s="17" t="s">
        <v>453</v>
      </c>
      <c r="E555" s="10" t="s">
        <v>163</v>
      </c>
      <c r="F555" s="11" t="s">
        <v>3077</v>
      </c>
      <c r="G555" s="12">
        <v>382.68599999999998</v>
      </c>
      <c r="H555" s="13">
        <v>42198</v>
      </c>
      <c r="I555" s="12" t="s">
        <v>215</v>
      </c>
      <c r="J555" s="12" t="s">
        <v>3078</v>
      </c>
      <c r="K555" s="12" t="s">
        <v>175</v>
      </c>
      <c r="L555" s="12" t="s">
        <v>1445</v>
      </c>
      <c r="M555" s="14" t="s">
        <v>3079</v>
      </c>
      <c r="N555" s="14" t="s">
        <v>3080</v>
      </c>
      <c r="O555" s="17" t="s">
        <v>3081</v>
      </c>
    </row>
    <row r="556" spans="1:15" x14ac:dyDescent="0.15">
      <c r="A556" s="21" t="s">
        <v>1025</v>
      </c>
      <c r="B556" s="19"/>
      <c r="C556" s="11"/>
      <c r="D556" s="17" t="s">
        <v>453</v>
      </c>
      <c r="E556" s="10" t="s">
        <v>163</v>
      </c>
      <c r="F556" s="11" t="s">
        <v>3082</v>
      </c>
      <c r="G556" s="12">
        <v>383.18099999999998</v>
      </c>
      <c r="H556" s="13">
        <v>42198</v>
      </c>
      <c r="I556" s="12" t="s">
        <v>215</v>
      </c>
      <c r="J556" s="12" t="s">
        <v>3083</v>
      </c>
      <c r="K556" s="12" t="s">
        <v>175</v>
      </c>
      <c r="L556" s="12" t="s">
        <v>1445</v>
      </c>
      <c r="M556" s="14" t="s">
        <v>3084</v>
      </c>
      <c r="N556" s="14" t="s">
        <v>3085</v>
      </c>
      <c r="O556" s="17" t="s">
        <v>3086</v>
      </c>
    </row>
    <row r="557" spans="1:15" x14ac:dyDescent="0.15">
      <c r="A557" s="21" t="s">
        <v>1025</v>
      </c>
      <c r="B557" s="19"/>
      <c r="C557" s="11"/>
      <c r="D557" s="17" t="s">
        <v>453</v>
      </c>
      <c r="E557" s="10" t="s">
        <v>163</v>
      </c>
      <c r="F557" s="11" t="s">
        <v>3087</v>
      </c>
      <c r="G557" s="12">
        <v>301.97699999999998</v>
      </c>
      <c r="H557" s="13">
        <v>42198</v>
      </c>
      <c r="I557" s="12" t="s">
        <v>215</v>
      </c>
      <c r="J557" s="12" t="s">
        <v>3088</v>
      </c>
      <c r="K557" s="12" t="s">
        <v>175</v>
      </c>
      <c r="L557" s="12" t="s">
        <v>1328</v>
      </c>
      <c r="M557" s="14" t="s">
        <v>3089</v>
      </c>
      <c r="N557" s="14" t="s">
        <v>1330</v>
      </c>
      <c r="O557" s="17" t="s">
        <v>3090</v>
      </c>
    </row>
    <row r="558" spans="1:15" x14ac:dyDescent="0.15">
      <c r="A558" s="21" t="s">
        <v>1025</v>
      </c>
      <c r="B558" s="19"/>
      <c r="C558" s="11"/>
      <c r="D558" s="17" t="s">
        <v>453</v>
      </c>
      <c r="E558" s="10" t="s">
        <v>163</v>
      </c>
      <c r="F558" s="11" t="s">
        <v>3091</v>
      </c>
      <c r="G558" s="12">
        <v>267.01100000000002</v>
      </c>
      <c r="H558" s="13">
        <v>42198</v>
      </c>
      <c r="I558" s="12" t="s">
        <v>215</v>
      </c>
      <c r="J558" s="12" t="s">
        <v>3092</v>
      </c>
      <c r="K558" s="12" t="s">
        <v>175</v>
      </c>
      <c r="L558" s="12" t="s">
        <v>1334</v>
      </c>
      <c r="M558" s="14" t="s">
        <v>3093</v>
      </c>
      <c r="N558" s="14" t="s">
        <v>3094</v>
      </c>
      <c r="O558" s="17" t="s">
        <v>3095</v>
      </c>
    </row>
    <row r="559" spans="1:15" x14ac:dyDescent="0.15">
      <c r="A559" s="21" t="s">
        <v>1025</v>
      </c>
      <c r="B559" s="19"/>
      <c r="C559" s="11"/>
      <c r="D559" s="17" t="s">
        <v>453</v>
      </c>
      <c r="E559" s="10" t="s">
        <v>163</v>
      </c>
      <c r="F559" s="11" t="s">
        <v>3096</v>
      </c>
      <c r="G559" s="12">
        <v>301.76400000000001</v>
      </c>
      <c r="H559" s="13">
        <v>42198</v>
      </c>
      <c r="I559" s="12" t="s">
        <v>215</v>
      </c>
      <c r="J559" s="12" t="s">
        <v>3097</v>
      </c>
      <c r="K559" s="12" t="s">
        <v>175</v>
      </c>
      <c r="L559" s="12" t="s">
        <v>1328</v>
      </c>
      <c r="M559" s="14" t="s">
        <v>3098</v>
      </c>
      <c r="N559" s="14" t="s">
        <v>2024</v>
      </c>
      <c r="O559" s="17" t="s">
        <v>3099</v>
      </c>
    </row>
    <row r="560" spans="1:15" x14ac:dyDescent="0.15">
      <c r="A560" s="21" t="s">
        <v>1025</v>
      </c>
      <c r="B560" s="19"/>
      <c r="C560" s="11"/>
      <c r="D560" s="17" t="s">
        <v>453</v>
      </c>
      <c r="E560" s="10" t="s">
        <v>163</v>
      </c>
      <c r="F560" s="11" t="s">
        <v>3100</v>
      </c>
      <c r="G560" s="12">
        <v>267.041</v>
      </c>
      <c r="H560" s="13">
        <v>42198</v>
      </c>
      <c r="I560" s="12" t="s">
        <v>215</v>
      </c>
      <c r="J560" s="12" t="s">
        <v>3101</v>
      </c>
      <c r="K560" s="12" t="s">
        <v>175</v>
      </c>
      <c r="L560" s="31" t="s">
        <v>1334</v>
      </c>
      <c r="M560" s="14" t="s">
        <v>3102</v>
      </c>
      <c r="N560" s="14" t="s">
        <v>2069</v>
      </c>
      <c r="O560" s="17" t="s">
        <v>3103</v>
      </c>
    </row>
    <row r="561" spans="1:15" x14ac:dyDescent="0.15">
      <c r="A561" s="21" t="s">
        <v>1025</v>
      </c>
      <c r="B561" s="19"/>
      <c r="C561" s="11"/>
      <c r="D561" s="17" t="s">
        <v>453</v>
      </c>
      <c r="E561" s="10" t="s">
        <v>163</v>
      </c>
      <c r="F561" s="11" t="s">
        <v>3104</v>
      </c>
      <c r="G561" s="12">
        <v>383.62</v>
      </c>
      <c r="H561" s="13">
        <v>42198</v>
      </c>
      <c r="I561" s="12" t="s">
        <v>215</v>
      </c>
      <c r="J561" s="12" t="s">
        <v>3105</v>
      </c>
      <c r="K561" s="12" t="s">
        <v>175</v>
      </c>
      <c r="L561" s="12" t="s">
        <v>1445</v>
      </c>
      <c r="M561" s="14" t="s">
        <v>3106</v>
      </c>
      <c r="N561" s="14" t="s">
        <v>2014</v>
      </c>
      <c r="O561" s="17" t="s">
        <v>3107</v>
      </c>
    </row>
    <row r="562" spans="1:15" x14ac:dyDescent="0.15">
      <c r="A562" s="21" t="s">
        <v>1025</v>
      </c>
      <c r="B562" s="19"/>
      <c r="C562" s="11"/>
      <c r="D562" s="17" t="s">
        <v>453</v>
      </c>
      <c r="E562" s="10" t="s">
        <v>163</v>
      </c>
      <c r="F562" s="11" t="s">
        <v>3108</v>
      </c>
      <c r="G562" s="12">
        <v>383.61599999999999</v>
      </c>
      <c r="H562" s="13">
        <v>42198</v>
      </c>
      <c r="I562" s="12" t="s">
        <v>215</v>
      </c>
      <c r="J562" s="12" t="s">
        <v>3109</v>
      </c>
      <c r="K562" s="12" t="s">
        <v>175</v>
      </c>
      <c r="L562" s="12" t="s">
        <v>1445</v>
      </c>
      <c r="M562" s="14" t="s">
        <v>3110</v>
      </c>
      <c r="N562" s="14" t="s">
        <v>3080</v>
      </c>
      <c r="O562" s="17" t="s">
        <v>3111</v>
      </c>
    </row>
    <row r="563" spans="1:15" x14ac:dyDescent="0.15">
      <c r="A563" s="21" t="s">
        <v>1025</v>
      </c>
      <c r="B563" s="19"/>
      <c r="C563" s="11"/>
      <c r="D563" s="17" t="s">
        <v>453</v>
      </c>
      <c r="E563" s="10" t="s">
        <v>163</v>
      </c>
      <c r="F563" s="11" t="s">
        <v>3112</v>
      </c>
      <c r="G563" s="12">
        <v>185.87799999999999</v>
      </c>
      <c r="H563" s="13">
        <v>42198</v>
      </c>
      <c r="I563" s="12" t="s">
        <v>215</v>
      </c>
      <c r="J563" s="12" t="s">
        <v>3113</v>
      </c>
      <c r="K563" s="12" t="s">
        <v>175</v>
      </c>
      <c r="L563" s="12" t="s">
        <v>1028</v>
      </c>
      <c r="M563" s="14" t="s">
        <v>3114</v>
      </c>
      <c r="N563" s="14" t="s">
        <v>1720</v>
      </c>
      <c r="O563" s="17" t="s">
        <v>3115</v>
      </c>
    </row>
    <row r="564" spans="1:15" x14ac:dyDescent="0.15">
      <c r="A564" s="21" t="s">
        <v>1025</v>
      </c>
      <c r="B564" s="19"/>
      <c r="C564" s="11"/>
      <c r="D564" s="17" t="s">
        <v>453</v>
      </c>
      <c r="E564" s="10" t="s">
        <v>163</v>
      </c>
      <c r="F564" s="11" t="s">
        <v>3116</v>
      </c>
      <c r="G564" s="12">
        <v>150.96700000000001</v>
      </c>
      <c r="H564" s="13">
        <v>42198</v>
      </c>
      <c r="I564" s="12" t="s">
        <v>215</v>
      </c>
      <c r="J564" s="12" t="s">
        <v>3117</v>
      </c>
      <c r="K564" s="12" t="s">
        <v>175</v>
      </c>
      <c r="L564" s="12" t="s">
        <v>1922</v>
      </c>
      <c r="M564" s="14" t="s">
        <v>3118</v>
      </c>
      <c r="N564" s="14" t="s">
        <v>3119</v>
      </c>
      <c r="O564" s="17" t="s">
        <v>3120</v>
      </c>
    </row>
    <row r="565" spans="1:15" x14ac:dyDescent="0.15">
      <c r="A565" s="21" t="s">
        <v>1213</v>
      </c>
      <c r="B565" s="19"/>
      <c r="C565" s="11"/>
      <c r="D565" s="17" t="s">
        <v>567</v>
      </c>
      <c r="E565" s="10" t="s">
        <v>163</v>
      </c>
      <c r="F565" s="11" t="s">
        <v>3121</v>
      </c>
      <c r="G565" s="12">
        <f>27.688*L565</f>
        <v>110.752</v>
      </c>
      <c r="H565" s="13">
        <v>42199</v>
      </c>
      <c r="I565" s="12" t="s">
        <v>635</v>
      </c>
      <c r="J565" s="12" t="s">
        <v>3122</v>
      </c>
      <c r="K565" s="12" t="s">
        <v>227</v>
      </c>
      <c r="L565" s="12">
        <v>4</v>
      </c>
      <c r="M565" s="14" t="s">
        <v>1216</v>
      </c>
      <c r="N565" s="14" t="s">
        <v>3123</v>
      </c>
      <c r="O565" s="17" t="s">
        <v>3124</v>
      </c>
    </row>
    <row r="566" spans="1:15" x14ac:dyDescent="0.15">
      <c r="A566" s="21" t="s">
        <v>1118</v>
      </c>
      <c r="B566" s="19"/>
      <c r="C566" s="11"/>
      <c r="D566" s="17" t="s">
        <v>1119</v>
      </c>
      <c r="E566" s="10" t="s">
        <v>163</v>
      </c>
      <c r="F566" s="11" t="s">
        <v>3125</v>
      </c>
      <c r="G566" s="12">
        <f>17.498*L566</f>
        <v>139.98400000000001</v>
      </c>
      <c r="H566" s="13">
        <v>42199</v>
      </c>
      <c r="I566" s="12" t="s">
        <v>635</v>
      </c>
      <c r="J566" s="12" t="s">
        <v>3126</v>
      </c>
      <c r="K566" s="12" t="s">
        <v>227</v>
      </c>
      <c r="L566" s="12">
        <v>8</v>
      </c>
      <c r="M566" s="14" t="s">
        <v>3127</v>
      </c>
      <c r="N566" s="14" t="s">
        <v>3128</v>
      </c>
      <c r="O566" s="17" t="s">
        <v>3127</v>
      </c>
    </row>
    <row r="567" spans="1:15" x14ac:dyDescent="0.15">
      <c r="A567" s="21" t="s">
        <v>475</v>
      </c>
      <c r="B567" s="19"/>
      <c r="C567" s="11"/>
      <c r="D567" s="17" t="s">
        <v>408</v>
      </c>
      <c r="E567" s="10" t="s">
        <v>163</v>
      </c>
      <c r="F567" s="11" t="s">
        <v>3129</v>
      </c>
      <c r="G567" s="12">
        <f>29.101*L567</f>
        <v>378.31299999999999</v>
      </c>
      <c r="H567" s="13">
        <v>42199</v>
      </c>
      <c r="I567" s="12" t="s">
        <v>683</v>
      </c>
      <c r="J567" s="12" t="s">
        <v>3130</v>
      </c>
      <c r="K567" s="12" t="s">
        <v>21</v>
      </c>
      <c r="L567" s="12">
        <v>13</v>
      </c>
      <c r="M567" s="14" t="s">
        <v>3131</v>
      </c>
      <c r="N567" s="14" t="s">
        <v>473</v>
      </c>
      <c r="O567" s="17" t="s">
        <v>3132</v>
      </c>
    </row>
    <row r="568" spans="1:15" x14ac:dyDescent="0.15">
      <c r="A568" s="21" t="s">
        <v>2822</v>
      </c>
      <c r="B568" s="19"/>
      <c r="C568" s="11"/>
      <c r="D568" s="17" t="s">
        <v>389</v>
      </c>
      <c r="E568" s="10" t="s">
        <v>163</v>
      </c>
      <c r="F568" s="11" t="s">
        <v>3133</v>
      </c>
      <c r="G568" s="12">
        <f>17.52*L568</f>
        <v>175.2</v>
      </c>
      <c r="H568" s="13">
        <v>42199</v>
      </c>
      <c r="I568" s="12" t="s">
        <v>635</v>
      </c>
      <c r="J568" s="12" t="s">
        <v>3134</v>
      </c>
      <c r="K568" s="12" t="s">
        <v>227</v>
      </c>
      <c r="L568" s="12">
        <v>10</v>
      </c>
      <c r="M568" s="14" t="s">
        <v>3135</v>
      </c>
      <c r="N568" s="14" t="s">
        <v>58</v>
      </c>
      <c r="O568" s="17" t="s">
        <v>3135</v>
      </c>
    </row>
    <row r="569" spans="1:15" x14ac:dyDescent="0.15">
      <c r="A569" s="21" t="s">
        <v>1608</v>
      </c>
      <c r="B569" s="19"/>
      <c r="C569" s="11"/>
      <c r="D569" s="17" t="s">
        <v>1609</v>
      </c>
      <c r="E569" s="10" t="s">
        <v>163</v>
      </c>
      <c r="F569" s="11" t="s">
        <v>3136</v>
      </c>
      <c r="G569" s="12">
        <f>20.558*L569</f>
        <v>513.95000000000005</v>
      </c>
      <c r="H569" s="13">
        <v>42199</v>
      </c>
      <c r="I569" s="12" t="s">
        <v>1098</v>
      </c>
      <c r="J569" s="12" t="s">
        <v>3137</v>
      </c>
      <c r="K569" s="12" t="s">
        <v>227</v>
      </c>
      <c r="L569" s="12">
        <v>25</v>
      </c>
      <c r="M569" s="14" t="s">
        <v>3138</v>
      </c>
      <c r="N569" s="14" t="s">
        <v>338</v>
      </c>
      <c r="O569" s="17" t="s">
        <v>3138</v>
      </c>
    </row>
    <row r="570" spans="1:15" x14ac:dyDescent="0.15">
      <c r="A570" s="21" t="s">
        <v>1886</v>
      </c>
      <c r="B570" s="19"/>
      <c r="C570" s="11"/>
      <c r="D570" s="17" t="s">
        <v>223</v>
      </c>
      <c r="E570" s="10" t="s">
        <v>163</v>
      </c>
      <c r="F570" s="11" t="s">
        <v>3139</v>
      </c>
      <c r="G570" s="12">
        <f>29.101*L570</f>
        <v>87.302999999999997</v>
      </c>
      <c r="H570" s="13">
        <v>42199</v>
      </c>
      <c r="I570" s="12" t="s">
        <v>1661</v>
      </c>
      <c r="J570" s="12" t="s">
        <v>3140</v>
      </c>
      <c r="K570" s="12" t="s">
        <v>227</v>
      </c>
      <c r="L570" s="12">
        <v>3</v>
      </c>
      <c r="M570" s="14" t="s">
        <v>1890</v>
      </c>
      <c r="N570" s="14" t="s">
        <v>3141</v>
      </c>
      <c r="O570" s="17" t="s">
        <v>3142</v>
      </c>
    </row>
    <row r="571" spans="1:15" x14ac:dyDescent="0.15">
      <c r="A571" s="21" t="s">
        <v>1898</v>
      </c>
      <c r="B571" s="19"/>
      <c r="C571" s="11"/>
      <c r="D571" s="17" t="s">
        <v>341</v>
      </c>
      <c r="E571" s="10" t="s">
        <v>163</v>
      </c>
      <c r="F571" s="11" t="s">
        <v>3143</v>
      </c>
      <c r="G571" s="12">
        <f>18.708*L571</f>
        <v>243.20399999999998</v>
      </c>
      <c r="H571" s="13">
        <v>42199</v>
      </c>
      <c r="I571" s="12" t="s">
        <v>1098</v>
      </c>
      <c r="J571" s="12" t="s">
        <v>3144</v>
      </c>
      <c r="K571" s="12" t="s">
        <v>227</v>
      </c>
      <c r="L571" s="12">
        <v>13</v>
      </c>
      <c r="M571" s="14" t="s">
        <v>3145</v>
      </c>
      <c r="N571" s="14" t="s">
        <v>101</v>
      </c>
      <c r="O571" s="17" t="s">
        <v>3146</v>
      </c>
    </row>
    <row r="572" spans="1:15" x14ac:dyDescent="0.15">
      <c r="A572" s="21" t="s">
        <v>2986</v>
      </c>
      <c r="B572" s="19"/>
      <c r="C572" s="11"/>
      <c r="D572" s="17" t="s">
        <v>1181</v>
      </c>
      <c r="E572" s="10" t="s">
        <v>163</v>
      </c>
      <c r="F572" s="11" t="s">
        <v>3147</v>
      </c>
      <c r="G572" s="18">
        <f>17.712*L572</f>
        <v>442.8</v>
      </c>
      <c r="H572" s="13">
        <v>42199</v>
      </c>
      <c r="I572" s="12" t="s">
        <v>1661</v>
      </c>
      <c r="J572" s="12" t="s">
        <v>3148</v>
      </c>
      <c r="K572" s="12" t="s">
        <v>227</v>
      </c>
      <c r="L572" s="12">
        <v>25</v>
      </c>
      <c r="M572" s="14" t="s">
        <v>3149</v>
      </c>
      <c r="N572" s="14" t="s">
        <v>2367</v>
      </c>
      <c r="O572" s="17" t="s">
        <v>3149</v>
      </c>
    </row>
    <row r="573" spans="1:15" x14ac:dyDescent="0.15">
      <c r="A573" s="21" t="s">
        <v>1957</v>
      </c>
      <c r="B573" s="19"/>
      <c r="C573" s="11"/>
      <c r="D573" s="17" t="s">
        <v>425</v>
      </c>
      <c r="E573" s="10" t="s">
        <v>163</v>
      </c>
      <c r="F573" s="11" t="s">
        <v>3150</v>
      </c>
      <c r="G573" s="12">
        <f>18.708*L573</f>
        <v>93.539999999999992</v>
      </c>
      <c r="H573" s="13">
        <v>42199</v>
      </c>
      <c r="I573" s="12" t="s">
        <v>1098</v>
      </c>
      <c r="J573" s="12" t="s">
        <v>3151</v>
      </c>
      <c r="K573" s="12" t="s">
        <v>132</v>
      </c>
      <c r="L573" s="12">
        <v>5</v>
      </c>
      <c r="M573" s="14" t="s">
        <v>3152</v>
      </c>
      <c r="N573" s="14" t="s">
        <v>229</v>
      </c>
      <c r="O573" s="17" t="s">
        <v>3152</v>
      </c>
    </row>
    <row r="574" spans="1:15" x14ac:dyDescent="0.15">
      <c r="A574" s="21" t="s">
        <v>1168</v>
      </c>
      <c r="B574" s="22" t="s">
        <v>912</v>
      </c>
      <c r="C574" s="11"/>
      <c r="D574" s="17" t="s">
        <v>1163</v>
      </c>
      <c r="E574" s="10" t="s">
        <v>163</v>
      </c>
      <c r="F574" s="11" t="s">
        <v>3153</v>
      </c>
      <c r="G574" s="12">
        <f>9.871*L574</f>
        <v>227.03300000000002</v>
      </c>
      <c r="H574" s="13">
        <v>42199</v>
      </c>
      <c r="I574" s="12" t="s">
        <v>648</v>
      </c>
      <c r="J574" s="12" t="s">
        <v>3154</v>
      </c>
      <c r="K574" s="18" t="s">
        <v>227</v>
      </c>
      <c r="L574" s="12">
        <v>23</v>
      </c>
      <c r="M574" s="14" t="s">
        <v>3155</v>
      </c>
      <c r="N574" s="14" t="s">
        <v>3156</v>
      </c>
      <c r="O574" s="17" t="s">
        <v>3157</v>
      </c>
    </row>
    <row r="575" spans="1:15" x14ac:dyDescent="0.15">
      <c r="A575" s="21" t="s">
        <v>1168</v>
      </c>
      <c r="B575" s="22" t="s">
        <v>912</v>
      </c>
      <c r="C575" s="11"/>
      <c r="D575" s="17" t="s">
        <v>1163</v>
      </c>
      <c r="E575" s="10" t="s">
        <v>163</v>
      </c>
      <c r="F575" s="11" t="s">
        <v>3158</v>
      </c>
      <c r="G575" s="12">
        <f>9.871*L575</f>
        <v>246.77500000000001</v>
      </c>
      <c r="H575" s="13">
        <v>42199</v>
      </c>
      <c r="I575" s="12" t="s">
        <v>648</v>
      </c>
      <c r="J575" s="12" t="s">
        <v>3159</v>
      </c>
      <c r="K575" s="18" t="s">
        <v>227</v>
      </c>
      <c r="L575" s="12">
        <v>25</v>
      </c>
      <c r="M575" s="14" t="s">
        <v>3160</v>
      </c>
      <c r="N575" s="14" t="s">
        <v>338</v>
      </c>
      <c r="O575" s="17" t="s">
        <v>3161</v>
      </c>
    </row>
    <row r="576" spans="1:15" x14ac:dyDescent="0.15">
      <c r="A576" s="21" t="s">
        <v>2130</v>
      </c>
      <c r="B576" s="22" t="s">
        <v>912</v>
      </c>
      <c r="C576" s="11"/>
      <c r="D576" s="17" t="s">
        <v>1163</v>
      </c>
      <c r="E576" s="10" t="s">
        <v>163</v>
      </c>
      <c r="F576" s="11" t="s">
        <v>3162</v>
      </c>
      <c r="G576" s="12">
        <f>9.871*L576</f>
        <v>246.77500000000001</v>
      </c>
      <c r="H576" s="13">
        <v>42199</v>
      </c>
      <c r="I576" s="12" t="s">
        <v>648</v>
      </c>
      <c r="J576" s="12" t="s">
        <v>3163</v>
      </c>
      <c r="K576" s="18" t="s">
        <v>227</v>
      </c>
      <c r="L576" s="12">
        <v>25</v>
      </c>
      <c r="M576" s="14" t="s">
        <v>3164</v>
      </c>
      <c r="N576" s="14" t="s">
        <v>338</v>
      </c>
      <c r="O576" s="17" t="s">
        <v>3165</v>
      </c>
    </row>
    <row r="577" spans="1:15" x14ac:dyDescent="0.15">
      <c r="A577" s="21" t="s">
        <v>655</v>
      </c>
      <c r="B577" s="22" t="s">
        <v>912</v>
      </c>
      <c r="C577" s="11"/>
      <c r="D577" s="17" t="s">
        <v>656</v>
      </c>
      <c r="E577" s="10" t="s">
        <v>163</v>
      </c>
      <c r="F577" s="11" t="s">
        <v>3166</v>
      </c>
      <c r="G577" s="12">
        <f>9.871*L577</f>
        <v>118.452</v>
      </c>
      <c r="H577" s="13">
        <v>42199</v>
      </c>
      <c r="I577" s="12" t="s">
        <v>648</v>
      </c>
      <c r="J577" s="12" t="s">
        <v>3167</v>
      </c>
      <c r="K577" s="12" t="s">
        <v>227</v>
      </c>
      <c r="L577" s="12">
        <v>12</v>
      </c>
      <c r="M577" s="14" t="s">
        <v>3168</v>
      </c>
      <c r="N577" s="14" t="s">
        <v>186</v>
      </c>
      <c r="O577" s="17" t="s">
        <v>3168</v>
      </c>
    </row>
    <row r="578" spans="1:15" x14ac:dyDescent="0.15">
      <c r="A578" s="21" t="s">
        <v>1038</v>
      </c>
      <c r="B578" s="24" t="s">
        <v>1113</v>
      </c>
      <c r="C578" s="11"/>
      <c r="D578" s="17" t="s">
        <v>396</v>
      </c>
      <c r="E578" s="10" t="s">
        <v>163</v>
      </c>
      <c r="F578" s="11" t="s">
        <v>3169</v>
      </c>
      <c r="G578" s="18">
        <f>29.101*L578</f>
        <v>116.404</v>
      </c>
      <c r="H578" s="13">
        <v>42199</v>
      </c>
      <c r="I578" s="12" t="s">
        <v>757</v>
      </c>
      <c r="J578" s="12" t="s">
        <v>3170</v>
      </c>
      <c r="K578" s="12" t="s">
        <v>227</v>
      </c>
      <c r="L578" s="12">
        <v>4</v>
      </c>
      <c r="M578" s="14" t="s">
        <v>2248</v>
      </c>
      <c r="N578" s="14" t="s">
        <v>3171</v>
      </c>
      <c r="O578" s="17" t="s">
        <v>3172</v>
      </c>
    </row>
    <row r="579" spans="1:15" x14ac:dyDescent="0.15">
      <c r="A579" s="21" t="s">
        <v>1032</v>
      </c>
      <c r="B579" s="24" t="s">
        <v>1113</v>
      </c>
      <c r="C579" s="11"/>
      <c r="D579" s="17" t="s">
        <v>396</v>
      </c>
      <c r="E579" s="10" t="s">
        <v>163</v>
      </c>
      <c r="F579" s="11" t="s">
        <v>3173</v>
      </c>
      <c r="G579" s="18">
        <f>29.101*L579</f>
        <v>87.302999999999997</v>
      </c>
      <c r="H579" s="13">
        <v>42199</v>
      </c>
      <c r="I579" s="12" t="s">
        <v>757</v>
      </c>
      <c r="J579" s="12" t="s">
        <v>3174</v>
      </c>
      <c r="K579" s="12" t="s">
        <v>184</v>
      </c>
      <c r="L579" s="12">
        <v>3</v>
      </c>
      <c r="M579" s="14" t="s">
        <v>2249</v>
      </c>
      <c r="N579" s="14" t="s">
        <v>479</v>
      </c>
      <c r="O579" s="17" t="s">
        <v>3175</v>
      </c>
    </row>
    <row r="580" spans="1:15" x14ac:dyDescent="0.15">
      <c r="A580" s="21" t="s">
        <v>2187</v>
      </c>
      <c r="B580" s="19"/>
      <c r="C580" s="11"/>
      <c r="D580" s="17" t="s">
        <v>2772</v>
      </c>
      <c r="E580" s="10" t="s">
        <v>163</v>
      </c>
      <c r="F580" s="11" t="s">
        <v>3176</v>
      </c>
      <c r="G580" s="18">
        <f>17.498*L580</f>
        <v>87.490000000000009</v>
      </c>
      <c r="H580" s="13">
        <v>42199</v>
      </c>
      <c r="I580" s="12" t="s">
        <v>233</v>
      </c>
      <c r="J580" s="12" t="s">
        <v>3177</v>
      </c>
      <c r="K580" s="12" t="s">
        <v>227</v>
      </c>
      <c r="L580" s="12">
        <v>5</v>
      </c>
      <c r="M580" s="14" t="s">
        <v>2869</v>
      </c>
      <c r="N580" s="14" t="s">
        <v>1689</v>
      </c>
      <c r="O580" s="17" t="s">
        <v>3178</v>
      </c>
    </row>
    <row r="581" spans="1:15" x14ac:dyDescent="0.15">
      <c r="A581" s="21" t="s">
        <v>231</v>
      </c>
      <c r="B581" s="19"/>
      <c r="C581" s="11"/>
      <c r="D581" s="17" t="s">
        <v>54</v>
      </c>
      <c r="E581" s="10" t="s">
        <v>163</v>
      </c>
      <c r="F581" s="11" t="s">
        <v>3179</v>
      </c>
      <c r="G581" s="18">
        <f>6.405*L581</f>
        <v>160.125</v>
      </c>
      <c r="H581" s="13">
        <v>42199</v>
      </c>
      <c r="I581" s="12" t="s">
        <v>233</v>
      </c>
      <c r="J581" s="12" t="s">
        <v>3180</v>
      </c>
      <c r="K581" s="12" t="s">
        <v>227</v>
      </c>
      <c r="L581" s="12">
        <v>25</v>
      </c>
      <c r="M581" s="14" t="s">
        <v>3181</v>
      </c>
      <c r="N581" s="14" t="s">
        <v>338</v>
      </c>
      <c r="O581" s="17" t="s">
        <v>3181</v>
      </c>
    </row>
    <row r="582" spans="1:15" x14ac:dyDescent="0.15">
      <c r="A582" s="21" t="s">
        <v>1817</v>
      </c>
      <c r="B582" s="19"/>
      <c r="C582" s="11"/>
      <c r="D582" s="17" t="s">
        <v>54</v>
      </c>
      <c r="E582" s="10" t="s">
        <v>163</v>
      </c>
      <c r="F582" s="11" t="s">
        <v>3182</v>
      </c>
      <c r="G582" s="18">
        <f>6.405*L582</f>
        <v>147.315</v>
      </c>
      <c r="H582" s="13">
        <v>42199</v>
      </c>
      <c r="I582" s="12" t="s">
        <v>233</v>
      </c>
      <c r="J582" s="12" t="s">
        <v>3183</v>
      </c>
      <c r="K582" s="12" t="s">
        <v>227</v>
      </c>
      <c r="L582" s="12">
        <v>23</v>
      </c>
      <c r="M582" s="14" t="s">
        <v>3184</v>
      </c>
      <c r="N582" s="14" t="s">
        <v>2815</v>
      </c>
      <c r="O582" s="17" t="s">
        <v>3184</v>
      </c>
    </row>
    <row r="583" spans="1:15" x14ac:dyDescent="0.15">
      <c r="A583" s="21" t="s">
        <v>1708</v>
      </c>
      <c r="B583" s="19"/>
      <c r="C583" s="11"/>
      <c r="D583" s="17" t="s">
        <v>1692</v>
      </c>
      <c r="E583" s="10" t="s">
        <v>163</v>
      </c>
      <c r="F583" s="11" t="s">
        <v>3185</v>
      </c>
      <c r="G583" s="18">
        <v>377.32499999999999</v>
      </c>
      <c r="H583" s="13">
        <v>42199</v>
      </c>
      <c r="I583" s="12" t="s">
        <v>215</v>
      </c>
      <c r="J583" s="12" t="s">
        <v>3186</v>
      </c>
      <c r="K583" s="12" t="s">
        <v>255</v>
      </c>
      <c r="L583" s="12" t="s">
        <v>1711</v>
      </c>
      <c r="M583" s="14" t="s">
        <v>3187</v>
      </c>
      <c r="N583" s="14" t="s">
        <v>3188</v>
      </c>
      <c r="O583" s="17" t="s">
        <v>3189</v>
      </c>
    </row>
    <row r="584" spans="1:15" x14ac:dyDescent="0.15">
      <c r="A584" s="21" t="s">
        <v>802</v>
      </c>
      <c r="B584" s="19" t="s">
        <v>6884</v>
      </c>
      <c r="C584" s="11"/>
      <c r="D584" s="17" t="s">
        <v>803</v>
      </c>
      <c r="E584" s="10" t="s">
        <v>163</v>
      </c>
      <c r="F584" s="11" t="s">
        <v>3190</v>
      </c>
      <c r="G584" s="12">
        <f>29.101*L584</f>
        <v>87.302999999999997</v>
      </c>
      <c r="H584" s="13">
        <v>42199</v>
      </c>
      <c r="I584" s="12" t="s">
        <v>772</v>
      </c>
      <c r="J584" s="12" t="s">
        <v>3191</v>
      </c>
      <c r="K584" s="12" t="s">
        <v>227</v>
      </c>
      <c r="L584" s="12">
        <v>3</v>
      </c>
      <c r="M584" s="14" t="s">
        <v>3192</v>
      </c>
      <c r="N584" s="14" t="s">
        <v>3193</v>
      </c>
      <c r="O584" s="17" t="s">
        <v>3194</v>
      </c>
    </row>
    <row r="585" spans="1:15" x14ac:dyDescent="0.15">
      <c r="A585" s="21" t="s">
        <v>632</v>
      </c>
      <c r="B585" s="19" t="s">
        <v>3195</v>
      </c>
      <c r="C585" s="11"/>
      <c r="D585" s="17"/>
      <c r="E585" s="10" t="s">
        <v>163</v>
      </c>
      <c r="F585" s="11" t="s">
        <v>3196</v>
      </c>
      <c r="G585" s="12">
        <v>135</v>
      </c>
      <c r="H585" s="13">
        <v>42199</v>
      </c>
      <c r="I585" s="12"/>
      <c r="J585" s="12"/>
      <c r="K585" s="12"/>
      <c r="L585" s="12"/>
      <c r="M585" s="14"/>
      <c r="N585" s="14"/>
      <c r="O585" s="17" t="s">
        <v>3197</v>
      </c>
    </row>
    <row r="586" spans="1:15" x14ac:dyDescent="0.15">
      <c r="A586" s="21" t="s">
        <v>1708</v>
      </c>
      <c r="B586" s="19"/>
      <c r="C586" s="11"/>
      <c r="D586" s="17" t="s">
        <v>1692</v>
      </c>
      <c r="E586" s="10" t="s">
        <v>163</v>
      </c>
      <c r="F586" s="11" t="s">
        <v>3198</v>
      </c>
      <c r="G586" s="12">
        <v>270.858</v>
      </c>
      <c r="H586" s="13">
        <v>42201</v>
      </c>
      <c r="I586" s="12" t="s">
        <v>215</v>
      </c>
      <c r="J586" s="12" t="s">
        <v>3199</v>
      </c>
      <c r="K586" s="12" t="s">
        <v>255</v>
      </c>
      <c r="L586" s="12" t="s">
        <v>1334</v>
      </c>
      <c r="M586" s="14" t="s">
        <v>3200</v>
      </c>
      <c r="N586" s="14" t="s">
        <v>3201</v>
      </c>
      <c r="O586" s="17" t="s">
        <v>3202</v>
      </c>
    </row>
    <row r="587" spans="1:15" x14ac:dyDescent="0.15">
      <c r="A587" s="21" t="s">
        <v>1860</v>
      </c>
      <c r="B587" s="19"/>
      <c r="C587" s="11"/>
      <c r="D587" s="17" t="s">
        <v>408</v>
      </c>
      <c r="E587" s="10" t="s">
        <v>163</v>
      </c>
      <c r="F587" s="11" t="s">
        <v>3203</v>
      </c>
      <c r="G587" s="18">
        <f>29.101*L587</f>
        <v>378.31299999999999</v>
      </c>
      <c r="H587" s="13">
        <v>42202</v>
      </c>
      <c r="I587" s="12" t="s">
        <v>683</v>
      </c>
      <c r="J587" s="12" t="s">
        <v>3204</v>
      </c>
      <c r="K587" s="12" t="s">
        <v>227</v>
      </c>
      <c r="L587" s="12">
        <v>13</v>
      </c>
      <c r="M587" s="14" t="s">
        <v>3205</v>
      </c>
      <c r="N587" s="14" t="s">
        <v>473</v>
      </c>
      <c r="O587" s="17" t="s">
        <v>3206</v>
      </c>
    </row>
    <row r="588" spans="1:15" x14ac:dyDescent="0.15">
      <c r="A588" s="21" t="s">
        <v>681</v>
      </c>
      <c r="B588" s="19"/>
      <c r="C588" s="11"/>
      <c r="D588" s="17" t="s">
        <v>2997</v>
      </c>
      <c r="E588" s="10" t="s">
        <v>163</v>
      </c>
      <c r="F588" s="11" t="s">
        <v>3207</v>
      </c>
      <c r="G588" s="12">
        <f>29.101*L588</f>
        <v>349.21199999999999</v>
      </c>
      <c r="H588" s="13">
        <v>42202</v>
      </c>
      <c r="I588" s="12" t="s">
        <v>683</v>
      </c>
      <c r="J588" s="12" t="s">
        <v>3208</v>
      </c>
      <c r="K588" s="12" t="s">
        <v>227</v>
      </c>
      <c r="L588" s="12">
        <v>12</v>
      </c>
      <c r="M588" s="14" t="s">
        <v>3209</v>
      </c>
      <c r="N588" s="14" t="s">
        <v>2109</v>
      </c>
      <c r="O588" s="17" t="s">
        <v>3210</v>
      </c>
    </row>
    <row r="589" spans="1:15" x14ac:dyDescent="0.15">
      <c r="A589" s="21" t="s">
        <v>681</v>
      </c>
      <c r="B589" s="19"/>
      <c r="C589" s="11"/>
      <c r="D589" s="17" t="s">
        <v>2997</v>
      </c>
      <c r="E589" s="10" t="s">
        <v>163</v>
      </c>
      <c r="F589" s="11" t="s">
        <v>3211</v>
      </c>
      <c r="G589" s="12">
        <f>29.101*L589</f>
        <v>378.31299999999999</v>
      </c>
      <c r="H589" s="13">
        <v>42202</v>
      </c>
      <c r="I589" s="12" t="s">
        <v>683</v>
      </c>
      <c r="J589" s="12" t="s">
        <v>3212</v>
      </c>
      <c r="K589" s="12" t="s">
        <v>227</v>
      </c>
      <c r="L589" s="12">
        <v>13</v>
      </c>
      <c r="M589" s="14" t="s">
        <v>3210</v>
      </c>
      <c r="N589" s="14" t="s">
        <v>473</v>
      </c>
      <c r="O589" s="17" t="s">
        <v>3213</v>
      </c>
    </row>
    <row r="590" spans="1:15" x14ac:dyDescent="0.15">
      <c r="A590" s="21" t="s">
        <v>1096</v>
      </c>
      <c r="B590" s="19"/>
      <c r="C590" s="11"/>
      <c r="D590" s="17" t="s">
        <v>334</v>
      </c>
      <c r="E590" s="10" t="s">
        <v>163</v>
      </c>
      <c r="F590" s="11" t="s">
        <v>3214</v>
      </c>
      <c r="G590" s="12">
        <f>18.708*L590</f>
        <v>224.49599999999998</v>
      </c>
      <c r="H590" s="13">
        <v>42202</v>
      </c>
      <c r="I590" s="12" t="s">
        <v>1098</v>
      </c>
      <c r="J590" s="12" t="s">
        <v>3215</v>
      </c>
      <c r="K590" s="12" t="s">
        <v>184</v>
      </c>
      <c r="L590" s="12">
        <v>12</v>
      </c>
      <c r="M590" s="14" t="s">
        <v>3216</v>
      </c>
      <c r="N590" s="14" t="s">
        <v>242</v>
      </c>
      <c r="O590" s="17" t="s">
        <v>3216</v>
      </c>
    </row>
    <row r="591" spans="1:15" x14ac:dyDescent="0.15">
      <c r="A591" s="21" t="s">
        <v>1243</v>
      </c>
      <c r="B591" s="19"/>
      <c r="C591" s="11"/>
      <c r="D591" s="17" t="s">
        <v>334</v>
      </c>
      <c r="E591" s="10" t="s">
        <v>163</v>
      </c>
      <c r="F591" s="11" t="s">
        <v>3217</v>
      </c>
      <c r="G591" s="12">
        <f>18.708*L591</f>
        <v>243.20399999999998</v>
      </c>
      <c r="H591" s="13">
        <v>42202</v>
      </c>
      <c r="I591" s="12" t="s">
        <v>1098</v>
      </c>
      <c r="J591" s="12" t="s">
        <v>3218</v>
      </c>
      <c r="K591" s="12" t="s">
        <v>184</v>
      </c>
      <c r="L591" s="12">
        <v>13</v>
      </c>
      <c r="M591" s="14" t="s">
        <v>3216</v>
      </c>
      <c r="N591" s="14" t="s">
        <v>473</v>
      </c>
      <c r="O591" s="17" t="s">
        <v>3219</v>
      </c>
    </row>
    <row r="592" spans="1:15" x14ac:dyDescent="0.15">
      <c r="A592" s="21" t="s">
        <v>1096</v>
      </c>
      <c r="B592" s="19"/>
      <c r="C592" s="11"/>
      <c r="D592" s="17" t="s">
        <v>334</v>
      </c>
      <c r="E592" s="10" t="s">
        <v>163</v>
      </c>
      <c r="F592" s="11" t="s">
        <v>3220</v>
      </c>
      <c r="G592" s="12">
        <f>18.708*L592</f>
        <v>280.62</v>
      </c>
      <c r="H592" s="13">
        <v>42202</v>
      </c>
      <c r="I592" s="12" t="s">
        <v>1098</v>
      </c>
      <c r="J592" s="12" t="s">
        <v>3221</v>
      </c>
      <c r="K592" s="12" t="s">
        <v>184</v>
      </c>
      <c r="L592" s="12">
        <v>15</v>
      </c>
      <c r="M592" s="14" t="s">
        <v>3222</v>
      </c>
      <c r="N592" s="14" t="s">
        <v>1151</v>
      </c>
      <c r="O592" s="17" t="s">
        <v>3223</v>
      </c>
    </row>
    <row r="593" spans="1:15" x14ac:dyDescent="0.15">
      <c r="A593" s="21" t="s">
        <v>1546</v>
      </c>
      <c r="B593" s="19"/>
      <c r="C593" s="11"/>
      <c r="D593" s="17" t="s">
        <v>1547</v>
      </c>
      <c r="E593" s="10" t="s">
        <v>163</v>
      </c>
      <c r="F593" s="11" t="s">
        <v>3224</v>
      </c>
      <c r="G593" s="12">
        <v>153.238</v>
      </c>
      <c r="H593" s="13">
        <v>42202</v>
      </c>
      <c r="I593" s="12" t="s">
        <v>215</v>
      </c>
      <c r="J593" s="12" t="s">
        <v>3225</v>
      </c>
      <c r="K593" s="12" t="s">
        <v>255</v>
      </c>
      <c r="L593" s="12" t="s">
        <v>3226</v>
      </c>
      <c r="M593" s="14" t="s">
        <v>3227</v>
      </c>
      <c r="N593" s="14" t="s">
        <v>3228</v>
      </c>
      <c r="O593" s="17" t="s">
        <v>3229</v>
      </c>
    </row>
    <row r="594" spans="1:15" x14ac:dyDescent="0.15">
      <c r="A594" s="21" t="s">
        <v>2130</v>
      </c>
      <c r="B594" s="22" t="s">
        <v>912</v>
      </c>
      <c r="C594" s="11"/>
      <c r="D594" s="17" t="s">
        <v>1163</v>
      </c>
      <c r="E594" s="10" t="s">
        <v>163</v>
      </c>
      <c r="F594" s="11" t="s">
        <v>3230</v>
      </c>
      <c r="G594" s="12">
        <f>9.871*L594</f>
        <v>246.77500000000001</v>
      </c>
      <c r="H594" s="13">
        <v>42206</v>
      </c>
      <c r="I594" s="12" t="s">
        <v>648</v>
      </c>
      <c r="J594" s="12" t="s">
        <v>3231</v>
      </c>
      <c r="K594" s="18" t="s">
        <v>227</v>
      </c>
      <c r="L594" s="12">
        <v>25</v>
      </c>
      <c r="M594" s="14" t="s">
        <v>3232</v>
      </c>
      <c r="N594" s="14" t="s">
        <v>338</v>
      </c>
      <c r="O594" s="17" t="s">
        <v>3232</v>
      </c>
    </row>
    <row r="595" spans="1:15" x14ac:dyDescent="0.15">
      <c r="A595" s="21" t="s">
        <v>3233</v>
      </c>
      <c r="B595" s="19" t="s">
        <v>180</v>
      </c>
      <c r="C595" s="11"/>
      <c r="D595" s="17" t="s">
        <v>128</v>
      </c>
      <c r="E595" s="10" t="s">
        <v>163</v>
      </c>
      <c r="F595" s="11" t="s">
        <v>3234</v>
      </c>
      <c r="G595" s="12">
        <f>8.606*L595</f>
        <v>215.15</v>
      </c>
      <c r="H595" s="13">
        <v>42206</v>
      </c>
      <c r="I595" s="12" t="s">
        <v>182</v>
      </c>
      <c r="J595" s="12" t="s">
        <v>3235</v>
      </c>
      <c r="K595" s="18" t="s">
        <v>227</v>
      </c>
      <c r="L595" s="12">
        <v>25</v>
      </c>
      <c r="M595" s="14" t="s">
        <v>3236</v>
      </c>
      <c r="N595" s="14" t="s">
        <v>338</v>
      </c>
      <c r="O595" s="17" t="s">
        <v>3236</v>
      </c>
    </row>
    <row r="596" spans="1:15" x14ac:dyDescent="0.15">
      <c r="A596" s="21" t="s">
        <v>688</v>
      </c>
      <c r="B596" s="19"/>
      <c r="C596" s="11"/>
      <c r="D596" s="17" t="s">
        <v>689</v>
      </c>
      <c r="E596" s="10" t="s">
        <v>163</v>
      </c>
      <c r="F596" s="11" t="s">
        <v>3237</v>
      </c>
      <c r="G596" s="12">
        <f>14.405*L596</f>
        <v>187.26499999999999</v>
      </c>
      <c r="H596" s="13">
        <v>42206</v>
      </c>
      <c r="I596" s="12" t="s">
        <v>635</v>
      </c>
      <c r="J596" s="12" t="s">
        <v>3238</v>
      </c>
      <c r="K596" s="12" t="s">
        <v>227</v>
      </c>
      <c r="L596" s="12">
        <v>13</v>
      </c>
      <c r="M596" s="14" t="s">
        <v>3239</v>
      </c>
      <c r="N596" s="14" t="s">
        <v>1880</v>
      </c>
      <c r="O596" s="17" t="s">
        <v>3239</v>
      </c>
    </row>
    <row r="597" spans="1:15" x14ac:dyDescent="0.15">
      <c r="A597" s="21" t="s">
        <v>825</v>
      </c>
      <c r="B597" s="19"/>
      <c r="C597" s="11"/>
      <c r="D597" s="17" t="s">
        <v>826</v>
      </c>
      <c r="E597" s="10" t="s">
        <v>163</v>
      </c>
      <c r="F597" s="11" t="s">
        <v>3240</v>
      </c>
      <c r="G597" s="18">
        <f>29.101*L597</f>
        <v>87.302999999999997</v>
      </c>
      <c r="H597" s="13">
        <v>42206</v>
      </c>
      <c r="I597" s="12" t="s">
        <v>683</v>
      </c>
      <c r="J597" s="12" t="s">
        <v>3241</v>
      </c>
      <c r="K597" s="12" t="s">
        <v>21</v>
      </c>
      <c r="L597" s="12">
        <v>3</v>
      </c>
      <c r="M597" s="14" t="s">
        <v>3242</v>
      </c>
      <c r="N597" s="14" t="s">
        <v>1078</v>
      </c>
      <c r="O597" s="17" t="s">
        <v>3242</v>
      </c>
    </row>
    <row r="598" spans="1:15" x14ac:dyDescent="0.15">
      <c r="A598" s="21" t="s">
        <v>681</v>
      </c>
      <c r="B598" s="19"/>
      <c r="C598" s="11"/>
      <c r="D598" s="17" t="s">
        <v>408</v>
      </c>
      <c r="E598" s="10" t="s">
        <v>163</v>
      </c>
      <c r="F598" s="11" t="s">
        <v>3243</v>
      </c>
      <c r="G598" s="12">
        <f>29.101*L598</f>
        <v>349.21199999999999</v>
      </c>
      <c r="H598" s="13">
        <v>42206</v>
      </c>
      <c r="I598" s="12" t="s">
        <v>683</v>
      </c>
      <c r="J598" s="12" t="s">
        <v>3244</v>
      </c>
      <c r="K598" s="12" t="s">
        <v>227</v>
      </c>
      <c r="L598" s="12">
        <v>12</v>
      </c>
      <c r="M598" s="14" t="s">
        <v>3245</v>
      </c>
      <c r="N598" s="14" t="s">
        <v>242</v>
      </c>
      <c r="O598" s="17" t="s">
        <v>3245</v>
      </c>
    </row>
    <row r="599" spans="1:15" x14ac:dyDescent="0.15">
      <c r="A599" s="21" t="s">
        <v>1898</v>
      </c>
      <c r="B599" s="19"/>
      <c r="C599" s="11"/>
      <c r="D599" s="17" t="s">
        <v>341</v>
      </c>
      <c r="E599" s="10" t="s">
        <v>163</v>
      </c>
      <c r="F599" s="11" t="s">
        <v>3246</v>
      </c>
      <c r="G599" s="12">
        <f>18.708*L599</f>
        <v>224.49599999999998</v>
      </c>
      <c r="H599" s="13">
        <v>42206</v>
      </c>
      <c r="I599" s="12" t="s">
        <v>1098</v>
      </c>
      <c r="J599" s="12" t="s">
        <v>3247</v>
      </c>
      <c r="K599" s="12" t="s">
        <v>227</v>
      </c>
      <c r="L599" s="12">
        <v>12</v>
      </c>
      <c r="M599" s="14" t="s">
        <v>3146</v>
      </c>
      <c r="N599" s="14" t="s">
        <v>597</v>
      </c>
      <c r="O599" s="17" t="s">
        <v>3248</v>
      </c>
    </row>
    <row r="600" spans="1:15" x14ac:dyDescent="0.15">
      <c r="A600" s="21" t="s">
        <v>2130</v>
      </c>
      <c r="B600" s="22" t="s">
        <v>912</v>
      </c>
      <c r="C600" s="11"/>
      <c r="D600" s="17" t="s">
        <v>1163</v>
      </c>
      <c r="E600" s="10" t="s">
        <v>163</v>
      </c>
      <c r="F600" s="11" t="s">
        <v>3249</v>
      </c>
      <c r="G600" s="12">
        <f>9.871*L600</f>
        <v>246.77500000000001</v>
      </c>
      <c r="H600" s="13">
        <v>42208</v>
      </c>
      <c r="I600" s="12" t="s">
        <v>648</v>
      </c>
      <c r="J600" s="12" t="s">
        <v>3250</v>
      </c>
      <c r="K600" s="18" t="s">
        <v>227</v>
      </c>
      <c r="L600" s="12">
        <v>25</v>
      </c>
      <c r="M600" s="14" t="s">
        <v>3251</v>
      </c>
      <c r="N600" s="14" t="s">
        <v>338</v>
      </c>
      <c r="O600" s="17" t="s">
        <v>3252</v>
      </c>
    </row>
    <row r="601" spans="1:15" x14ac:dyDescent="0.15">
      <c r="A601" s="21" t="s">
        <v>1180</v>
      </c>
      <c r="B601" s="19"/>
      <c r="C601" s="11"/>
      <c r="D601" s="17" t="s">
        <v>1181</v>
      </c>
      <c r="E601" s="10" t="s">
        <v>163</v>
      </c>
      <c r="F601" s="11" t="s">
        <v>3253</v>
      </c>
      <c r="G601" s="12">
        <f>17.712*L601</f>
        <v>442.8</v>
      </c>
      <c r="H601" s="13">
        <v>42214</v>
      </c>
      <c r="I601" s="12" t="s">
        <v>635</v>
      </c>
      <c r="J601" s="12" t="s">
        <v>3254</v>
      </c>
      <c r="K601" s="12" t="s">
        <v>227</v>
      </c>
      <c r="L601" s="12">
        <v>25</v>
      </c>
      <c r="M601" s="14" t="s">
        <v>3255</v>
      </c>
      <c r="N601" s="14" t="s">
        <v>338</v>
      </c>
      <c r="O601" s="17" t="s">
        <v>3255</v>
      </c>
    </row>
    <row r="602" spans="1:15" x14ac:dyDescent="0.15">
      <c r="A602" s="21" t="s">
        <v>2416</v>
      </c>
      <c r="B602" s="19"/>
      <c r="C602" s="11"/>
      <c r="D602" s="17" t="s">
        <v>1181</v>
      </c>
      <c r="E602" s="10" t="s">
        <v>163</v>
      </c>
      <c r="F602" s="11" t="s">
        <v>3256</v>
      </c>
      <c r="G602" s="12">
        <f>17.712*L602</f>
        <v>354.24</v>
      </c>
      <c r="H602" s="13">
        <v>42214</v>
      </c>
      <c r="I602" s="12" t="s">
        <v>635</v>
      </c>
      <c r="J602" s="12" t="s">
        <v>3257</v>
      </c>
      <c r="K602" s="12" t="s">
        <v>227</v>
      </c>
      <c r="L602" s="12">
        <v>20</v>
      </c>
      <c r="M602" s="14" t="s">
        <v>3258</v>
      </c>
      <c r="N602" s="14" t="s">
        <v>3259</v>
      </c>
      <c r="O602" s="17" t="s">
        <v>3258</v>
      </c>
    </row>
    <row r="603" spans="1:15" x14ac:dyDescent="0.15">
      <c r="A603" s="21" t="s">
        <v>2986</v>
      </c>
      <c r="B603" s="19"/>
      <c r="C603" s="11"/>
      <c r="D603" s="17" t="s">
        <v>1181</v>
      </c>
      <c r="E603" s="10" t="s">
        <v>163</v>
      </c>
      <c r="F603" s="11" t="s">
        <v>3260</v>
      </c>
      <c r="G603" s="12">
        <f>17.712*L603</f>
        <v>88.56</v>
      </c>
      <c r="H603" s="13">
        <v>42214</v>
      </c>
      <c r="I603" s="12" t="s">
        <v>1661</v>
      </c>
      <c r="J603" s="12" t="s">
        <v>3261</v>
      </c>
      <c r="K603" s="12" t="s">
        <v>227</v>
      </c>
      <c r="L603" s="12">
        <v>5</v>
      </c>
      <c r="M603" s="14" t="s">
        <v>3258</v>
      </c>
      <c r="N603" s="14" t="s">
        <v>3262</v>
      </c>
      <c r="O603" s="17" t="s">
        <v>3258</v>
      </c>
    </row>
    <row r="604" spans="1:15" x14ac:dyDescent="0.15">
      <c r="A604" s="20" t="s">
        <v>204</v>
      </c>
      <c r="B604" s="19"/>
      <c r="C604" s="11"/>
      <c r="D604" s="27" t="s">
        <v>3263</v>
      </c>
      <c r="E604" s="10" t="s">
        <v>163</v>
      </c>
      <c r="F604" s="11" t="s">
        <v>3264</v>
      </c>
      <c r="G604" s="12">
        <f>20.816*L604</f>
        <v>124.89599999999999</v>
      </c>
      <c r="H604" s="13">
        <v>42214</v>
      </c>
      <c r="I604" s="12" t="s">
        <v>207</v>
      </c>
      <c r="J604" s="12" t="s">
        <v>3265</v>
      </c>
      <c r="K604" s="12" t="s">
        <v>184</v>
      </c>
      <c r="L604" s="12">
        <v>6</v>
      </c>
      <c r="M604" s="14" t="s">
        <v>3266</v>
      </c>
      <c r="N604" s="14" t="s">
        <v>3267</v>
      </c>
      <c r="O604" s="17" t="s">
        <v>3266</v>
      </c>
    </row>
    <row r="605" spans="1:15" x14ac:dyDescent="0.15">
      <c r="A605" s="21" t="s">
        <v>3268</v>
      </c>
      <c r="B605" s="19"/>
      <c r="C605" s="11"/>
      <c r="D605" s="17" t="s">
        <v>1583</v>
      </c>
      <c r="E605" s="10" t="s">
        <v>163</v>
      </c>
      <c r="F605" s="11" t="s">
        <v>3269</v>
      </c>
      <c r="G605" s="12">
        <f>17.52*L605</f>
        <v>175.2</v>
      </c>
      <c r="H605" s="13">
        <v>42215</v>
      </c>
      <c r="I605" s="12" t="s">
        <v>1585</v>
      </c>
      <c r="J605" s="12" t="s">
        <v>3270</v>
      </c>
      <c r="K605" s="12" t="s">
        <v>227</v>
      </c>
      <c r="L605" s="12">
        <v>10</v>
      </c>
      <c r="M605" s="14" t="s">
        <v>3271</v>
      </c>
      <c r="N605" s="14" t="s">
        <v>412</v>
      </c>
      <c r="O605" s="17" t="s">
        <v>3271</v>
      </c>
    </row>
    <row r="606" spans="1:15" x14ac:dyDescent="0.15">
      <c r="A606" s="21" t="s">
        <v>3272</v>
      </c>
      <c r="B606" s="19"/>
      <c r="C606" s="11"/>
      <c r="D606" s="17" t="s">
        <v>1377</v>
      </c>
      <c r="E606" s="10" t="s">
        <v>163</v>
      </c>
      <c r="F606" s="11" t="s">
        <v>3273</v>
      </c>
      <c r="G606" s="12">
        <f>17.52*L606</f>
        <v>87.6</v>
      </c>
      <c r="H606" s="13">
        <v>42215</v>
      </c>
      <c r="I606" s="12" t="s">
        <v>215</v>
      </c>
      <c r="J606" s="12" t="s">
        <v>3274</v>
      </c>
      <c r="K606" s="12" t="s">
        <v>227</v>
      </c>
      <c r="L606" s="12">
        <v>5</v>
      </c>
      <c r="M606" s="14" t="s">
        <v>3275</v>
      </c>
      <c r="N606" s="14" t="s">
        <v>1845</v>
      </c>
      <c r="O606" s="17" t="s">
        <v>3275</v>
      </c>
    </row>
    <row r="607" spans="1:15" x14ac:dyDescent="0.15">
      <c r="A607" s="21" t="s">
        <v>1817</v>
      </c>
      <c r="B607" s="19"/>
      <c r="C607" s="11"/>
      <c r="D607" s="17" t="s">
        <v>54</v>
      </c>
      <c r="E607" s="10" t="s">
        <v>163</v>
      </c>
      <c r="F607" s="11" t="s">
        <v>3276</v>
      </c>
      <c r="G607" s="18">
        <f>6.405*L607</f>
        <v>160.125</v>
      </c>
      <c r="H607" s="13">
        <v>42215</v>
      </c>
      <c r="I607" s="12" t="s">
        <v>233</v>
      </c>
      <c r="J607" s="12" t="s">
        <v>3277</v>
      </c>
      <c r="K607" s="12" t="s">
        <v>227</v>
      </c>
      <c r="L607" s="12">
        <v>25</v>
      </c>
      <c r="M607" s="14" t="s">
        <v>3278</v>
      </c>
      <c r="N607" s="14" t="s">
        <v>338</v>
      </c>
      <c r="O607" s="17" t="s">
        <v>3278</v>
      </c>
    </row>
    <row r="608" spans="1:15" x14ac:dyDescent="0.15">
      <c r="A608" s="21" t="s">
        <v>231</v>
      </c>
      <c r="B608" s="19"/>
      <c r="C608" s="11"/>
      <c r="D608" s="17" t="s">
        <v>54</v>
      </c>
      <c r="E608" s="10" t="s">
        <v>163</v>
      </c>
      <c r="F608" s="11" t="s">
        <v>3279</v>
      </c>
      <c r="G608" s="18">
        <f>6.405*L608</f>
        <v>57.645000000000003</v>
      </c>
      <c r="H608" s="13">
        <v>42215</v>
      </c>
      <c r="I608" s="12" t="s">
        <v>233</v>
      </c>
      <c r="J608" s="12" t="s">
        <v>3280</v>
      </c>
      <c r="K608" s="12" t="s">
        <v>227</v>
      </c>
      <c r="L608" s="12">
        <v>9</v>
      </c>
      <c r="M608" s="14" t="s">
        <v>3281</v>
      </c>
      <c r="N608" s="14" t="s">
        <v>143</v>
      </c>
      <c r="O608" s="17" t="s">
        <v>3281</v>
      </c>
    </row>
    <row r="609" spans="1:15" x14ac:dyDescent="0.15">
      <c r="A609" s="21" t="s">
        <v>1972</v>
      </c>
      <c r="B609" s="19"/>
      <c r="C609" s="11"/>
      <c r="D609" s="17" t="s">
        <v>1973</v>
      </c>
      <c r="E609" s="10" t="s">
        <v>163</v>
      </c>
      <c r="F609" s="11" t="s">
        <v>3282</v>
      </c>
      <c r="G609" s="23">
        <f>12.838*L609</f>
        <v>102.70399999999999</v>
      </c>
      <c r="H609" s="13">
        <v>42215</v>
      </c>
      <c r="I609" s="12" t="s">
        <v>233</v>
      </c>
      <c r="J609" s="12" t="s">
        <v>3283</v>
      </c>
      <c r="K609" s="12" t="s">
        <v>227</v>
      </c>
      <c r="L609" s="12">
        <v>8</v>
      </c>
      <c r="M609" s="14" t="s">
        <v>2915</v>
      </c>
      <c r="N609" s="14" t="s">
        <v>1041</v>
      </c>
      <c r="O609" s="17" t="s">
        <v>3284</v>
      </c>
    </row>
    <row r="610" spans="1:15" x14ac:dyDescent="0.15">
      <c r="A610" s="21" t="s">
        <v>1462</v>
      </c>
      <c r="B610" s="19"/>
      <c r="C610" s="11"/>
      <c r="D610" s="17" t="s">
        <v>1463</v>
      </c>
      <c r="E610" s="10" t="s">
        <v>163</v>
      </c>
      <c r="F610" s="11" t="s">
        <v>3285</v>
      </c>
      <c r="G610" s="12">
        <f>14.38*L610</f>
        <v>115.04</v>
      </c>
      <c r="H610" s="13">
        <v>42215</v>
      </c>
      <c r="I610" s="12" t="s">
        <v>233</v>
      </c>
      <c r="J610" s="12" t="s">
        <v>3286</v>
      </c>
      <c r="K610" s="12" t="s">
        <v>227</v>
      </c>
      <c r="L610" s="12">
        <v>8</v>
      </c>
      <c r="M610" s="14" t="s">
        <v>1468</v>
      </c>
      <c r="N610" s="14" t="s">
        <v>2407</v>
      </c>
      <c r="O610" s="17" t="s">
        <v>3287</v>
      </c>
    </row>
    <row r="611" spans="1:15" x14ac:dyDescent="0.15">
      <c r="A611" s="21" t="s">
        <v>1197</v>
      </c>
      <c r="B611" s="19"/>
      <c r="C611" s="11"/>
      <c r="D611" s="17" t="s">
        <v>54</v>
      </c>
      <c r="E611" s="10" t="s">
        <v>163</v>
      </c>
      <c r="F611" s="11" t="s">
        <v>3288</v>
      </c>
      <c r="G611" s="18">
        <f>6.405*L611</f>
        <v>102.48</v>
      </c>
      <c r="H611" s="13">
        <v>42215</v>
      </c>
      <c r="I611" s="12" t="s">
        <v>1199</v>
      </c>
      <c r="J611" s="12" t="s">
        <v>3289</v>
      </c>
      <c r="K611" s="12" t="s">
        <v>132</v>
      </c>
      <c r="L611" s="12">
        <v>16</v>
      </c>
      <c r="M611" s="14" t="s">
        <v>3281</v>
      </c>
      <c r="N611" s="14" t="s">
        <v>3290</v>
      </c>
      <c r="O611" s="17" t="s">
        <v>3291</v>
      </c>
    </row>
    <row r="612" spans="1:15" x14ac:dyDescent="0.15">
      <c r="A612" s="21" t="s">
        <v>1951</v>
      </c>
      <c r="B612" s="19"/>
      <c r="C612" s="11"/>
      <c r="D612" s="17" t="s">
        <v>425</v>
      </c>
      <c r="E612" s="10" t="s">
        <v>163</v>
      </c>
      <c r="F612" s="11" t="s">
        <v>3292</v>
      </c>
      <c r="G612" s="12">
        <f>18.708*L612</f>
        <v>374.15999999999997</v>
      </c>
      <c r="H612" s="13">
        <v>42215</v>
      </c>
      <c r="I612" s="12" t="s">
        <v>1098</v>
      </c>
      <c r="J612" s="12" t="s">
        <v>3293</v>
      </c>
      <c r="K612" s="12" t="s">
        <v>227</v>
      </c>
      <c r="L612" s="12">
        <v>20</v>
      </c>
      <c r="M612" s="14" t="s">
        <v>3152</v>
      </c>
      <c r="N612" s="14" t="s">
        <v>3294</v>
      </c>
      <c r="O612" s="17" t="s">
        <v>3295</v>
      </c>
    </row>
    <row r="613" spans="1:15" x14ac:dyDescent="0.15">
      <c r="A613" s="21" t="s">
        <v>2363</v>
      </c>
      <c r="B613" s="19"/>
      <c r="C613" s="11"/>
      <c r="D613" s="17" t="s">
        <v>425</v>
      </c>
      <c r="E613" s="10" t="s">
        <v>163</v>
      </c>
      <c r="F613" s="11" t="s">
        <v>3296</v>
      </c>
      <c r="G613" s="12">
        <f>18.708*L613</f>
        <v>467.69999999999993</v>
      </c>
      <c r="H613" s="13">
        <v>42215</v>
      </c>
      <c r="I613" s="12" t="s">
        <v>1098</v>
      </c>
      <c r="J613" s="12" t="s">
        <v>3297</v>
      </c>
      <c r="K613" s="12" t="s">
        <v>227</v>
      </c>
      <c r="L613" s="12">
        <v>25</v>
      </c>
      <c r="M613" s="14" t="s">
        <v>3298</v>
      </c>
      <c r="N613" s="14" t="s">
        <v>2367</v>
      </c>
      <c r="O613" s="17" t="s">
        <v>3298</v>
      </c>
    </row>
    <row r="614" spans="1:15" x14ac:dyDescent="0.15">
      <c r="A614" s="21" t="s">
        <v>2363</v>
      </c>
      <c r="B614" s="19"/>
      <c r="C614" s="11"/>
      <c r="D614" s="17" t="s">
        <v>425</v>
      </c>
      <c r="E614" s="10" t="s">
        <v>163</v>
      </c>
      <c r="F614" s="11" t="s">
        <v>3299</v>
      </c>
      <c r="G614" s="12">
        <f>18.708*L614</f>
        <v>467.69999999999993</v>
      </c>
      <c r="H614" s="13">
        <v>42215</v>
      </c>
      <c r="I614" s="12" t="s">
        <v>1098</v>
      </c>
      <c r="J614" s="12" t="s">
        <v>3300</v>
      </c>
      <c r="K614" s="12" t="s">
        <v>227</v>
      </c>
      <c r="L614" s="12">
        <v>25</v>
      </c>
      <c r="M614" s="14" t="s">
        <v>3301</v>
      </c>
      <c r="N614" s="14" t="s">
        <v>2367</v>
      </c>
      <c r="O614" s="17" t="s">
        <v>3301</v>
      </c>
    </row>
    <row r="615" spans="1:15" x14ac:dyDescent="0.15">
      <c r="A615" s="21" t="s">
        <v>1957</v>
      </c>
      <c r="B615" s="19"/>
      <c r="C615" s="11"/>
      <c r="D615" s="17" t="s">
        <v>425</v>
      </c>
      <c r="E615" s="10" t="s">
        <v>163</v>
      </c>
      <c r="F615" s="11" t="s">
        <v>3302</v>
      </c>
      <c r="G615" s="12">
        <f>18.708*L615</f>
        <v>93.539999999999992</v>
      </c>
      <c r="H615" s="13">
        <v>42215</v>
      </c>
      <c r="I615" s="12" t="s">
        <v>1098</v>
      </c>
      <c r="J615" s="12" t="s">
        <v>3303</v>
      </c>
      <c r="K615" s="12" t="s">
        <v>132</v>
      </c>
      <c r="L615" s="12">
        <v>5</v>
      </c>
      <c r="M615" s="14" t="s">
        <v>3304</v>
      </c>
      <c r="N615" s="14" t="s">
        <v>229</v>
      </c>
      <c r="O615" s="17" t="s">
        <v>3304</v>
      </c>
    </row>
    <row r="616" spans="1:15" x14ac:dyDescent="0.15">
      <c r="A616" s="21" t="s">
        <v>2963</v>
      </c>
      <c r="B616" s="19"/>
      <c r="C616" s="11"/>
      <c r="D616" s="17" t="s">
        <v>1230</v>
      </c>
      <c r="E616" s="10" t="s">
        <v>163</v>
      </c>
      <c r="F616" s="11" t="s">
        <v>3305</v>
      </c>
      <c r="G616" s="12">
        <f>29.101*L616</f>
        <v>174.60599999999999</v>
      </c>
      <c r="H616" s="13">
        <v>42215</v>
      </c>
      <c r="I616" s="12" t="s">
        <v>1232</v>
      </c>
      <c r="J616" s="12" t="s">
        <v>3306</v>
      </c>
      <c r="K616" s="12" t="s">
        <v>132</v>
      </c>
      <c r="L616" s="12">
        <v>6</v>
      </c>
      <c r="M616" s="14" t="s">
        <v>3307</v>
      </c>
      <c r="N616" s="14" t="s">
        <v>3308</v>
      </c>
      <c r="O616" s="17" t="s">
        <v>3307</v>
      </c>
    </row>
    <row r="617" spans="1:15" x14ac:dyDescent="0.15">
      <c r="A617" s="21" t="s">
        <v>2963</v>
      </c>
      <c r="B617" s="19"/>
      <c r="C617" s="11"/>
      <c r="D617" s="17" t="s">
        <v>1230</v>
      </c>
      <c r="E617" s="10" t="s">
        <v>163</v>
      </c>
      <c r="F617" s="11" t="s">
        <v>3309</v>
      </c>
      <c r="G617" s="12">
        <f>29.101*L617</f>
        <v>174.60599999999999</v>
      </c>
      <c r="H617" s="13">
        <v>42215</v>
      </c>
      <c r="I617" s="12" t="s">
        <v>1232</v>
      </c>
      <c r="J617" s="12" t="s">
        <v>3310</v>
      </c>
      <c r="K617" s="12" t="s">
        <v>132</v>
      </c>
      <c r="L617" s="12">
        <v>6</v>
      </c>
      <c r="M617" s="14" t="s">
        <v>3311</v>
      </c>
      <c r="N617" s="14" t="s">
        <v>3312</v>
      </c>
      <c r="O617" s="17" t="s">
        <v>3311</v>
      </c>
    </row>
    <row r="618" spans="1:15" x14ac:dyDescent="0.15">
      <c r="A618" s="21" t="s">
        <v>1213</v>
      </c>
      <c r="B618" s="19"/>
      <c r="C618" s="11"/>
      <c r="D618" s="17" t="s">
        <v>2992</v>
      </c>
      <c r="E618" s="10" t="s">
        <v>163</v>
      </c>
      <c r="F618" s="11" t="s">
        <v>3313</v>
      </c>
      <c r="G618" s="12">
        <f>27.688*L618</f>
        <v>359.94399999999996</v>
      </c>
      <c r="H618" s="13">
        <v>42215</v>
      </c>
      <c r="I618" s="12" t="s">
        <v>635</v>
      </c>
      <c r="J618" s="12" t="s">
        <v>3314</v>
      </c>
      <c r="K618" s="12" t="s">
        <v>227</v>
      </c>
      <c r="L618" s="12">
        <v>13</v>
      </c>
      <c r="M618" s="14" t="s">
        <v>1216</v>
      </c>
      <c r="N618" s="14" t="s">
        <v>1472</v>
      </c>
      <c r="O618" s="17" t="s">
        <v>3315</v>
      </c>
    </row>
    <row r="619" spans="1:15" x14ac:dyDescent="0.15">
      <c r="A619" s="21" t="s">
        <v>632</v>
      </c>
      <c r="B619" s="19"/>
      <c r="C619" s="11"/>
      <c r="D619" s="17" t="s">
        <v>3316</v>
      </c>
      <c r="E619" s="10" t="s">
        <v>163</v>
      </c>
      <c r="F619" s="11" t="s">
        <v>3317</v>
      </c>
      <c r="G619" s="12">
        <f>L619*17.498</f>
        <v>437.45000000000005</v>
      </c>
      <c r="H619" s="13">
        <v>42215</v>
      </c>
      <c r="I619" s="12" t="s">
        <v>635</v>
      </c>
      <c r="J619" s="12" t="s">
        <v>3318</v>
      </c>
      <c r="K619" s="12" t="s">
        <v>227</v>
      </c>
      <c r="L619" s="12">
        <v>25</v>
      </c>
      <c r="M619" s="14" t="s">
        <v>3319</v>
      </c>
      <c r="N619" s="14" t="s">
        <v>338</v>
      </c>
      <c r="O619" s="17" t="s">
        <v>3320</v>
      </c>
    </row>
    <row r="620" spans="1:15" x14ac:dyDescent="0.15">
      <c r="A620" s="21" t="s">
        <v>825</v>
      </c>
      <c r="B620" s="19"/>
      <c r="C620" s="11"/>
      <c r="D620" s="17" t="s">
        <v>3321</v>
      </c>
      <c r="E620" s="10" t="s">
        <v>163</v>
      </c>
      <c r="F620" s="11" t="s">
        <v>3322</v>
      </c>
      <c r="G620" s="18">
        <f>29.101*L620</f>
        <v>87.302999999999997</v>
      </c>
      <c r="H620" s="13">
        <v>42215</v>
      </c>
      <c r="I620" s="12" t="s">
        <v>683</v>
      </c>
      <c r="J620" s="12" t="s">
        <v>3323</v>
      </c>
      <c r="K620" s="12" t="s">
        <v>21</v>
      </c>
      <c r="L620" s="12">
        <v>3</v>
      </c>
      <c r="M620" s="14" t="s">
        <v>3324</v>
      </c>
      <c r="N620" s="14" t="s">
        <v>3325</v>
      </c>
      <c r="O620" s="17" t="s">
        <v>3326</v>
      </c>
    </row>
    <row r="621" spans="1:15" x14ac:dyDescent="0.15">
      <c r="A621" s="21" t="s">
        <v>681</v>
      </c>
      <c r="B621" s="19"/>
      <c r="C621" s="11"/>
      <c r="D621" s="17" t="s">
        <v>2997</v>
      </c>
      <c r="E621" s="10" t="s">
        <v>163</v>
      </c>
      <c r="F621" s="11" t="s">
        <v>3327</v>
      </c>
      <c r="G621" s="12">
        <f>29.101*L621</f>
        <v>727.52499999999998</v>
      </c>
      <c r="H621" s="13">
        <v>42215</v>
      </c>
      <c r="I621" s="12" t="s">
        <v>683</v>
      </c>
      <c r="J621" s="12" t="s">
        <v>3328</v>
      </c>
      <c r="K621" s="12" t="s">
        <v>227</v>
      </c>
      <c r="L621" s="12">
        <v>25</v>
      </c>
      <c r="M621" s="14" t="s">
        <v>3329</v>
      </c>
      <c r="N621" s="14" t="s">
        <v>2367</v>
      </c>
      <c r="O621" s="17" t="s">
        <v>3330</v>
      </c>
    </row>
    <row r="622" spans="1:15" x14ac:dyDescent="0.15">
      <c r="A622" s="21" t="s">
        <v>688</v>
      </c>
      <c r="B622" s="19"/>
      <c r="C622" s="11"/>
      <c r="D622" s="17" t="s">
        <v>3331</v>
      </c>
      <c r="E622" s="10" t="s">
        <v>163</v>
      </c>
      <c r="F622" s="11" t="s">
        <v>3332</v>
      </c>
      <c r="G622" s="12">
        <f>14.405*L622</f>
        <v>86.429999999999993</v>
      </c>
      <c r="H622" s="13">
        <v>42215</v>
      </c>
      <c r="I622" s="12" t="s">
        <v>635</v>
      </c>
      <c r="J622" s="12" t="s">
        <v>3333</v>
      </c>
      <c r="K622" s="12" t="s">
        <v>227</v>
      </c>
      <c r="L622" s="12">
        <v>6</v>
      </c>
      <c r="M622" s="14" t="s">
        <v>1981</v>
      </c>
      <c r="N622" s="14" t="s">
        <v>3334</v>
      </c>
      <c r="O622" s="17" t="s">
        <v>3335</v>
      </c>
    </row>
    <row r="623" spans="1:15" x14ac:dyDescent="0.15">
      <c r="A623" s="21" t="s">
        <v>2822</v>
      </c>
      <c r="B623" s="19"/>
      <c r="C623" s="11"/>
      <c r="D623" s="17" t="s">
        <v>3336</v>
      </c>
      <c r="E623" s="10" t="s">
        <v>163</v>
      </c>
      <c r="F623" s="11" t="s">
        <v>3337</v>
      </c>
      <c r="G623" s="12">
        <f>17.52*L623</f>
        <v>70.08</v>
      </c>
      <c r="H623" s="13">
        <v>42215</v>
      </c>
      <c r="I623" s="12" t="s">
        <v>635</v>
      </c>
      <c r="J623" s="12" t="s">
        <v>3338</v>
      </c>
      <c r="K623" s="12" t="s">
        <v>227</v>
      </c>
      <c r="L623" s="12">
        <v>4</v>
      </c>
      <c r="M623" s="14" t="s">
        <v>2825</v>
      </c>
      <c r="N623" s="14" t="s">
        <v>793</v>
      </c>
      <c r="O623" s="17" t="s">
        <v>3339</v>
      </c>
    </row>
    <row r="624" spans="1:15" x14ac:dyDescent="0.15">
      <c r="A624" s="21" t="s">
        <v>2822</v>
      </c>
      <c r="B624" s="19"/>
      <c r="C624" s="11"/>
      <c r="D624" s="17" t="s">
        <v>3336</v>
      </c>
      <c r="E624" s="10" t="s">
        <v>163</v>
      </c>
      <c r="F624" s="11" t="s">
        <v>3340</v>
      </c>
      <c r="G624" s="12">
        <f>17.52*L624</f>
        <v>210.24</v>
      </c>
      <c r="H624" s="13">
        <v>42215</v>
      </c>
      <c r="I624" s="12" t="s">
        <v>635</v>
      </c>
      <c r="J624" s="12" t="s">
        <v>3341</v>
      </c>
      <c r="K624" s="12" t="s">
        <v>227</v>
      </c>
      <c r="L624" s="12">
        <v>12</v>
      </c>
      <c r="M624" s="14" t="s">
        <v>1948</v>
      </c>
      <c r="N624" s="14" t="s">
        <v>3342</v>
      </c>
      <c r="O624" s="17" t="s">
        <v>3343</v>
      </c>
    </row>
    <row r="625" spans="1:15" x14ac:dyDescent="0.15">
      <c r="A625" s="20" t="s">
        <v>3344</v>
      </c>
      <c r="B625" s="22" t="s">
        <v>1113</v>
      </c>
      <c r="C625" s="11"/>
      <c r="D625" s="27" t="s">
        <v>3345</v>
      </c>
      <c r="E625" s="10" t="s">
        <v>163</v>
      </c>
      <c r="F625" s="11" t="s">
        <v>3346</v>
      </c>
      <c r="G625" s="12">
        <f>2.238*L625</f>
        <v>15.666</v>
      </c>
      <c r="H625" s="13">
        <v>42215</v>
      </c>
      <c r="I625" s="28" t="s">
        <v>2183</v>
      </c>
      <c r="J625" s="12" t="s">
        <v>3347</v>
      </c>
      <c r="K625" s="28" t="s">
        <v>227</v>
      </c>
      <c r="L625" s="12">
        <v>7</v>
      </c>
      <c r="M625" s="14" t="s">
        <v>3348</v>
      </c>
      <c r="N625" s="14" t="s">
        <v>3349</v>
      </c>
      <c r="O625" s="17" t="s">
        <v>3350</v>
      </c>
    </row>
    <row r="626" spans="1:15" x14ac:dyDescent="0.15">
      <c r="A626" s="21" t="s">
        <v>746</v>
      </c>
      <c r="B626" s="19"/>
      <c r="C626" s="11"/>
      <c r="D626" s="17" t="s">
        <v>3351</v>
      </c>
      <c r="E626" s="10" t="s">
        <v>163</v>
      </c>
      <c r="F626" s="11" t="s">
        <v>3352</v>
      </c>
      <c r="G626" s="12">
        <v>140.756</v>
      </c>
      <c r="H626" s="13">
        <v>42219</v>
      </c>
      <c r="I626" s="12" t="s">
        <v>215</v>
      </c>
      <c r="J626" s="12" t="s">
        <v>3353</v>
      </c>
      <c r="K626" s="12" t="s">
        <v>328</v>
      </c>
      <c r="L626" s="12" t="s">
        <v>2073</v>
      </c>
      <c r="M626" s="14" t="s">
        <v>3354</v>
      </c>
      <c r="N626" s="14" t="s">
        <v>3355</v>
      </c>
      <c r="O626" s="14" t="s">
        <v>3356</v>
      </c>
    </row>
    <row r="627" spans="1:15" x14ac:dyDescent="0.15">
      <c r="A627" s="21" t="s">
        <v>1503</v>
      </c>
      <c r="B627" s="19"/>
      <c r="C627" s="11"/>
      <c r="D627" s="17" t="s">
        <v>460</v>
      </c>
      <c r="E627" s="10" t="s">
        <v>163</v>
      </c>
      <c r="F627" s="11" t="s">
        <v>3357</v>
      </c>
      <c r="G627" s="12">
        <v>84.632000000000005</v>
      </c>
      <c r="H627" s="13">
        <v>42219</v>
      </c>
      <c r="I627" s="12" t="s">
        <v>215</v>
      </c>
      <c r="J627" s="12" t="s">
        <v>3358</v>
      </c>
      <c r="K627" s="12" t="s">
        <v>255</v>
      </c>
      <c r="L627" s="12" t="s">
        <v>1622</v>
      </c>
      <c r="M627" s="14" t="s">
        <v>3359</v>
      </c>
      <c r="N627" s="14" t="s">
        <v>3360</v>
      </c>
      <c r="O627" s="14" t="s">
        <v>3361</v>
      </c>
    </row>
    <row r="628" spans="1:15" x14ac:dyDescent="0.15">
      <c r="A628" s="21" t="s">
        <v>711</v>
      </c>
      <c r="B628" s="19"/>
      <c r="C628" s="11"/>
      <c r="D628" s="17" t="s">
        <v>1307</v>
      </c>
      <c r="E628" s="10" t="s">
        <v>163</v>
      </c>
      <c r="F628" s="11" t="s">
        <v>3362</v>
      </c>
      <c r="G628" s="12">
        <v>278.32</v>
      </c>
      <c r="H628" s="13">
        <v>42219</v>
      </c>
      <c r="I628" s="12" t="s">
        <v>215</v>
      </c>
      <c r="J628" s="12" t="s">
        <v>3363</v>
      </c>
      <c r="K628" s="12" t="s">
        <v>39</v>
      </c>
      <c r="L628" s="12" t="s">
        <v>2196</v>
      </c>
      <c r="M628" s="14" t="s">
        <v>3364</v>
      </c>
      <c r="N628" s="14" t="s">
        <v>2198</v>
      </c>
      <c r="O628" s="14" t="s">
        <v>3365</v>
      </c>
    </row>
    <row r="629" spans="1:15" x14ac:dyDescent="0.15">
      <c r="A629" s="21" t="s">
        <v>1546</v>
      </c>
      <c r="B629" s="19"/>
      <c r="C629" s="11"/>
      <c r="D629" s="17" t="s">
        <v>1547</v>
      </c>
      <c r="E629" s="10" t="s">
        <v>163</v>
      </c>
      <c r="F629" s="11" t="s">
        <v>3366</v>
      </c>
      <c r="G629" s="12">
        <v>153.292</v>
      </c>
      <c r="H629" s="13">
        <v>42219</v>
      </c>
      <c r="I629" s="12" t="s">
        <v>215</v>
      </c>
      <c r="J629" s="12" t="s">
        <v>3367</v>
      </c>
      <c r="K629" s="12" t="s">
        <v>255</v>
      </c>
      <c r="L629" s="12" t="s">
        <v>3226</v>
      </c>
      <c r="M629" s="14" t="s">
        <v>3368</v>
      </c>
      <c r="N629" s="14" t="s">
        <v>3369</v>
      </c>
      <c r="O629" s="14" t="s">
        <v>3370</v>
      </c>
    </row>
    <row r="630" spans="1:15" x14ac:dyDescent="0.15">
      <c r="A630" s="21" t="s">
        <v>251</v>
      </c>
      <c r="B630" s="19"/>
      <c r="C630" s="11"/>
      <c r="D630" s="17" t="s">
        <v>893</v>
      </c>
      <c r="E630" s="10" t="s">
        <v>163</v>
      </c>
      <c r="F630" s="11" t="s">
        <v>3371</v>
      </c>
      <c r="G630" s="12">
        <v>136.185</v>
      </c>
      <c r="H630" s="13">
        <v>42219</v>
      </c>
      <c r="I630" s="12" t="s">
        <v>215</v>
      </c>
      <c r="J630" s="12" t="s">
        <v>3372</v>
      </c>
      <c r="K630" s="12" t="s">
        <v>255</v>
      </c>
      <c r="L630" s="12" t="s">
        <v>3373</v>
      </c>
      <c r="M630" s="14" t="s">
        <v>3374</v>
      </c>
      <c r="N630" s="14" t="s">
        <v>3375</v>
      </c>
      <c r="O630" s="17" t="s">
        <v>3376</v>
      </c>
    </row>
    <row r="631" spans="1:15" x14ac:dyDescent="0.15">
      <c r="A631" s="21" t="s">
        <v>251</v>
      </c>
      <c r="B631" s="19"/>
      <c r="C631" s="11"/>
      <c r="D631" s="17" t="s">
        <v>893</v>
      </c>
      <c r="E631" s="10" t="s">
        <v>163</v>
      </c>
      <c r="F631" s="11" t="s">
        <v>3377</v>
      </c>
      <c r="G631" s="12">
        <v>217.09200000000001</v>
      </c>
      <c r="H631" s="13">
        <v>42219</v>
      </c>
      <c r="I631" s="12" t="s">
        <v>215</v>
      </c>
      <c r="J631" s="12" t="s">
        <v>3378</v>
      </c>
      <c r="K631" s="12" t="s">
        <v>255</v>
      </c>
      <c r="L631" s="12" t="s">
        <v>3379</v>
      </c>
      <c r="M631" s="14" t="s">
        <v>3380</v>
      </c>
      <c r="N631" s="14" t="s">
        <v>3381</v>
      </c>
      <c r="O631" s="17" t="s">
        <v>3382</v>
      </c>
    </row>
    <row r="632" spans="1:15" x14ac:dyDescent="0.15">
      <c r="A632" s="21" t="s">
        <v>2130</v>
      </c>
      <c r="B632" s="22" t="s">
        <v>912</v>
      </c>
      <c r="C632" s="11"/>
      <c r="D632" s="17" t="s">
        <v>1163</v>
      </c>
      <c r="E632" s="10" t="s">
        <v>163</v>
      </c>
      <c r="F632" s="11" t="s">
        <v>3383</v>
      </c>
      <c r="G632" s="12">
        <f>9.871*L632</f>
        <v>246.77500000000001</v>
      </c>
      <c r="H632" s="13">
        <v>42220</v>
      </c>
      <c r="I632" s="12" t="s">
        <v>648</v>
      </c>
      <c r="J632" s="12" t="s">
        <v>3384</v>
      </c>
      <c r="K632" s="18" t="s">
        <v>227</v>
      </c>
      <c r="L632" s="12">
        <v>25</v>
      </c>
      <c r="M632" s="14" t="s">
        <v>3385</v>
      </c>
      <c r="N632" s="14" t="s">
        <v>338</v>
      </c>
      <c r="O632" s="17" t="s">
        <v>3385</v>
      </c>
    </row>
    <row r="633" spans="1:15" x14ac:dyDescent="0.15">
      <c r="A633" s="21" t="s">
        <v>655</v>
      </c>
      <c r="B633" s="22" t="s">
        <v>912</v>
      </c>
      <c r="C633" s="11"/>
      <c r="D633" s="17" t="s">
        <v>656</v>
      </c>
      <c r="E633" s="10" t="s">
        <v>163</v>
      </c>
      <c r="F633" s="11" t="s">
        <v>3386</v>
      </c>
      <c r="G633" s="12">
        <f>9.871*L633</f>
        <v>246.77500000000001</v>
      </c>
      <c r="H633" s="13">
        <v>42220</v>
      </c>
      <c r="I633" s="12" t="s">
        <v>648</v>
      </c>
      <c r="J633" s="12" t="s">
        <v>3387</v>
      </c>
      <c r="K633" s="12" t="s">
        <v>227</v>
      </c>
      <c r="L633" s="12">
        <v>25</v>
      </c>
      <c r="M633" s="14" t="s">
        <v>3388</v>
      </c>
      <c r="N633" s="14" t="s">
        <v>338</v>
      </c>
      <c r="O633" s="17" t="s">
        <v>3388</v>
      </c>
    </row>
    <row r="634" spans="1:15" x14ac:dyDescent="0.15">
      <c r="A634" s="21" t="s">
        <v>1032</v>
      </c>
      <c r="B634" s="22" t="s">
        <v>912</v>
      </c>
      <c r="C634" s="11"/>
      <c r="D634" s="17" t="s">
        <v>396</v>
      </c>
      <c r="E634" s="10" t="s">
        <v>163</v>
      </c>
      <c r="F634" s="11" t="s">
        <v>3389</v>
      </c>
      <c r="G634" s="18">
        <f>29.101*L634</f>
        <v>116.404</v>
      </c>
      <c r="H634" s="13">
        <v>42220</v>
      </c>
      <c r="I634" s="12" t="s">
        <v>757</v>
      </c>
      <c r="J634" s="12" t="s">
        <v>3390</v>
      </c>
      <c r="K634" s="12" t="s">
        <v>184</v>
      </c>
      <c r="L634" s="12">
        <v>4</v>
      </c>
      <c r="M634" s="14" t="s">
        <v>3391</v>
      </c>
      <c r="N634" s="14" t="s">
        <v>3392</v>
      </c>
      <c r="O634" s="17" t="s">
        <v>3393</v>
      </c>
    </row>
    <row r="635" spans="1:15" x14ac:dyDescent="0.15">
      <c r="A635" s="21" t="s">
        <v>3233</v>
      </c>
      <c r="B635" s="19" t="s">
        <v>180</v>
      </c>
      <c r="C635" s="11"/>
      <c r="D635" s="17" t="s">
        <v>128</v>
      </c>
      <c r="E635" s="10" t="s">
        <v>163</v>
      </c>
      <c r="F635" s="11" t="s">
        <v>3394</v>
      </c>
      <c r="G635" s="12">
        <f>8.606*L635</f>
        <v>215.15</v>
      </c>
      <c r="H635" s="13">
        <v>42220</v>
      </c>
      <c r="I635" s="12" t="s">
        <v>182</v>
      </c>
      <c r="J635" s="12" t="s">
        <v>3395</v>
      </c>
      <c r="K635" s="18" t="s">
        <v>227</v>
      </c>
      <c r="L635" s="12">
        <v>25</v>
      </c>
      <c r="M635" s="14" t="s">
        <v>3396</v>
      </c>
      <c r="N635" s="14" t="s">
        <v>338</v>
      </c>
      <c r="O635" s="17" t="s">
        <v>3396</v>
      </c>
    </row>
    <row r="636" spans="1:15" x14ac:dyDescent="0.15">
      <c r="A636" s="21" t="s">
        <v>3233</v>
      </c>
      <c r="B636" s="19" t="s">
        <v>180</v>
      </c>
      <c r="C636" s="11"/>
      <c r="D636" s="17" t="s">
        <v>128</v>
      </c>
      <c r="E636" s="10" t="s">
        <v>163</v>
      </c>
      <c r="F636" s="11" t="s">
        <v>3397</v>
      </c>
      <c r="G636" s="12">
        <f>8.606*L636</f>
        <v>215.15</v>
      </c>
      <c r="H636" s="13">
        <v>42220</v>
      </c>
      <c r="I636" s="12" t="s">
        <v>182</v>
      </c>
      <c r="J636" s="12" t="s">
        <v>3398</v>
      </c>
      <c r="K636" s="18" t="s">
        <v>227</v>
      </c>
      <c r="L636" s="12">
        <v>25</v>
      </c>
      <c r="M636" s="14" t="s">
        <v>3399</v>
      </c>
      <c r="N636" s="14" t="s">
        <v>338</v>
      </c>
      <c r="O636" s="17" t="s">
        <v>3399</v>
      </c>
    </row>
    <row r="637" spans="1:15" x14ac:dyDescent="0.15">
      <c r="A637" s="21" t="s">
        <v>3233</v>
      </c>
      <c r="B637" s="19" t="s">
        <v>180</v>
      </c>
      <c r="C637" s="11"/>
      <c r="D637" s="17" t="s">
        <v>128</v>
      </c>
      <c r="E637" s="10" t="s">
        <v>163</v>
      </c>
      <c r="F637" s="11" t="s">
        <v>3400</v>
      </c>
      <c r="G637" s="12">
        <f>8.606*L637</f>
        <v>215.15</v>
      </c>
      <c r="H637" s="13">
        <v>42220</v>
      </c>
      <c r="I637" s="12" t="s">
        <v>182</v>
      </c>
      <c r="J637" s="12" t="s">
        <v>3401</v>
      </c>
      <c r="K637" s="18" t="s">
        <v>227</v>
      </c>
      <c r="L637" s="12">
        <v>25</v>
      </c>
      <c r="M637" s="14" t="s">
        <v>3402</v>
      </c>
      <c r="N637" s="14" t="s">
        <v>338</v>
      </c>
      <c r="O637" s="17" t="s">
        <v>3402</v>
      </c>
    </row>
    <row r="638" spans="1:15" x14ac:dyDescent="0.15">
      <c r="A638" s="21" t="s">
        <v>3233</v>
      </c>
      <c r="B638" s="19" t="s">
        <v>180</v>
      </c>
      <c r="C638" s="11"/>
      <c r="D638" s="17" t="s">
        <v>128</v>
      </c>
      <c r="E638" s="10" t="s">
        <v>163</v>
      </c>
      <c r="F638" s="11" t="s">
        <v>3403</v>
      </c>
      <c r="G638" s="12">
        <f>8.606*L638</f>
        <v>215.15</v>
      </c>
      <c r="H638" s="13">
        <v>42220</v>
      </c>
      <c r="I638" s="12" t="s">
        <v>182</v>
      </c>
      <c r="J638" s="12" t="s">
        <v>3404</v>
      </c>
      <c r="K638" s="18" t="s">
        <v>227</v>
      </c>
      <c r="L638" s="12">
        <v>25</v>
      </c>
      <c r="M638" s="14" t="s">
        <v>3405</v>
      </c>
      <c r="N638" s="14" t="s">
        <v>338</v>
      </c>
      <c r="O638" s="17" t="s">
        <v>3405</v>
      </c>
    </row>
    <row r="639" spans="1:15" x14ac:dyDescent="0.15">
      <c r="A639" s="21" t="s">
        <v>949</v>
      </c>
      <c r="B639" s="29" t="s">
        <v>6886</v>
      </c>
      <c r="C639" s="11"/>
      <c r="D639" s="17" t="s">
        <v>419</v>
      </c>
      <c r="E639" s="10" t="s">
        <v>163</v>
      </c>
      <c r="F639" s="11" t="s">
        <v>3406</v>
      </c>
      <c r="G639" s="18">
        <f>8.606*L639</f>
        <v>129.09</v>
      </c>
      <c r="H639" s="13">
        <v>42220</v>
      </c>
      <c r="I639" s="12" t="s">
        <v>182</v>
      </c>
      <c r="J639" s="12" t="s">
        <v>3407</v>
      </c>
      <c r="K639" s="18" t="s">
        <v>227</v>
      </c>
      <c r="L639" s="12">
        <v>15</v>
      </c>
      <c r="M639" s="14" t="s">
        <v>3408</v>
      </c>
      <c r="N639" s="14" t="s">
        <v>1353</v>
      </c>
      <c r="O639" s="17" t="s">
        <v>3409</v>
      </c>
    </row>
    <row r="640" spans="1:15" x14ac:dyDescent="0.15">
      <c r="A640" s="21" t="s">
        <v>1376</v>
      </c>
      <c r="B640" s="19"/>
      <c r="C640" s="11"/>
      <c r="D640" s="17" t="s">
        <v>1377</v>
      </c>
      <c r="E640" s="10" t="s">
        <v>163</v>
      </c>
      <c r="F640" s="11" t="s">
        <v>3410</v>
      </c>
      <c r="G640" s="12">
        <f>17.52*L640</f>
        <v>52.56</v>
      </c>
      <c r="H640" s="13">
        <v>42220</v>
      </c>
      <c r="I640" s="12" t="s">
        <v>215</v>
      </c>
      <c r="J640" s="12" t="s">
        <v>3411</v>
      </c>
      <c r="K640" s="12" t="s">
        <v>227</v>
      </c>
      <c r="L640" s="12">
        <v>3</v>
      </c>
      <c r="M640" s="14" t="s">
        <v>3275</v>
      </c>
      <c r="N640" s="14" t="s">
        <v>1078</v>
      </c>
      <c r="O640" s="17" t="s">
        <v>3412</v>
      </c>
    </row>
    <row r="641" spans="1:15" x14ac:dyDescent="0.15">
      <c r="A641" s="21" t="s">
        <v>3413</v>
      </c>
      <c r="B641" s="19"/>
      <c r="C641" s="11"/>
      <c r="D641" s="17" t="s">
        <v>1685</v>
      </c>
      <c r="E641" s="10" t="s">
        <v>163</v>
      </c>
      <c r="F641" s="11" t="s">
        <v>3414</v>
      </c>
      <c r="G641" s="12">
        <f>12.838*L641</f>
        <v>141.21799999999999</v>
      </c>
      <c r="H641" s="13">
        <v>42220</v>
      </c>
      <c r="I641" s="12" t="s">
        <v>215</v>
      </c>
      <c r="J641" s="12" t="s">
        <v>3415</v>
      </c>
      <c r="K641" s="12" t="s">
        <v>227</v>
      </c>
      <c r="L641" s="12">
        <v>11</v>
      </c>
      <c r="M641" s="14" t="s">
        <v>3416</v>
      </c>
      <c r="N641" s="14" t="s">
        <v>660</v>
      </c>
      <c r="O641" s="17" t="s">
        <v>3417</v>
      </c>
    </row>
    <row r="642" spans="1:15" x14ac:dyDescent="0.15">
      <c r="A642" s="21" t="s">
        <v>2187</v>
      </c>
      <c r="B642" s="19"/>
      <c r="C642" s="11"/>
      <c r="D642" s="17" t="s">
        <v>1525</v>
      </c>
      <c r="E642" s="10" t="s">
        <v>163</v>
      </c>
      <c r="F642" s="11" t="s">
        <v>3418</v>
      </c>
      <c r="G642" s="18">
        <f>17.498*L642</f>
        <v>87.490000000000009</v>
      </c>
      <c r="H642" s="13">
        <v>42220</v>
      </c>
      <c r="I642" s="12" t="s">
        <v>233</v>
      </c>
      <c r="J642" s="12" t="s">
        <v>3419</v>
      </c>
      <c r="K642" s="12" t="s">
        <v>227</v>
      </c>
      <c r="L642" s="12">
        <v>5</v>
      </c>
      <c r="M642" s="14" t="s">
        <v>2869</v>
      </c>
      <c r="N642" s="14" t="s">
        <v>1845</v>
      </c>
      <c r="O642" s="17" t="s">
        <v>3420</v>
      </c>
    </row>
    <row r="643" spans="1:15" x14ac:dyDescent="0.15">
      <c r="A643" s="21" t="s">
        <v>231</v>
      </c>
      <c r="B643" s="19"/>
      <c r="C643" s="11"/>
      <c r="D643" s="17" t="s">
        <v>54</v>
      </c>
      <c r="E643" s="10" t="s">
        <v>163</v>
      </c>
      <c r="F643" s="11" t="s">
        <v>3421</v>
      </c>
      <c r="G643" s="18">
        <f>6.405*L643</f>
        <v>160.125</v>
      </c>
      <c r="H643" s="13">
        <v>42220</v>
      </c>
      <c r="I643" s="12" t="s">
        <v>233</v>
      </c>
      <c r="J643" s="12" t="s">
        <v>3422</v>
      </c>
      <c r="K643" s="12" t="s">
        <v>227</v>
      </c>
      <c r="L643" s="12">
        <v>25</v>
      </c>
      <c r="M643" s="14" t="s">
        <v>3423</v>
      </c>
      <c r="N643" s="14" t="s">
        <v>338</v>
      </c>
      <c r="O643" s="17" t="s">
        <v>3423</v>
      </c>
    </row>
    <row r="644" spans="1:15" x14ac:dyDescent="0.15">
      <c r="A644" s="21" t="s">
        <v>2135</v>
      </c>
      <c r="B644" s="19"/>
      <c r="C644" s="11"/>
      <c r="D644" s="17" t="s">
        <v>97</v>
      </c>
      <c r="E644" s="10" t="s">
        <v>163</v>
      </c>
      <c r="F644" s="11" t="s">
        <v>3424</v>
      </c>
      <c r="G644" s="23">
        <f>12.838*L644</f>
        <v>192.57</v>
      </c>
      <c r="H644" s="13">
        <v>42220</v>
      </c>
      <c r="I644" s="12" t="s">
        <v>233</v>
      </c>
      <c r="J644" s="12" t="s">
        <v>3425</v>
      </c>
      <c r="K644" s="12" t="s">
        <v>227</v>
      </c>
      <c r="L644" s="12">
        <v>15</v>
      </c>
      <c r="M644" s="14" t="s">
        <v>3426</v>
      </c>
      <c r="N644" s="14" t="s">
        <v>1151</v>
      </c>
      <c r="O644" s="17" t="s">
        <v>3426</v>
      </c>
    </row>
    <row r="645" spans="1:15" x14ac:dyDescent="0.15">
      <c r="A645" s="20" t="s">
        <v>853</v>
      </c>
      <c r="B645" s="19"/>
      <c r="C645" s="11"/>
      <c r="D645" s="17" t="s">
        <v>2392</v>
      </c>
      <c r="E645" s="10" t="s">
        <v>163</v>
      </c>
      <c r="F645" s="11" t="s">
        <v>3427</v>
      </c>
      <c r="G645" s="12">
        <f>20.816*L645</f>
        <v>208.16</v>
      </c>
      <c r="H645" s="13">
        <v>42220</v>
      </c>
      <c r="I645" s="12" t="s">
        <v>207</v>
      </c>
      <c r="J645" s="12" t="s">
        <v>3428</v>
      </c>
      <c r="K645" s="12" t="s">
        <v>184</v>
      </c>
      <c r="L645" s="12">
        <v>10</v>
      </c>
      <c r="M645" s="14" t="s">
        <v>3429</v>
      </c>
      <c r="N645" s="14" t="s">
        <v>285</v>
      </c>
      <c r="O645" s="17" t="s">
        <v>3430</v>
      </c>
    </row>
    <row r="646" spans="1:15" x14ac:dyDescent="0.15">
      <c r="A646" s="21" t="s">
        <v>1836</v>
      </c>
      <c r="B646" s="19"/>
      <c r="C646" s="11"/>
      <c r="D646" s="17" t="s">
        <v>1609</v>
      </c>
      <c r="E646" s="10" t="s">
        <v>163</v>
      </c>
      <c r="F646" s="11" t="s">
        <v>3431</v>
      </c>
      <c r="G646" s="12">
        <f>20.558*L646</f>
        <v>513.95000000000005</v>
      </c>
      <c r="H646" s="13">
        <v>42221</v>
      </c>
      <c r="I646" s="12" t="s">
        <v>1098</v>
      </c>
      <c r="J646" s="12" t="s">
        <v>3432</v>
      </c>
      <c r="K646" s="12" t="s">
        <v>227</v>
      </c>
      <c r="L646" s="12">
        <v>25</v>
      </c>
      <c r="M646" s="14" t="s">
        <v>3433</v>
      </c>
      <c r="N646" s="14" t="s">
        <v>338</v>
      </c>
      <c r="O646" s="17" t="s">
        <v>3433</v>
      </c>
    </row>
    <row r="647" spans="1:15" x14ac:dyDescent="0.15">
      <c r="A647" s="21" t="s">
        <v>1836</v>
      </c>
      <c r="B647" s="19"/>
      <c r="C647" s="11"/>
      <c r="D647" s="17" t="s">
        <v>1609</v>
      </c>
      <c r="E647" s="10" t="s">
        <v>163</v>
      </c>
      <c r="F647" s="11" t="s">
        <v>3434</v>
      </c>
      <c r="G647" s="12">
        <f>20.558*L647</f>
        <v>513.95000000000005</v>
      </c>
      <c r="H647" s="13">
        <v>42221</v>
      </c>
      <c r="I647" s="12" t="s">
        <v>1098</v>
      </c>
      <c r="J647" s="12" t="s">
        <v>3435</v>
      </c>
      <c r="K647" s="12" t="s">
        <v>227</v>
      </c>
      <c r="L647" s="12">
        <v>25</v>
      </c>
      <c r="M647" s="14" t="s">
        <v>3436</v>
      </c>
      <c r="N647" s="14" t="s">
        <v>338</v>
      </c>
      <c r="O647" s="17" t="s">
        <v>3436</v>
      </c>
    </row>
    <row r="648" spans="1:15" x14ac:dyDescent="0.15">
      <c r="A648" s="21" t="s">
        <v>1608</v>
      </c>
      <c r="B648" s="19"/>
      <c r="C648" s="11"/>
      <c r="D648" s="17" t="s">
        <v>1609</v>
      </c>
      <c r="E648" s="10" t="s">
        <v>163</v>
      </c>
      <c r="F648" s="11" t="s">
        <v>3437</v>
      </c>
      <c r="G648" s="12">
        <f>20.558*L648</f>
        <v>513.95000000000005</v>
      </c>
      <c r="H648" s="13">
        <v>42221</v>
      </c>
      <c r="I648" s="12" t="s">
        <v>1098</v>
      </c>
      <c r="J648" s="12" t="s">
        <v>3438</v>
      </c>
      <c r="K648" s="12" t="s">
        <v>227</v>
      </c>
      <c r="L648" s="12">
        <v>25</v>
      </c>
      <c r="M648" s="14" t="s">
        <v>3439</v>
      </c>
      <c r="N648" s="14" t="s">
        <v>338</v>
      </c>
      <c r="O648" s="17" t="s">
        <v>3439</v>
      </c>
    </row>
    <row r="649" spans="1:15" x14ac:dyDescent="0.15">
      <c r="A649" s="21" t="s">
        <v>1951</v>
      </c>
      <c r="B649" s="19"/>
      <c r="C649" s="11"/>
      <c r="D649" s="17" t="s">
        <v>425</v>
      </c>
      <c r="E649" s="10" t="s">
        <v>163</v>
      </c>
      <c r="F649" s="11" t="s">
        <v>3440</v>
      </c>
      <c r="G649" s="12">
        <f>18.708*L649</f>
        <v>280.62</v>
      </c>
      <c r="H649" s="13">
        <v>42221</v>
      </c>
      <c r="I649" s="12" t="s">
        <v>1098</v>
      </c>
      <c r="J649" s="12" t="s">
        <v>3441</v>
      </c>
      <c r="K649" s="12" t="s">
        <v>227</v>
      </c>
      <c r="L649" s="12">
        <v>15</v>
      </c>
      <c r="M649" s="14" t="s">
        <v>3304</v>
      </c>
      <c r="N649" s="14" t="s">
        <v>236</v>
      </c>
      <c r="O649" s="17" t="s">
        <v>3442</v>
      </c>
    </row>
    <row r="650" spans="1:15" x14ac:dyDescent="0.15">
      <c r="A650" s="21" t="s">
        <v>2363</v>
      </c>
      <c r="B650" s="19"/>
      <c r="C650" s="11"/>
      <c r="D650" s="17" t="s">
        <v>425</v>
      </c>
      <c r="E650" s="10" t="s">
        <v>163</v>
      </c>
      <c r="F650" s="11" t="s">
        <v>3443</v>
      </c>
      <c r="G650" s="12">
        <f>18.708*L650</f>
        <v>467.69999999999993</v>
      </c>
      <c r="H650" s="13">
        <v>42221</v>
      </c>
      <c r="I650" s="12" t="s">
        <v>1098</v>
      </c>
      <c r="J650" s="12" t="s">
        <v>3444</v>
      </c>
      <c r="K650" s="12" t="s">
        <v>227</v>
      </c>
      <c r="L650" s="12">
        <v>25</v>
      </c>
      <c r="M650" s="14" t="s">
        <v>3445</v>
      </c>
      <c r="N650" s="14" t="s">
        <v>338</v>
      </c>
      <c r="O650" s="17" t="s">
        <v>3445</v>
      </c>
    </row>
    <row r="651" spans="1:15" x14ac:dyDescent="0.15">
      <c r="A651" s="21" t="s">
        <v>2363</v>
      </c>
      <c r="B651" s="19"/>
      <c r="C651" s="11"/>
      <c r="D651" s="17" t="s">
        <v>425</v>
      </c>
      <c r="E651" s="10" t="s">
        <v>163</v>
      </c>
      <c r="F651" s="11" t="s">
        <v>3446</v>
      </c>
      <c r="G651" s="12">
        <f>18.708*L651</f>
        <v>467.69999999999993</v>
      </c>
      <c r="H651" s="13">
        <v>42221</v>
      </c>
      <c r="I651" s="12" t="s">
        <v>1098</v>
      </c>
      <c r="J651" s="12" t="s">
        <v>3447</v>
      </c>
      <c r="K651" s="12" t="s">
        <v>227</v>
      </c>
      <c r="L651" s="12">
        <v>25</v>
      </c>
      <c r="M651" s="14" t="s">
        <v>3448</v>
      </c>
      <c r="N651" s="14" t="s">
        <v>338</v>
      </c>
      <c r="O651" s="17" t="s">
        <v>3448</v>
      </c>
    </row>
    <row r="652" spans="1:15" x14ac:dyDescent="0.15">
      <c r="A652" s="21" t="s">
        <v>1213</v>
      </c>
      <c r="B652" s="19"/>
      <c r="C652" s="11"/>
      <c r="D652" s="17" t="s">
        <v>2992</v>
      </c>
      <c r="E652" s="10" t="s">
        <v>163</v>
      </c>
      <c r="F652" s="11" t="s">
        <v>3449</v>
      </c>
      <c r="G652" s="12">
        <f>27.688*L652</f>
        <v>249.19199999999998</v>
      </c>
      <c r="H652" s="13">
        <v>42221</v>
      </c>
      <c r="I652" s="12" t="s">
        <v>635</v>
      </c>
      <c r="J652" s="12" t="s">
        <v>3450</v>
      </c>
      <c r="K652" s="12" t="s">
        <v>227</v>
      </c>
      <c r="L652" s="12">
        <v>9</v>
      </c>
      <c r="M652" s="14" t="s">
        <v>1885</v>
      </c>
      <c r="N652" s="14" t="s">
        <v>1185</v>
      </c>
      <c r="O652" s="17" t="s">
        <v>3451</v>
      </c>
    </row>
    <row r="653" spans="1:15" x14ac:dyDescent="0.15">
      <c r="A653" s="21" t="s">
        <v>1355</v>
      </c>
      <c r="B653" s="19"/>
      <c r="C653" s="11"/>
      <c r="D653" s="17" t="s">
        <v>633</v>
      </c>
      <c r="E653" s="10" t="s">
        <v>163</v>
      </c>
      <c r="F653" s="11" t="s">
        <v>3452</v>
      </c>
      <c r="G653" s="12">
        <f>L653*17.498</f>
        <v>437.45000000000005</v>
      </c>
      <c r="H653" s="13">
        <v>42221</v>
      </c>
      <c r="I653" s="12" t="s">
        <v>635</v>
      </c>
      <c r="J653" s="12" t="s">
        <v>3453</v>
      </c>
      <c r="K653" s="12" t="s">
        <v>227</v>
      </c>
      <c r="L653" s="12">
        <v>25</v>
      </c>
      <c r="M653" s="14" t="s">
        <v>3454</v>
      </c>
      <c r="N653" s="14" t="s">
        <v>338</v>
      </c>
      <c r="O653" s="17" t="s">
        <v>3454</v>
      </c>
    </row>
    <row r="654" spans="1:15" x14ac:dyDescent="0.15">
      <c r="A654" s="21" t="s">
        <v>1865</v>
      </c>
      <c r="B654" s="19"/>
      <c r="C654" s="11"/>
      <c r="D654" s="17" t="s">
        <v>408</v>
      </c>
      <c r="E654" s="10" t="s">
        <v>163</v>
      </c>
      <c r="F654" s="11" t="s">
        <v>3455</v>
      </c>
      <c r="G654" s="18">
        <f>29.101*L654</f>
        <v>349.21199999999999</v>
      </c>
      <c r="H654" s="13">
        <v>42221</v>
      </c>
      <c r="I654" s="12" t="s">
        <v>683</v>
      </c>
      <c r="J654" s="12" t="s">
        <v>3456</v>
      </c>
      <c r="K654" s="12" t="s">
        <v>227</v>
      </c>
      <c r="L654" s="12">
        <v>12</v>
      </c>
      <c r="M654" s="14" t="s">
        <v>3457</v>
      </c>
      <c r="N654" s="14" t="s">
        <v>2109</v>
      </c>
      <c r="O654" s="17" t="s">
        <v>3458</v>
      </c>
    </row>
    <row r="655" spans="1:15" x14ac:dyDescent="0.15">
      <c r="A655" s="21" t="s">
        <v>1860</v>
      </c>
      <c r="B655" s="19"/>
      <c r="C655" s="11"/>
      <c r="D655" s="17" t="s">
        <v>408</v>
      </c>
      <c r="E655" s="10" t="s">
        <v>163</v>
      </c>
      <c r="F655" s="11" t="s">
        <v>3459</v>
      </c>
      <c r="G655" s="18">
        <f>29.101*L655</f>
        <v>378.31299999999999</v>
      </c>
      <c r="H655" s="13">
        <v>42221</v>
      </c>
      <c r="I655" s="12" t="s">
        <v>683</v>
      </c>
      <c r="J655" s="12" t="s">
        <v>3460</v>
      </c>
      <c r="K655" s="12" t="s">
        <v>227</v>
      </c>
      <c r="L655" s="12">
        <v>13</v>
      </c>
      <c r="M655" s="14" t="s">
        <v>3457</v>
      </c>
      <c r="N655" s="14" t="s">
        <v>1472</v>
      </c>
      <c r="O655" s="17" t="s">
        <v>3457</v>
      </c>
    </row>
    <row r="656" spans="1:15" x14ac:dyDescent="0.15">
      <c r="A656" s="21" t="s">
        <v>2416</v>
      </c>
      <c r="B656" s="19"/>
      <c r="C656" s="11"/>
      <c r="D656" s="17" t="s">
        <v>1181</v>
      </c>
      <c r="E656" s="10" t="s">
        <v>163</v>
      </c>
      <c r="F656" s="11" t="s">
        <v>3461</v>
      </c>
      <c r="G656" s="12">
        <f>17.712*L656</f>
        <v>177.12</v>
      </c>
      <c r="H656" s="13">
        <v>42221</v>
      </c>
      <c r="I656" s="12" t="s">
        <v>635</v>
      </c>
      <c r="J656" s="12" t="s">
        <v>3462</v>
      </c>
      <c r="K656" s="12" t="s">
        <v>227</v>
      </c>
      <c r="L656" s="12">
        <v>10</v>
      </c>
      <c r="M656" s="14" t="s">
        <v>3463</v>
      </c>
      <c r="N656" s="14" t="s">
        <v>3464</v>
      </c>
      <c r="O656" s="17" t="s">
        <v>3463</v>
      </c>
    </row>
    <row r="657" spans="1:15" x14ac:dyDescent="0.15">
      <c r="A657" s="21" t="s">
        <v>2811</v>
      </c>
      <c r="B657" s="19"/>
      <c r="C657" s="11"/>
      <c r="D657" s="17" t="s">
        <v>3331</v>
      </c>
      <c r="E657" s="10" t="s">
        <v>163</v>
      </c>
      <c r="F657" s="11" t="s">
        <v>3465</v>
      </c>
      <c r="G657" s="12">
        <f>14.405*L657</f>
        <v>360.125</v>
      </c>
      <c r="H657" s="13">
        <v>42221</v>
      </c>
      <c r="I657" s="12" t="s">
        <v>635</v>
      </c>
      <c r="J657" s="12" t="s">
        <v>3466</v>
      </c>
      <c r="K657" s="12" t="s">
        <v>227</v>
      </c>
      <c r="L657" s="12">
        <v>25</v>
      </c>
      <c r="M657" s="14" t="s">
        <v>3467</v>
      </c>
      <c r="N657" s="14" t="s">
        <v>2367</v>
      </c>
      <c r="O657" s="17" t="s">
        <v>3467</v>
      </c>
    </row>
    <row r="658" spans="1:15" x14ac:dyDescent="0.15">
      <c r="A658" s="21" t="s">
        <v>688</v>
      </c>
      <c r="B658" s="19"/>
      <c r="C658" s="11"/>
      <c r="D658" s="17" t="s">
        <v>3331</v>
      </c>
      <c r="E658" s="10" t="s">
        <v>163</v>
      </c>
      <c r="F658" s="11" t="s">
        <v>3468</v>
      </c>
      <c r="G658" s="12">
        <f>14.405*L658</f>
        <v>360.125</v>
      </c>
      <c r="H658" s="13">
        <v>42221</v>
      </c>
      <c r="I658" s="12" t="s">
        <v>635</v>
      </c>
      <c r="J658" s="12" t="s">
        <v>3469</v>
      </c>
      <c r="K658" s="12" t="s">
        <v>227</v>
      </c>
      <c r="L658" s="12">
        <v>25</v>
      </c>
      <c r="M658" s="14" t="s">
        <v>3470</v>
      </c>
      <c r="N658" s="14" t="s">
        <v>2367</v>
      </c>
      <c r="O658" s="17" t="s">
        <v>3470</v>
      </c>
    </row>
    <row r="659" spans="1:15" x14ac:dyDescent="0.15">
      <c r="A659" s="21" t="s">
        <v>681</v>
      </c>
      <c r="B659" s="19"/>
      <c r="C659" s="11"/>
      <c r="D659" s="17" t="s">
        <v>408</v>
      </c>
      <c r="E659" s="10" t="s">
        <v>163</v>
      </c>
      <c r="F659" s="11" t="s">
        <v>3471</v>
      </c>
      <c r="G659" s="12">
        <f>29.101*L659</f>
        <v>727.52499999999998</v>
      </c>
      <c r="H659" s="13">
        <v>42221</v>
      </c>
      <c r="I659" s="12" t="s">
        <v>683</v>
      </c>
      <c r="J659" s="12" t="s">
        <v>3472</v>
      </c>
      <c r="K659" s="12" t="s">
        <v>227</v>
      </c>
      <c r="L659" s="12">
        <v>25</v>
      </c>
      <c r="M659" s="14" t="s">
        <v>3473</v>
      </c>
      <c r="N659" s="14" t="s">
        <v>2367</v>
      </c>
      <c r="O659" s="17" t="s">
        <v>3473</v>
      </c>
    </row>
    <row r="660" spans="1:15" x14ac:dyDescent="0.15">
      <c r="A660" s="21" t="s">
        <v>3474</v>
      </c>
      <c r="B660" s="19"/>
      <c r="C660" s="11"/>
      <c r="D660" s="17" t="s">
        <v>389</v>
      </c>
      <c r="E660" s="10" t="s">
        <v>163</v>
      </c>
      <c r="F660" s="11" t="s">
        <v>3475</v>
      </c>
      <c r="G660" s="12">
        <f>17.52*L660</f>
        <v>140.16</v>
      </c>
      <c r="H660" s="13">
        <v>42221</v>
      </c>
      <c r="I660" s="12" t="s">
        <v>635</v>
      </c>
      <c r="J660" s="12" t="s">
        <v>3476</v>
      </c>
      <c r="K660" s="12" t="s">
        <v>227</v>
      </c>
      <c r="L660" s="12">
        <v>8</v>
      </c>
      <c r="M660" s="14" t="s">
        <v>394</v>
      </c>
      <c r="N660" s="14" t="s">
        <v>1041</v>
      </c>
      <c r="O660" s="17" t="s">
        <v>3477</v>
      </c>
    </row>
    <row r="661" spans="1:15" x14ac:dyDescent="0.15">
      <c r="A661" s="21" t="s">
        <v>782</v>
      </c>
      <c r="B661" s="19" t="s">
        <v>180</v>
      </c>
      <c r="C661" s="11"/>
      <c r="D661" s="17" t="s">
        <v>783</v>
      </c>
      <c r="E661" s="10" t="s">
        <v>163</v>
      </c>
      <c r="F661" s="11" t="s">
        <v>3478</v>
      </c>
      <c r="G661" s="12">
        <f>29.101*L661</f>
        <v>116.404</v>
      </c>
      <c r="H661" s="13">
        <v>42221</v>
      </c>
      <c r="I661" s="12" t="s">
        <v>772</v>
      </c>
      <c r="J661" s="12" t="s">
        <v>3479</v>
      </c>
      <c r="K661" s="12" t="s">
        <v>227</v>
      </c>
      <c r="L661" s="12">
        <v>4</v>
      </c>
      <c r="M661" s="14" t="s">
        <v>3480</v>
      </c>
      <c r="N661" s="14" t="s">
        <v>571</v>
      </c>
      <c r="O661" s="17" t="s">
        <v>3481</v>
      </c>
    </row>
    <row r="662" spans="1:15" x14ac:dyDescent="0.15">
      <c r="A662" s="21" t="s">
        <v>1546</v>
      </c>
      <c r="B662" s="19"/>
      <c r="C662" s="11"/>
      <c r="D662" s="17" t="s">
        <v>1547</v>
      </c>
      <c r="E662" s="10" t="s">
        <v>163</v>
      </c>
      <c r="F662" s="11" t="s">
        <v>3482</v>
      </c>
      <c r="G662" s="12">
        <v>121.893</v>
      </c>
      <c r="H662" s="13">
        <v>42227</v>
      </c>
      <c r="I662" s="12" t="s">
        <v>215</v>
      </c>
      <c r="J662" s="12" t="s">
        <v>3483</v>
      </c>
      <c r="K662" s="12" t="s">
        <v>255</v>
      </c>
      <c r="L662" s="12" t="s">
        <v>2073</v>
      </c>
      <c r="M662" s="14" t="s">
        <v>3484</v>
      </c>
      <c r="N662" s="14" t="s">
        <v>3485</v>
      </c>
      <c r="O662" s="17" t="s">
        <v>3486</v>
      </c>
    </row>
    <row r="663" spans="1:15" x14ac:dyDescent="0.15">
      <c r="A663" s="21" t="s">
        <v>1836</v>
      </c>
      <c r="B663" s="19"/>
      <c r="C663" s="11"/>
      <c r="D663" s="17" t="s">
        <v>1609</v>
      </c>
      <c r="E663" s="10" t="s">
        <v>163</v>
      </c>
      <c r="F663" s="11" t="s">
        <v>3487</v>
      </c>
      <c r="G663" s="12">
        <f>20.558*L663</f>
        <v>513.95000000000005</v>
      </c>
      <c r="H663" s="13">
        <v>42227</v>
      </c>
      <c r="I663" s="12" t="s">
        <v>1098</v>
      </c>
      <c r="J663" s="12" t="s">
        <v>3488</v>
      </c>
      <c r="K663" s="12" t="s">
        <v>227</v>
      </c>
      <c r="L663" s="12">
        <v>25</v>
      </c>
      <c r="M663" s="14" t="s">
        <v>3489</v>
      </c>
      <c r="N663" s="14" t="s">
        <v>338</v>
      </c>
      <c r="O663" s="17" t="s">
        <v>3489</v>
      </c>
    </row>
    <row r="664" spans="1:15" x14ac:dyDescent="0.15">
      <c r="A664" s="21" t="s">
        <v>1836</v>
      </c>
      <c r="B664" s="19"/>
      <c r="C664" s="11"/>
      <c r="D664" s="17" t="s">
        <v>1609</v>
      </c>
      <c r="E664" s="10" t="s">
        <v>163</v>
      </c>
      <c r="F664" s="11" t="s">
        <v>3490</v>
      </c>
      <c r="G664" s="12">
        <f>20.558*L664</f>
        <v>513.95000000000005</v>
      </c>
      <c r="H664" s="13">
        <v>42227</v>
      </c>
      <c r="I664" s="12" t="s">
        <v>1098</v>
      </c>
      <c r="J664" s="12" t="s">
        <v>3491</v>
      </c>
      <c r="K664" s="12" t="s">
        <v>227</v>
      </c>
      <c r="L664" s="12">
        <v>25</v>
      </c>
      <c r="M664" s="14" t="s">
        <v>3492</v>
      </c>
      <c r="N664" s="14" t="s">
        <v>338</v>
      </c>
      <c r="O664" s="17" t="s">
        <v>3492</v>
      </c>
    </row>
    <row r="665" spans="1:15" x14ac:dyDescent="0.15">
      <c r="A665" s="21" t="s">
        <v>1168</v>
      </c>
      <c r="B665" s="22" t="s">
        <v>912</v>
      </c>
      <c r="C665" s="11"/>
      <c r="D665" s="17" t="s">
        <v>1163</v>
      </c>
      <c r="E665" s="10" t="s">
        <v>163</v>
      </c>
      <c r="F665" s="11" t="s">
        <v>3493</v>
      </c>
      <c r="G665" s="12">
        <f>9.871*L665</f>
        <v>246.77500000000001</v>
      </c>
      <c r="H665" s="13">
        <v>42227</v>
      </c>
      <c r="I665" s="12" t="s">
        <v>648</v>
      </c>
      <c r="J665" s="12" t="s">
        <v>3494</v>
      </c>
      <c r="K665" s="18" t="s">
        <v>227</v>
      </c>
      <c r="L665" s="12">
        <v>25</v>
      </c>
      <c r="M665" s="14" t="s">
        <v>3495</v>
      </c>
      <c r="N665" s="14" t="s">
        <v>338</v>
      </c>
      <c r="O665" s="17" t="s">
        <v>3495</v>
      </c>
    </row>
    <row r="666" spans="1:15" x14ac:dyDescent="0.15">
      <c r="A666" s="21" t="s">
        <v>1168</v>
      </c>
      <c r="B666" s="22" t="s">
        <v>912</v>
      </c>
      <c r="C666" s="11"/>
      <c r="D666" s="17" t="s">
        <v>1163</v>
      </c>
      <c r="E666" s="10" t="s">
        <v>163</v>
      </c>
      <c r="F666" s="11" t="s">
        <v>3496</v>
      </c>
      <c r="G666" s="12">
        <f>9.871*L666</f>
        <v>246.77500000000001</v>
      </c>
      <c r="H666" s="13">
        <v>42227</v>
      </c>
      <c r="I666" s="12" t="s">
        <v>648</v>
      </c>
      <c r="J666" s="12" t="s">
        <v>3497</v>
      </c>
      <c r="K666" s="18" t="s">
        <v>227</v>
      </c>
      <c r="L666" s="12">
        <v>25</v>
      </c>
      <c r="M666" s="14" t="s">
        <v>3498</v>
      </c>
      <c r="N666" s="14" t="s">
        <v>338</v>
      </c>
      <c r="O666" s="17" t="s">
        <v>3498</v>
      </c>
    </row>
    <row r="667" spans="1:15" x14ac:dyDescent="0.15">
      <c r="A667" s="21" t="s">
        <v>1168</v>
      </c>
      <c r="B667" s="22" t="s">
        <v>912</v>
      </c>
      <c r="C667" s="11"/>
      <c r="D667" s="17" t="s">
        <v>1163</v>
      </c>
      <c r="E667" s="10" t="s">
        <v>163</v>
      </c>
      <c r="F667" s="11" t="s">
        <v>3499</v>
      </c>
      <c r="G667" s="12">
        <f>9.871*L667</f>
        <v>246.77500000000001</v>
      </c>
      <c r="H667" s="13">
        <v>42227</v>
      </c>
      <c r="I667" s="12" t="s">
        <v>648</v>
      </c>
      <c r="J667" s="12" t="s">
        <v>3500</v>
      </c>
      <c r="K667" s="18" t="s">
        <v>227</v>
      </c>
      <c r="L667" s="12">
        <v>25</v>
      </c>
      <c r="M667" s="14" t="s">
        <v>3501</v>
      </c>
      <c r="N667" s="14" t="s">
        <v>338</v>
      </c>
      <c r="O667" s="17" t="s">
        <v>3501</v>
      </c>
    </row>
    <row r="668" spans="1:15" x14ac:dyDescent="0.15">
      <c r="A668" s="21" t="s">
        <v>1168</v>
      </c>
      <c r="B668" s="22" t="s">
        <v>912</v>
      </c>
      <c r="C668" s="11"/>
      <c r="D668" s="17" t="s">
        <v>1163</v>
      </c>
      <c r="E668" s="10" t="s">
        <v>163</v>
      </c>
      <c r="F668" s="11" t="s">
        <v>3502</v>
      </c>
      <c r="G668" s="12">
        <f>9.871*L668</f>
        <v>246.77500000000001</v>
      </c>
      <c r="H668" s="13">
        <v>42227</v>
      </c>
      <c r="I668" s="12" t="s">
        <v>648</v>
      </c>
      <c r="J668" s="12" t="s">
        <v>3503</v>
      </c>
      <c r="K668" s="18" t="s">
        <v>227</v>
      </c>
      <c r="L668" s="12">
        <v>25</v>
      </c>
      <c r="M668" s="14" t="s">
        <v>3504</v>
      </c>
      <c r="N668" s="14" t="s">
        <v>338</v>
      </c>
      <c r="O668" s="17" t="s">
        <v>3504</v>
      </c>
    </row>
    <row r="669" spans="1:15" x14ac:dyDescent="0.15">
      <c r="A669" s="21" t="s">
        <v>1817</v>
      </c>
      <c r="B669" s="19"/>
      <c r="C669" s="11"/>
      <c r="D669" s="17" t="s">
        <v>54</v>
      </c>
      <c r="E669" s="10" t="s">
        <v>163</v>
      </c>
      <c r="F669" s="11" t="s">
        <v>3505</v>
      </c>
      <c r="G669" s="18">
        <f>6.405*L669</f>
        <v>64.05</v>
      </c>
      <c r="H669" s="13">
        <v>42227</v>
      </c>
      <c r="I669" s="12" t="s">
        <v>233</v>
      </c>
      <c r="J669" s="12" t="s">
        <v>3506</v>
      </c>
      <c r="K669" s="12" t="s">
        <v>227</v>
      </c>
      <c r="L669" s="12">
        <v>10</v>
      </c>
      <c r="M669" s="14" t="s">
        <v>3507</v>
      </c>
      <c r="N669" s="14" t="s">
        <v>58</v>
      </c>
      <c r="O669" s="17" t="s">
        <v>3508</v>
      </c>
    </row>
    <row r="670" spans="1:15" x14ac:dyDescent="0.15">
      <c r="A670" s="21" t="s">
        <v>735</v>
      </c>
      <c r="B670" s="19"/>
      <c r="C670" s="11"/>
      <c r="D670" s="17" t="s">
        <v>341</v>
      </c>
      <c r="E670" s="10" t="s">
        <v>163</v>
      </c>
      <c r="F670" s="11" t="s">
        <v>3509</v>
      </c>
      <c r="G670" s="18">
        <f>18.708*L670</f>
        <v>467.69999999999993</v>
      </c>
      <c r="H670" s="13">
        <v>42227</v>
      </c>
      <c r="I670" s="12" t="s">
        <v>737</v>
      </c>
      <c r="J670" s="12" t="s">
        <v>3510</v>
      </c>
      <c r="K670" s="12" t="s">
        <v>227</v>
      </c>
      <c r="L670" s="12">
        <v>25</v>
      </c>
      <c r="M670" s="14" t="s">
        <v>3511</v>
      </c>
      <c r="N670" s="14" t="s">
        <v>338</v>
      </c>
      <c r="O670" s="17" t="s">
        <v>3512</v>
      </c>
    </row>
    <row r="671" spans="1:15" x14ac:dyDescent="0.15">
      <c r="A671" s="21" t="s">
        <v>2787</v>
      </c>
      <c r="B671" s="19"/>
      <c r="C671" s="11"/>
      <c r="D671" s="17" t="s">
        <v>425</v>
      </c>
      <c r="E671" s="10" t="s">
        <v>163</v>
      </c>
      <c r="F671" s="11" t="s">
        <v>3513</v>
      </c>
      <c r="G671" s="12">
        <f>18.708*L671</f>
        <v>93.539999999999992</v>
      </c>
      <c r="H671" s="13">
        <v>42227</v>
      </c>
      <c r="I671" s="12" t="s">
        <v>683</v>
      </c>
      <c r="J671" s="12" t="s">
        <v>3514</v>
      </c>
      <c r="K671" s="12" t="s">
        <v>227</v>
      </c>
      <c r="L671" s="12">
        <v>5</v>
      </c>
      <c r="M671" s="14" t="s">
        <v>3515</v>
      </c>
      <c r="N671" s="14" t="s">
        <v>3516</v>
      </c>
      <c r="O671" s="17" t="s">
        <v>3515</v>
      </c>
    </row>
    <row r="672" spans="1:15" x14ac:dyDescent="0.15">
      <c r="A672" s="21" t="s">
        <v>2416</v>
      </c>
      <c r="B672" s="19"/>
      <c r="C672" s="11"/>
      <c r="D672" s="17" t="s">
        <v>1181</v>
      </c>
      <c r="E672" s="10" t="s">
        <v>163</v>
      </c>
      <c r="F672" s="11" t="s">
        <v>3517</v>
      </c>
      <c r="G672" s="12">
        <f>17.712*L672</f>
        <v>53.135999999999996</v>
      </c>
      <c r="H672" s="13">
        <v>42227</v>
      </c>
      <c r="I672" s="12" t="s">
        <v>635</v>
      </c>
      <c r="J672" s="12" t="s">
        <v>3518</v>
      </c>
      <c r="K672" s="12" t="s">
        <v>227</v>
      </c>
      <c r="L672" s="12">
        <v>3</v>
      </c>
      <c r="M672" s="14" t="s">
        <v>3463</v>
      </c>
      <c r="N672" s="14" t="s">
        <v>479</v>
      </c>
      <c r="O672" s="17" t="s">
        <v>3519</v>
      </c>
    </row>
    <row r="673" spans="1:15" x14ac:dyDescent="0.15">
      <c r="A673" s="21" t="s">
        <v>688</v>
      </c>
      <c r="B673" s="19"/>
      <c r="C673" s="11"/>
      <c r="D673" s="17" t="s">
        <v>3331</v>
      </c>
      <c r="E673" s="10" t="s">
        <v>163</v>
      </c>
      <c r="F673" s="11" t="s">
        <v>3520</v>
      </c>
      <c r="G673" s="12">
        <f>14.405*L673</f>
        <v>360.125</v>
      </c>
      <c r="H673" s="13">
        <v>42227</v>
      </c>
      <c r="I673" s="12" t="s">
        <v>635</v>
      </c>
      <c r="J673" s="12" t="s">
        <v>3521</v>
      </c>
      <c r="K673" s="12" t="s">
        <v>227</v>
      </c>
      <c r="L673" s="12">
        <v>25</v>
      </c>
      <c r="M673" s="14" t="s">
        <v>3522</v>
      </c>
      <c r="N673" s="14" t="s">
        <v>338</v>
      </c>
      <c r="O673" s="17" t="s">
        <v>3522</v>
      </c>
    </row>
    <row r="674" spans="1:15" x14ac:dyDescent="0.15">
      <c r="A674" s="21" t="s">
        <v>688</v>
      </c>
      <c r="B674" s="19"/>
      <c r="C674" s="11"/>
      <c r="D674" s="17" t="s">
        <v>3331</v>
      </c>
      <c r="E674" s="10" t="s">
        <v>163</v>
      </c>
      <c r="F674" s="11" t="s">
        <v>3523</v>
      </c>
      <c r="G674" s="12">
        <f>14.405*L674</f>
        <v>360.125</v>
      </c>
      <c r="H674" s="13">
        <v>42227</v>
      </c>
      <c r="I674" s="12" t="s">
        <v>635</v>
      </c>
      <c r="J674" s="12" t="s">
        <v>3524</v>
      </c>
      <c r="K674" s="12" t="s">
        <v>227</v>
      </c>
      <c r="L674" s="12">
        <v>25</v>
      </c>
      <c r="M674" s="14" t="s">
        <v>3525</v>
      </c>
      <c r="N674" s="14" t="s">
        <v>2367</v>
      </c>
      <c r="O674" s="17" t="s">
        <v>3526</v>
      </c>
    </row>
    <row r="675" spans="1:15" x14ac:dyDescent="0.15">
      <c r="A675" s="21" t="s">
        <v>1462</v>
      </c>
      <c r="B675" s="19"/>
      <c r="C675" s="11"/>
      <c r="D675" s="17" t="s">
        <v>1463</v>
      </c>
      <c r="E675" s="10" t="s">
        <v>163</v>
      </c>
      <c r="F675" s="11" t="s">
        <v>3527</v>
      </c>
      <c r="G675" s="12">
        <f>14.38*L675</f>
        <v>115.04</v>
      </c>
      <c r="H675" s="13">
        <v>42228</v>
      </c>
      <c r="I675" s="12" t="s">
        <v>233</v>
      </c>
      <c r="J675" s="12" t="s">
        <v>3528</v>
      </c>
      <c r="K675" s="12" t="s">
        <v>227</v>
      </c>
      <c r="L675" s="12">
        <v>8</v>
      </c>
      <c r="M675" s="14" t="s">
        <v>3529</v>
      </c>
      <c r="N675" s="14" t="s">
        <v>1217</v>
      </c>
      <c r="O675" s="17" t="s">
        <v>3529</v>
      </c>
    </row>
    <row r="676" spans="1:15" x14ac:dyDescent="0.15">
      <c r="A676" s="21" t="s">
        <v>3530</v>
      </c>
      <c r="B676" s="19"/>
      <c r="C676" s="11"/>
      <c r="D676" s="17" t="s">
        <v>1475</v>
      </c>
      <c r="E676" s="10" t="s">
        <v>163</v>
      </c>
      <c r="F676" s="11" t="s">
        <v>3531</v>
      </c>
      <c r="G676" s="12">
        <v>99.141000000000005</v>
      </c>
      <c r="H676" s="13">
        <v>42234</v>
      </c>
      <c r="I676" s="12" t="s">
        <v>215</v>
      </c>
      <c r="J676" s="12" t="s">
        <v>3532</v>
      </c>
      <c r="K676" s="12" t="s">
        <v>175</v>
      </c>
      <c r="L676" s="12" t="s">
        <v>1478</v>
      </c>
      <c r="M676" s="14" t="s">
        <v>3533</v>
      </c>
      <c r="N676" s="14" t="s">
        <v>1490</v>
      </c>
      <c r="O676" s="17" t="s">
        <v>3534</v>
      </c>
    </row>
    <row r="677" spans="1:15" x14ac:dyDescent="0.15">
      <c r="A677" s="21" t="s">
        <v>3530</v>
      </c>
      <c r="B677" s="19"/>
      <c r="C677" s="11"/>
      <c r="D677" s="17" t="s">
        <v>1475</v>
      </c>
      <c r="E677" s="10" t="s">
        <v>163</v>
      </c>
      <c r="F677" s="11" t="s">
        <v>3535</v>
      </c>
      <c r="G677" s="12">
        <v>98.915000000000006</v>
      </c>
      <c r="H677" s="13">
        <v>42234</v>
      </c>
      <c r="I677" s="12" t="s">
        <v>215</v>
      </c>
      <c r="J677" s="12" t="s">
        <v>3536</v>
      </c>
      <c r="K677" s="12" t="s">
        <v>175</v>
      </c>
      <c r="L677" s="12" t="s">
        <v>1478</v>
      </c>
      <c r="M677" s="14" t="s">
        <v>3537</v>
      </c>
      <c r="N677" s="14" t="s">
        <v>1988</v>
      </c>
      <c r="O677" s="17" t="s">
        <v>3538</v>
      </c>
    </row>
    <row r="678" spans="1:15" x14ac:dyDescent="0.15">
      <c r="A678" s="21" t="s">
        <v>3530</v>
      </c>
      <c r="B678" s="19"/>
      <c r="C678" s="11"/>
      <c r="D678" s="17" t="s">
        <v>1475</v>
      </c>
      <c r="E678" s="10" t="s">
        <v>163</v>
      </c>
      <c r="F678" s="11" t="s">
        <v>3539</v>
      </c>
      <c r="G678" s="12">
        <v>98.837999999999994</v>
      </c>
      <c r="H678" s="13">
        <v>42234</v>
      </c>
      <c r="I678" s="12" t="s">
        <v>215</v>
      </c>
      <c r="J678" s="12" t="s">
        <v>3540</v>
      </c>
      <c r="K678" s="12" t="s">
        <v>175</v>
      </c>
      <c r="L678" s="12" t="s">
        <v>1478</v>
      </c>
      <c r="M678" s="14" t="s">
        <v>3541</v>
      </c>
      <c r="N678" s="14" t="s">
        <v>1490</v>
      </c>
      <c r="O678" s="17" t="s">
        <v>3542</v>
      </c>
    </row>
    <row r="679" spans="1:15" x14ac:dyDescent="0.15">
      <c r="A679" s="21" t="s">
        <v>3530</v>
      </c>
      <c r="B679" s="19"/>
      <c r="C679" s="11"/>
      <c r="D679" s="17" t="s">
        <v>1475</v>
      </c>
      <c r="E679" s="10" t="s">
        <v>163</v>
      </c>
      <c r="F679" s="11" t="s">
        <v>3543</v>
      </c>
      <c r="G679" s="12">
        <v>99.036000000000001</v>
      </c>
      <c r="H679" s="13">
        <v>42234</v>
      </c>
      <c r="I679" s="12" t="s">
        <v>215</v>
      </c>
      <c r="J679" s="12" t="s">
        <v>3544</v>
      </c>
      <c r="K679" s="12" t="s">
        <v>175</v>
      </c>
      <c r="L679" s="12" t="s">
        <v>1478</v>
      </c>
      <c r="M679" s="14" t="s">
        <v>3545</v>
      </c>
      <c r="N679" s="14" t="s">
        <v>1988</v>
      </c>
      <c r="O679" s="17" t="s">
        <v>3546</v>
      </c>
    </row>
    <row r="680" spans="1:15" x14ac:dyDescent="0.15">
      <c r="A680" s="21" t="s">
        <v>2200</v>
      </c>
      <c r="B680" s="19"/>
      <c r="C680" s="11"/>
      <c r="D680" s="17" t="s">
        <v>1475</v>
      </c>
      <c r="E680" s="10" t="s">
        <v>163</v>
      </c>
      <c r="F680" s="11" t="s">
        <v>3547</v>
      </c>
      <c r="G680" s="12">
        <v>99.15</v>
      </c>
      <c r="H680" s="13">
        <v>42234</v>
      </c>
      <c r="I680" s="12" t="s">
        <v>215</v>
      </c>
      <c r="J680" s="12" t="s">
        <v>3548</v>
      </c>
      <c r="K680" s="12" t="s">
        <v>175</v>
      </c>
      <c r="L680" s="12" t="s">
        <v>1478</v>
      </c>
      <c r="M680" s="14" t="s">
        <v>3549</v>
      </c>
      <c r="N680" s="14" t="s">
        <v>1993</v>
      </c>
      <c r="O680" s="17" t="s">
        <v>3550</v>
      </c>
    </row>
    <row r="681" spans="1:15" x14ac:dyDescent="0.15">
      <c r="A681" s="21" t="s">
        <v>3551</v>
      </c>
      <c r="B681" s="19"/>
      <c r="C681" s="11"/>
      <c r="D681" s="17" t="s">
        <v>3552</v>
      </c>
      <c r="E681" s="10" t="s">
        <v>163</v>
      </c>
      <c r="F681" s="11" t="s">
        <v>3553</v>
      </c>
      <c r="G681" s="12">
        <f>18.708*L681</f>
        <v>318.03599999999994</v>
      </c>
      <c r="H681" s="13">
        <v>42234</v>
      </c>
      <c r="I681" s="12" t="s">
        <v>1098</v>
      </c>
      <c r="J681" s="12" t="s">
        <v>3554</v>
      </c>
      <c r="K681" s="12" t="s">
        <v>227</v>
      </c>
      <c r="L681" s="12">
        <v>17</v>
      </c>
      <c r="M681" s="14" t="s">
        <v>2954</v>
      </c>
      <c r="N681" s="14" t="s">
        <v>2193</v>
      </c>
      <c r="O681" s="17" t="s">
        <v>3555</v>
      </c>
    </row>
    <row r="682" spans="1:15" x14ac:dyDescent="0.15">
      <c r="A682" s="21" t="s">
        <v>1957</v>
      </c>
      <c r="B682" s="19"/>
      <c r="C682" s="11"/>
      <c r="D682" s="17" t="s">
        <v>425</v>
      </c>
      <c r="E682" s="10" t="s">
        <v>163</v>
      </c>
      <c r="F682" s="11" t="s">
        <v>3556</v>
      </c>
      <c r="G682" s="12">
        <f>18.708*L682</f>
        <v>93.539999999999992</v>
      </c>
      <c r="H682" s="13">
        <v>42234</v>
      </c>
      <c r="I682" s="12" t="s">
        <v>1098</v>
      </c>
      <c r="J682" s="12" t="s">
        <v>3557</v>
      </c>
      <c r="K682" s="12" t="s">
        <v>132</v>
      </c>
      <c r="L682" s="12">
        <v>5</v>
      </c>
      <c r="M682" s="14" t="s">
        <v>3515</v>
      </c>
      <c r="N682" s="14" t="s">
        <v>1689</v>
      </c>
      <c r="O682" s="17" t="s">
        <v>3515</v>
      </c>
    </row>
    <row r="683" spans="1:15" x14ac:dyDescent="0.15">
      <c r="A683" s="21" t="s">
        <v>3558</v>
      </c>
      <c r="B683" s="19"/>
      <c r="C683" s="11"/>
      <c r="D683" s="17" t="s">
        <v>3559</v>
      </c>
      <c r="E683" s="10" t="s">
        <v>163</v>
      </c>
      <c r="F683" s="11" t="s">
        <v>3560</v>
      </c>
      <c r="G683" s="12">
        <f>17.52*L683</f>
        <v>17.52</v>
      </c>
      <c r="H683" s="13">
        <v>42234</v>
      </c>
      <c r="I683" s="18" t="s">
        <v>1651</v>
      </c>
      <c r="J683" s="18" t="s">
        <v>3561</v>
      </c>
      <c r="K683" s="18" t="s">
        <v>227</v>
      </c>
      <c r="L683" s="12">
        <v>1</v>
      </c>
      <c r="M683" s="14" t="s">
        <v>3562</v>
      </c>
      <c r="N683" s="14" t="s">
        <v>3563</v>
      </c>
      <c r="O683" s="17" t="s">
        <v>3564</v>
      </c>
    </row>
    <row r="684" spans="1:15" x14ac:dyDescent="0.15">
      <c r="A684" s="21" t="s">
        <v>3558</v>
      </c>
      <c r="B684" s="19"/>
      <c r="C684" s="11"/>
      <c r="D684" s="17" t="s">
        <v>3559</v>
      </c>
      <c r="E684" s="10" t="s">
        <v>163</v>
      </c>
      <c r="F684" s="11" t="s">
        <v>3565</v>
      </c>
      <c r="G684" s="12">
        <f>17.52*L684</f>
        <v>35.04</v>
      </c>
      <c r="H684" s="13">
        <v>42234</v>
      </c>
      <c r="I684" s="18" t="s">
        <v>1651</v>
      </c>
      <c r="J684" s="18" t="s">
        <v>3566</v>
      </c>
      <c r="K684" s="18" t="s">
        <v>227</v>
      </c>
      <c r="L684" s="12">
        <v>2</v>
      </c>
      <c r="M684" s="14" t="s">
        <v>3567</v>
      </c>
      <c r="N684" s="14" t="s">
        <v>577</v>
      </c>
      <c r="O684" s="17" t="s">
        <v>3567</v>
      </c>
    </row>
    <row r="685" spans="1:15" x14ac:dyDescent="0.15">
      <c r="A685" s="21" t="s">
        <v>1118</v>
      </c>
      <c r="B685" s="19"/>
      <c r="C685" s="11"/>
      <c r="D685" s="17" t="s">
        <v>1119</v>
      </c>
      <c r="E685" s="10" t="s">
        <v>163</v>
      </c>
      <c r="F685" s="11" t="s">
        <v>3568</v>
      </c>
      <c r="G685" s="12">
        <f>17.498*L685</f>
        <v>69.992000000000004</v>
      </c>
      <c r="H685" s="13">
        <v>42234</v>
      </c>
      <c r="I685" s="12" t="s">
        <v>635</v>
      </c>
      <c r="J685" s="12" t="s">
        <v>3569</v>
      </c>
      <c r="K685" s="12" t="s">
        <v>227</v>
      </c>
      <c r="L685" s="12">
        <v>4</v>
      </c>
      <c r="M685" s="14" t="s">
        <v>3570</v>
      </c>
      <c r="N685" s="14" t="s">
        <v>3571</v>
      </c>
      <c r="O685" s="17" t="s">
        <v>3572</v>
      </c>
    </row>
    <row r="686" spans="1:15" x14ac:dyDescent="0.15">
      <c r="A686" s="21" t="s">
        <v>1860</v>
      </c>
      <c r="B686" s="19"/>
      <c r="C686" s="11"/>
      <c r="D686" s="17" t="s">
        <v>2997</v>
      </c>
      <c r="E686" s="10" t="s">
        <v>163</v>
      </c>
      <c r="F686" s="11" t="s">
        <v>3573</v>
      </c>
      <c r="G686" s="18">
        <f>29.101*L686</f>
        <v>727.52499999999998</v>
      </c>
      <c r="H686" s="13">
        <v>42235</v>
      </c>
      <c r="I686" s="12" t="s">
        <v>3574</v>
      </c>
      <c r="J686" s="12" t="s">
        <v>3575</v>
      </c>
      <c r="K686" s="12" t="s">
        <v>227</v>
      </c>
      <c r="L686" s="12">
        <v>25</v>
      </c>
      <c r="M686" s="14" t="s">
        <v>3576</v>
      </c>
      <c r="N686" s="14" t="s">
        <v>2367</v>
      </c>
      <c r="O686" s="17" t="s">
        <v>3577</v>
      </c>
    </row>
    <row r="687" spans="1:15" x14ac:dyDescent="0.15">
      <c r="A687" s="21" t="s">
        <v>1860</v>
      </c>
      <c r="B687" s="19"/>
      <c r="C687" s="11"/>
      <c r="D687" s="17" t="s">
        <v>2997</v>
      </c>
      <c r="E687" s="10" t="s">
        <v>163</v>
      </c>
      <c r="F687" s="11" t="s">
        <v>3578</v>
      </c>
      <c r="G687" s="18">
        <f>29.101*L687</f>
        <v>727.52499999999998</v>
      </c>
      <c r="H687" s="13">
        <v>42235</v>
      </c>
      <c r="I687" s="12" t="s">
        <v>3574</v>
      </c>
      <c r="J687" s="12" t="s">
        <v>3579</v>
      </c>
      <c r="K687" s="12" t="s">
        <v>227</v>
      </c>
      <c r="L687" s="12">
        <v>25</v>
      </c>
      <c r="M687" s="14" t="s">
        <v>3580</v>
      </c>
      <c r="N687" s="14" t="s">
        <v>2367</v>
      </c>
      <c r="O687" s="17" t="s">
        <v>3581</v>
      </c>
    </row>
    <row r="688" spans="1:15" x14ac:dyDescent="0.15">
      <c r="A688" s="20" t="s">
        <v>3582</v>
      </c>
      <c r="B688" s="19"/>
      <c r="C688" s="11"/>
      <c r="D688" s="17" t="s">
        <v>3583</v>
      </c>
      <c r="E688" s="10" t="s">
        <v>3584</v>
      </c>
      <c r="F688" s="11" t="s">
        <v>3585</v>
      </c>
      <c r="G688" s="12">
        <f>35.474*L688</f>
        <v>886.84999999999991</v>
      </c>
      <c r="H688" s="13">
        <v>42235</v>
      </c>
      <c r="I688" s="12" t="s">
        <v>3586</v>
      </c>
      <c r="J688" s="12" t="s">
        <v>3587</v>
      </c>
      <c r="K688" s="12" t="s">
        <v>227</v>
      </c>
      <c r="L688" s="12">
        <v>25</v>
      </c>
      <c r="M688" s="14" t="s">
        <v>3588</v>
      </c>
      <c r="N688" s="14" t="s">
        <v>2367</v>
      </c>
      <c r="O688" s="17" t="s">
        <v>3589</v>
      </c>
    </row>
    <row r="689" spans="1:15" x14ac:dyDescent="0.15">
      <c r="A689" s="20" t="s">
        <v>3582</v>
      </c>
      <c r="B689" s="19"/>
      <c r="C689" s="11"/>
      <c r="D689" s="17" t="s">
        <v>3583</v>
      </c>
      <c r="E689" s="10" t="s">
        <v>3584</v>
      </c>
      <c r="F689" s="11" t="s">
        <v>3590</v>
      </c>
      <c r="G689" s="12">
        <f>35.474*L689</f>
        <v>886.84999999999991</v>
      </c>
      <c r="H689" s="13">
        <v>42235</v>
      </c>
      <c r="I689" s="12" t="s">
        <v>3586</v>
      </c>
      <c r="J689" s="12" t="s">
        <v>3591</v>
      </c>
      <c r="K689" s="12" t="s">
        <v>227</v>
      </c>
      <c r="L689" s="12">
        <v>25</v>
      </c>
      <c r="M689" s="14" t="s">
        <v>3592</v>
      </c>
      <c r="N689" s="14" t="s">
        <v>2367</v>
      </c>
      <c r="O689" s="17" t="s">
        <v>3593</v>
      </c>
    </row>
    <row r="690" spans="1:15" x14ac:dyDescent="0.15">
      <c r="A690" s="20" t="s">
        <v>3594</v>
      </c>
      <c r="B690" s="22" t="s">
        <v>912</v>
      </c>
      <c r="C690" s="11"/>
      <c r="D690" s="17" t="s">
        <v>3595</v>
      </c>
      <c r="E690" s="10" t="s">
        <v>163</v>
      </c>
      <c r="F690" s="11" t="s">
        <v>3596</v>
      </c>
      <c r="G690" s="18">
        <f>4.701*L690</f>
        <v>28.205999999999996</v>
      </c>
      <c r="H690" s="13">
        <v>42241</v>
      </c>
      <c r="I690" s="12" t="s">
        <v>1635</v>
      </c>
      <c r="J690" s="12" t="s">
        <v>3597</v>
      </c>
      <c r="K690" s="12" t="s">
        <v>227</v>
      </c>
      <c r="L690" s="12">
        <v>6</v>
      </c>
      <c r="M690" s="14" t="s">
        <v>3598</v>
      </c>
      <c r="N690" s="14" t="s">
        <v>2186</v>
      </c>
      <c r="O690" s="17" t="s">
        <v>3598</v>
      </c>
    </row>
    <row r="691" spans="1:15" x14ac:dyDescent="0.15">
      <c r="A691" s="20" t="s">
        <v>3344</v>
      </c>
      <c r="B691" s="22" t="s">
        <v>912</v>
      </c>
      <c r="C691" s="11"/>
      <c r="D691" s="27" t="s">
        <v>3599</v>
      </c>
      <c r="E691" s="10" t="s">
        <v>163</v>
      </c>
      <c r="F691" s="11" t="s">
        <v>3600</v>
      </c>
      <c r="G691" s="12">
        <f>2.238*L691</f>
        <v>15.666</v>
      </c>
      <c r="H691" s="13">
        <v>42242</v>
      </c>
      <c r="I691" s="28" t="s">
        <v>2183</v>
      </c>
      <c r="J691" s="12" t="s">
        <v>3601</v>
      </c>
      <c r="K691" s="28" t="s">
        <v>227</v>
      </c>
      <c r="L691" s="12">
        <v>7</v>
      </c>
      <c r="M691" s="14" t="s">
        <v>3602</v>
      </c>
      <c r="N691" s="14" t="s">
        <v>3603</v>
      </c>
      <c r="O691" s="17" t="s">
        <v>3602</v>
      </c>
    </row>
    <row r="692" spans="1:15" x14ac:dyDescent="0.15">
      <c r="A692" s="21" t="s">
        <v>1213</v>
      </c>
      <c r="B692" s="19"/>
      <c r="C692" s="11"/>
      <c r="D692" s="17" t="s">
        <v>2992</v>
      </c>
      <c r="E692" s="10" t="s">
        <v>163</v>
      </c>
      <c r="F692" s="11" t="s">
        <v>3604</v>
      </c>
      <c r="G692" s="12">
        <f>27.688*L692</f>
        <v>193.816</v>
      </c>
      <c r="H692" s="13">
        <v>42242</v>
      </c>
      <c r="I692" s="12" t="s">
        <v>635</v>
      </c>
      <c r="J692" s="12" t="s">
        <v>3605</v>
      </c>
      <c r="K692" s="12" t="s">
        <v>227</v>
      </c>
      <c r="L692" s="12">
        <v>7</v>
      </c>
      <c r="M692" s="14" t="s">
        <v>3606</v>
      </c>
      <c r="N692" s="14" t="s">
        <v>3349</v>
      </c>
      <c r="O692" s="17" t="s">
        <v>3606</v>
      </c>
    </row>
    <row r="693" spans="1:15" x14ac:dyDescent="0.15">
      <c r="A693" s="21" t="s">
        <v>632</v>
      </c>
      <c r="B693" s="19"/>
      <c r="C693" s="11"/>
      <c r="D693" s="17" t="s">
        <v>633</v>
      </c>
      <c r="E693" s="10" t="s">
        <v>163</v>
      </c>
      <c r="F693" s="11" t="s">
        <v>3607</v>
      </c>
      <c r="G693" s="12">
        <f>L693*17.498</f>
        <v>209.976</v>
      </c>
      <c r="H693" s="13">
        <v>42242</v>
      </c>
      <c r="I693" s="12" t="s">
        <v>635</v>
      </c>
      <c r="J693" s="12" t="s">
        <v>3608</v>
      </c>
      <c r="K693" s="12" t="s">
        <v>227</v>
      </c>
      <c r="L693" s="12">
        <v>12</v>
      </c>
      <c r="M693" s="14" t="s">
        <v>3609</v>
      </c>
      <c r="N693" s="14" t="s">
        <v>242</v>
      </c>
      <c r="O693" s="17" t="s">
        <v>3609</v>
      </c>
    </row>
    <row r="694" spans="1:15" x14ac:dyDescent="0.15">
      <c r="A694" s="21" t="s">
        <v>3610</v>
      </c>
      <c r="B694" s="19"/>
      <c r="C694" s="11"/>
      <c r="D694" s="17" t="s">
        <v>811</v>
      </c>
      <c r="E694" s="10" t="s">
        <v>163</v>
      </c>
      <c r="F694" s="11" t="s">
        <v>3611</v>
      </c>
      <c r="G694" s="12">
        <f>18.708*L694</f>
        <v>467.69999999999993</v>
      </c>
      <c r="H694" s="13">
        <v>42243</v>
      </c>
      <c r="I694" s="12" t="s">
        <v>1098</v>
      </c>
      <c r="J694" s="12" t="s">
        <v>3612</v>
      </c>
      <c r="K694" s="12" t="s">
        <v>227</v>
      </c>
      <c r="L694" s="12">
        <v>25</v>
      </c>
      <c r="M694" s="14" t="s">
        <v>3613</v>
      </c>
      <c r="N694" s="14" t="s">
        <v>338</v>
      </c>
      <c r="O694" s="17" t="s">
        <v>3613</v>
      </c>
    </row>
    <row r="695" spans="1:15" x14ac:dyDescent="0.15">
      <c r="A695" s="21" t="s">
        <v>1957</v>
      </c>
      <c r="B695" s="19"/>
      <c r="C695" s="11"/>
      <c r="D695" s="17" t="s">
        <v>425</v>
      </c>
      <c r="E695" s="10" t="s">
        <v>163</v>
      </c>
      <c r="F695" s="11" t="s">
        <v>3614</v>
      </c>
      <c r="G695" s="12">
        <f>18.708*L695</f>
        <v>467.69999999999993</v>
      </c>
      <c r="H695" s="13">
        <v>42243</v>
      </c>
      <c r="I695" s="12" t="s">
        <v>1098</v>
      </c>
      <c r="J695" s="12" t="s">
        <v>3615</v>
      </c>
      <c r="K695" s="12" t="s">
        <v>132</v>
      </c>
      <c r="L695" s="12">
        <v>25</v>
      </c>
      <c r="M695" s="14" t="s">
        <v>3616</v>
      </c>
      <c r="N695" s="14" t="s">
        <v>338</v>
      </c>
      <c r="O695" s="17" t="s">
        <v>3616</v>
      </c>
    </row>
    <row r="696" spans="1:15" x14ac:dyDescent="0.15">
      <c r="A696" s="21" t="s">
        <v>1886</v>
      </c>
      <c r="B696" s="19"/>
      <c r="C696" s="11"/>
      <c r="D696" s="17" t="s">
        <v>223</v>
      </c>
      <c r="E696" s="10" t="s">
        <v>163</v>
      </c>
      <c r="F696" s="11" t="s">
        <v>3617</v>
      </c>
      <c r="G696" s="12">
        <f>29.101*L696</f>
        <v>87.302999999999997</v>
      </c>
      <c r="H696" s="13">
        <v>42243</v>
      </c>
      <c r="I696" s="12" t="s">
        <v>1661</v>
      </c>
      <c r="J696" s="12" t="s">
        <v>3618</v>
      </c>
      <c r="K696" s="12" t="s">
        <v>227</v>
      </c>
      <c r="L696" s="12">
        <v>3</v>
      </c>
      <c r="M696" s="14" t="s">
        <v>1890</v>
      </c>
      <c r="N696" s="14" t="s">
        <v>3325</v>
      </c>
      <c r="O696" s="17" t="s">
        <v>3619</v>
      </c>
    </row>
    <row r="697" spans="1:15" x14ac:dyDescent="0.15">
      <c r="A697" s="21" t="s">
        <v>221</v>
      </c>
      <c r="B697" s="11" t="s">
        <v>222</v>
      </c>
      <c r="C697" s="11"/>
      <c r="D697" s="17" t="s">
        <v>223</v>
      </c>
      <c r="E697" s="10" t="s">
        <v>163</v>
      </c>
      <c r="F697" s="11" t="s">
        <v>3620</v>
      </c>
      <c r="G697" s="12">
        <f>29.101*L697/2</f>
        <v>58.201999999999998</v>
      </c>
      <c r="H697" s="13">
        <v>42243</v>
      </c>
      <c r="I697" s="12" t="s">
        <v>225</v>
      </c>
      <c r="J697" s="12" t="s">
        <v>3621</v>
      </c>
      <c r="K697" s="12" t="s">
        <v>227</v>
      </c>
      <c r="L697" s="12">
        <v>4</v>
      </c>
      <c r="M697" s="14" t="s">
        <v>1890</v>
      </c>
      <c r="N697" s="14" t="s">
        <v>3392</v>
      </c>
      <c r="O697" s="17" t="s">
        <v>3622</v>
      </c>
    </row>
    <row r="698" spans="1:15" x14ac:dyDescent="0.15">
      <c r="A698" s="21" t="s">
        <v>1197</v>
      </c>
      <c r="B698" s="19"/>
      <c r="C698" s="11"/>
      <c r="D698" s="17" t="s">
        <v>54</v>
      </c>
      <c r="E698" s="10" t="s">
        <v>163</v>
      </c>
      <c r="F698" s="11" t="s">
        <v>3623</v>
      </c>
      <c r="G698" s="18">
        <f>6.405*L698</f>
        <v>160.125</v>
      </c>
      <c r="H698" s="13">
        <v>42243</v>
      </c>
      <c r="I698" s="12" t="s">
        <v>1199</v>
      </c>
      <c r="J698" s="12" t="s">
        <v>3624</v>
      </c>
      <c r="K698" s="12" t="s">
        <v>132</v>
      </c>
      <c r="L698" s="12">
        <v>25</v>
      </c>
      <c r="M698" s="14" t="s">
        <v>3625</v>
      </c>
      <c r="N698" s="14" t="s">
        <v>338</v>
      </c>
      <c r="O698" s="17" t="s">
        <v>3625</v>
      </c>
    </row>
    <row r="699" spans="1:15" x14ac:dyDescent="0.15">
      <c r="A699" s="21" t="s">
        <v>1168</v>
      </c>
      <c r="B699" s="22" t="s">
        <v>912</v>
      </c>
      <c r="C699" s="11"/>
      <c r="D699" s="17" t="s">
        <v>1163</v>
      </c>
      <c r="E699" s="10" t="s">
        <v>163</v>
      </c>
      <c r="F699" s="11" t="s">
        <v>3626</v>
      </c>
      <c r="G699" s="12">
        <f>9.871*L699</f>
        <v>246.77500000000001</v>
      </c>
      <c r="H699" s="13">
        <v>42243</v>
      </c>
      <c r="I699" s="12" t="s">
        <v>648</v>
      </c>
      <c r="J699" s="12" t="s">
        <v>3627</v>
      </c>
      <c r="K699" s="18" t="s">
        <v>227</v>
      </c>
      <c r="L699" s="12">
        <v>25</v>
      </c>
      <c r="M699" s="14" t="s">
        <v>3628</v>
      </c>
      <c r="N699" s="14" t="s">
        <v>338</v>
      </c>
      <c r="O699" s="17" t="s">
        <v>3629</v>
      </c>
    </row>
    <row r="700" spans="1:15" x14ac:dyDescent="0.15">
      <c r="A700" s="21" t="s">
        <v>2963</v>
      </c>
      <c r="B700" s="19"/>
      <c r="C700" s="11"/>
      <c r="D700" s="17" t="s">
        <v>1230</v>
      </c>
      <c r="E700" s="10" t="s">
        <v>163</v>
      </c>
      <c r="F700" s="11" t="s">
        <v>3630</v>
      </c>
      <c r="G700" s="12">
        <f>29.101*L700</f>
        <v>232.80799999999999</v>
      </c>
      <c r="H700" s="13">
        <v>42243</v>
      </c>
      <c r="I700" s="12" t="s">
        <v>1232</v>
      </c>
      <c r="J700" s="12" t="s">
        <v>3631</v>
      </c>
      <c r="K700" s="12" t="s">
        <v>132</v>
      </c>
      <c r="L700" s="12">
        <v>8</v>
      </c>
      <c r="M700" s="14" t="s">
        <v>2966</v>
      </c>
      <c r="N700" s="14" t="s">
        <v>1041</v>
      </c>
      <c r="O700" s="17" t="s">
        <v>3632</v>
      </c>
    </row>
    <row r="701" spans="1:15" x14ac:dyDescent="0.15">
      <c r="A701" s="21" t="s">
        <v>2200</v>
      </c>
      <c r="B701" s="19"/>
      <c r="C701" s="11"/>
      <c r="D701" s="17" t="s">
        <v>1475</v>
      </c>
      <c r="E701" s="10" t="s">
        <v>163</v>
      </c>
      <c r="F701" s="11" t="s">
        <v>3633</v>
      </c>
      <c r="G701" s="23">
        <v>99.146000000000001</v>
      </c>
      <c r="H701" s="13">
        <v>42244</v>
      </c>
      <c r="I701" s="12" t="s">
        <v>215</v>
      </c>
      <c r="J701" s="12" t="s">
        <v>3634</v>
      </c>
      <c r="K701" s="12" t="s">
        <v>175</v>
      </c>
      <c r="L701" s="12" t="s">
        <v>1478</v>
      </c>
      <c r="M701" s="14" t="s">
        <v>3635</v>
      </c>
      <c r="N701" s="14" t="s">
        <v>2204</v>
      </c>
      <c r="O701" s="17" t="s">
        <v>3636</v>
      </c>
    </row>
    <row r="702" spans="1:15" x14ac:dyDescent="0.15">
      <c r="A702" s="21" t="s">
        <v>3008</v>
      </c>
      <c r="B702" s="19"/>
      <c r="C702" s="11"/>
      <c r="D702" s="17" t="s">
        <v>3009</v>
      </c>
      <c r="E702" s="10" t="s">
        <v>163</v>
      </c>
      <c r="F702" s="11" t="s">
        <v>3637</v>
      </c>
      <c r="G702" s="23">
        <v>99.816999999999993</v>
      </c>
      <c r="H702" s="13">
        <v>42244</v>
      </c>
      <c r="I702" s="12" t="s">
        <v>215</v>
      </c>
      <c r="J702" s="12" t="s">
        <v>3638</v>
      </c>
      <c r="K702" s="12" t="s">
        <v>175</v>
      </c>
      <c r="L702" s="12" t="s">
        <v>3012</v>
      </c>
      <c r="M702" s="14" t="s">
        <v>3639</v>
      </c>
      <c r="N702" s="14" t="s">
        <v>3014</v>
      </c>
      <c r="O702" s="17" t="s">
        <v>3640</v>
      </c>
    </row>
    <row r="703" spans="1:15" x14ac:dyDescent="0.15">
      <c r="A703" s="21" t="s">
        <v>3641</v>
      </c>
      <c r="B703" s="19"/>
      <c r="C703" s="11"/>
      <c r="D703" s="17" t="s">
        <v>103</v>
      </c>
      <c r="E703" s="10" t="s">
        <v>163</v>
      </c>
      <c r="F703" s="11" t="s">
        <v>3642</v>
      </c>
      <c r="G703" s="23">
        <v>48.640999999999998</v>
      </c>
      <c r="H703" s="13">
        <v>42244</v>
      </c>
      <c r="I703" s="12" t="s">
        <v>215</v>
      </c>
      <c r="J703" s="12" t="s">
        <v>3643</v>
      </c>
      <c r="K703" s="18" t="s">
        <v>255</v>
      </c>
      <c r="L703" s="12" t="s">
        <v>972</v>
      </c>
      <c r="M703" s="14" t="s">
        <v>3644</v>
      </c>
      <c r="N703" s="14" t="s">
        <v>3645</v>
      </c>
      <c r="O703" s="17" t="s">
        <v>3646</v>
      </c>
    </row>
    <row r="704" spans="1:15" x14ac:dyDescent="0.15">
      <c r="A704" s="21" t="s">
        <v>1503</v>
      </c>
      <c r="B704" s="19"/>
      <c r="C704" s="11"/>
      <c r="D704" s="17" t="s">
        <v>460</v>
      </c>
      <c r="E704" s="10" t="s">
        <v>163</v>
      </c>
      <c r="F704" s="11" t="s">
        <v>3647</v>
      </c>
      <c r="G704" s="23">
        <v>85.567999999999998</v>
      </c>
      <c r="H704" s="13">
        <v>42244</v>
      </c>
      <c r="I704" s="12" t="s">
        <v>215</v>
      </c>
      <c r="J704" s="12" t="s">
        <v>3648</v>
      </c>
      <c r="K704" s="12" t="s">
        <v>255</v>
      </c>
      <c r="L704" s="12" t="s">
        <v>1622</v>
      </c>
      <c r="M704" s="14" t="s">
        <v>3649</v>
      </c>
      <c r="N704" s="14" t="s">
        <v>3650</v>
      </c>
      <c r="O704" s="17" t="s">
        <v>3651</v>
      </c>
    </row>
    <row r="705" spans="1:15" x14ac:dyDescent="0.15">
      <c r="A705" s="21" t="s">
        <v>3652</v>
      </c>
      <c r="B705" s="19"/>
      <c r="C705" s="11"/>
      <c r="D705" s="17" t="s">
        <v>223</v>
      </c>
      <c r="E705" s="10" t="s">
        <v>163</v>
      </c>
      <c r="F705" s="11" t="s">
        <v>3653</v>
      </c>
      <c r="G705" s="12">
        <f>29.101*L705</f>
        <v>87.302999999999997</v>
      </c>
      <c r="H705" s="13">
        <v>42247</v>
      </c>
      <c r="I705" s="12" t="s">
        <v>1661</v>
      </c>
      <c r="J705" s="12" t="s">
        <v>3654</v>
      </c>
      <c r="K705" s="12" t="s">
        <v>227</v>
      </c>
      <c r="L705" s="12">
        <v>3</v>
      </c>
      <c r="M705" s="14" t="s">
        <v>3655</v>
      </c>
      <c r="N705" s="14" t="s">
        <v>2955</v>
      </c>
      <c r="O705" s="17" t="s">
        <v>3655</v>
      </c>
    </row>
    <row r="706" spans="1:15" x14ac:dyDescent="0.15">
      <c r="A706" s="21" t="s">
        <v>1243</v>
      </c>
      <c r="B706" s="19"/>
      <c r="C706" s="11"/>
      <c r="D706" s="17" t="s">
        <v>334</v>
      </c>
      <c r="E706" s="10" t="s">
        <v>163</v>
      </c>
      <c r="F706" s="11" t="s">
        <v>3656</v>
      </c>
      <c r="G706" s="12">
        <f>18.708*L706</f>
        <v>224.49599999999998</v>
      </c>
      <c r="H706" s="13">
        <v>42247</v>
      </c>
      <c r="I706" s="12" t="s">
        <v>1098</v>
      </c>
      <c r="J706" s="12" t="s">
        <v>3657</v>
      </c>
      <c r="K706" s="12" t="s">
        <v>184</v>
      </c>
      <c r="L706" s="12">
        <v>12</v>
      </c>
      <c r="M706" s="14" t="s">
        <v>3658</v>
      </c>
      <c r="N706" s="14" t="s">
        <v>242</v>
      </c>
      <c r="O706" s="17" t="s">
        <v>3658</v>
      </c>
    </row>
    <row r="707" spans="1:15" x14ac:dyDescent="0.15">
      <c r="A707" s="21" t="s">
        <v>2848</v>
      </c>
      <c r="B707" s="19"/>
      <c r="C707" s="11"/>
      <c r="D707" s="17" t="s">
        <v>425</v>
      </c>
      <c r="E707" s="10" t="s">
        <v>163</v>
      </c>
      <c r="F707" s="11" t="s">
        <v>3659</v>
      </c>
      <c r="G707" s="12">
        <f>18.708*L707</f>
        <v>93.539999999999992</v>
      </c>
      <c r="H707" s="13">
        <v>42247</v>
      </c>
      <c r="I707" s="12" t="s">
        <v>1098</v>
      </c>
      <c r="J707" s="12" t="s">
        <v>3660</v>
      </c>
      <c r="K707" s="12" t="s">
        <v>132</v>
      </c>
      <c r="L707" s="12">
        <v>5</v>
      </c>
      <c r="M707" s="14" t="s">
        <v>3515</v>
      </c>
      <c r="N707" s="14" t="s">
        <v>1845</v>
      </c>
      <c r="O707" s="17" t="s">
        <v>3661</v>
      </c>
    </row>
    <row r="708" spans="1:15" x14ac:dyDescent="0.15">
      <c r="A708" s="21" t="s">
        <v>2363</v>
      </c>
      <c r="B708" s="19"/>
      <c r="C708" s="11"/>
      <c r="D708" s="17" t="s">
        <v>425</v>
      </c>
      <c r="E708" s="10" t="s">
        <v>163</v>
      </c>
      <c r="F708" s="11" t="s">
        <v>3662</v>
      </c>
      <c r="G708" s="12">
        <f>18.708*L708</f>
        <v>467.69999999999993</v>
      </c>
      <c r="H708" s="13">
        <v>42247</v>
      </c>
      <c r="I708" s="12" t="s">
        <v>1098</v>
      </c>
      <c r="J708" s="12" t="s">
        <v>3663</v>
      </c>
      <c r="K708" s="12" t="s">
        <v>227</v>
      </c>
      <c r="L708" s="12">
        <v>25</v>
      </c>
      <c r="M708" s="14" t="s">
        <v>3664</v>
      </c>
      <c r="N708" s="14" t="s">
        <v>338</v>
      </c>
      <c r="O708" s="17" t="s">
        <v>3664</v>
      </c>
    </row>
    <row r="709" spans="1:15" x14ac:dyDescent="0.15">
      <c r="A709" s="21" t="s">
        <v>1668</v>
      </c>
      <c r="B709" s="19"/>
      <c r="C709" s="11"/>
      <c r="D709" s="17" t="s">
        <v>1669</v>
      </c>
      <c r="E709" s="10" t="s">
        <v>163</v>
      </c>
      <c r="F709" s="11" t="s">
        <v>3665</v>
      </c>
      <c r="G709" s="18">
        <f>13.006*L709</f>
        <v>26.012</v>
      </c>
      <c r="H709" s="13">
        <v>42247</v>
      </c>
      <c r="I709" s="12" t="s">
        <v>1671</v>
      </c>
      <c r="J709" s="12" t="s">
        <v>3666</v>
      </c>
      <c r="K709" s="18" t="s">
        <v>227</v>
      </c>
      <c r="L709" s="12">
        <v>2</v>
      </c>
      <c r="M709" s="14" t="s">
        <v>3667</v>
      </c>
      <c r="N709" s="14" t="s">
        <v>3668</v>
      </c>
      <c r="O709" s="17" t="s">
        <v>3667</v>
      </c>
    </row>
    <row r="710" spans="1:15" x14ac:dyDescent="0.15">
      <c r="A710" s="21" t="s">
        <v>1675</v>
      </c>
      <c r="B710" s="19"/>
      <c r="C710" s="11"/>
      <c r="D710" s="17" t="s">
        <v>1669</v>
      </c>
      <c r="E710" s="10" t="s">
        <v>163</v>
      </c>
      <c r="F710" s="11" t="s">
        <v>3669</v>
      </c>
      <c r="G710" s="18">
        <f>13.006*L710</f>
        <v>78.036000000000001</v>
      </c>
      <c r="H710" s="13">
        <v>42247</v>
      </c>
      <c r="I710" s="12" t="s">
        <v>1671</v>
      </c>
      <c r="J710" s="12" t="s">
        <v>3670</v>
      </c>
      <c r="K710" s="18" t="s">
        <v>227</v>
      </c>
      <c r="L710" s="12">
        <v>6</v>
      </c>
      <c r="M710" s="14" t="s">
        <v>3671</v>
      </c>
      <c r="N710" s="14" t="s">
        <v>3672</v>
      </c>
      <c r="O710" s="17" t="s">
        <v>3671</v>
      </c>
    </row>
    <row r="711" spans="1:15" x14ac:dyDescent="0.15">
      <c r="A711" s="21" t="s">
        <v>1197</v>
      </c>
      <c r="B711" s="11"/>
      <c r="C711" s="11"/>
      <c r="D711" s="17" t="s">
        <v>54</v>
      </c>
      <c r="E711" s="10" t="s">
        <v>163</v>
      </c>
      <c r="F711" s="11" t="s">
        <v>3673</v>
      </c>
      <c r="G711" s="18">
        <f>6.405*L711</f>
        <v>128.1</v>
      </c>
      <c r="H711" s="13">
        <v>42248</v>
      </c>
      <c r="I711" s="12" t="s">
        <v>1199</v>
      </c>
      <c r="J711" s="12" t="s">
        <v>3674</v>
      </c>
      <c r="K711" s="12" t="s">
        <v>132</v>
      </c>
      <c r="L711" s="12">
        <v>20</v>
      </c>
      <c r="M711" s="14" t="s">
        <v>3675</v>
      </c>
      <c r="N711" s="14" t="s">
        <v>3259</v>
      </c>
      <c r="O711" s="17" t="s">
        <v>3675</v>
      </c>
    </row>
    <row r="712" spans="1:15" x14ac:dyDescent="0.15">
      <c r="A712" s="21" t="s">
        <v>1817</v>
      </c>
      <c r="B712" s="19"/>
      <c r="C712" s="11"/>
      <c r="D712" s="17" t="s">
        <v>54</v>
      </c>
      <c r="E712" s="10" t="s">
        <v>163</v>
      </c>
      <c r="F712" s="11" t="s">
        <v>3676</v>
      </c>
      <c r="G712" s="12">
        <f>6.405*L712</f>
        <v>64.05</v>
      </c>
      <c r="H712" s="13">
        <v>42248</v>
      </c>
      <c r="I712" s="12" t="s">
        <v>233</v>
      </c>
      <c r="J712" s="12" t="s">
        <v>3677</v>
      </c>
      <c r="K712" s="12" t="s">
        <v>227</v>
      </c>
      <c r="L712" s="12">
        <v>10</v>
      </c>
      <c r="M712" s="14" t="s">
        <v>3678</v>
      </c>
      <c r="N712" s="14" t="s">
        <v>412</v>
      </c>
      <c r="O712" s="17" t="s">
        <v>3678</v>
      </c>
    </row>
    <row r="713" spans="1:15" x14ac:dyDescent="0.15">
      <c r="A713" s="21" t="s">
        <v>2060</v>
      </c>
      <c r="B713" s="19"/>
      <c r="C713" s="11"/>
      <c r="D713" s="17" t="s">
        <v>1595</v>
      </c>
      <c r="E713" s="10" t="s">
        <v>163</v>
      </c>
      <c r="F713" s="11" t="s">
        <v>3679</v>
      </c>
      <c r="G713" s="12">
        <v>108.27500000000001</v>
      </c>
      <c r="H713" s="13">
        <v>42248</v>
      </c>
      <c r="I713" s="12" t="s">
        <v>215</v>
      </c>
      <c r="J713" s="12" t="s">
        <v>3680</v>
      </c>
      <c r="K713" s="12" t="s">
        <v>175</v>
      </c>
      <c r="L713" s="12" t="s">
        <v>1598</v>
      </c>
      <c r="M713" s="14" t="s">
        <v>3681</v>
      </c>
      <c r="N713" s="14" t="s">
        <v>3682</v>
      </c>
      <c r="O713" s="17" t="s">
        <v>3683</v>
      </c>
    </row>
    <row r="714" spans="1:15" x14ac:dyDescent="0.15">
      <c r="A714" s="21" t="s">
        <v>1546</v>
      </c>
      <c r="B714" s="19"/>
      <c r="C714" s="11"/>
      <c r="D714" s="17" t="s">
        <v>1547</v>
      </c>
      <c r="E714" s="10" t="s">
        <v>163</v>
      </c>
      <c r="F714" s="11" t="s">
        <v>3684</v>
      </c>
      <c r="G714" s="12">
        <v>152.97300000000001</v>
      </c>
      <c r="H714" s="13">
        <v>42248</v>
      </c>
      <c r="I714" s="12" t="s">
        <v>215</v>
      </c>
      <c r="J714" s="12" t="s">
        <v>3685</v>
      </c>
      <c r="K714" s="12" t="s">
        <v>255</v>
      </c>
      <c r="L714" s="12" t="s">
        <v>3226</v>
      </c>
      <c r="M714" s="14" t="s">
        <v>3686</v>
      </c>
      <c r="N714" s="14" t="s">
        <v>3369</v>
      </c>
      <c r="O714" s="17" t="s">
        <v>3687</v>
      </c>
    </row>
    <row r="715" spans="1:15" x14ac:dyDescent="0.15">
      <c r="A715" s="21" t="s">
        <v>1708</v>
      </c>
      <c r="B715" s="19"/>
      <c r="C715" s="11"/>
      <c r="D715" s="17" t="s">
        <v>1692</v>
      </c>
      <c r="E715" s="10" t="s">
        <v>163</v>
      </c>
      <c r="F715" s="11" t="s">
        <v>3688</v>
      </c>
      <c r="G715" s="12">
        <v>269.18200000000002</v>
      </c>
      <c r="H715" s="13">
        <v>42248</v>
      </c>
      <c r="I715" s="12" t="s">
        <v>215</v>
      </c>
      <c r="J715" s="12" t="s">
        <v>3689</v>
      </c>
      <c r="K715" s="12" t="s">
        <v>255</v>
      </c>
      <c r="L715" s="12" t="s">
        <v>1334</v>
      </c>
      <c r="M715" s="14" t="s">
        <v>3690</v>
      </c>
      <c r="N715" s="14" t="s">
        <v>1336</v>
      </c>
      <c r="O715" s="17" t="s">
        <v>3691</v>
      </c>
    </row>
    <row r="716" spans="1:15" x14ac:dyDescent="0.15">
      <c r="A716" s="21" t="s">
        <v>1708</v>
      </c>
      <c r="B716" s="19"/>
      <c r="C716" s="11"/>
      <c r="D716" s="17" t="s">
        <v>1692</v>
      </c>
      <c r="E716" s="10" t="s">
        <v>163</v>
      </c>
      <c r="F716" s="11" t="s">
        <v>3692</v>
      </c>
      <c r="G716" s="12">
        <v>307.24900000000002</v>
      </c>
      <c r="H716" s="13">
        <v>42248</v>
      </c>
      <c r="I716" s="12" t="s">
        <v>215</v>
      </c>
      <c r="J716" s="12" t="s">
        <v>3693</v>
      </c>
      <c r="K716" s="12" t="s">
        <v>255</v>
      </c>
      <c r="L716" s="12" t="s">
        <v>1328</v>
      </c>
      <c r="M716" s="14" t="s">
        <v>3694</v>
      </c>
      <c r="N716" s="14" t="s">
        <v>3695</v>
      </c>
      <c r="O716" s="17" t="s">
        <v>3696</v>
      </c>
    </row>
    <row r="717" spans="1:15" x14ac:dyDescent="0.15">
      <c r="A717" s="21" t="s">
        <v>1708</v>
      </c>
      <c r="B717" s="19"/>
      <c r="C717" s="11"/>
      <c r="D717" s="17" t="s">
        <v>1692</v>
      </c>
      <c r="E717" s="10" t="s">
        <v>163</v>
      </c>
      <c r="F717" s="11" t="s">
        <v>3697</v>
      </c>
      <c r="G717" s="12">
        <v>189.76</v>
      </c>
      <c r="H717" s="13">
        <v>42248</v>
      </c>
      <c r="I717" s="12" t="s">
        <v>215</v>
      </c>
      <c r="J717" s="12" t="s">
        <v>3698</v>
      </c>
      <c r="K717" s="12" t="s">
        <v>255</v>
      </c>
      <c r="L717" s="12" t="s">
        <v>1028</v>
      </c>
      <c r="M717" s="14" t="s">
        <v>3699</v>
      </c>
      <c r="N717" s="14" t="s">
        <v>3700</v>
      </c>
      <c r="O717" s="17" t="s">
        <v>3701</v>
      </c>
    </row>
    <row r="718" spans="1:15" x14ac:dyDescent="0.15">
      <c r="A718" s="21" t="s">
        <v>1708</v>
      </c>
      <c r="B718" s="19"/>
      <c r="C718" s="11"/>
      <c r="D718" s="17" t="s">
        <v>1692</v>
      </c>
      <c r="E718" s="10" t="s">
        <v>163</v>
      </c>
      <c r="F718" s="11" t="s">
        <v>3702</v>
      </c>
      <c r="G718" s="12">
        <v>153.32</v>
      </c>
      <c r="H718" s="13">
        <v>42248</v>
      </c>
      <c r="I718" s="12" t="s">
        <v>215</v>
      </c>
      <c r="J718" s="12" t="s">
        <v>3703</v>
      </c>
      <c r="K718" s="12" t="s">
        <v>255</v>
      </c>
      <c r="L718" s="12" t="s">
        <v>1922</v>
      </c>
      <c r="M718" s="14" t="s">
        <v>3704</v>
      </c>
      <c r="N718" s="14" t="s">
        <v>3705</v>
      </c>
      <c r="O718" s="17" t="s">
        <v>3706</v>
      </c>
    </row>
    <row r="719" spans="1:15" x14ac:dyDescent="0.15">
      <c r="A719" s="21" t="s">
        <v>3707</v>
      </c>
      <c r="B719" s="19"/>
      <c r="C719" s="11"/>
      <c r="D719" s="17" t="s">
        <v>1119</v>
      </c>
      <c r="E719" s="10" t="s">
        <v>163</v>
      </c>
      <c r="F719" s="11" t="s">
        <v>3708</v>
      </c>
      <c r="G719" s="12">
        <f>17.498*L719</f>
        <v>87.490000000000009</v>
      </c>
      <c r="H719" s="13">
        <v>42249</v>
      </c>
      <c r="I719" s="12" t="s">
        <v>635</v>
      </c>
      <c r="J719" s="12" t="s">
        <v>3709</v>
      </c>
      <c r="K719" s="12" t="s">
        <v>227</v>
      </c>
      <c r="L719" s="12">
        <v>5</v>
      </c>
      <c r="M719" s="14" t="s">
        <v>3710</v>
      </c>
      <c r="N719" s="14" t="s">
        <v>3262</v>
      </c>
      <c r="O719" s="17" t="s">
        <v>3711</v>
      </c>
    </row>
    <row r="720" spans="1:15" x14ac:dyDescent="0.15">
      <c r="A720" s="21" t="s">
        <v>1355</v>
      </c>
      <c r="B720" s="19"/>
      <c r="C720" s="11"/>
      <c r="D720" s="17" t="s">
        <v>633</v>
      </c>
      <c r="E720" s="10" t="s">
        <v>163</v>
      </c>
      <c r="F720" s="11" t="s">
        <v>3712</v>
      </c>
      <c r="G720" s="12">
        <f>L720*17.498</f>
        <v>227.47400000000002</v>
      </c>
      <c r="H720" s="13">
        <v>42249</v>
      </c>
      <c r="I720" s="12" t="s">
        <v>635</v>
      </c>
      <c r="J720" s="12" t="s">
        <v>3713</v>
      </c>
      <c r="K720" s="12" t="s">
        <v>227</v>
      </c>
      <c r="L720" s="12">
        <v>13</v>
      </c>
      <c r="M720" s="14" t="s">
        <v>3609</v>
      </c>
      <c r="N720" s="14" t="s">
        <v>1472</v>
      </c>
      <c r="O720" s="17" t="s">
        <v>3714</v>
      </c>
    </row>
    <row r="721" spans="1:15" x14ac:dyDescent="0.15">
      <c r="A721" s="21" t="s">
        <v>1860</v>
      </c>
      <c r="B721" s="19"/>
      <c r="C721" s="11"/>
      <c r="D721" s="17" t="s">
        <v>408</v>
      </c>
      <c r="E721" s="10" t="s">
        <v>163</v>
      </c>
      <c r="F721" s="11" t="s">
        <v>3715</v>
      </c>
      <c r="G721" s="12">
        <f>29.101*L721</f>
        <v>727.52499999999998</v>
      </c>
      <c r="H721" s="13">
        <v>42249</v>
      </c>
      <c r="I721" s="12" t="s">
        <v>3574</v>
      </c>
      <c r="J721" s="12" t="s">
        <v>3716</v>
      </c>
      <c r="K721" s="12" t="s">
        <v>227</v>
      </c>
      <c r="L721" s="12">
        <v>25</v>
      </c>
      <c r="M721" s="14" t="s">
        <v>3717</v>
      </c>
      <c r="N721" s="14" t="s">
        <v>2367</v>
      </c>
      <c r="O721" s="17" t="s">
        <v>3718</v>
      </c>
    </row>
    <row r="722" spans="1:15" x14ac:dyDescent="0.15">
      <c r="A722" s="21" t="s">
        <v>1860</v>
      </c>
      <c r="B722" s="19"/>
      <c r="C722" s="11"/>
      <c r="D722" s="17" t="s">
        <v>408</v>
      </c>
      <c r="E722" s="10" t="s">
        <v>163</v>
      </c>
      <c r="F722" s="11" t="s">
        <v>8400</v>
      </c>
      <c r="G722" s="12">
        <f>29.101*L722</f>
        <v>552.91899999999998</v>
      </c>
      <c r="H722" s="13">
        <v>42249</v>
      </c>
      <c r="I722" s="12" t="s">
        <v>3574</v>
      </c>
      <c r="J722" s="12" t="s">
        <v>3719</v>
      </c>
      <c r="K722" s="12" t="s">
        <v>227</v>
      </c>
      <c r="L722" s="12">
        <v>19</v>
      </c>
      <c r="M722" s="14" t="s">
        <v>3720</v>
      </c>
      <c r="N722" s="14" t="s">
        <v>3721</v>
      </c>
      <c r="O722" s="17" t="s">
        <v>3722</v>
      </c>
    </row>
    <row r="723" spans="1:15" x14ac:dyDescent="0.15">
      <c r="A723" s="21" t="s">
        <v>2416</v>
      </c>
      <c r="B723" s="19"/>
      <c r="C723" s="11"/>
      <c r="D723" s="17" t="s">
        <v>1181</v>
      </c>
      <c r="E723" s="10" t="s">
        <v>163</v>
      </c>
      <c r="F723" s="11" t="s">
        <v>3723</v>
      </c>
      <c r="G723" s="12">
        <f>17.712*L723</f>
        <v>442.8</v>
      </c>
      <c r="H723" s="13">
        <v>42249</v>
      </c>
      <c r="I723" s="12" t="s">
        <v>635</v>
      </c>
      <c r="J723" s="12" t="s">
        <v>3724</v>
      </c>
      <c r="K723" s="12" t="s">
        <v>227</v>
      </c>
      <c r="L723" s="12">
        <v>25</v>
      </c>
      <c r="M723" s="14" t="s">
        <v>3725</v>
      </c>
      <c r="N723" s="14" t="s">
        <v>2367</v>
      </c>
      <c r="O723" s="17" t="s">
        <v>3726</v>
      </c>
    </row>
    <row r="724" spans="1:15" x14ac:dyDescent="0.15">
      <c r="A724" s="21" t="s">
        <v>3727</v>
      </c>
      <c r="B724" s="19"/>
      <c r="C724" s="11"/>
      <c r="D724" s="17" t="s">
        <v>1181</v>
      </c>
      <c r="E724" s="10" t="s">
        <v>163</v>
      </c>
      <c r="F724" s="11" t="s">
        <v>3728</v>
      </c>
      <c r="G724" s="12">
        <f>17.712*L724</f>
        <v>212.54399999999998</v>
      </c>
      <c r="H724" s="13">
        <v>42255</v>
      </c>
      <c r="I724" s="12" t="s">
        <v>1661</v>
      </c>
      <c r="J724" s="12" t="s">
        <v>3729</v>
      </c>
      <c r="K724" s="12" t="s">
        <v>227</v>
      </c>
      <c r="L724" s="12">
        <v>12</v>
      </c>
      <c r="M724" s="14" t="s">
        <v>3730</v>
      </c>
      <c r="N724" s="14" t="s">
        <v>242</v>
      </c>
      <c r="O724" s="17" t="s">
        <v>3730</v>
      </c>
    </row>
    <row r="725" spans="1:15" x14ac:dyDescent="0.15">
      <c r="A725" s="21" t="s">
        <v>2986</v>
      </c>
      <c r="B725" s="19"/>
      <c r="C725" s="11"/>
      <c r="D725" s="17" t="s">
        <v>1181</v>
      </c>
      <c r="E725" s="10" t="s">
        <v>163</v>
      </c>
      <c r="F725" s="11" t="s">
        <v>3731</v>
      </c>
      <c r="G725" s="12">
        <f>17.712*L725</f>
        <v>442.8</v>
      </c>
      <c r="H725" s="13">
        <v>42257</v>
      </c>
      <c r="I725" s="12" t="s">
        <v>1661</v>
      </c>
      <c r="J725" s="12" t="s">
        <v>3732</v>
      </c>
      <c r="K725" s="12" t="s">
        <v>227</v>
      </c>
      <c r="L725" s="12">
        <v>25</v>
      </c>
      <c r="M725" s="14" t="s">
        <v>3733</v>
      </c>
      <c r="N725" s="14" t="s">
        <v>338</v>
      </c>
      <c r="O725" s="17" t="s">
        <v>3733</v>
      </c>
    </row>
    <row r="726" spans="1:15" x14ac:dyDescent="0.15">
      <c r="A726" s="21" t="s">
        <v>1898</v>
      </c>
      <c r="B726" s="19"/>
      <c r="C726" s="11"/>
      <c r="D726" s="17" t="s">
        <v>341</v>
      </c>
      <c r="E726" s="10" t="s">
        <v>163</v>
      </c>
      <c r="F726" s="11" t="s">
        <v>3734</v>
      </c>
      <c r="G726" s="12">
        <f>18.708*L726</f>
        <v>243.20399999999998</v>
      </c>
      <c r="H726" s="13">
        <v>42257</v>
      </c>
      <c r="I726" s="12" t="s">
        <v>1098</v>
      </c>
      <c r="J726" s="12" t="s">
        <v>3735</v>
      </c>
      <c r="K726" s="12" t="s">
        <v>227</v>
      </c>
      <c r="L726" s="12">
        <v>13</v>
      </c>
      <c r="M726" s="14" t="s">
        <v>3736</v>
      </c>
      <c r="N726" s="14" t="s">
        <v>473</v>
      </c>
      <c r="O726" s="17" t="s">
        <v>3736</v>
      </c>
    </row>
    <row r="727" spans="1:15" x14ac:dyDescent="0.15">
      <c r="A727" s="21" t="s">
        <v>3737</v>
      </c>
      <c r="B727" s="19"/>
      <c r="C727" s="11"/>
      <c r="D727" s="17" t="s">
        <v>54</v>
      </c>
      <c r="E727" s="10" t="s">
        <v>163</v>
      </c>
      <c r="F727" s="11" t="s">
        <v>3738</v>
      </c>
      <c r="G727" s="18">
        <f>6.405*L727</f>
        <v>12.81</v>
      </c>
      <c r="H727" s="13">
        <v>42257</v>
      </c>
      <c r="I727" s="12" t="s">
        <v>1199</v>
      </c>
      <c r="J727" s="12" t="s">
        <v>3739</v>
      </c>
      <c r="K727" s="12" t="s">
        <v>132</v>
      </c>
      <c r="L727" s="12">
        <v>2</v>
      </c>
      <c r="M727" s="14" t="s">
        <v>3740</v>
      </c>
      <c r="N727" s="14" t="s">
        <v>3741</v>
      </c>
      <c r="O727" s="17" t="s">
        <v>3740</v>
      </c>
    </row>
    <row r="728" spans="1:15" x14ac:dyDescent="0.15">
      <c r="A728" s="21" t="s">
        <v>1503</v>
      </c>
      <c r="B728" s="19"/>
      <c r="C728" s="11"/>
      <c r="D728" s="17" t="s">
        <v>460</v>
      </c>
      <c r="E728" s="10" t="s">
        <v>163</v>
      </c>
      <c r="F728" s="11" t="s">
        <v>3742</v>
      </c>
      <c r="G728" s="12">
        <v>85.599000000000004</v>
      </c>
      <c r="H728" s="13">
        <v>42257</v>
      </c>
      <c r="I728" s="12" t="s">
        <v>215</v>
      </c>
      <c r="J728" s="12" t="s">
        <v>3743</v>
      </c>
      <c r="K728" s="12" t="s">
        <v>255</v>
      </c>
      <c r="L728" s="12" t="s">
        <v>1622</v>
      </c>
      <c r="M728" s="14" t="s">
        <v>3744</v>
      </c>
      <c r="N728" s="14" t="s">
        <v>3745</v>
      </c>
      <c r="O728" s="17" t="s">
        <v>3746</v>
      </c>
    </row>
    <row r="729" spans="1:15" x14ac:dyDescent="0.15">
      <c r="A729" s="21" t="s">
        <v>2060</v>
      </c>
      <c r="B729" s="19"/>
      <c r="C729" s="11"/>
      <c r="D729" s="17" t="s">
        <v>1595</v>
      </c>
      <c r="E729" s="10" t="s">
        <v>163</v>
      </c>
      <c r="F729" s="11" t="s">
        <v>3747</v>
      </c>
      <c r="G729" s="12">
        <v>192.28899999999999</v>
      </c>
      <c r="H729" s="13">
        <v>42257</v>
      </c>
      <c r="I729" s="12" t="s">
        <v>215</v>
      </c>
      <c r="J729" s="12" t="s">
        <v>3748</v>
      </c>
      <c r="K729" s="12" t="s">
        <v>175</v>
      </c>
      <c r="L729" s="12" t="s">
        <v>1745</v>
      </c>
      <c r="M729" s="14" t="s">
        <v>3749</v>
      </c>
      <c r="N729" s="14" t="s">
        <v>3750</v>
      </c>
      <c r="O729" s="17" t="s">
        <v>3751</v>
      </c>
    </row>
    <row r="730" spans="1:15" x14ac:dyDescent="0.15">
      <c r="A730" s="21" t="s">
        <v>2060</v>
      </c>
      <c r="B730" s="19"/>
      <c r="C730" s="11"/>
      <c r="D730" s="17" t="s">
        <v>1595</v>
      </c>
      <c r="E730" s="10" t="s">
        <v>163</v>
      </c>
      <c r="F730" s="11" t="s">
        <v>3752</v>
      </c>
      <c r="G730" s="12">
        <v>108.289</v>
      </c>
      <c r="H730" s="13">
        <v>42257</v>
      </c>
      <c r="I730" s="12" t="s">
        <v>215</v>
      </c>
      <c r="J730" s="12" t="s">
        <v>3753</v>
      </c>
      <c r="K730" s="12" t="s">
        <v>175</v>
      </c>
      <c r="L730" s="12" t="s">
        <v>1598</v>
      </c>
      <c r="M730" s="14" t="s">
        <v>3754</v>
      </c>
      <c r="N730" s="14" t="s">
        <v>3755</v>
      </c>
      <c r="O730" s="17" t="s">
        <v>3756</v>
      </c>
    </row>
    <row r="731" spans="1:15" x14ac:dyDescent="0.15">
      <c r="A731" s="32" t="s">
        <v>976</v>
      </c>
      <c r="B731" s="19" t="s">
        <v>3757</v>
      </c>
      <c r="C731" s="11"/>
      <c r="D731" s="17" t="s">
        <v>977</v>
      </c>
      <c r="E731" s="10" t="s">
        <v>163</v>
      </c>
      <c r="F731" s="11" t="s">
        <v>3758</v>
      </c>
      <c r="G731" s="12">
        <v>190.27500000000001</v>
      </c>
      <c r="H731" s="13">
        <v>42257</v>
      </c>
      <c r="I731" s="12" t="s">
        <v>215</v>
      </c>
      <c r="J731" s="12" t="s">
        <v>3759</v>
      </c>
      <c r="K731" s="12" t="s">
        <v>175</v>
      </c>
      <c r="L731" s="12" t="s">
        <v>1745</v>
      </c>
      <c r="M731" s="14" t="s">
        <v>3760</v>
      </c>
      <c r="N731" s="14" t="s">
        <v>3761</v>
      </c>
      <c r="O731" s="17" t="s">
        <v>3762</v>
      </c>
    </row>
    <row r="732" spans="1:15" x14ac:dyDescent="0.15">
      <c r="A732" s="21" t="s">
        <v>976</v>
      </c>
      <c r="B732" s="19"/>
      <c r="C732" s="11"/>
      <c r="D732" s="17" t="s">
        <v>977</v>
      </c>
      <c r="E732" s="10" t="s">
        <v>163</v>
      </c>
      <c r="F732" s="11" t="s">
        <v>3763</v>
      </c>
      <c r="G732" s="12">
        <v>106.892</v>
      </c>
      <c r="H732" s="13">
        <v>42257</v>
      </c>
      <c r="I732" s="12" t="s">
        <v>215</v>
      </c>
      <c r="J732" s="12" t="s">
        <v>3764</v>
      </c>
      <c r="K732" s="12" t="s">
        <v>175</v>
      </c>
      <c r="L732" s="12" t="s">
        <v>1598</v>
      </c>
      <c r="M732" s="14" t="s">
        <v>3765</v>
      </c>
      <c r="N732" s="14" t="s">
        <v>3755</v>
      </c>
      <c r="O732" s="17" t="s">
        <v>3766</v>
      </c>
    </row>
    <row r="733" spans="1:15" x14ac:dyDescent="0.15">
      <c r="A733" s="21" t="s">
        <v>976</v>
      </c>
      <c r="B733" s="19"/>
      <c r="C733" s="11"/>
      <c r="D733" s="17" t="s">
        <v>977</v>
      </c>
      <c r="E733" s="10" t="s">
        <v>163</v>
      </c>
      <c r="F733" s="11" t="s">
        <v>3767</v>
      </c>
      <c r="G733" s="12">
        <v>190.48</v>
      </c>
      <c r="H733" s="13">
        <v>42257</v>
      </c>
      <c r="I733" s="12" t="s">
        <v>215</v>
      </c>
      <c r="J733" s="12" t="s">
        <v>3768</v>
      </c>
      <c r="K733" s="12" t="s">
        <v>175</v>
      </c>
      <c r="L733" s="12" t="s">
        <v>1745</v>
      </c>
      <c r="M733" s="14" t="s">
        <v>3769</v>
      </c>
      <c r="N733" s="14" t="s">
        <v>2295</v>
      </c>
      <c r="O733" s="17" t="s">
        <v>3770</v>
      </c>
    </row>
    <row r="734" spans="1:15" x14ac:dyDescent="0.15">
      <c r="A734" s="21" t="s">
        <v>976</v>
      </c>
      <c r="B734" s="19"/>
      <c r="C734" s="11"/>
      <c r="D734" s="17" t="s">
        <v>977</v>
      </c>
      <c r="E734" s="10" t="s">
        <v>163</v>
      </c>
      <c r="F734" s="11" t="s">
        <v>3771</v>
      </c>
      <c r="G734" s="12">
        <v>107.625</v>
      </c>
      <c r="H734" s="13">
        <v>42257</v>
      </c>
      <c r="I734" s="12" t="s">
        <v>215</v>
      </c>
      <c r="J734" s="12" t="s">
        <v>3772</v>
      </c>
      <c r="K734" s="12" t="s">
        <v>175</v>
      </c>
      <c r="L734" s="12" t="s">
        <v>1598</v>
      </c>
      <c r="M734" s="14" t="s">
        <v>3773</v>
      </c>
      <c r="N734" s="14" t="s">
        <v>3774</v>
      </c>
      <c r="O734" s="17" t="s">
        <v>3775</v>
      </c>
    </row>
    <row r="735" spans="1:15" x14ac:dyDescent="0.15">
      <c r="A735" s="17" t="s">
        <v>1632</v>
      </c>
      <c r="B735" s="22" t="s">
        <v>3776</v>
      </c>
      <c r="C735" s="11"/>
      <c r="D735" s="17" t="s">
        <v>3777</v>
      </c>
      <c r="E735" s="10" t="s">
        <v>163</v>
      </c>
      <c r="F735" s="11" t="s">
        <v>3778</v>
      </c>
      <c r="G735" s="18">
        <f>4.701*L735</f>
        <v>117.52499999999999</v>
      </c>
      <c r="H735" s="13">
        <v>42261</v>
      </c>
      <c r="I735" s="12" t="s">
        <v>1635</v>
      </c>
      <c r="J735" s="12" t="s">
        <v>3779</v>
      </c>
      <c r="K735" s="12" t="s">
        <v>227</v>
      </c>
      <c r="L735" s="12">
        <v>25</v>
      </c>
      <c r="M735" s="14" t="s">
        <v>3780</v>
      </c>
      <c r="N735" s="14" t="s">
        <v>338</v>
      </c>
      <c r="O735" s="17" t="s">
        <v>3781</v>
      </c>
    </row>
    <row r="736" spans="1:15" x14ac:dyDescent="0.15">
      <c r="A736" s="21" t="s">
        <v>3782</v>
      </c>
      <c r="B736" s="22" t="s">
        <v>912</v>
      </c>
      <c r="C736" s="11"/>
      <c r="D736" s="17" t="s">
        <v>3783</v>
      </c>
      <c r="E736" s="10" t="s">
        <v>163</v>
      </c>
      <c r="F736" s="11" t="s">
        <v>3784</v>
      </c>
      <c r="G736" s="18">
        <f>4.701*L736</f>
        <v>117.52499999999999</v>
      </c>
      <c r="H736" s="13">
        <v>42261</v>
      </c>
      <c r="I736" s="12" t="s">
        <v>1635</v>
      </c>
      <c r="J736" s="12" t="s">
        <v>3785</v>
      </c>
      <c r="K736" s="12" t="s">
        <v>227</v>
      </c>
      <c r="L736" s="12">
        <v>25</v>
      </c>
      <c r="M736" s="14" t="s">
        <v>3786</v>
      </c>
      <c r="N736" s="14" t="s">
        <v>338</v>
      </c>
      <c r="O736" s="17" t="s">
        <v>3787</v>
      </c>
    </row>
    <row r="737" spans="1:15" x14ac:dyDescent="0.15">
      <c r="A737" s="21" t="s">
        <v>3782</v>
      </c>
      <c r="B737" s="22" t="s">
        <v>912</v>
      </c>
      <c r="C737" s="11"/>
      <c r="D737" s="17" t="s">
        <v>3783</v>
      </c>
      <c r="E737" s="10" t="s">
        <v>163</v>
      </c>
      <c r="F737" s="11" t="s">
        <v>3788</v>
      </c>
      <c r="G737" s="18">
        <f>4.701*L737</f>
        <v>103.422</v>
      </c>
      <c r="H737" s="13">
        <v>42261</v>
      </c>
      <c r="I737" s="12" t="s">
        <v>1635</v>
      </c>
      <c r="J737" s="12" t="s">
        <v>3789</v>
      </c>
      <c r="K737" s="12" t="s">
        <v>227</v>
      </c>
      <c r="L737" s="12">
        <v>22</v>
      </c>
      <c r="M737" s="14" t="s">
        <v>3790</v>
      </c>
      <c r="N737" s="14" t="s">
        <v>3791</v>
      </c>
      <c r="O737" s="17" t="s">
        <v>3792</v>
      </c>
    </row>
    <row r="738" spans="1:15" x14ac:dyDescent="0.15">
      <c r="A738" s="21" t="s">
        <v>3594</v>
      </c>
      <c r="B738" s="22" t="s">
        <v>912</v>
      </c>
      <c r="C738" s="11"/>
      <c r="D738" s="17" t="s">
        <v>3783</v>
      </c>
      <c r="E738" s="10" t="s">
        <v>163</v>
      </c>
      <c r="F738" s="11" t="s">
        <v>3793</v>
      </c>
      <c r="G738" s="18">
        <f>4.701*L738</f>
        <v>117.52499999999999</v>
      </c>
      <c r="H738" s="13">
        <v>42261</v>
      </c>
      <c r="I738" s="12" t="s">
        <v>1635</v>
      </c>
      <c r="J738" s="12" t="s">
        <v>3794</v>
      </c>
      <c r="K738" s="12" t="s">
        <v>227</v>
      </c>
      <c r="L738" s="12">
        <v>25</v>
      </c>
      <c r="M738" s="14" t="s">
        <v>3795</v>
      </c>
      <c r="N738" s="14" t="s">
        <v>338</v>
      </c>
      <c r="O738" s="17" t="s">
        <v>3796</v>
      </c>
    </row>
    <row r="739" spans="1:15" x14ac:dyDescent="0.15">
      <c r="A739" s="21" t="s">
        <v>1243</v>
      </c>
      <c r="B739" s="19"/>
      <c r="C739" s="11"/>
      <c r="D739" s="17" t="s">
        <v>334</v>
      </c>
      <c r="E739" s="10" t="s">
        <v>163</v>
      </c>
      <c r="F739" s="11" t="s">
        <v>3797</v>
      </c>
      <c r="G739" s="12">
        <f>18.708*L739</f>
        <v>243.20399999999998</v>
      </c>
      <c r="H739" s="13">
        <v>42262</v>
      </c>
      <c r="I739" s="12" t="s">
        <v>1098</v>
      </c>
      <c r="J739" s="12" t="s">
        <v>3798</v>
      </c>
      <c r="K739" s="12" t="s">
        <v>184</v>
      </c>
      <c r="L739" s="12">
        <v>13</v>
      </c>
      <c r="M739" s="14" t="s">
        <v>3658</v>
      </c>
      <c r="N739" s="14" t="s">
        <v>473</v>
      </c>
      <c r="O739" s="17" t="s">
        <v>3799</v>
      </c>
    </row>
    <row r="740" spans="1:15" x14ac:dyDescent="0.15">
      <c r="A740" s="21" t="s">
        <v>2963</v>
      </c>
      <c r="B740" s="19"/>
      <c r="C740" s="11"/>
      <c r="D740" s="17" t="s">
        <v>1230</v>
      </c>
      <c r="E740" s="10" t="s">
        <v>163</v>
      </c>
      <c r="F740" s="11" t="s">
        <v>3800</v>
      </c>
      <c r="G740" s="12">
        <f>29.911*L740</f>
        <v>448.66500000000002</v>
      </c>
      <c r="H740" s="13">
        <v>42262</v>
      </c>
      <c r="I740" s="12" t="s">
        <v>1232</v>
      </c>
      <c r="J740" s="12" t="s">
        <v>3801</v>
      </c>
      <c r="K740" s="12" t="s">
        <v>175</v>
      </c>
      <c r="L740" s="12">
        <v>15</v>
      </c>
      <c r="M740" s="14" t="s">
        <v>3802</v>
      </c>
      <c r="N740" s="14" t="s">
        <v>2382</v>
      </c>
      <c r="O740" s="17" t="s">
        <v>3803</v>
      </c>
    </row>
    <row r="741" spans="1:15" x14ac:dyDescent="0.15">
      <c r="A741" s="21" t="s">
        <v>2060</v>
      </c>
      <c r="B741" s="19"/>
      <c r="C741" s="11"/>
      <c r="D741" s="17" t="s">
        <v>1595</v>
      </c>
      <c r="E741" s="10" t="s">
        <v>17</v>
      </c>
      <c r="F741" s="11" t="s">
        <v>3804</v>
      </c>
      <c r="G741" s="12">
        <v>136.09700000000001</v>
      </c>
      <c r="H741" s="13">
        <v>42262</v>
      </c>
      <c r="I741" s="12" t="s">
        <v>215</v>
      </c>
      <c r="J741" s="12" t="s">
        <v>3805</v>
      </c>
      <c r="K741" s="12" t="s">
        <v>175</v>
      </c>
      <c r="L741" s="12" t="s">
        <v>3806</v>
      </c>
      <c r="M741" s="14" t="s">
        <v>3807</v>
      </c>
      <c r="N741" s="14" t="s">
        <v>3808</v>
      </c>
      <c r="O741" s="17" t="s">
        <v>3809</v>
      </c>
    </row>
    <row r="742" spans="1:15" x14ac:dyDescent="0.15">
      <c r="A742" s="21" t="s">
        <v>1118</v>
      </c>
      <c r="B742" s="19"/>
      <c r="C742" s="11"/>
      <c r="D742" s="17" t="s">
        <v>3810</v>
      </c>
      <c r="E742" s="10" t="s">
        <v>163</v>
      </c>
      <c r="F742" s="11" t="s">
        <v>3811</v>
      </c>
      <c r="G742" s="12">
        <f>17.498*L742</f>
        <v>104.988</v>
      </c>
      <c r="H742" s="13">
        <v>42263</v>
      </c>
      <c r="I742" s="12" t="s">
        <v>635</v>
      </c>
      <c r="J742" s="12" t="s">
        <v>3812</v>
      </c>
      <c r="K742" s="12" t="s">
        <v>227</v>
      </c>
      <c r="L742" s="12">
        <v>6</v>
      </c>
      <c r="M742" s="14" t="s">
        <v>3813</v>
      </c>
      <c r="N742" s="14" t="s">
        <v>3814</v>
      </c>
      <c r="O742" s="17" t="s">
        <v>3815</v>
      </c>
    </row>
    <row r="743" spans="1:15" x14ac:dyDescent="0.15">
      <c r="A743" s="21" t="s">
        <v>3816</v>
      </c>
      <c r="B743" s="19"/>
      <c r="C743" s="11"/>
      <c r="D743" s="17" t="s">
        <v>3817</v>
      </c>
      <c r="E743" s="10" t="s">
        <v>163</v>
      </c>
      <c r="F743" s="11" t="s">
        <v>3818</v>
      </c>
      <c r="G743" s="12">
        <f>L743*17.712</f>
        <v>123.98399999999999</v>
      </c>
      <c r="H743" s="13">
        <v>42263</v>
      </c>
      <c r="I743" s="12" t="s">
        <v>635</v>
      </c>
      <c r="J743" s="12" t="s">
        <v>3819</v>
      </c>
      <c r="K743" s="12" t="s">
        <v>227</v>
      </c>
      <c r="L743" s="12">
        <v>7</v>
      </c>
      <c r="M743" s="14" t="s">
        <v>3820</v>
      </c>
      <c r="N743" s="14" t="s">
        <v>3349</v>
      </c>
      <c r="O743" s="17" t="s">
        <v>3821</v>
      </c>
    </row>
    <row r="744" spans="1:15" x14ac:dyDescent="0.15">
      <c r="A744" s="21" t="s">
        <v>3551</v>
      </c>
      <c r="B744" s="19"/>
      <c r="C744" s="11"/>
      <c r="D744" s="17" t="s">
        <v>811</v>
      </c>
      <c r="E744" s="10" t="s">
        <v>163</v>
      </c>
      <c r="F744" s="11" t="s">
        <v>3822</v>
      </c>
      <c r="G744" s="12">
        <f>18.708*L744</f>
        <v>187.07999999999998</v>
      </c>
      <c r="H744" s="13">
        <v>42269</v>
      </c>
      <c r="I744" s="12" t="s">
        <v>1098</v>
      </c>
      <c r="J744" s="12" t="s">
        <v>3823</v>
      </c>
      <c r="K744" s="12" t="s">
        <v>227</v>
      </c>
      <c r="L744" s="12">
        <v>10</v>
      </c>
      <c r="M744" s="14" t="s">
        <v>3824</v>
      </c>
      <c r="N744" s="14" t="s">
        <v>412</v>
      </c>
      <c r="O744" s="17" t="s">
        <v>3824</v>
      </c>
    </row>
    <row r="745" spans="1:15" x14ac:dyDescent="0.15">
      <c r="A745" s="21" t="s">
        <v>2787</v>
      </c>
      <c r="B745" s="19"/>
      <c r="C745" s="11"/>
      <c r="D745" s="17" t="s">
        <v>1952</v>
      </c>
      <c r="E745" s="10" t="s">
        <v>163</v>
      </c>
      <c r="F745" s="11" t="s">
        <v>3825</v>
      </c>
      <c r="G745" s="12">
        <f>18.708*L745</f>
        <v>93.539999999999992</v>
      </c>
      <c r="H745" s="13">
        <v>42269</v>
      </c>
      <c r="I745" s="12" t="s">
        <v>683</v>
      </c>
      <c r="J745" s="12" t="s">
        <v>3826</v>
      </c>
      <c r="K745" s="12" t="s">
        <v>227</v>
      </c>
      <c r="L745" s="12">
        <v>5</v>
      </c>
      <c r="M745" s="14" t="s">
        <v>3827</v>
      </c>
      <c r="N745" s="14" t="s">
        <v>3516</v>
      </c>
      <c r="O745" s="17" t="s">
        <v>3828</v>
      </c>
    </row>
    <row r="746" spans="1:15" x14ac:dyDescent="0.15">
      <c r="A746" s="21" t="s">
        <v>1936</v>
      </c>
      <c r="B746" s="19"/>
      <c r="C746" s="11"/>
      <c r="D746" s="17" t="s">
        <v>3829</v>
      </c>
      <c r="E746" s="10" t="s">
        <v>163</v>
      </c>
      <c r="F746" s="11" t="s">
        <v>3830</v>
      </c>
      <c r="G746" s="12">
        <f>20.816*L746</f>
        <v>145.71199999999999</v>
      </c>
      <c r="H746" s="13">
        <v>42269</v>
      </c>
      <c r="I746" s="12" t="s">
        <v>207</v>
      </c>
      <c r="J746" s="12" t="s">
        <v>3831</v>
      </c>
      <c r="K746" s="12" t="s">
        <v>184</v>
      </c>
      <c r="L746" s="12">
        <v>7</v>
      </c>
      <c r="M746" s="14" t="s">
        <v>3832</v>
      </c>
      <c r="N746" s="14" t="s">
        <v>3833</v>
      </c>
      <c r="O746" s="17" t="s">
        <v>3834</v>
      </c>
    </row>
    <row r="747" spans="1:15" x14ac:dyDescent="0.15">
      <c r="A747" s="20" t="s">
        <v>3835</v>
      </c>
      <c r="B747" s="19" t="s">
        <v>8624</v>
      </c>
      <c r="C747" s="11"/>
      <c r="D747" s="17" t="s">
        <v>3836</v>
      </c>
      <c r="E747" s="10" t="s">
        <v>17</v>
      </c>
      <c r="F747" s="11" t="s">
        <v>3837</v>
      </c>
      <c r="G747" s="12">
        <f>27.67*L747</f>
        <v>55.34</v>
      </c>
      <c r="H747" s="13">
        <v>42272</v>
      </c>
      <c r="I747" s="12" t="s">
        <v>215</v>
      </c>
      <c r="J747" s="12" t="s">
        <v>3838</v>
      </c>
      <c r="K747" s="12" t="s">
        <v>227</v>
      </c>
      <c r="L747" s="12">
        <v>2</v>
      </c>
      <c r="M747" s="14" t="s">
        <v>3839</v>
      </c>
      <c r="N747" s="14" t="s">
        <v>3840</v>
      </c>
      <c r="O747" s="17" t="s">
        <v>3839</v>
      </c>
    </row>
    <row r="748" spans="1:15" x14ac:dyDescent="0.15">
      <c r="A748" s="33" t="s">
        <v>3841</v>
      </c>
      <c r="B748" s="34" t="s">
        <v>3842</v>
      </c>
      <c r="C748" s="35"/>
      <c r="D748" s="36" t="s">
        <v>859</v>
      </c>
      <c r="E748" s="37" t="s">
        <v>137</v>
      </c>
      <c r="F748" s="35" t="s">
        <v>3843</v>
      </c>
      <c r="G748" s="38">
        <f>8.823*L748</f>
        <v>8.8230000000000004</v>
      </c>
      <c r="H748" s="39">
        <v>42276</v>
      </c>
      <c r="I748" s="38" t="s">
        <v>3844</v>
      </c>
      <c r="J748" s="38" t="s">
        <v>3845</v>
      </c>
      <c r="K748" s="38" t="s">
        <v>141</v>
      </c>
      <c r="L748" s="38">
        <v>1</v>
      </c>
      <c r="M748" s="40" t="s">
        <v>3846</v>
      </c>
      <c r="N748" s="40" t="s">
        <v>3563</v>
      </c>
      <c r="O748" s="36" t="s">
        <v>3847</v>
      </c>
    </row>
    <row r="749" spans="1:15" s="62" customFormat="1" x14ac:dyDescent="0.15">
      <c r="A749" s="10" t="s">
        <v>3848</v>
      </c>
      <c r="B749" s="19"/>
      <c r="C749" s="11"/>
      <c r="D749" s="17" t="s">
        <v>3849</v>
      </c>
      <c r="E749" s="10" t="s">
        <v>137</v>
      </c>
      <c r="F749" s="11" t="s">
        <v>3850</v>
      </c>
      <c r="G749" s="12">
        <v>188.858</v>
      </c>
      <c r="H749" s="13">
        <v>42040</v>
      </c>
      <c r="I749" s="18" t="s">
        <v>3851</v>
      </c>
      <c r="J749" s="12" t="s">
        <v>3852</v>
      </c>
      <c r="K749" s="12" t="s">
        <v>141</v>
      </c>
      <c r="L749" s="12" t="s">
        <v>3853</v>
      </c>
      <c r="M749" s="14" t="s">
        <v>3854</v>
      </c>
      <c r="N749" s="14" t="s">
        <v>3855</v>
      </c>
      <c r="O749" s="17" t="s">
        <v>3856</v>
      </c>
    </row>
    <row r="750" spans="1:15" s="62" customFormat="1" x14ac:dyDescent="0.15">
      <c r="A750" s="10" t="s">
        <v>3848</v>
      </c>
      <c r="B750" s="19"/>
      <c r="C750" s="11"/>
      <c r="D750" s="17" t="s">
        <v>3849</v>
      </c>
      <c r="E750" s="10" t="s">
        <v>137</v>
      </c>
      <c r="F750" s="11" t="s">
        <v>3857</v>
      </c>
      <c r="G750" s="12">
        <v>104.292</v>
      </c>
      <c r="H750" s="13">
        <v>42040</v>
      </c>
      <c r="I750" s="18" t="s">
        <v>3851</v>
      </c>
      <c r="J750" s="12" t="s">
        <v>3858</v>
      </c>
      <c r="K750" s="12" t="s">
        <v>141</v>
      </c>
      <c r="L750" s="12" t="s">
        <v>3859</v>
      </c>
      <c r="M750" s="14" t="s">
        <v>3860</v>
      </c>
      <c r="N750" s="14" t="s">
        <v>3861</v>
      </c>
      <c r="O750" s="17" t="s">
        <v>3862</v>
      </c>
    </row>
    <row r="751" spans="1:15" x14ac:dyDescent="0.15">
      <c r="A751" s="49" t="s">
        <v>3863</v>
      </c>
      <c r="B751" s="42"/>
      <c r="C751" s="43"/>
      <c r="D751" s="44" t="s">
        <v>3864</v>
      </c>
      <c r="E751" s="41" t="s">
        <v>137</v>
      </c>
      <c r="F751" s="43" t="s">
        <v>3865</v>
      </c>
      <c r="G751" s="45">
        <v>268.12900000000002</v>
      </c>
      <c r="H751" s="46">
        <v>42062</v>
      </c>
      <c r="I751" s="47" t="s">
        <v>3866</v>
      </c>
      <c r="J751" s="45" t="s">
        <v>3867</v>
      </c>
      <c r="K751" s="45" t="s">
        <v>328</v>
      </c>
      <c r="L751" s="45" t="s">
        <v>3868</v>
      </c>
      <c r="M751" s="48" t="s">
        <v>3869</v>
      </c>
      <c r="N751" s="48" t="s">
        <v>3870</v>
      </c>
      <c r="O751" s="44" t="s">
        <v>3871</v>
      </c>
    </row>
    <row r="752" spans="1:15" x14ac:dyDescent="0.15">
      <c r="A752" s="41" t="s">
        <v>3872</v>
      </c>
      <c r="B752" s="42"/>
      <c r="C752" s="43"/>
      <c r="D752" s="44" t="s">
        <v>1525</v>
      </c>
      <c r="E752" s="41" t="s">
        <v>137</v>
      </c>
      <c r="F752" s="43" t="s">
        <v>3873</v>
      </c>
      <c r="G752" s="45">
        <f>17.498*L752</f>
        <v>122.486</v>
      </c>
      <c r="H752" s="46">
        <v>42062</v>
      </c>
      <c r="I752" s="45" t="s">
        <v>3874</v>
      </c>
      <c r="J752" s="45" t="s">
        <v>3875</v>
      </c>
      <c r="K752" s="45" t="s">
        <v>141</v>
      </c>
      <c r="L752" s="45">
        <v>7</v>
      </c>
      <c r="M752" s="48" t="s">
        <v>3876</v>
      </c>
      <c r="N752" s="48" t="s">
        <v>345</v>
      </c>
      <c r="O752" s="44" t="s">
        <v>3877</v>
      </c>
    </row>
    <row r="753" spans="1:15" x14ac:dyDescent="0.15">
      <c r="A753" s="41" t="s">
        <v>3878</v>
      </c>
      <c r="B753" s="42"/>
      <c r="C753" s="43"/>
      <c r="D753" s="44" t="s">
        <v>360</v>
      </c>
      <c r="E753" s="41" t="s">
        <v>137</v>
      </c>
      <c r="F753" s="43" t="s">
        <v>3879</v>
      </c>
      <c r="G753" s="47">
        <f>17.712*L753</f>
        <v>212.54399999999998</v>
      </c>
      <c r="H753" s="46">
        <v>42066</v>
      </c>
      <c r="I753" s="45" t="s">
        <v>3874</v>
      </c>
      <c r="J753" s="45" t="s">
        <v>3880</v>
      </c>
      <c r="K753" s="45" t="s">
        <v>141</v>
      </c>
      <c r="L753" s="45">
        <v>12</v>
      </c>
      <c r="M753" s="48" t="s">
        <v>3881</v>
      </c>
      <c r="N753" s="48" t="s">
        <v>3882</v>
      </c>
      <c r="O753" s="44" t="s">
        <v>3883</v>
      </c>
    </row>
    <row r="754" spans="1:15" x14ac:dyDescent="0.15">
      <c r="A754" s="41" t="s">
        <v>3884</v>
      </c>
      <c r="B754" s="42"/>
      <c r="C754" s="43"/>
      <c r="D754" s="44" t="s">
        <v>1826</v>
      </c>
      <c r="E754" s="41" t="s">
        <v>137</v>
      </c>
      <c r="F754" s="43" t="s">
        <v>3885</v>
      </c>
      <c r="G754" s="45">
        <f>20.545*L754</f>
        <v>61.635000000000005</v>
      </c>
      <c r="H754" s="46">
        <v>42069</v>
      </c>
      <c r="I754" s="45" t="s">
        <v>3874</v>
      </c>
      <c r="J754" s="45" t="s">
        <v>3886</v>
      </c>
      <c r="K754" s="45" t="s">
        <v>3887</v>
      </c>
      <c r="L754" s="45">
        <v>3</v>
      </c>
      <c r="M754" s="48" t="s">
        <v>3888</v>
      </c>
      <c r="N754" s="48" t="s">
        <v>3889</v>
      </c>
      <c r="O754" s="44" t="s">
        <v>3888</v>
      </c>
    </row>
    <row r="755" spans="1:15" s="62" customFormat="1" x14ac:dyDescent="0.15">
      <c r="A755" s="20" t="s">
        <v>3890</v>
      </c>
      <c r="B755" s="19"/>
      <c r="C755" s="11"/>
      <c r="D755" s="17" t="s">
        <v>3891</v>
      </c>
      <c r="E755" s="10" t="s">
        <v>3892</v>
      </c>
      <c r="F755" s="11" t="s">
        <v>3893</v>
      </c>
      <c r="G755" s="18">
        <f>20.57*L755</f>
        <v>246.84</v>
      </c>
      <c r="H755" s="13">
        <v>42074</v>
      </c>
      <c r="I755" s="12" t="s">
        <v>3874</v>
      </c>
      <c r="J755" s="12" t="s">
        <v>3894</v>
      </c>
      <c r="K755" s="12" t="s">
        <v>141</v>
      </c>
      <c r="L755" s="12">
        <v>12</v>
      </c>
      <c r="M755" s="14" t="s">
        <v>3895</v>
      </c>
      <c r="N755" s="14" t="s">
        <v>242</v>
      </c>
      <c r="O755" s="17" t="s">
        <v>3895</v>
      </c>
    </row>
    <row r="756" spans="1:15" s="62" customFormat="1" x14ac:dyDescent="0.15">
      <c r="A756" s="10" t="s">
        <v>3863</v>
      </c>
      <c r="B756" s="19"/>
      <c r="C756" s="11"/>
      <c r="D756" s="17" t="s">
        <v>432</v>
      </c>
      <c r="E756" s="10" t="s">
        <v>137</v>
      </c>
      <c r="F756" s="11" t="s">
        <v>3896</v>
      </c>
      <c r="G756" s="18">
        <v>268.40300000000002</v>
      </c>
      <c r="H756" s="13">
        <v>42075</v>
      </c>
      <c r="I756" s="18" t="s">
        <v>3866</v>
      </c>
      <c r="J756" s="12" t="s">
        <v>3897</v>
      </c>
      <c r="K756" s="12" t="s">
        <v>3898</v>
      </c>
      <c r="L756" s="12" t="s">
        <v>3868</v>
      </c>
      <c r="M756" s="14" t="s">
        <v>3899</v>
      </c>
      <c r="N756" s="14" t="s">
        <v>3900</v>
      </c>
      <c r="O756" s="17" t="s">
        <v>3901</v>
      </c>
    </row>
    <row r="757" spans="1:15" s="62" customFormat="1" x14ac:dyDescent="0.15">
      <c r="A757" s="20" t="s">
        <v>3902</v>
      </c>
      <c r="B757" s="19"/>
      <c r="C757" s="11"/>
      <c r="D757" s="17" t="s">
        <v>3903</v>
      </c>
      <c r="E757" s="10" t="s">
        <v>3892</v>
      </c>
      <c r="F757" s="11" t="s">
        <v>3904</v>
      </c>
      <c r="G757" s="18">
        <f>20.545*L757</f>
        <v>41.09</v>
      </c>
      <c r="H757" s="13">
        <v>42082</v>
      </c>
      <c r="I757" s="12" t="s">
        <v>3874</v>
      </c>
      <c r="J757" s="12" t="s">
        <v>3905</v>
      </c>
      <c r="K757" s="12" t="s">
        <v>3887</v>
      </c>
      <c r="L757" s="12">
        <v>2</v>
      </c>
      <c r="M757" s="14" t="s">
        <v>3906</v>
      </c>
      <c r="N757" s="14" t="s">
        <v>3907</v>
      </c>
      <c r="O757" s="17" t="s">
        <v>3908</v>
      </c>
    </row>
    <row r="758" spans="1:15" x14ac:dyDescent="0.15">
      <c r="A758" s="41" t="s">
        <v>3909</v>
      </c>
      <c r="B758" s="42"/>
      <c r="C758" s="43"/>
      <c r="D758" s="44" t="s">
        <v>307</v>
      </c>
      <c r="E758" s="41" t="s">
        <v>3892</v>
      </c>
      <c r="F758" s="43" t="s">
        <v>3910</v>
      </c>
      <c r="G758" s="45">
        <f>17.712*L758</f>
        <v>230.256</v>
      </c>
      <c r="H758" s="46">
        <v>42094</v>
      </c>
      <c r="I758" s="45" t="s">
        <v>3874</v>
      </c>
      <c r="J758" s="45" t="s">
        <v>3911</v>
      </c>
      <c r="K758" s="45" t="s">
        <v>3887</v>
      </c>
      <c r="L758" s="45">
        <v>13</v>
      </c>
      <c r="M758" s="48" t="s">
        <v>3912</v>
      </c>
      <c r="N758" s="48" t="s">
        <v>473</v>
      </c>
      <c r="O758" s="44" t="s">
        <v>3913</v>
      </c>
    </row>
    <row r="759" spans="1:15" s="62" customFormat="1" x14ac:dyDescent="0.15">
      <c r="A759" s="10" t="s">
        <v>3914</v>
      </c>
      <c r="B759" s="19"/>
      <c r="C759" s="11"/>
      <c r="D759" s="17" t="s">
        <v>341</v>
      </c>
      <c r="E759" s="10" t="s">
        <v>137</v>
      </c>
      <c r="F759" s="11" t="s">
        <v>3915</v>
      </c>
      <c r="G759" s="12">
        <f>18.708*L759</f>
        <v>149.66399999999999</v>
      </c>
      <c r="H759" s="13">
        <v>42097</v>
      </c>
      <c r="I759" s="12" t="s">
        <v>3916</v>
      </c>
      <c r="J759" s="12" t="s">
        <v>3917</v>
      </c>
      <c r="K759" s="12" t="s">
        <v>21</v>
      </c>
      <c r="L759" s="12">
        <v>8</v>
      </c>
      <c r="M759" s="14" t="s">
        <v>3918</v>
      </c>
      <c r="N759" s="14" t="s">
        <v>1217</v>
      </c>
      <c r="O759" s="17" t="s">
        <v>3918</v>
      </c>
    </row>
    <row r="760" spans="1:15" s="62" customFormat="1" x14ac:dyDescent="0.15">
      <c r="A760" s="10" t="s">
        <v>467</v>
      </c>
      <c r="B760" s="19"/>
      <c r="C760" s="11"/>
      <c r="D760" s="17" t="s">
        <v>341</v>
      </c>
      <c r="E760" s="10" t="s">
        <v>137</v>
      </c>
      <c r="F760" s="11" t="s">
        <v>3919</v>
      </c>
      <c r="G760" s="12">
        <f>18.708*L760</f>
        <v>168.37199999999999</v>
      </c>
      <c r="H760" s="13">
        <v>42097</v>
      </c>
      <c r="I760" s="18" t="s">
        <v>3866</v>
      </c>
      <c r="J760" s="12" t="s">
        <v>3920</v>
      </c>
      <c r="K760" s="12" t="s">
        <v>141</v>
      </c>
      <c r="L760" s="12">
        <v>9</v>
      </c>
      <c r="M760" s="14" t="s">
        <v>3921</v>
      </c>
      <c r="N760" s="14" t="s">
        <v>931</v>
      </c>
      <c r="O760" s="17" t="s">
        <v>3921</v>
      </c>
    </row>
    <row r="761" spans="1:15" s="62" customFormat="1" x14ac:dyDescent="0.15">
      <c r="A761" s="10" t="s">
        <v>3922</v>
      </c>
      <c r="B761" s="19"/>
      <c r="C761" s="11"/>
      <c r="D761" s="17" t="s">
        <v>689</v>
      </c>
      <c r="E761" s="10" t="s">
        <v>137</v>
      </c>
      <c r="F761" s="11" t="s">
        <v>3923</v>
      </c>
      <c r="G761" s="12">
        <f>14.405*L761</f>
        <v>360.125</v>
      </c>
      <c r="H761" s="13">
        <v>42097</v>
      </c>
      <c r="I761" s="12" t="s">
        <v>3874</v>
      </c>
      <c r="J761" s="12" t="s">
        <v>3924</v>
      </c>
      <c r="K761" s="12" t="s">
        <v>141</v>
      </c>
      <c r="L761" s="12">
        <v>25</v>
      </c>
      <c r="M761" s="14" t="s">
        <v>3925</v>
      </c>
      <c r="N761" s="14" t="s">
        <v>338</v>
      </c>
      <c r="O761" s="17" t="s">
        <v>3925</v>
      </c>
    </row>
    <row r="762" spans="1:15" s="62" customFormat="1" x14ac:dyDescent="0.15">
      <c r="A762" s="10" t="s">
        <v>3926</v>
      </c>
      <c r="B762" s="11"/>
      <c r="C762" s="11"/>
      <c r="D762" s="17" t="s">
        <v>3927</v>
      </c>
      <c r="E762" s="10" t="s">
        <v>137</v>
      </c>
      <c r="F762" s="11" t="s">
        <v>8609</v>
      </c>
      <c r="G762" s="18">
        <f>20.816*L762</f>
        <v>270.608</v>
      </c>
      <c r="H762" s="13">
        <v>42104</v>
      </c>
      <c r="I762" s="12" t="s">
        <v>3928</v>
      </c>
      <c r="J762" s="12" t="s">
        <v>3929</v>
      </c>
      <c r="K762" s="12" t="s">
        <v>3887</v>
      </c>
      <c r="L762" s="12">
        <v>13</v>
      </c>
      <c r="M762" s="14" t="s">
        <v>3930</v>
      </c>
      <c r="N762" s="14" t="s">
        <v>473</v>
      </c>
      <c r="O762" s="17" t="s">
        <v>3931</v>
      </c>
    </row>
    <row r="763" spans="1:15" x14ac:dyDescent="0.15">
      <c r="A763" s="50" t="s">
        <v>3922</v>
      </c>
      <c r="B763" s="42"/>
      <c r="C763" s="43"/>
      <c r="D763" s="44" t="s">
        <v>689</v>
      </c>
      <c r="E763" s="41" t="s">
        <v>137</v>
      </c>
      <c r="F763" s="43" t="s">
        <v>3932</v>
      </c>
      <c r="G763" s="45">
        <f>14.405*L763</f>
        <v>360.125</v>
      </c>
      <c r="H763" s="46">
        <v>42116</v>
      </c>
      <c r="I763" s="45" t="s">
        <v>3874</v>
      </c>
      <c r="J763" s="45" t="s">
        <v>3933</v>
      </c>
      <c r="K763" s="45" t="s">
        <v>141</v>
      </c>
      <c r="L763" s="45">
        <v>25</v>
      </c>
      <c r="M763" s="48" t="s">
        <v>3934</v>
      </c>
      <c r="N763" s="48" t="s">
        <v>338</v>
      </c>
      <c r="O763" s="44" t="s">
        <v>3935</v>
      </c>
    </row>
    <row r="764" spans="1:15" x14ac:dyDescent="0.15">
      <c r="A764" s="50" t="s">
        <v>3922</v>
      </c>
      <c r="B764" s="42"/>
      <c r="C764" s="43"/>
      <c r="D764" s="44" t="s">
        <v>689</v>
      </c>
      <c r="E764" s="41" t="s">
        <v>137</v>
      </c>
      <c r="F764" s="43" t="s">
        <v>3936</v>
      </c>
      <c r="G764" s="45">
        <f>14.405*L764</f>
        <v>360.125</v>
      </c>
      <c r="H764" s="46">
        <v>42116</v>
      </c>
      <c r="I764" s="45" t="s">
        <v>3874</v>
      </c>
      <c r="J764" s="45" t="s">
        <v>3937</v>
      </c>
      <c r="K764" s="45" t="s">
        <v>141</v>
      </c>
      <c r="L764" s="45">
        <v>25</v>
      </c>
      <c r="M764" s="48" t="s">
        <v>3938</v>
      </c>
      <c r="N764" s="48" t="s">
        <v>338</v>
      </c>
      <c r="O764" s="44" t="s">
        <v>3939</v>
      </c>
    </row>
    <row r="765" spans="1:15" s="62" customFormat="1" x14ac:dyDescent="0.15">
      <c r="A765" s="21" t="s">
        <v>1243</v>
      </c>
      <c r="B765" s="19"/>
      <c r="C765" s="11"/>
      <c r="D765" s="17" t="s">
        <v>334</v>
      </c>
      <c r="E765" s="10" t="s">
        <v>17</v>
      </c>
      <c r="F765" s="11" t="s">
        <v>3940</v>
      </c>
      <c r="G765" s="12">
        <f>18.708*L765</f>
        <v>224.49599999999998</v>
      </c>
      <c r="H765" s="13">
        <v>42130</v>
      </c>
      <c r="I765" s="12" t="s">
        <v>3916</v>
      </c>
      <c r="J765" s="12" t="s">
        <v>3941</v>
      </c>
      <c r="K765" s="12" t="s">
        <v>132</v>
      </c>
      <c r="L765" s="12">
        <v>12</v>
      </c>
      <c r="M765" s="14" t="s">
        <v>3942</v>
      </c>
      <c r="N765" s="14" t="s">
        <v>242</v>
      </c>
      <c r="O765" s="17" t="s">
        <v>3943</v>
      </c>
    </row>
    <row r="766" spans="1:15" s="62" customFormat="1" x14ac:dyDescent="0.15">
      <c r="A766" s="21" t="s">
        <v>3944</v>
      </c>
      <c r="B766" s="22" t="s">
        <v>3945</v>
      </c>
      <c r="C766" s="11"/>
      <c r="D766" s="17" t="s">
        <v>353</v>
      </c>
      <c r="E766" s="10" t="s">
        <v>17</v>
      </c>
      <c r="F766" s="11" t="s">
        <v>3946</v>
      </c>
      <c r="G766" s="18">
        <f>9.804*L766</f>
        <v>127.452</v>
      </c>
      <c r="H766" s="13">
        <v>42130</v>
      </c>
      <c r="I766" s="12" t="s">
        <v>3947</v>
      </c>
      <c r="J766" s="12" t="s">
        <v>3948</v>
      </c>
      <c r="K766" s="12" t="s">
        <v>141</v>
      </c>
      <c r="L766" s="12">
        <v>13</v>
      </c>
      <c r="M766" s="14" t="s">
        <v>3949</v>
      </c>
      <c r="N766" s="14" t="s">
        <v>3950</v>
      </c>
      <c r="O766" s="17" t="s">
        <v>3951</v>
      </c>
    </row>
    <row r="767" spans="1:15" s="62" customFormat="1" x14ac:dyDescent="0.15">
      <c r="A767" s="21" t="s">
        <v>3922</v>
      </c>
      <c r="B767" s="19"/>
      <c r="C767" s="11"/>
      <c r="D767" s="17" t="s">
        <v>689</v>
      </c>
      <c r="E767" s="10" t="s">
        <v>17</v>
      </c>
      <c r="F767" s="11" t="s">
        <v>8610</v>
      </c>
      <c r="G767" s="12">
        <f>14.405*L767</f>
        <v>360.125</v>
      </c>
      <c r="H767" s="13">
        <v>42130</v>
      </c>
      <c r="I767" s="12" t="s">
        <v>3874</v>
      </c>
      <c r="J767" s="12" t="s">
        <v>3952</v>
      </c>
      <c r="K767" s="12" t="s">
        <v>141</v>
      </c>
      <c r="L767" s="12">
        <v>25</v>
      </c>
      <c r="M767" s="14" t="s">
        <v>3953</v>
      </c>
      <c r="N767" s="14" t="s">
        <v>338</v>
      </c>
      <c r="O767" s="17" t="s">
        <v>3954</v>
      </c>
    </row>
    <row r="768" spans="1:15" s="62" customFormat="1" x14ac:dyDescent="0.15">
      <c r="A768" s="21" t="s">
        <v>2097</v>
      </c>
      <c r="B768" s="19"/>
      <c r="C768" s="11"/>
      <c r="D768" s="17" t="s">
        <v>2098</v>
      </c>
      <c r="E768" s="10" t="s">
        <v>17</v>
      </c>
      <c r="F768" s="11" t="s">
        <v>3955</v>
      </c>
      <c r="G768" s="12">
        <f>17.712*L768</f>
        <v>230.256</v>
      </c>
      <c r="H768" s="13">
        <v>42130</v>
      </c>
      <c r="I768" s="12" t="s">
        <v>1068</v>
      </c>
      <c r="J768" s="12" t="s">
        <v>3956</v>
      </c>
      <c r="K768" s="12" t="s">
        <v>141</v>
      </c>
      <c r="L768" s="12">
        <v>13</v>
      </c>
      <c r="M768" s="14" t="s">
        <v>3957</v>
      </c>
      <c r="N768" s="14" t="s">
        <v>473</v>
      </c>
      <c r="O768" s="17" t="s">
        <v>3958</v>
      </c>
    </row>
    <row r="769" spans="1:15" x14ac:dyDescent="0.15">
      <c r="A769" s="50" t="s">
        <v>2097</v>
      </c>
      <c r="B769" s="42"/>
      <c r="C769" s="43"/>
      <c r="D769" s="44" t="s">
        <v>2098</v>
      </c>
      <c r="E769" s="41" t="s">
        <v>17</v>
      </c>
      <c r="F769" s="43" t="s">
        <v>3959</v>
      </c>
      <c r="G769" s="45">
        <f>17.712*L769</f>
        <v>283.392</v>
      </c>
      <c r="H769" s="46">
        <v>42130</v>
      </c>
      <c r="I769" s="45" t="s">
        <v>3874</v>
      </c>
      <c r="J769" s="45" t="s">
        <v>3960</v>
      </c>
      <c r="K769" s="45" t="s">
        <v>141</v>
      </c>
      <c r="L769" s="45">
        <v>16</v>
      </c>
      <c r="M769" s="48" t="s">
        <v>3961</v>
      </c>
      <c r="N769" s="48" t="s">
        <v>3962</v>
      </c>
      <c r="O769" s="44" t="s">
        <v>3963</v>
      </c>
    </row>
    <row r="770" spans="1:15" s="62" customFormat="1" x14ac:dyDescent="0.15">
      <c r="A770" s="21" t="s">
        <v>126</v>
      </c>
      <c r="B770" s="19" t="s">
        <v>180</v>
      </c>
      <c r="C770" s="11"/>
      <c r="D770" s="17" t="s">
        <v>128</v>
      </c>
      <c r="E770" s="10" t="s">
        <v>17</v>
      </c>
      <c r="F770" s="11" t="s">
        <v>8611</v>
      </c>
      <c r="G770" s="18">
        <f>8.606*L770</f>
        <v>215.15</v>
      </c>
      <c r="H770" s="13">
        <v>42130</v>
      </c>
      <c r="I770" s="12" t="s">
        <v>3964</v>
      </c>
      <c r="J770" s="12" t="s">
        <v>3965</v>
      </c>
      <c r="K770" s="18" t="s">
        <v>141</v>
      </c>
      <c r="L770" s="12">
        <v>25</v>
      </c>
      <c r="M770" s="14" t="s">
        <v>3966</v>
      </c>
      <c r="N770" s="14" t="s">
        <v>3967</v>
      </c>
      <c r="O770" s="17" t="s">
        <v>3968</v>
      </c>
    </row>
    <row r="771" spans="1:15" s="62" customFormat="1" x14ac:dyDescent="0.15">
      <c r="A771" s="21" t="s">
        <v>3969</v>
      </c>
      <c r="B771" s="19" t="s">
        <v>180</v>
      </c>
      <c r="C771" s="11"/>
      <c r="D771" s="17" t="s">
        <v>128</v>
      </c>
      <c r="E771" s="10" t="s">
        <v>17</v>
      </c>
      <c r="F771" s="11" t="s">
        <v>3970</v>
      </c>
      <c r="G771" s="18">
        <f>8.606*L771</f>
        <v>215.15</v>
      </c>
      <c r="H771" s="13">
        <v>42130</v>
      </c>
      <c r="I771" s="12" t="s">
        <v>3964</v>
      </c>
      <c r="J771" s="12" t="s">
        <v>3971</v>
      </c>
      <c r="K771" s="18" t="s">
        <v>141</v>
      </c>
      <c r="L771" s="12">
        <v>25</v>
      </c>
      <c r="M771" s="14" t="s">
        <v>3972</v>
      </c>
      <c r="N771" s="14" t="s">
        <v>3967</v>
      </c>
      <c r="O771" s="17" t="s">
        <v>3973</v>
      </c>
    </row>
    <row r="772" spans="1:15" x14ac:dyDescent="0.15">
      <c r="A772" s="50" t="s">
        <v>3974</v>
      </c>
      <c r="B772" s="42"/>
      <c r="C772" s="43"/>
      <c r="D772" s="44" t="s">
        <v>453</v>
      </c>
      <c r="E772" s="41" t="s">
        <v>17</v>
      </c>
      <c r="F772" s="43" t="s">
        <v>3975</v>
      </c>
      <c r="G772" s="47">
        <v>267.44900000000001</v>
      </c>
      <c r="H772" s="46">
        <v>42131</v>
      </c>
      <c r="I772" s="47" t="s">
        <v>3866</v>
      </c>
      <c r="J772" s="45" t="s">
        <v>3976</v>
      </c>
      <c r="K772" s="45" t="s">
        <v>328</v>
      </c>
      <c r="L772" s="45" t="s">
        <v>3868</v>
      </c>
      <c r="M772" s="48" t="s">
        <v>3977</v>
      </c>
      <c r="N772" s="48" t="s">
        <v>3978</v>
      </c>
      <c r="O772" s="44" t="s">
        <v>3979</v>
      </c>
    </row>
    <row r="773" spans="1:15" s="62" customFormat="1" x14ac:dyDescent="0.15">
      <c r="A773" s="21" t="s">
        <v>3980</v>
      </c>
      <c r="B773" s="19"/>
      <c r="C773" s="11"/>
      <c r="D773" s="17" t="s">
        <v>453</v>
      </c>
      <c r="E773" s="10" t="s">
        <v>137</v>
      </c>
      <c r="F773" s="11" t="s">
        <v>3981</v>
      </c>
      <c r="G773" s="12">
        <v>301.90300000000002</v>
      </c>
      <c r="H773" s="13">
        <v>42137</v>
      </c>
      <c r="I773" s="12" t="s">
        <v>3982</v>
      </c>
      <c r="J773" s="12" t="s">
        <v>3983</v>
      </c>
      <c r="K773" s="12" t="s">
        <v>3898</v>
      </c>
      <c r="L773" s="12" t="s">
        <v>3984</v>
      </c>
      <c r="M773" s="14" t="s">
        <v>3985</v>
      </c>
      <c r="N773" s="14" t="s">
        <v>3986</v>
      </c>
      <c r="O773" s="17" t="s">
        <v>3987</v>
      </c>
    </row>
    <row r="774" spans="1:15" x14ac:dyDescent="0.15">
      <c r="A774" s="50" t="s">
        <v>3974</v>
      </c>
      <c r="B774" s="42"/>
      <c r="C774" s="43"/>
      <c r="D774" s="44" t="s">
        <v>453</v>
      </c>
      <c r="E774" s="41" t="s">
        <v>137</v>
      </c>
      <c r="F774" s="43" t="s">
        <v>3988</v>
      </c>
      <c r="G774" s="45">
        <v>232.161</v>
      </c>
      <c r="H774" s="46">
        <v>42138</v>
      </c>
      <c r="I774" s="47" t="s">
        <v>3866</v>
      </c>
      <c r="J774" s="45" t="s">
        <v>3989</v>
      </c>
      <c r="K774" s="45" t="s">
        <v>328</v>
      </c>
      <c r="L774" s="45" t="s">
        <v>3990</v>
      </c>
      <c r="M774" s="48" t="s">
        <v>3991</v>
      </c>
      <c r="N774" s="48" t="s">
        <v>3992</v>
      </c>
      <c r="O774" s="44" t="s">
        <v>3993</v>
      </c>
    </row>
    <row r="775" spans="1:15" s="62" customFormat="1" x14ac:dyDescent="0.15">
      <c r="A775" s="20" t="s">
        <v>3994</v>
      </c>
      <c r="B775" s="22" t="s">
        <v>3945</v>
      </c>
      <c r="C775" s="11"/>
      <c r="D775" s="17" t="s">
        <v>3995</v>
      </c>
      <c r="E775" s="10" t="s">
        <v>137</v>
      </c>
      <c r="F775" s="11" t="s">
        <v>3996</v>
      </c>
      <c r="G775" s="18">
        <f>4.701*L775</f>
        <v>18.803999999999998</v>
      </c>
      <c r="H775" s="13">
        <v>42152</v>
      </c>
      <c r="I775" s="12" t="s">
        <v>3997</v>
      </c>
      <c r="J775" s="12" t="s">
        <v>3998</v>
      </c>
      <c r="K775" s="12" t="s">
        <v>141</v>
      </c>
      <c r="L775" s="12">
        <v>4</v>
      </c>
      <c r="M775" s="14" t="s">
        <v>3999</v>
      </c>
      <c r="N775" s="14" t="s">
        <v>4000</v>
      </c>
      <c r="O775" s="17" t="s">
        <v>4001</v>
      </c>
    </row>
    <row r="776" spans="1:15" s="62" customFormat="1" x14ac:dyDescent="0.15">
      <c r="A776" s="21" t="s">
        <v>4002</v>
      </c>
      <c r="B776" s="19"/>
      <c r="C776" s="11"/>
      <c r="D776" s="17" t="s">
        <v>1547</v>
      </c>
      <c r="E776" s="10" t="s">
        <v>137</v>
      </c>
      <c r="F776" s="11" t="s">
        <v>4003</v>
      </c>
      <c r="G776" s="12">
        <v>153.46700000000001</v>
      </c>
      <c r="H776" s="13">
        <v>42157</v>
      </c>
      <c r="I776" s="12" t="s">
        <v>3982</v>
      </c>
      <c r="J776" s="12" t="s">
        <v>4004</v>
      </c>
      <c r="K776" s="12" t="s">
        <v>39</v>
      </c>
      <c r="L776" s="12" t="s">
        <v>149</v>
      </c>
      <c r="M776" s="14" t="s">
        <v>4005</v>
      </c>
      <c r="N776" s="14" t="s">
        <v>4006</v>
      </c>
      <c r="O776" s="17" t="s">
        <v>4007</v>
      </c>
    </row>
    <row r="777" spans="1:15" s="62" customFormat="1" x14ac:dyDescent="0.15">
      <c r="A777" s="21" t="s">
        <v>4008</v>
      </c>
      <c r="B777" s="19"/>
      <c r="C777" s="11"/>
      <c r="D777" s="17" t="s">
        <v>367</v>
      </c>
      <c r="E777" s="10" t="s">
        <v>137</v>
      </c>
      <c r="F777" s="11" t="s">
        <v>4009</v>
      </c>
      <c r="G777" s="12">
        <v>341.38499999999999</v>
      </c>
      <c r="H777" s="13">
        <v>42157</v>
      </c>
      <c r="I777" s="12" t="s">
        <v>3982</v>
      </c>
      <c r="J777" s="12" t="s">
        <v>4010</v>
      </c>
      <c r="K777" s="12" t="s">
        <v>148</v>
      </c>
      <c r="L777" s="12" t="s">
        <v>4011</v>
      </c>
      <c r="M777" s="14" t="s">
        <v>4012</v>
      </c>
      <c r="N777" s="14" t="s">
        <v>4013</v>
      </c>
      <c r="O777" s="17" t="s">
        <v>4014</v>
      </c>
    </row>
    <row r="778" spans="1:15" s="62" customFormat="1" x14ac:dyDescent="0.15">
      <c r="A778" s="21" t="s">
        <v>4015</v>
      </c>
      <c r="B778" s="19"/>
      <c r="C778" s="11"/>
      <c r="D778" s="17" t="s">
        <v>367</v>
      </c>
      <c r="E778" s="10" t="s">
        <v>137</v>
      </c>
      <c r="F778" s="11" t="s">
        <v>4016</v>
      </c>
      <c r="G778" s="12">
        <v>166.446</v>
      </c>
      <c r="H778" s="13">
        <v>42157</v>
      </c>
      <c r="I778" s="12" t="s">
        <v>3982</v>
      </c>
      <c r="J778" s="12" t="s">
        <v>4017</v>
      </c>
      <c r="K778" s="12" t="s">
        <v>148</v>
      </c>
      <c r="L778" s="12" t="s">
        <v>4018</v>
      </c>
      <c r="M778" s="14" t="s">
        <v>4019</v>
      </c>
      <c r="N778" s="14" t="s">
        <v>4020</v>
      </c>
      <c r="O778" s="17" t="s">
        <v>4021</v>
      </c>
    </row>
    <row r="779" spans="1:15" s="62" customFormat="1" x14ac:dyDescent="0.15">
      <c r="A779" s="21" t="s">
        <v>4022</v>
      </c>
      <c r="B779" s="19"/>
      <c r="C779" s="11"/>
      <c r="D779" s="17" t="s">
        <v>403</v>
      </c>
      <c r="E779" s="10" t="s">
        <v>137</v>
      </c>
      <c r="F779" s="11" t="s">
        <v>4023</v>
      </c>
      <c r="G779" s="18">
        <f>29.101*L779</f>
        <v>29.100999999999999</v>
      </c>
      <c r="H779" s="13">
        <v>42158</v>
      </c>
      <c r="I779" s="12" t="s">
        <v>4024</v>
      </c>
      <c r="J779" s="12" t="s">
        <v>4025</v>
      </c>
      <c r="K779" s="12" t="s">
        <v>21</v>
      </c>
      <c r="L779" s="12">
        <v>1</v>
      </c>
      <c r="M779" s="14" t="s">
        <v>4026</v>
      </c>
      <c r="N779" s="14" t="s">
        <v>3563</v>
      </c>
      <c r="O779" s="17" t="s">
        <v>4027</v>
      </c>
    </row>
    <row r="780" spans="1:15" s="62" customFormat="1" x14ac:dyDescent="0.15">
      <c r="A780" s="21" t="s">
        <v>4028</v>
      </c>
      <c r="B780" s="19"/>
      <c r="C780" s="11"/>
      <c r="D780" s="17" t="s">
        <v>90</v>
      </c>
      <c r="E780" s="10" t="s">
        <v>137</v>
      </c>
      <c r="F780" s="11" t="s">
        <v>4029</v>
      </c>
      <c r="G780" s="12">
        <f>17.52*L780</f>
        <v>35.04</v>
      </c>
      <c r="H780" s="13">
        <v>42158</v>
      </c>
      <c r="I780" s="12" t="s">
        <v>3982</v>
      </c>
      <c r="J780" s="12" t="s">
        <v>4030</v>
      </c>
      <c r="K780" s="12" t="s">
        <v>21</v>
      </c>
      <c r="L780" s="12">
        <v>2</v>
      </c>
      <c r="M780" s="14" t="s">
        <v>4031</v>
      </c>
      <c r="N780" s="14" t="s">
        <v>4032</v>
      </c>
      <c r="O780" s="17" t="s">
        <v>4033</v>
      </c>
    </row>
    <row r="781" spans="1:15" x14ac:dyDescent="0.15">
      <c r="A781" s="50" t="s">
        <v>4034</v>
      </c>
      <c r="B781" s="42"/>
      <c r="C781" s="43"/>
      <c r="D781" s="44" t="s">
        <v>579</v>
      </c>
      <c r="E781" s="41" t="s">
        <v>137</v>
      </c>
      <c r="F781" s="43" t="s">
        <v>4035</v>
      </c>
      <c r="G781" s="45">
        <f>17.52*L781</f>
        <v>87.6</v>
      </c>
      <c r="H781" s="46">
        <v>42158</v>
      </c>
      <c r="I781" s="45" t="s">
        <v>3874</v>
      </c>
      <c r="J781" s="45" t="s">
        <v>4036</v>
      </c>
      <c r="K781" s="45" t="s">
        <v>141</v>
      </c>
      <c r="L781" s="45">
        <v>5</v>
      </c>
      <c r="M781" s="48" t="s">
        <v>4037</v>
      </c>
      <c r="N781" s="48" t="s">
        <v>680</v>
      </c>
      <c r="O781" s="44" t="s">
        <v>4038</v>
      </c>
    </row>
    <row r="782" spans="1:15" s="62" customFormat="1" x14ac:dyDescent="0.15">
      <c r="A782" s="21" t="s">
        <v>2811</v>
      </c>
      <c r="B782" s="19"/>
      <c r="C782" s="11"/>
      <c r="D782" s="17" t="s">
        <v>689</v>
      </c>
      <c r="E782" s="10" t="s">
        <v>137</v>
      </c>
      <c r="F782" s="11" t="s">
        <v>4039</v>
      </c>
      <c r="G782" s="12">
        <f>14.405*L782</f>
        <v>360.125</v>
      </c>
      <c r="H782" s="13">
        <v>42158</v>
      </c>
      <c r="I782" s="12" t="s">
        <v>3874</v>
      </c>
      <c r="J782" s="12" t="s">
        <v>4040</v>
      </c>
      <c r="K782" s="12" t="s">
        <v>141</v>
      </c>
      <c r="L782" s="12">
        <v>25</v>
      </c>
      <c r="M782" s="14" t="s">
        <v>4041</v>
      </c>
      <c r="N782" s="14" t="s">
        <v>338</v>
      </c>
      <c r="O782" s="17" t="s">
        <v>4042</v>
      </c>
    </row>
    <row r="783" spans="1:15" s="62" customFormat="1" x14ac:dyDescent="0.15">
      <c r="A783" s="20" t="s">
        <v>4043</v>
      </c>
      <c r="B783" s="19" t="s">
        <v>418</v>
      </c>
      <c r="C783" s="11"/>
      <c r="D783" s="17" t="s">
        <v>4044</v>
      </c>
      <c r="E783" s="10" t="s">
        <v>137</v>
      </c>
      <c r="F783" s="11" t="s">
        <v>4045</v>
      </c>
      <c r="G783" s="12">
        <f>29.101*L783</f>
        <v>87.302999999999997</v>
      </c>
      <c r="H783" s="13">
        <v>42158</v>
      </c>
      <c r="I783" s="12" t="s">
        <v>4046</v>
      </c>
      <c r="J783" s="12" t="s">
        <v>4047</v>
      </c>
      <c r="K783" s="12" t="s">
        <v>3887</v>
      </c>
      <c r="L783" s="12">
        <v>3</v>
      </c>
      <c r="M783" s="14" t="s">
        <v>4048</v>
      </c>
      <c r="N783" s="14" t="s">
        <v>4049</v>
      </c>
      <c r="O783" s="17" t="s">
        <v>4050</v>
      </c>
    </row>
    <row r="784" spans="1:15" s="62" customFormat="1" x14ac:dyDescent="0.15">
      <c r="A784" s="21" t="s">
        <v>4051</v>
      </c>
      <c r="B784" s="19"/>
      <c r="C784" s="11"/>
      <c r="D784" s="17" t="s">
        <v>4052</v>
      </c>
      <c r="E784" s="10" t="s">
        <v>137</v>
      </c>
      <c r="F784" s="11" t="s">
        <v>4053</v>
      </c>
      <c r="G784" s="12">
        <f>14.405*13</f>
        <v>187.26499999999999</v>
      </c>
      <c r="H784" s="13">
        <v>42158</v>
      </c>
      <c r="I784" s="12" t="s">
        <v>4054</v>
      </c>
      <c r="J784" s="12" t="s">
        <v>4055</v>
      </c>
      <c r="K784" s="12" t="s">
        <v>141</v>
      </c>
      <c r="L784" s="12" t="s">
        <v>4056</v>
      </c>
      <c r="M784" s="14" t="s">
        <v>4057</v>
      </c>
      <c r="N784" s="14" t="s">
        <v>4058</v>
      </c>
      <c r="O784" s="17" t="s">
        <v>4059</v>
      </c>
    </row>
    <row r="785" spans="1:15" s="62" customFormat="1" x14ac:dyDescent="0.15">
      <c r="A785" s="21" t="s">
        <v>4060</v>
      </c>
      <c r="B785" s="19"/>
      <c r="C785" s="11"/>
      <c r="D785" s="17" t="s">
        <v>2695</v>
      </c>
      <c r="E785" s="10" t="s">
        <v>137</v>
      </c>
      <c r="F785" s="11" t="s">
        <v>4061</v>
      </c>
      <c r="G785" s="18">
        <f>12.838*L785</f>
        <v>38.513999999999996</v>
      </c>
      <c r="H785" s="13">
        <v>42158</v>
      </c>
      <c r="I785" s="18" t="s">
        <v>4062</v>
      </c>
      <c r="J785" s="12" t="s">
        <v>4063</v>
      </c>
      <c r="K785" s="12" t="s">
        <v>141</v>
      </c>
      <c r="L785" s="12">
        <v>3</v>
      </c>
      <c r="M785" s="14" t="s">
        <v>4064</v>
      </c>
      <c r="N785" s="14" t="s">
        <v>4065</v>
      </c>
      <c r="O785" s="17" t="s">
        <v>4066</v>
      </c>
    </row>
    <row r="786" spans="1:15" x14ac:dyDescent="0.15">
      <c r="A786" s="50" t="s">
        <v>4067</v>
      </c>
      <c r="B786" s="42"/>
      <c r="C786" s="43"/>
      <c r="D786" s="44" t="s">
        <v>4068</v>
      </c>
      <c r="E786" s="41" t="s">
        <v>137</v>
      </c>
      <c r="F786" s="43" t="s">
        <v>4069</v>
      </c>
      <c r="G786" s="45">
        <f>5.286*L786</f>
        <v>52.86</v>
      </c>
      <c r="H786" s="46">
        <v>42158</v>
      </c>
      <c r="I786" s="45" t="s">
        <v>139</v>
      </c>
      <c r="J786" s="45" t="s">
        <v>4070</v>
      </c>
      <c r="K786" s="45" t="s">
        <v>3887</v>
      </c>
      <c r="L786" s="45">
        <v>10</v>
      </c>
      <c r="M786" s="48" t="s">
        <v>4071</v>
      </c>
      <c r="N786" s="48" t="s">
        <v>58</v>
      </c>
      <c r="O786" s="44" t="s">
        <v>4072</v>
      </c>
    </row>
    <row r="787" spans="1:15" s="62" customFormat="1" x14ac:dyDescent="0.15">
      <c r="A787" s="20" t="s">
        <v>4073</v>
      </c>
      <c r="B787" s="19"/>
      <c r="C787" s="11"/>
      <c r="D787" s="17" t="s">
        <v>4074</v>
      </c>
      <c r="E787" s="10" t="s">
        <v>137</v>
      </c>
      <c r="F787" s="11" t="s">
        <v>4075</v>
      </c>
      <c r="G787" s="12">
        <f>20.816*L787</f>
        <v>41.631999999999998</v>
      </c>
      <c r="H787" s="13">
        <v>42158</v>
      </c>
      <c r="I787" s="12" t="s">
        <v>3928</v>
      </c>
      <c r="J787" s="12" t="s">
        <v>4076</v>
      </c>
      <c r="K787" s="12" t="s">
        <v>3887</v>
      </c>
      <c r="L787" s="12">
        <v>2</v>
      </c>
      <c r="M787" s="14" t="s">
        <v>4077</v>
      </c>
      <c r="N787" s="14" t="s">
        <v>393</v>
      </c>
      <c r="O787" s="17" t="s">
        <v>4078</v>
      </c>
    </row>
    <row r="788" spans="1:15" x14ac:dyDescent="0.15">
      <c r="A788" s="49" t="s">
        <v>4079</v>
      </c>
      <c r="B788" s="42"/>
      <c r="C788" s="43"/>
      <c r="D788" s="44" t="s">
        <v>4080</v>
      </c>
      <c r="E788" s="41" t="s">
        <v>137</v>
      </c>
      <c r="F788" s="43" t="s">
        <v>4081</v>
      </c>
      <c r="G788" s="45">
        <f>20.558*L788</f>
        <v>267.25400000000002</v>
      </c>
      <c r="H788" s="46">
        <v>42159</v>
      </c>
      <c r="I788" s="45" t="s">
        <v>3874</v>
      </c>
      <c r="J788" s="45" t="s">
        <v>4082</v>
      </c>
      <c r="K788" s="45" t="s">
        <v>141</v>
      </c>
      <c r="L788" s="45">
        <v>13</v>
      </c>
      <c r="M788" s="48" t="s">
        <v>4083</v>
      </c>
      <c r="N788" s="48" t="s">
        <v>101</v>
      </c>
      <c r="O788" s="44" t="s">
        <v>4084</v>
      </c>
    </row>
    <row r="789" spans="1:15" s="62" customFormat="1" x14ac:dyDescent="0.15">
      <c r="A789" s="21" t="s">
        <v>4085</v>
      </c>
      <c r="B789" s="19" t="s">
        <v>180</v>
      </c>
      <c r="C789" s="11"/>
      <c r="D789" s="17" t="s">
        <v>4086</v>
      </c>
      <c r="E789" s="10" t="s">
        <v>137</v>
      </c>
      <c r="F789" s="11" t="s">
        <v>4087</v>
      </c>
      <c r="G789" s="23">
        <f>14.87*L789</f>
        <v>74.349999999999994</v>
      </c>
      <c r="H789" s="13">
        <v>42159</v>
      </c>
      <c r="I789" s="12" t="s">
        <v>3844</v>
      </c>
      <c r="J789" s="12" t="s">
        <v>4088</v>
      </c>
      <c r="K789" s="12" t="s">
        <v>141</v>
      </c>
      <c r="L789" s="12">
        <v>5</v>
      </c>
      <c r="M789" s="14" t="s">
        <v>4089</v>
      </c>
      <c r="N789" s="14" t="s">
        <v>500</v>
      </c>
      <c r="O789" s="17" t="s">
        <v>4090</v>
      </c>
    </row>
    <row r="790" spans="1:15" s="62" customFormat="1" x14ac:dyDescent="0.15">
      <c r="A790" s="21" t="s">
        <v>4091</v>
      </c>
      <c r="B790" s="19"/>
      <c r="C790" s="11"/>
      <c r="D790" s="17" t="s">
        <v>1716</v>
      </c>
      <c r="E790" s="10" t="s">
        <v>137</v>
      </c>
      <c r="F790" s="11" t="s">
        <v>4092</v>
      </c>
      <c r="G790" s="12">
        <v>159.32900000000001</v>
      </c>
      <c r="H790" s="13">
        <v>42163</v>
      </c>
      <c r="I790" s="12" t="s">
        <v>3982</v>
      </c>
      <c r="J790" s="12" t="s">
        <v>4093</v>
      </c>
      <c r="K790" s="12" t="s">
        <v>3898</v>
      </c>
      <c r="L790" s="12" t="s">
        <v>3984</v>
      </c>
      <c r="M790" s="14" t="s">
        <v>4094</v>
      </c>
      <c r="N790" s="14" t="s">
        <v>4095</v>
      </c>
      <c r="O790" s="17" t="s">
        <v>4096</v>
      </c>
    </row>
    <row r="791" spans="1:15" s="62" customFormat="1" x14ac:dyDescent="0.15">
      <c r="A791" s="21" t="s">
        <v>2097</v>
      </c>
      <c r="B791" s="19"/>
      <c r="C791" s="11"/>
      <c r="D791" s="17" t="s">
        <v>2098</v>
      </c>
      <c r="E791" s="10" t="s">
        <v>137</v>
      </c>
      <c r="F791" s="11" t="s">
        <v>4097</v>
      </c>
      <c r="G791" s="12">
        <f>17.712*L791</f>
        <v>230.256</v>
      </c>
      <c r="H791" s="13">
        <v>42164</v>
      </c>
      <c r="I791" s="12" t="s">
        <v>3874</v>
      </c>
      <c r="J791" s="12" t="s">
        <v>4098</v>
      </c>
      <c r="K791" s="12" t="s">
        <v>141</v>
      </c>
      <c r="L791" s="12">
        <v>13</v>
      </c>
      <c r="M791" s="14" t="s">
        <v>2101</v>
      </c>
      <c r="N791" s="14" t="s">
        <v>473</v>
      </c>
      <c r="O791" s="17" t="s">
        <v>4099</v>
      </c>
    </row>
    <row r="792" spans="1:15" s="62" customFormat="1" x14ac:dyDescent="0.15">
      <c r="A792" s="21" t="s">
        <v>4100</v>
      </c>
      <c r="B792" s="19"/>
      <c r="C792" s="11"/>
      <c r="D792" s="17" t="s">
        <v>1230</v>
      </c>
      <c r="E792" s="10" t="s">
        <v>137</v>
      </c>
      <c r="F792" s="11" t="s">
        <v>8597</v>
      </c>
      <c r="G792" s="12">
        <f>29.101*L792</f>
        <v>232.80799999999999</v>
      </c>
      <c r="H792" s="13">
        <v>42164</v>
      </c>
      <c r="I792" s="12" t="s">
        <v>4101</v>
      </c>
      <c r="J792" s="12" t="s">
        <v>4102</v>
      </c>
      <c r="K792" s="12" t="s">
        <v>132</v>
      </c>
      <c r="L792" s="12">
        <v>8</v>
      </c>
      <c r="M792" s="14" t="s">
        <v>2966</v>
      </c>
      <c r="N792" s="14" t="s">
        <v>1217</v>
      </c>
      <c r="O792" s="17" t="s">
        <v>2966</v>
      </c>
    </row>
    <row r="793" spans="1:15" s="62" customFormat="1" x14ac:dyDescent="0.15">
      <c r="A793" s="21" t="s">
        <v>4103</v>
      </c>
      <c r="B793" s="22" t="s">
        <v>3842</v>
      </c>
      <c r="C793" s="11"/>
      <c r="D793" s="17" t="s">
        <v>1174</v>
      </c>
      <c r="E793" s="10" t="s">
        <v>137</v>
      </c>
      <c r="F793" s="11" t="s">
        <v>4104</v>
      </c>
      <c r="G793" s="12">
        <f>9.871*L793</f>
        <v>98.710000000000008</v>
      </c>
      <c r="H793" s="13">
        <v>42164</v>
      </c>
      <c r="I793" s="12" t="s">
        <v>4105</v>
      </c>
      <c r="J793" s="12" t="s">
        <v>4106</v>
      </c>
      <c r="K793" s="18" t="s">
        <v>141</v>
      </c>
      <c r="L793" s="12">
        <v>10</v>
      </c>
      <c r="M793" s="14" t="s">
        <v>4107</v>
      </c>
      <c r="N793" s="14" t="s">
        <v>58</v>
      </c>
      <c r="O793" s="17" t="s">
        <v>4108</v>
      </c>
    </row>
    <row r="794" spans="1:15" s="62" customFormat="1" x14ac:dyDescent="0.15">
      <c r="A794" s="21" t="s">
        <v>4109</v>
      </c>
      <c r="B794" s="19" t="s">
        <v>3945</v>
      </c>
      <c r="C794" s="11"/>
      <c r="D794" s="17" t="s">
        <v>4110</v>
      </c>
      <c r="E794" s="10" t="s">
        <v>137</v>
      </c>
      <c r="F794" s="11" t="s">
        <v>4111</v>
      </c>
      <c r="G794" s="12">
        <f>29.101*L794</f>
        <v>145.505</v>
      </c>
      <c r="H794" s="13">
        <v>42164</v>
      </c>
      <c r="I794" s="12" t="s">
        <v>4112</v>
      </c>
      <c r="J794" s="12" t="s">
        <v>4113</v>
      </c>
      <c r="K794" s="12" t="s">
        <v>141</v>
      </c>
      <c r="L794" s="12">
        <v>5</v>
      </c>
      <c r="M794" s="14" t="s">
        <v>4114</v>
      </c>
      <c r="N794" s="14" t="s">
        <v>4115</v>
      </c>
      <c r="O794" s="17" t="s">
        <v>4116</v>
      </c>
    </row>
    <row r="795" spans="1:15" s="62" customFormat="1" x14ac:dyDescent="0.15">
      <c r="A795" s="20" t="s">
        <v>4117</v>
      </c>
      <c r="B795" s="22" t="s">
        <v>3945</v>
      </c>
      <c r="C795" s="11"/>
      <c r="D795" s="17" t="s">
        <v>4118</v>
      </c>
      <c r="E795" s="10" t="s">
        <v>137</v>
      </c>
      <c r="F795" s="11" t="s">
        <v>4119</v>
      </c>
      <c r="G795" s="12">
        <f>10.075*L795</f>
        <v>20.149999999999999</v>
      </c>
      <c r="H795" s="13">
        <v>42164</v>
      </c>
      <c r="I795" s="12" t="s">
        <v>4105</v>
      </c>
      <c r="J795" s="12" t="s">
        <v>4120</v>
      </c>
      <c r="K795" s="12" t="s">
        <v>141</v>
      </c>
      <c r="L795" s="12">
        <v>2</v>
      </c>
      <c r="M795" s="14" t="s">
        <v>4121</v>
      </c>
      <c r="N795" s="14" t="s">
        <v>4122</v>
      </c>
      <c r="O795" s="17" t="s">
        <v>4121</v>
      </c>
    </row>
    <row r="796" spans="1:15" s="62" customFormat="1" x14ac:dyDescent="0.15">
      <c r="A796" s="21" t="s">
        <v>4123</v>
      </c>
      <c r="B796" s="19"/>
      <c r="C796" s="11"/>
      <c r="D796" s="17" t="s">
        <v>375</v>
      </c>
      <c r="E796" s="10" t="s">
        <v>137</v>
      </c>
      <c r="F796" s="11" t="s">
        <v>4124</v>
      </c>
      <c r="G796" s="12">
        <f>17.52*L796</f>
        <v>210.24</v>
      </c>
      <c r="H796" s="13">
        <v>42165</v>
      </c>
      <c r="I796" s="12" t="s">
        <v>3982</v>
      </c>
      <c r="J796" s="12" t="s">
        <v>4125</v>
      </c>
      <c r="K796" s="12" t="s">
        <v>141</v>
      </c>
      <c r="L796" s="12">
        <v>12</v>
      </c>
      <c r="M796" s="14" t="s">
        <v>3061</v>
      </c>
      <c r="N796" s="14" t="s">
        <v>242</v>
      </c>
      <c r="O796" s="17" t="s">
        <v>3061</v>
      </c>
    </row>
    <row r="797" spans="1:15" s="62" customFormat="1" x14ac:dyDescent="0.15">
      <c r="A797" s="21" t="s">
        <v>4126</v>
      </c>
      <c r="B797" s="19" t="s">
        <v>180</v>
      </c>
      <c r="C797" s="11"/>
      <c r="D797" s="17" t="s">
        <v>1163</v>
      </c>
      <c r="E797" s="10" t="s">
        <v>137</v>
      </c>
      <c r="F797" s="11" t="s">
        <v>4127</v>
      </c>
      <c r="G797" s="12">
        <f>9.871*L797</f>
        <v>49.355000000000004</v>
      </c>
      <c r="H797" s="13">
        <v>42165</v>
      </c>
      <c r="I797" s="12" t="s">
        <v>4105</v>
      </c>
      <c r="J797" s="12" t="s">
        <v>4128</v>
      </c>
      <c r="K797" s="12" t="s">
        <v>141</v>
      </c>
      <c r="L797" s="12">
        <v>5</v>
      </c>
      <c r="M797" s="14" t="s">
        <v>4129</v>
      </c>
      <c r="N797" s="14" t="s">
        <v>1845</v>
      </c>
      <c r="O797" s="17" t="s">
        <v>4129</v>
      </c>
    </row>
    <row r="798" spans="1:15" s="62" customFormat="1" x14ac:dyDescent="0.15">
      <c r="A798" s="21" t="s">
        <v>4130</v>
      </c>
      <c r="B798" s="29" t="s">
        <v>418</v>
      </c>
      <c r="C798" s="11"/>
      <c r="D798" s="17" t="s">
        <v>592</v>
      </c>
      <c r="E798" s="10" t="s">
        <v>137</v>
      </c>
      <c r="F798" s="11" t="s">
        <v>4131</v>
      </c>
      <c r="G798" s="12">
        <f>29.101*L798</f>
        <v>378.31299999999999</v>
      </c>
      <c r="H798" s="13">
        <v>42171</v>
      </c>
      <c r="I798" s="12" t="s">
        <v>4046</v>
      </c>
      <c r="J798" s="12" t="s">
        <v>4132</v>
      </c>
      <c r="K798" s="12" t="s">
        <v>3887</v>
      </c>
      <c r="L798" s="12">
        <v>13</v>
      </c>
      <c r="M798" s="14" t="s">
        <v>4133</v>
      </c>
      <c r="N798" s="14" t="s">
        <v>4134</v>
      </c>
      <c r="O798" s="17" t="s">
        <v>4135</v>
      </c>
    </row>
    <row r="799" spans="1:15" s="62" customFormat="1" x14ac:dyDescent="0.15">
      <c r="A799" s="21" t="s">
        <v>4136</v>
      </c>
      <c r="B799" s="22" t="s">
        <v>3842</v>
      </c>
      <c r="C799" s="11"/>
      <c r="D799" s="17" t="s">
        <v>592</v>
      </c>
      <c r="E799" s="10" t="s">
        <v>137</v>
      </c>
      <c r="F799" s="11" t="s">
        <v>4137</v>
      </c>
      <c r="G799" s="12">
        <f>29.101*L799</f>
        <v>349.21199999999999</v>
      </c>
      <c r="H799" s="13">
        <v>42171</v>
      </c>
      <c r="I799" s="12" t="s">
        <v>4046</v>
      </c>
      <c r="J799" s="12" t="s">
        <v>4138</v>
      </c>
      <c r="K799" s="12" t="s">
        <v>3887</v>
      </c>
      <c r="L799" s="12">
        <v>12</v>
      </c>
      <c r="M799" s="14" t="s">
        <v>4139</v>
      </c>
      <c r="N799" s="14" t="s">
        <v>242</v>
      </c>
      <c r="O799" s="17" t="s">
        <v>4140</v>
      </c>
    </row>
    <row r="800" spans="1:15" s="62" customFormat="1" x14ac:dyDescent="0.15">
      <c r="A800" s="21" t="s">
        <v>53</v>
      </c>
      <c r="B800" s="19"/>
      <c r="C800" s="11"/>
      <c r="D800" s="17" t="s">
        <v>54</v>
      </c>
      <c r="E800" s="10" t="s">
        <v>137</v>
      </c>
      <c r="F800" s="11" t="s">
        <v>4141</v>
      </c>
      <c r="G800" s="18">
        <f>6.405*L800</f>
        <v>160.125</v>
      </c>
      <c r="H800" s="13">
        <v>42171</v>
      </c>
      <c r="I800" s="12" t="s">
        <v>139</v>
      </c>
      <c r="J800" s="12" t="s">
        <v>4142</v>
      </c>
      <c r="K800" s="12" t="s">
        <v>141</v>
      </c>
      <c r="L800" s="12">
        <v>25</v>
      </c>
      <c r="M800" s="14" t="s">
        <v>4143</v>
      </c>
      <c r="N800" s="14" t="s">
        <v>338</v>
      </c>
      <c r="O800" s="17" t="s">
        <v>4144</v>
      </c>
    </row>
    <row r="801" spans="1:15" s="62" customFormat="1" x14ac:dyDescent="0.15">
      <c r="A801" s="21" t="s">
        <v>136</v>
      </c>
      <c r="B801" s="19"/>
      <c r="C801" s="11"/>
      <c r="D801" s="17" t="s">
        <v>54</v>
      </c>
      <c r="E801" s="10" t="s">
        <v>137</v>
      </c>
      <c r="F801" s="11" t="s">
        <v>4145</v>
      </c>
      <c r="G801" s="18">
        <f>6.405*L801</f>
        <v>64.05</v>
      </c>
      <c r="H801" s="13">
        <v>42171</v>
      </c>
      <c r="I801" s="12" t="s">
        <v>139</v>
      </c>
      <c r="J801" s="12" t="s">
        <v>4146</v>
      </c>
      <c r="K801" s="12" t="s">
        <v>141</v>
      </c>
      <c r="L801" s="12">
        <v>10</v>
      </c>
      <c r="M801" s="14" t="s">
        <v>4147</v>
      </c>
      <c r="N801" s="14" t="s">
        <v>412</v>
      </c>
      <c r="O801" s="17" t="s">
        <v>4148</v>
      </c>
    </row>
    <row r="802" spans="1:15" s="62" customFormat="1" x14ac:dyDescent="0.15">
      <c r="A802" s="21" t="s">
        <v>4149</v>
      </c>
      <c r="B802" s="19"/>
      <c r="C802" s="11"/>
      <c r="D802" s="17" t="s">
        <v>1044</v>
      </c>
      <c r="E802" s="10" t="s">
        <v>137</v>
      </c>
      <c r="F802" s="11" t="s">
        <v>4150</v>
      </c>
      <c r="G802" s="12">
        <f>7.037*L802</f>
        <v>42.222000000000001</v>
      </c>
      <c r="H802" s="13">
        <v>42171</v>
      </c>
      <c r="I802" s="18" t="s">
        <v>4151</v>
      </c>
      <c r="J802" s="12" t="s">
        <v>4152</v>
      </c>
      <c r="K802" s="12" t="s">
        <v>141</v>
      </c>
      <c r="L802" s="12">
        <v>6</v>
      </c>
      <c r="M802" s="14" t="s">
        <v>4153</v>
      </c>
      <c r="N802" s="14" t="s">
        <v>4154</v>
      </c>
      <c r="O802" s="17" t="s">
        <v>4155</v>
      </c>
    </row>
    <row r="803" spans="1:15" s="62" customFormat="1" x14ac:dyDescent="0.15">
      <c r="A803" s="20" t="s">
        <v>4156</v>
      </c>
      <c r="B803" s="19"/>
      <c r="C803" s="11"/>
      <c r="D803" s="17" t="s">
        <v>4157</v>
      </c>
      <c r="E803" s="10" t="s">
        <v>137</v>
      </c>
      <c r="F803" s="11" t="s">
        <v>8578</v>
      </c>
      <c r="G803" s="12">
        <f>20.816*L803</f>
        <v>208.16</v>
      </c>
      <c r="H803" s="13">
        <v>42171</v>
      </c>
      <c r="I803" s="12" t="s">
        <v>3928</v>
      </c>
      <c r="J803" s="12" t="s">
        <v>4158</v>
      </c>
      <c r="K803" s="12" t="s">
        <v>3887</v>
      </c>
      <c r="L803" s="12">
        <v>10</v>
      </c>
      <c r="M803" s="14" t="s">
        <v>4159</v>
      </c>
      <c r="N803" s="14" t="s">
        <v>4160</v>
      </c>
      <c r="O803" s="17" t="s">
        <v>4161</v>
      </c>
    </row>
    <row r="804" spans="1:15" s="62" customFormat="1" x14ac:dyDescent="0.15">
      <c r="A804" s="20" t="s">
        <v>3926</v>
      </c>
      <c r="B804" s="19"/>
      <c r="C804" s="11"/>
      <c r="D804" s="27" t="s">
        <v>4157</v>
      </c>
      <c r="E804" s="10" t="s">
        <v>137</v>
      </c>
      <c r="F804" s="11" t="s">
        <v>4162</v>
      </c>
      <c r="G804" s="12">
        <f>20.816*L804</f>
        <v>270.608</v>
      </c>
      <c r="H804" s="13">
        <v>42171</v>
      </c>
      <c r="I804" s="12" t="s">
        <v>3928</v>
      </c>
      <c r="J804" s="12" t="s">
        <v>4163</v>
      </c>
      <c r="K804" s="12" t="s">
        <v>3887</v>
      </c>
      <c r="L804" s="12">
        <v>13</v>
      </c>
      <c r="M804" s="14" t="s">
        <v>4164</v>
      </c>
      <c r="N804" s="14" t="s">
        <v>473</v>
      </c>
      <c r="O804" s="17" t="s">
        <v>4165</v>
      </c>
    </row>
    <row r="805" spans="1:15" x14ac:dyDescent="0.15">
      <c r="A805" s="50" t="s">
        <v>4166</v>
      </c>
      <c r="B805" s="42"/>
      <c r="C805" s="43"/>
      <c r="D805" s="44" t="s">
        <v>4167</v>
      </c>
      <c r="E805" s="41" t="s">
        <v>137</v>
      </c>
      <c r="F805" s="43" t="s">
        <v>4168</v>
      </c>
      <c r="G805" s="55">
        <f>19.827*L805</f>
        <v>158.61600000000001</v>
      </c>
      <c r="H805" s="46">
        <v>42171</v>
      </c>
      <c r="I805" s="55" t="s">
        <v>4169</v>
      </c>
      <c r="J805" s="55" t="s">
        <v>4170</v>
      </c>
      <c r="K805" s="55" t="s">
        <v>21</v>
      </c>
      <c r="L805" s="45">
        <v>8</v>
      </c>
      <c r="M805" s="48" t="s">
        <v>4171</v>
      </c>
      <c r="N805" s="48" t="s">
        <v>4172</v>
      </c>
      <c r="O805" s="44" t="s">
        <v>4173</v>
      </c>
    </row>
    <row r="806" spans="1:15" s="62" customFormat="1" x14ac:dyDescent="0.15">
      <c r="A806" s="21" t="s">
        <v>4174</v>
      </c>
      <c r="B806" s="19"/>
      <c r="C806" s="11"/>
      <c r="D806" s="17" t="s">
        <v>846</v>
      </c>
      <c r="E806" s="10" t="s">
        <v>137</v>
      </c>
      <c r="F806" s="11" t="s">
        <v>4175</v>
      </c>
      <c r="G806" s="30">
        <v>201.964</v>
      </c>
      <c r="H806" s="13">
        <v>42171</v>
      </c>
      <c r="I806" s="18" t="s">
        <v>3851</v>
      </c>
      <c r="J806" s="12" t="s">
        <v>4176</v>
      </c>
      <c r="K806" s="12" t="s">
        <v>3898</v>
      </c>
      <c r="L806" s="12" t="s">
        <v>4177</v>
      </c>
      <c r="M806" s="14" t="s">
        <v>4178</v>
      </c>
      <c r="N806" s="14" t="s">
        <v>4179</v>
      </c>
      <c r="O806" s="17" t="s">
        <v>4180</v>
      </c>
    </row>
    <row r="807" spans="1:15" s="62" customFormat="1" x14ac:dyDescent="0.15">
      <c r="A807" s="21" t="s">
        <v>4174</v>
      </c>
      <c r="B807" s="19"/>
      <c r="C807" s="11"/>
      <c r="D807" s="17" t="s">
        <v>846</v>
      </c>
      <c r="E807" s="10" t="s">
        <v>137</v>
      </c>
      <c r="F807" s="11" t="s">
        <v>4181</v>
      </c>
      <c r="G807" s="30">
        <v>232.00800000000001</v>
      </c>
      <c r="H807" s="13">
        <v>42171</v>
      </c>
      <c r="I807" s="18" t="s">
        <v>3851</v>
      </c>
      <c r="J807" s="12" t="s">
        <v>4182</v>
      </c>
      <c r="K807" s="12" t="s">
        <v>3898</v>
      </c>
      <c r="L807" s="12" t="s">
        <v>4183</v>
      </c>
      <c r="M807" s="14" t="s">
        <v>4184</v>
      </c>
      <c r="N807" s="14" t="s">
        <v>4185</v>
      </c>
      <c r="O807" s="17" t="s">
        <v>4186</v>
      </c>
    </row>
    <row r="808" spans="1:15" s="62" customFormat="1" x14ac:dyDescent="0.15">
      <c r="A808" s="21" t="s">
        <v>4187</v>
      </c>
      <c r="B808" s="19"/>
      <c r="C808" s="11"/>
      <c r="D808" s="17" t="s">
        <v>2156</v>
      </c>
      <c r="E808" s="10" t="s">
        <v>137</v>
      </c>
      <c r="F808" s="11" t="s">
        <v>8579</v>
      </c>
      <c r="G808" s="30">
        <v>106.58499999999999</v>
      </c>
      <c r="H808" s="13">
        <v>42171</v>
      </c>
      <c r="I808" s="12" t="s">
        <v>3982</v>
      </c>
      <c r="J808" s="12" t="s">
        <v>4188</v>
      </c>
      <c r="K808" s="12" t="s">
        <v>148</v>
      </c>
      <c r="L808" s="12" t="s">
        <v>4189</v>
      </c>
      <c r="M808" s="14" t="s">
        <v>4190</v>
      </c>
      <c r="N808" s="14" t="s">
        <v>4191</v>
      </c>
      <c r="O808" s="17" t="s">
        <v>4192</v>
      </c>
    </row>
    <row r="809" spans="1:15" x14ac:dyDescent="0.15">
      <c r="A809" s="50" t="s">
        <v>4193</v>
      </c>
      <c r="B809" s="42"/>
      <c r="C809" s="43"/>
      <c r="D809" s="44" t="s">
        <v>4194</v>
      </c>
      <c r="E809" s="41" t="s">
        <v>137</v>
      </c>
      <c r="F809" s="43" t="s">
        <v>4195</v>
      </c>
      <c r="G809" s="47">
        <f>22.211*L809</f>
        <v>88.843999999999994</v>
      </c>
      <c r="H809" s="46">
        <v>42173</v>
      </c>
      <c r="I809" s="47" t="s">
        <v>3851</v>
      </c>
      <c r="J809" s="45" t="s">
        <v>4196</v>
      </c>
      <c r="K809" s="45" t="s">
        <v>3887</v>
      </c>
      <c r="L809" s="45">
        <v>4</v>
      </c>
      <c r="M809" s="48" t="s">
        <v>4197</v>
      </c>
      <c r="N809" s="48" t="s">
        <v>4198</v>
      </c>
      <c r="O809" s="44" t="s">
        <v>4199</v>
      </c>
    </row>
    <row r="810" spans="1:15" s="62" customFormat="1" x14ac:dyDescent="0.15">
      <c r="A810" s="21" t="s">
        <v>3980</v>
      </c>
      <c r="B810" s="19"/>
      <c r="C810" s="11"/>
      <c r="D810" s="17" t="s">
        <v>453</v>
      </c>
      <c r="E810" s="10" t="s">
        <v>137</v>
      </c>
      <c r="F810" s="11" t="s">
        <v>4200</v>
      </c>
      <c r="G810" s="18">
        <v>383.61500000000001</v>
      </c>
      <c r="H810" s="13">
        <v>42173</v>
      </c>
      <c r="I810" s="12" t="s">
        <v>3982</v>
      </c>
      <c r="J810" s="12" t="s">
        <v>4201</v>
      </c>
      <c r="K810" s="12" t="s">
        <v>3898</v>
      </c>
      <c r="L810" s="12" t="s">
        <v>4202</v>
      </c>
      <c r="M810" s="14" t="s">
        <v>4203</v>
      </c>
      <c r="N810" s="14" t="s">
        <v>4204</v>
      </c>
      <c r="O810" s="17" t="s">
        <v>4205</v>
      </c>
    </row>
    <row r="811" spans="1:15" s="62" customFormat="1" x14ac:dyDescent="0.15">
      <c r="A811" s="21" t="s">
        <v>4206</v>
      </c>
      <c r="B811" s="19"/>
      <c r="C811" s="11"/>
      <c r="D811" s="17" t="s">
        <v>35</v>
      </c>
      <c r="E811" s="10" t="s">
        <v>137</v>
      </c>
      <c r="F811" s="11" t="s">
        <v>4207</v>
      </c>
      <c r="G811" s="18">
        <v>67.644000000000005</v>
      </c>
      <c r="H811" s="13">
        <v>42173</v>
      </c>
      <c r="I811" s="12" t="s">
        <v>3982</v>
      </c>
      <c r="J811" s="12" t="s">
        <v>4208</v>
      </c>
      <c r="K811" s="12" t="s">
        <v>148</v>
      </c>
      <c r="L811" s="12" t="s">
        <v>4209</v>
      </c>
      <c r="M811" s="14" t="s">
        <v>4210</v>
      </c>
      <c r="N811" s="14" t="s">
        <v>4211</v>
      </c>
      <c r="O811" s="17" t="s">
        <v>4212</v>
      </c>
    </row>
    <row r="812" spans="1:15" s="62" customFormat="1" x14ac:dyDescent="0.15">
      <c r="A812" s="21" t="s">
        <v>4213</v>
      </c>
      <c r="B812" s="19"/>
      <c r="C812" s="11"/>
      <c r="D812" s="17" t="s">
        <v>35</v>
      </c>
      <c r="E812" s="10" t="s">
        <v>137</v>
      </c>
      <c r="F812" s="11" t="s">
        <v>4214</v>
      </c>
      <c r="G812" s="18">
        <v>49.104999999999997</v>
      </c>
      <c r="H812" s="13">
        <v>42173</v>
      </c>
      <c r="I812" s="12" t="s">
        <v>3982</v>
      </c>
      <c r="J812" s="12" t="s">
        <v>4215</v>
      </c>
      <c r="K812" s="12" t="s">
        <v>148</v>
      </c>
      <c r="L812" s="12" t="s">
        <v>4216</v>
      </c>
      <c r="M812" s="14" t="s">
        <v>4217</v>
      </c>
      <c r="N812" s="14" t="s">
        <v>4218</v>
      </c>
      <c r="O812" s="17" t="s">
        <v>4219</v>
      </c>
    </row>
    <row r="813" spans="1:15" s="62" customFormat="1" x14ac:dyDescent="0.15">
      <c r="A813" s="21" t="s">
        <v>3980</v>
      </c>
      <c r="B813" s="19"/>
      <c r="C813" s="11"/>
      <c r="D813" s="17" t="s">
        <v>453</v>
      </c>
      <c r="E813" s="10" t="s">
        <v>137</v>
      </c>
      <c r="F813" s="11" t="s">
        <v>4220</v>
      </c>
      <c r="G813" s="30">
        <v>383.49099999999999</v>
      </c>
      <c r="H813" s="13">
        <v>42174</v>
      </c>
      <c r="I813" s="12" t="s">
        <v>3982</v>
      </c>
      <c r="J813" s="12" t="s">
        <v>4221</v>
      </c>
      <c r="K813" s="12" t="s">
        <v>3898</v>
      </c>
      <c r="L813" s="12" t="s">
        <v>4202</v>
      </c>
      <c r="M813" s="14" t="s">
        <v>4222</v>
      </c>
      <c r="N813" s="14" t="s">
        <v>4223</v>
      </c>
      <c r="O813" s="17" t="s">
        <v>4224</v>
      </c>
    </row>
    <row r="814" spans="1:15" s="62" customFormat="1" x14ac:dyDescent="0.15">
      <c r="A814" s="21" t="s">
        <v>3980</v>
      </c>
      <c r="B814" s="19"/>
      <c r="C814" s="11"/>
      <c r="D814" s="17" t="s">
        <v>453</v>
      </c>
      <c r="E814" s="10" t="s">
        <v>137</v>
      </c>
      <c r="F814" s="11" t="s">
        <v>4225</v>
      </c>
      <c r="G814" s="30">
        <v>267.38099999999997</v>
      </c>
      <c r="H814" s="13">
        <v>42174</v>
      </c>
      <c r="I814" s="12" t="s">
        <v>3982</v>
      </c>
      <c r="J814" s="12" t="s">
        <v>4226</v>
      </c>
      <c r="K814" s="12" t="s">
        <v>3898</v>
      </c>
      <c r="L814" s="12" t="s">
        <v>3868</v>
      </c>
      <c r="M814" s="14" t="s">
        <v>4227</v>
      </c>
      <c r="N814" s="14" t="s">
        <v>3978</v>
      </c>
      <c r="O814" s="17" t="s">
        <v>4228</v>
      </c>
    </row>
    <row r="815" spans="1:15" s="62" customFormat="1" x14ac:dyDescent="0.15">
      <c r="A815" s="21" t="s">
        <v>3980</v>
      </c>
      <c r="B815" s="19"/>
      <c r="C815" s="11"/>
      <c r="D815" s="17" t="s">
        <v>453</v>
      </c>
      <c r="E815" s="10" t="s">
        <v>137</v>
      </c>
      <c r="F815" s="11" t="s">
        <v>4229</v>
      </c>
      <c r="G815" s="30">
        <v>267.137</v>
      </c>
      <c r="H815" s="13">
        <v>42174</v>
      </c>
      <c r="I815" s="12" t="s">
        <v>3982</v>
      </c>
      <c r="J815" s="12" t="s">
        <v>4230</v>
      </c>
      <c r="K815" s="12" t="s">
        <v>3898</v>
      </c>
      <c r="L815" s="12" t="s">
        <v>3868</v>
      </c>
      <c r="M815" s="14" t="s">
        <v>4231</v>
      </c>
      <c r="N815" s="14" t="s">
        <v>4232</v>
      </c>
      <c r="O815" s="17" t="s">
        <v>4233</v>
      </c>
    </row>
    <row r="816" spans="1:15" s="62" customFormat="1" x14ac:dyDescent="0.15">
      <c r="A816" s="20" t="s">
        <v>4234</v>
      </c>
      <c r="B816" s="19"/>
      <c r="C816" s="11"/>
      <c r="D816" s="17" t="s">
        <v>4235</v>
      </c>
      <c r="E816" s="10" t="s">
        <v>137</v>
      </c>
      <c r="F816" s="11" t="s">
        <v>4236</v>
      </c>
      <c r="G816" s="12">
        <f>5.26*L816</f>
        <v>26.299999999999997</v>
      </c>
      <c r="H816" s="13">
        <v>42178</v>
      </c>
      <c r="I816" s="23" t="s">
        <v>4237</v>
      </c>
      <c r="J816" s="23" t="s">
        <v>4238</v>
      </c>
      <c r="K816" s="23" t="s">
        <v>148</v>
      </c>
      <c r="L816" s="12">
        <v>5</v>
      </c>
      <c r="M816" s="14" t="s">
        <v>4239</v>
      </c>
      <c r="N816" s="14" t="s">
        <v>4240</v>
      </c>
      <c r="O816" s="17" t="s">
        <v>4241</v>
      </c>
    </row>
    <row r="817" spans="1:15" s="62" customFormat="1" x14ac:dyDescent="0.15">
      <c r="A817" s="21" t="s">
        <v>3980</v>
      </c>
      <c r="B817" s="19"/>
      <c r="C817" s="11"/>
      <c r="D817" s="17" t="s">
        <v>453</v>
      </c>
      <c r="E817" s="10" t="s">
        <v>137</v>
      </c>
      <c r="F817" s="11" t="s">
        <v>4242</v>
      </c>
      <c r="G817" s="12">
        <v>267.46600000000001</v>
      </c>
      <c r="H817" s="13">
        <v>42178</v>
      </c>
      <c r="I817" s="12" t="s">
        <v>3982</v>
      </c>
      <c r="J817" s="12" t="s">
        <v>4243</v>
      </c>
      <c r="K817" s="12" t="s">
        <v>3898</v>
      </c>
      <c r="L817" s="12" t="s">
        <v>3868</v>
      </c>
      <c r="M817" s="14" t="s">
        <v>4244</v>
      </c>
      <c r="N817" s="14" t="s">
        <v>3978</v>
      </c>
      <c r="O817" s="17" t="s">
        <v>4245</v>
      </c>
    </row>
    <row r="818" spans="1:15" s="62" customFormat="1" x14ac:dyDescent="0.15">
      <c r="A818" s="21" t="s">
        <v>3980</v>
      </c>
      <c r="B818" s="19"/>
      <c r="C818" s="11"/>
      <c r="D818" s="17" t="s">
        <v>453</v>
      </c>
      <c r="E818" s="10" t="s">
        <v>137</v>
      </c>
      <c r="F818" s="11" t="s">
        <v>4246</v>
      </c>
      <c r="G818" s="12">
        <v>301.94799999999998</v>
      </c>
      <c r="H818" s="13">
        <v>42178</v>
      </c>
      <c r="I818" s="12" t="s">
        <v>3982</v>
      </c>
      <c r="J818" s="12" t="s">
        <v>4247</v>
      </c>
      <c r="K818" s="12" t="s">
        <v>3898</v>
      </c>
      <c r="L818" s="12" t="s">
        <v>3984</v>
      </c>
      <c r="M818" s="14" t="s">
        <v>4248</v>
      </c>
      <c r="N818" s="14" t="s">
        <v>4249</v>
      </c>
      <c r="O818" s="17" t="s">
        <v>4250</v>
      </c>
    </row>
    <row r="819" spans="1:15" s="62" customFormat="1" x14ac:dyDescent="0.15">
      <c r="A819" s="21" t="s">
        <v>3980</v>
      </c>
      <c r="B819" s="19"/>
      <c r="C819" s="11"/>
      <c r="D819" s="17" t="s">
        <v>453</v>
      </c>
      <c r="E819" s="10" t="s">
        <v>137</v>
      </c>
      <c r="F819" s="11" t="s">
        <v>4251</v>
      </c>
      <c r="G819" s="12">
        <v>302.22699999999998</v>
      </c>
      <c r="H819" s="13">
        <v>42178</v>
      </c>
      <c r="I819" s="12" t="s">
        <v>3982</v>
      </c>
      <c r="J819" s="12" t="s">
        <v>4252</v>
      </c>
      <c r="K819" s="12" t="s">
        <v>3898</v>
      </c>
      <c r="L819" s="12" t="s">
        <v>3984</v>
      </c>
      <c r="M819" s="14" t="s">
        <v>4253</v>
      </c>
      <c r="N819" s="14" t="s">
        <v>4254</v>
      </c>
      <c r="O819" s="17" t="s">
        <v>4255</v>
      </c>
    </row>
    <row r="820" spans="1:15" s="62" customFormat="1" x14ac:dyDescent="0.15">
      <c r="A820" s="21" t="s">
        <v>4256</v>
      </c>
      <c r="B820" s="19"/>
      <c r="C820" s="11"/>
      <c r="D820" s="17" t="s">
        <v>460</v>
      </c>
      <c r="E820" s="10" t="s">
        <v>137</v>
      </c>
      <c r="F820" s="11" t="s">
        <v>4257</v>
      </c>
      <c r="G820" s="12">
        <v>154.601</v>
      </c>
      <c r="H820" s="13">
        <v>42179</v>
      </c>
      <c r="I820" s="12" t="s">
        <v>3982</v>
      </c>
      <c r="J820" s="12" t="s">
        <v>4258</v>
      </c>
      <c r="K820" s="12" t="s">
        <v>148</v>
      </c>
      <c r="L820" s="12" t="s">
        <v>4259</v>
      </c>
      <c r="M820" s="14" t="s">
        <v>4260</v>
      </c>
      <c r="N820" s="14" t="s">
        <v>4261</v>
      </c>
      <c r="O820" s="17" t="s">
        <v>4262</v>
      </c>
    </row>
    <row r="821" spans="1:15" s="62" customFormat="1" x14ac:dyDescent="0.15">
      <c r="A821" s="21" t="s">
        <v>4263</v>
      </c>
      <c r="B821" s="19"/>
      <c r="C821" s="11"/>
      <c r="D821" s="17" t="s">
        <v>2049</v>
      </c>
      <c r="E821" s="10" t="s">
        <v>137</v>
      </c>
      <c r="F821" s="11" t="s">
        <v>4264</v>
      </c>
      <c r="G821" s="12">
        <v>201.053</v>
      </c>
      <c r="H821" s="13">
        <v>42179</v>
      </c>
      <c r="I821" s="18" t="s">
        <v>3851</v>
      </c>
      <c r="J821" s="12" t="s">
        <v>4265</v>
      </c>
      <c r="K821" s="12" t="s">
        <v>148</v>
      </c>
      <c r="L821" s="12" t="s">
        <v>4266</v>
      </c>
      <c r="M821" s="14" t="s">
        <v>4267</v>
      </c>
      <c r="N821" s="14" t="s">
        <v>4268</v>
      </c>
      <c r="O821" s="17" t="s">
        <v>4269</v>
      </c>
    </row>
    <row r="822" spans="1:15" s="62" customFormat="1" x14ac:dyDescent="0.15">
      <c r="A822" s="21" t="s">
        <v>4270</v>
      </c>
      <c r="B822" s="19"/>
      <c r="C822" s="11"/>
      <c r="D822" s="17" t="s">
        <v>1685</v>
      </c>
      <c r="E822" s="10" t="s">
        <v>137</v>
      </c>
      <c r="F822" s="11" t="s">
        <v>4271</v>
      </c>
      <c r="G822" s="12">
        <f>12.838*L822</f>
        <v>128.38</v>
      </c>
      <c r="H822" s="13">
        <v>42181</v>
      </c>
      <c r="I822" s="12" t="s">
        <v>3982</v>
      </c>
      <c r="J822" s="12" t="s">
        <v>4272</v>
      </c>
      <c r="K822" s="12" t="s">
        <v>141</v>
      </c>
      <c r="L822" s="12">
        <v>10</v>
      </c>
      <c r="M822" s="14" t="s">
        <v>4273</v>
      </c>
      <c r="N822" s="14" t="s">
        <v>412</v>
      </c>
      <c r="O822" s="17" t="s">
        <v>3416</v>
      </c>
    </row>
    <row r="823" spans="1:15" s="62" customFormat="1" x14ac:dyDescent="0.15">
      <c r="A823" s="21" t="s">
        <v>4274</v>
      </c>
      <c r="B823" s="19"/>
      <c r="C823" s="11"/>
      <c r="D823" s="17" t="s">
        <v>886</v>
      </c>
      <c r="E823" s="10" t="s">
        <v>137</v>
      </c>
      <c r="F823" s="11" t="s">
        <v>4275</v>
      </c>
      <c r="G823" s="12">
        <v>207.916</v>
      </c>
      <c r="H823" s="13">
        <v>42181</v>
      </c>
      <c r="I823" s="12" t="s">
        <v>3982</v>
      </c>
      <c r="J823" s="12" t="s">
        <v>4276</v>
      </c>
      <c r="K823" s="12" t="s">
        <v>148</v>
      </c>
      <c r="L823" s="12" t="s">
        <v>4277</v>
      </c>
      <c r="M823" s="14" t="s">
        <v>4278</v>
      </c>
      <c r="N823" s="14" t="s">
        <v>4279</v>
      </c>
      <c r="O823" s="17" t="s">
        <v>4280</v>
      </c>
    </row>
    <row r="824" spans="1:15" s="62" customFormat="1" x14ac:dyDescent="0.15">
      <c r="A824" s="21" t="s">
        <v>4281</v>
      </c>
      <c r="B824" s="19"/>
      <c r="C824" s="11"/>
      <c r="D824" s="17" t="s">
        <v>1475</v>
      </c>
      <c r="E824" s="10" t="s">
        <v>137</v>
      </c>
      <c r="F824" s="11" t="s">
        <v>8612</v>
      </c>
      <c r="G824" s="12">
        <v>182.256</v>
      </c>
      <c r="H824" s="13">
        <v>42181</v>
      </c>
      <c r="I824" s="12" t="s">
        <v>3982</v>
      </c>
      <c r="J824" s="12" t="s">
        <v>4282</v>
      </c>
      <c r="K824" s="12" t="s">
        <v>3898</v>
      </c>
      <c r="L824" s="12" t="s">
        <v>4283</v>
      </c>
      <c r="M824" s="14" t="s">
        <v>4284</v>
      </c>
      <c r="N824" s="14" t="s">
        <v>4285</v>
      </c>
      <c r="O824" s="17" t="s">
        <v>4286</v>
      </c>
    </row>
    <row r="825" spans="1:15" s="62" customFormat="1" x14ac:dyDescent="0.15">
      <c r="A825" s="21" t="s">
        <v>3980</v>
      </c>
      <c r="B825" s="19"/>
      <c r="C825" s="11"/>
      <c r="D825" s="17" t="s">
        <v>453</v>
      </c>
      <c r="E825" s="10" t="s">
        <v>137</v>
      </c>
      <c r="F825" s="11" t="s">
        <v>4287</v>
      </c>
      <c r="G825" s="12">
        <v>383.39</v>
      </c>
      <c r="H825" s="13">
        <v>42186</v>
      </c>
      <c r="I825" s="12" t="s">
        <v>3982</v>
      </c>
      <c r="J825" s="12" t="s">
        <v>4288</v>
      </c>
      <c r="K825" s="12" t="s">
        <v>3898</v>
      </c>
      <c r="L825" s="12" t="s">
        <v>4202</v>
      </c>
      <c r="M825" s="14" t="s">
        <v>4289</v>
      </c>
      <c r="N825" s="14" t="s">
        <v>4290</v>
      </c>
      <c r="O825" s="17" t="s">
        <v>4291</v>
      </c>
    </row>
    <row r="826" spans="1:15" s="62" customFormat="1" x14ac:dyDescent="0.15">
      <c r="A826" s="21" t="s">
        <v>3980</v>
      </c>
      <c r="B826" s="19"/>
      <c r="C826" s="11"/>
      <c r="D826" s="17" t="s">
        <v>453</v>
      </c>
      <c r="E826" s="10" t="s">
        <v>137</v>
      </c>
      <c r="F826" s="11" t="s">
        <v>4292</v>
      </c>
      <c r="G826" s="12">
        <v>267.35899999999998</v>
      </c>
      <c r="H826" s="13">
        <v>42186</v>
      </c>
      <c r="I826" s="12" t="s">
        <v>3982</v>
      </c>
      <c r="J826" s="12" t="s">
        <v>4293</v>
      </c>
      <c r="K826" s="12" t="s">
        <v>3898</v>
      </c>
      <c r="L826" s="12" t="s">
        <v>3868</v>
      </c>
      <c r="M826" s="14" t="s">
        <v>4294</v>
      </c>
      <c r="N826" s="14" t="s">
        <v>4295</v>
      </c>
      <c r="O826" s="17" t="s">
        <v>4296</v>
      </c>
    </row>
    <row r="827" spans="1:15" s="62" customFormat="1" x14ac:dyDescent="0.15">
      <c r="A827" s="21" t="s">
        <v>3980</v>
      </c>
      <c r="B827" s="19"/>
      <c r="C827" s="11"/>
      <c r="D827" s="17" t="s">
        <v>453</v>
      </c>
      <c r="E827" s="10" t="s">
        <v>137</v>
      </c>
      <c r="F827" s="11" t="s">
        <v>4297</v>
      </c>
      <c r="G827" s="12">
        <v>301.94400000000002</v>
      </c>
      <c r="H827" s="13">
        <v>42186</v>
      </c>
      <c r="I827" s="12" t="s">
        <v>3982</v>
      </c>
      <c r="J827" s="12" t="s">
        <v>4298</v>
      </c>
      <c r="K827" s="12" t="s">
        <v>3898</v>
      </c>
      <c r="L827" s="12" t="s">
        <v>3984</v>
      </c>
      <c r="M827" s="14" t="s">
        <v>4299</v>
      </c>
      <c r="N827" s="14" t="s">
        <v>4300</v>
      </c>
      <c r="O827" s="17" t="s">
        <v>4301</v>
      </c>
    </row>
    <row r="828" spans="1:15" s="62" customFormat="1" x14ac:dyDescent="0.15">
      <c r="A828" s="21" t="s">
        <v>3980</v>
      </c>
      <c r="B828" s="19"/>
      <c r="C828" s="11"/>
      <c r="D828" s="17" t="s">
        <v>453</v>
      </c>
      <c r="E828" s="10" t="s">
        <v>137</v>
      </c>
      <c r="F828" s="11" t="s">
        <v>4302</v>
      </c>
      <c r="G828" s="12">
        <v>302.22199999999998</v>
      </c>
      <c r="H828" s="13">
        <v>42186</v>
      </c>
      <c r="I828" s="12" t="s">
        <v>3982</v>
      </c>
      <c r="J828" s="12" t="s">
        <v>4303</v>
      </c>
      <c r="K828" s="12" t="s">
        <v>3898</v>
      </c>
      <c r="L828" s="12" t="s">
        <v>3984</v>
      </c>
      <c r="M828" s="14" t="s">
        <v>4304</v>
      </c>
      <c r="N828" s="14" t="s">
        <v>4305</v>
      </c>
      <c r="O828" s="17" t="s">
        <v>4306</v>
      </c>
    </row>
    <row r="829" spans="1:15" s="62" customFormat="1" x14ac:dyDescent="0.15">
      <c r="A829" s="21" t="s">
        <v>3980</v>
      </c>
      <c r="B829" s="19"/>
      <c r="C829" s="11"/>
      <c r="D829" s="17" t="s">
        <v>453</v>
      </c>
      <c r="E829" s="10" t="s">
        <v>137</v>
      </c>
      <c r="F829" s="11" t="s">
        <v>4307</v>
      </c>
      <c r="G829" s="12">
        <v>302.17599999999999</v>
      </c>
      <c r="H829" s="13">
        <v>42186</v>
      </c>
      <c r="I829" s="12" t="s">
        <v>3982</v>
      </c>
      <c r="J829" s="12" t="s">
        <v>4308</v>
      </c>
      <c r="K829" s="12" t="s">
        <v>3898</v>
      </c>
      <c r="L829" s="12" t="s">
        <v>3984</v>
      </c>
      <c r="M829" s="14" t="s">
        <v>4309</v>
      </c>
      <c r="N829" s="14" t="s">
        <v>4310</v>
      </c>
      <c r="O829" s="17" t="s">
        <v>4311</v>
      </c>
    </row>
    <row r="830" spans="1:15" x14ac:dyDescent="0.15">
      <c r="A830" s="50" t="s">
        <v>3872</v>
      </c>
      <c r="B830" s="42"/>
      <c r="C830" s="43"/>
      <c r="D830" s="44" t="s">
        <v>4312</v>
      </c>
      <c r="E830" s="41" t="s">
        <v>137</v>
      </c>
      <c r="F830" s="43" t="s">
        <v>4313</v>
      </c>
      <c r="G830" s="45">
        <f>17.498*L830</f>
        <v>209.976</v>
      </c>
      <c r="H830" s="46">
        <v>42186</v>
      </c>
      <c r="I830" s="45" t="s">
        <v>3874</v>
      </c>
      <c r="J830" s="45" t="s">
        <v>4314</v>
      </c>
      <c r="K830" s="45" t="s">
        <v>141</v>
      </c>
      <c r="L830" s="45">
        <v>12</v>
      </c>
      <c r="M830" s="48" t="s">
        <v>2775</v>
      </c>
      <c r="N830" s="48" t="s">
        <v>3882</v>
      </c>
      <c r="O830" s="44" t="s">
        <v>2775</v>
      </c>
    </row>
    <row r="831" spans="1:15" x14ac:dyDescent="0.15">
      <c r="A831" s="50" t="s">
        <v>3884</v>
      </c>
      <c r="B831" s="42"/>
      <c r="C831" s="43"/>
      <c r="D831" s="44" t="s">
        <v>4315</v>
      </c>
      <c r="E831" s="41" t="s">
        <v>137</v>
      </c>
      <c r="F831" s="43" t="s">
        <v>4316</v>
      </c>
      <c r="G831" s="45">
        <f>20.545*L831</f>
        <v>102.72500000000001</v>
      </c>
      <c r="H831" s="46">
        <v>42186</v>
      </c>
      <c r="I831" s="45" t="s">
        <v>3874</v>
      </c>
      <c r="J831" s="45" t="s">
        <v>4317</v>
      </c>
      <c r="K831" s="45" t="s">
        <v>3887</v>
      </c>
      <c r="L831" s="45">
        <v>5</v>
      </c>
      <c r="M831" s="48" t="s">
        <v>4318</v>
      </c>
      <c r="N831" s="48" t="s">
        <v>680</v>
      </c>
      <c r="O831" s="44" t="s">
        <v>4318</v>
      </c>
    </row>
    <row r="832" spans="1:15" s="62" customFormat="1" x14ac:dyDescent="0.15">
      <c r="A832" s="20" t="s">
        <v>4319</v>
      </c>
      <c r="B832" s="19" t="s">
        <v>6918</v>
      </c>
      <c r="C832" s="11"/>
      <c r="D832" s="17" t="s">
        <v>4320</v>
      </c>
      <c r="E832" s="10" t="s">
        <v>137</v>
      </c>
      <c r="F832" s="11" t="s">
        <v>4321</v>
      </c>
      <c r="G832" s="12">
        <f>3.586*L832</f>
        <v>39.445999999999998</v>
      </c>
      <c r="H832" s="13">
        <v>42188</v>
      </c>
      <c r="I832" s="12" t="s">
        <v>4322</v>
      </c>
      <c r="J832" s="12" t="s">
        <v>4323</v>
      </c>
      <c r="K832" s="12" t="s">
        <v>141</v>
      </c>
      <c r="L832" s="12">
        <v>11</v>
      </c>
      <c r="M832" s="14" t="s">
        <v>4324</v>
      </c>
      <c r="N832" s="14" t="s">
        <v>1457</v>
      </c>
      <c r="O832" s="17" t="s">
        <v>4325</v>
      </c>
    </row>
    <row r="833" spans="1:15" s="62" customFormat="1" x14ac:dyDescent="0.15">
      <c r="A833" s="21" t="s">
        <v>4326</v>
      </c>
      <c r="B833" s="19"/>
      <c r="C833" s="11"/>
      <c r="D833" s="17" t="s">
        <v>540</v>
      </c>
      <c r="E833" s="10" t="s">
        <v>137</v>
      </c>
      <c r="F833" s="11" t="s">
        <v>4327</v>
      </c>
      <c r="G833" s="12">
        <f>17.52*L833</f>
        <v>87.6</v>
      </c>
      <c r="H833" s="13">
        <v>42188</v>
      </c>
      <c r="I833" s="12" t="s">
        <v>3874</v>
      </c>
      <c r="J833" s="12" t="s">
        <v>4328</v>
      </c>
      <c r="K833" s="12" t="s">
        <v>141</v>
      </c>
      <c r="L833" s="12">
        <v>5</v>
      </c>
      <c r="M833" s="14" t="s">
        <v>4329</v>
      </c>
      <c r="N833" s="14" t="s">
        <v>500</v>
      </c>
      <c r="O833" s="17" t="s">
        <v>4329</v>
      </c>
    </row>
    <row r="834" spans="1:15" s="62" customFormat="1" x14ac:dyDescent="0.15">
      <c r="A834" s="21" t="s">
        <v>3922</v>
      </c>
      <c r="B834" s="19"/>
      <c r="C834" s="11"/>
      <c r="D834" s="17" t="s">
        <v>689</v>
      </c>
      <c r="E834" s="10" t="s">
        <v>137</v>
      </c>
      <c r="F834" s="11" t="s">
        <v>4330</v>
      </c>
      <c r="G834" s="12">
        <f>14.405*L834</f>
        <v>360.125</v>
      </c>
      <c r="H834" s="13">
        <v>42188</v>
      </c>
      <c r="I834" s="12" t="s">
        <v>3874</v>
      </c>
      <c r="J834" s="12" t="s">
        <v>4331</v>
      </c>
      <c r="K834" s="12" t="s">
        <v>141</v>
      </c>
      <c r="L834" s="12">
        <v>25</v>
      </c>
      <c r="M834" s="14" t="s">
        <v>4332</v>
      </c>
      <c r="N834" s="14" t="s">
        <v>338</v>
      </c>
      <c r="O834" s="17" t="s">
        <v>4332</v>
      </c>
    </row>
    <row r="835" spans="1:15" s="62" customFormat="1" x14ac:dyDescent="0.15">
      <c r="A835" s="21" t="s">
        <v>3922</v>
      </c>
      <c r="B835" s="19"/>
      <c r="C835" s="11"/>
      <c r="D835" s="17" t="s">
        <v>689</v>
      </c>
      <c r="E835" s="10" t="s">
        <v>137</v>
      </c>
      <c r="F835" s="11" t="s">
        <v>4333</v>
      </c>
      <c r="G835" s="12">
        <f>14.405*L835</f>
        <v>360.125</v>
      </c>
      <c r="H835" s="13">
        <v>42188</v>
      </c>
      <c r="I835" s="12" t="s">
        <v>3874</v>
      </c>
      <c r="J835" s="12" t="s">
        <v>4334</v>
      </c>
      <c r="K835" s="12" t="s">
        <v>141</v>
      </c>
      <c r="L835" s="12">
        <v>25</v>
      </c>
      <c r="M835" s="14" t="s">
        <v>4335</v>
      </c>
      <c r="N835" s="14" t="s">
        <v>338</v>
      </c>
      <c r="O835" s="17" t="s">
        <v>4335</v>
      </c>
    </row>
    <row r="836" spans="1:15" s="62" customFormat="1" x14ac:dyDescent="0.15">
      <c r="A836" s="21" t="s">
        <v>3922</v>
      </c>
      <c r="B836" s="19"/>
      <c r="C836" s="11"/>
      <c r="D836" s="17" t="s">
        <v>689</v>
      </c>
      <c r="E836" s="10" t="s">
        <v>137</v>
      </c>
      <c r="F836" s="11" t="s">
        <v>4336</v>
      </c>
      <c r="G836" s="12">
        <f>14.405*L836</f>
        <v>360.125</v>
      </c>
      <c r="H836" s="13">
        <v>42188</v>
      </c>
      <c r="I836" s="12" t="s">
        <v>3874</v>
      </c>
      <c r="J836" s="12" t="s">
        <v>4337</v>
      </c>
      <c r="K836" s="12" t="s">
        <v>141</v>
      </c>
      <c r="L836" s="12">
        <v>25</v>
      </c>
      <c r="M836" s="14" t="s">
        <v>4338</v>
      </c>
      <c r="N836" s="14" t="s">
        <v>338</v>
      </c>
      <c r="O836" s="17" t="s">
        <v>4338</v>
      </c>
    </row>
    <row r="837" spans="1:15" x14ac:dyDescent="0.15">
      <c r="A837" s="50" t="s">
        <v>4339</v>
      </c>
      <c r="B837" s="42"/>
      <c r="C837" s="43"/>
      <c r="D837" s="44" t="s">
        <v>1669</v>
      </c>
      <c r="E837" s="41" t="s">
        <v>137</v>
      </c>
      <c r="F837" s="43" t="s">
        <v>4340</v>
      </c>
      <c r="G837" s="47">
        <f>13.006*L837</f>
        <v>260.12</v>
      </c>
      <c r="H837" s="46">
        <v>42188</v>
      </c>
      <c r="I837" s="45" t="s">
        <v>4341</v>
      </c>
      <c r="J837" s="45" t="s">
        <v>4342</v>
      </c>
      <c r="K837" s="47" t="s">
        <v>141</v>
      </c>
      <c r="L837" s="45">
        <v>20</v>
      </c>
      <c r="M837" s="48" t="s">
        <v>4343</v>
      </c>
      <c r="N837" s="48" t="s">
        <v>4344</v>
      </c>
      <c r="O837" s="44" t="s">
        <v>8627</v>
      </c>
    </row>
    <row r="838" spans="1:15" x14ac:dyDescent="0.15">
      <c r="A838" s="50" t="s">
        <v>3884</v>
      </c>
      <c r="B838" s="42"/>
      <c r="C838" s="43"/>
      <c r="D838" s="44" t="s">
        <v>1826</v>
      </c>
      <c r="E838" s="41" t="s">
        <v>137</v>
      </c>
      <c r="F838" s="43" t="s">
        <v>4345</v>
      </c>
      <c r="G838" s="45">
        <f>20.545*L838</f>
        <v>61.635000000000005</v>
      </c>
      <c r="H838" s="46">
        <v>42192</v>
      </c>
      <c r="I838" s="45" t="s">
        <v>3874</v>
      </c>
      <c r="J838" s="45" t="s">
        <v>4346</v>
      </c>
      <c r="K838" s="45" t="s">
        <v>3887</v>
      </c>
      <c r="L838" s="45">
        <v>3</v>
      </c>
      <c r="M838" s="48" t="s">
        <v>4347</v>
      </c>
      <c r="N838" s="48" t="s">
        <v>1078</v>
      </c>
      <c r="O838" s="44" t="s">
        <v>4347</v>
      </c>
    </row>
    <row r="839" spans="1:15" x14ac:dyDescent="0.15">
      <c r="A839" s="50" t="s">
        <v>4348</v>
      </c>
      <c r="B839" s="42"/>
      <c r="C839" s="43"/>
      <c r="D839" s="44" t="s">
        <v>1841</v>
      </c>
      <c r="E839" s="41" t="s">
        <v>137</v>
      </c>
      <c r="F839" s="43" t="s">
        <v>4349</v>
      </c>
      <c r="G839" s="45">
        <f>17.52*L839</f>
        <v>210.24</v>
      </c>
      <c r="H839" s="46">
        <v>42192</v>
      </c>
      <c r="I839" s="45" t="s">
        <v>3874</v>
      </c>
      <c r="J839" s="45" t="s">
        <v>4350</v>
      </c>
      <c r="K839" s="45" t="s">
        <v>141</v>
      </c>
      <c r="L839" s="45">
        <v>12</v>
      </c>
      <c r="M839" s="48" t="s">
        <v>4351</v>
      </c>
      <c r="N839" s="48" t="s">
        <v>242</v>
      </c>
      <c r="O839" s="44" t="s">
        <v>4351</v>
      </c>
    </row>
    <row r="840" spans="1:15" x14ac:dyDescent="0.15">
      <c r="A840" s="50" t="s">
        <v>4352</v>
      </c>
      <c r="B840" s="42"/>
      <c r="C840" s="43"/>
      <c r="D840" s="44" t="s">
        <v>1841</v>
      </c>
      <c r="E840" s="41" t="s">
        <v>137</v>
      </c>
      <c r="F840" s="43" t="s">
        <v>4353</v>
      </c>
      <c r="G840" s="45">
        <f>17.52*L840</f>
        <v>227.76</v>
      </c>
      <c r="H840" s="46">
        <v>42192</v>
      </c>
      <c r="I840" s="45" t="s">
        <v>3874</v>
      </c>
      <c r="J840" s="45" t="s">
        <v>4354</v>
      </c>
      <c r="K840" s="45" t="s">
        <v>141</v>
      </c>
      <c r="L840" s="45">
        <v>13</v>
      </c>
      <c r="M840" s="48" t="s">
        <v>4351</v>
      </c>
      <c r="N840" s="48" t="s">
        <v>473</v>
      </c>
      <c r="O840" s="44" t="s">
        <v>4355</v>
      </c>
    </row>
    <row r="841" spans="1:15" s="62" customFormat="1" x14ac:dyDescent="0.15">
      <c r="A841" s="21" t="s">
        <v>1675</v>
      </c>
      <c r="B841" s="19"/>
      <c r="C841" s="11"/>
      <c r="D841" s="17" t="s">
        <v>1669</v>
      </c>
      <c r="E841" s="10" t="s">
        <v>137</v>
      </c>
      <c r="F841" s="11" t="s">
        <v>4356</v>
      </c>
      <c r="G841" s="18">
        <f>13.006*L841</f>
        <v>325.14999999999998</v>
      </c>
      <c r="H841" s="13">
        <v>42192</v>
      </c>
      <c r="I841" s="12" t="s">
        <v>4341</v>
      </c>
      <c r="J841" s="12" t="s">
        <v>4357</v>
      </c>
      <c r="K841" s="18" t="s">
        <v>141</v>
      </c>
      <c r="L841" s="12">
        <v>25</v>
      </c>
      <c r="M841" s="14" t="s">
        <v>4358</v>
      </c>
      <c r="N841" s="14" t="s">
        <v>338</v>
      </c>
      <c r="O841" s="17" t="s">
        <v>4358</v>
      </c>
    </row>
    <row r="842" spans="1:15" x14ac:dyDescent="0.15">
      <c r="A842" s="50" t="s">
        <v>4339</v>
      </c>
      <c r="B842" s="42"/>
      <c r="C842" s="43"/>
      <c r="D842" s="44" t="s">
        <v>1669</v>
      </c>
      <c r="E842" s="41" t="s">
        <v>137</v>
      </c>
      <c r="F842" s="43" t="s">
        <v>4359</v>
      </c>
      <c r="G842" s="47">
        <f>13.006*L842</f>
        <v>325.14999999999998</v>
      </c>
      <c r="H842" s="46">
        <v>42192</v>
      </c>
      <c r="I842" s="45" t="s">
        <v>4341</v>
      </c>
      <c r="J842" s="45" t="s">
        <v>4360</v>
      </c>
      <c r="K842" s="47" t="s">
        <v>141</v>
      </c>
      <c r="L842" s="45">
        <v>25</v>
      </c>
      <c r="M842" s="48" t="s">
        <v>4361</v>
      </c>
      <c r="N842" s="48" t="s">
        <v>338</v>
      </c>
      <c r="O842" s="44" t="s">
        <v>4361</v>
      </c>
    </row>
    <row r="843" spans="1:15" s="62" customFormat="1" x14ac:dyDescent="0.15">
      <c r="A843" s="21" t="s">
        <v>4339</v>
      </c>
      <c r="B843" s="19"/>
      <c r="C843" s="11"/>
      <c r="D843" s="17" t="s">
        <v>1669</v>
      </c>
      <c r="E843" s="10" t="s">
        <v>137</v>
      </c>
      <c r="F843" s="11" t="s">
        <v>4362</v>
      </c>
      <c r="G843" s="18">
        <f>13.006*L843</f>
        <v>325.14999999999998</v>
      </c>
      <c r="H843" s="13">
        <v>42192</v>
      </c>
      <c r="I843" s="12" t="s">
        <v>4341</v>
      </c>
      <c r="J843" s="12" t="s">
        <v>4363</v>
      </c>
      <c r="K843" s="18" t="s">
        <v>141</v>
      </c>
      <c r="L843" s="12">
        <v>25</v>
      </c>
      <c r="M843" s="14" t="s">
        <v>4364</v>
      </c>
      <c r="N843" s="14" t="s">
        <v>338</v>
      </c>
      <c r="O843" s="17" t="s">
        <v>4364</v>
      </c>
    </row>
    <row r="844" spans="1:15" s="62" customFormat="1" x14ac:dyDescent="0.15">
      <c r="A844" s="21" t="s">
        <v>4365</v>
      </c>
      <c r="B844" s="19"/>
      <c r="C844" s="11"/>
      <c r="D844" s="17" t="s">
        <v>865</v>
      </c>
      <c r="E844" s="10" t="s">
        <v>137</v>
      </c>
      <c r="F844" s="11" t="s">
        <v>4366</v>
      </c>
      <c r="G844" s="12">
        <f>7.656*L844</f>
        <v>176.08799999999999</v>
      </c>
      <c r="H844" s="13">
        <v>42192</v>
      </c>
      <c r="I844" s="12" t="s">
        <v>4367</v>
      </c>
      <c r="J844" s="12" t="s">
        <v>4368</v>
      </c>
      <c r="K844" s="12" t="s">
        <v>141</v>
      </c>
      <c r="L844" s="12">
        <v>23</v>
      </c>
      <c r="M844" s="14" t="s">
        <v>4369</v>
      </c>
      <c r="N844" s="14" t="s">
        <v>2815</v>
      </c>
      <c r="O844" s="17" t="s">
        <v>4369</v>
      </c>
    </row>
    <row r="845" spans="1:15" s="62" customFormat="1" x14ac:dyDescent="0.15">
      <c r="A845" s="21" t="s">
        <v>4365</v>
      </c>
      <c r="B845" s="19"/>
      <c r="C845" s="11"/>
      <c r="D845" s="17" t="s">
        <v>865</v>
      </c>
      <c r="E845" s="10" t="s">
        <v>137</v>
      </c>
      <c r="F845" s="11" t="s">
        <v>4370</v>
      </c>
      <c r="G845" s="12">
        <f>7.656*L845</f>
        <v>76.56</v>
      </c>
      <c r="H845" s="13">
        <v>42192</v>
      </c>
      <c r="I845" s="12" t="s">
        <v>4367</v>
      </c>
      <c r="J845" s="12" t="s">
        <v>4371</v>
      </c>
      <c r="K845" s="12" t="s">
        <v>141</v>
      </c>
      <c r="L845" s="12">
        <v>10</v>
      </c>
      <c r="M845" s="14" t="s">
        <v>4372</v>
      </c>
      <c r="N845" s="14" t="s">
        <v>412</v>
      </c>
      <c r="O845" s="17" t="s">
        <v>4372</v>
      </c>
    </row>
    <row r="846" spans="1:15" s="62" customFormat="1" x14ac:dyDescent="0.15">
      <c r="A846" s="20" t="s">
        <v>4373</v>
      </c>
      <c r="B846" s="19"/>
      <c r="C846" s="11"/>
      <c r="D846" s="17" t="s">
        <v>4374</v>
      </c>
      <c r="E846" s="10" t="s">
        <v>137</v>
      </c>
      <c r="F846" s="11" t="s">
        <v>4375</v>
      </c>
      <c r="G846" s="12">
        <f>20.816*L846</f>
        <v>41.631999999999998</v>
      </c>
      <c r="H846" s="13">
        <v>42192</v>
      </c>
      <c r="I846" s="12" t="s">
        <v>3928</v>
      </c>
      <c r="J846" s="12" t="s">
        <v>4376</v>
      </c>
      <c r="K846" s="12" t="s">
        <v>3887</v>
      </c>
      <c r="L846" s="12">
        <v>2</v>
      </c>
      <c r="M846" s="14" t="s">
        <v>4377</v>
      </c>
      <c r="N846" s="14" t="s">
        <v>3668</v>
      </c>
      <c r="O846" s="17" t="s">
        <v>4377</v>
      </c>
    </row>
    <row r="847" spans="1:15" s="62" customFormat="1" x14ac:dyDescent="0.15">
      <c r="A847" s="21" t="s">
        <v>3926</v>
      </c>
      <c r="B847" s="19"/>
      <c r="C847" s="11"/>
      <c r="D847" s="17" t="s">
        <v>2920</v>
      </c>
      <c r="E847" s="10" t="s">
        <v>137</v>
      </c>
      <c r="F847" s="11" t="s">
        <v>4378</v>
      </c>
      <c r="G847" s="12">
        <f>20.816*L847</f>
        <v>478.76799999999997</v>
      </c>
      <c r="H847" s="13">
        <v>42192</v>
      </c>
      <c r="I847" s="12" t="s">
        <v>3928</v>
      </c>
      <c r="J847" s="12" t="s">
        <v>4379</v>
      </c>
      <c r="K847" s="12" t="s">
        <v>3887</v>
      </c>
      <c r="L847" s="12">
        <v>23</v>
      </c>
      <c r="M847" s="14" t="s">
        <v>4380</v>
      </c>
      <c r="N847" s="14" t="s">
        <v>2815</v>
      </c>
      <c r="O847" s="17" t="s">
        <v>4380</v>
      </c>
    </row>
    <row r="848" spans="1:15" s="62" customFormat="1" x14ac:dyDescent="0.15">
      <c r="A848" s="21" t="s">
        <v>4381</v>
      </c>
      <c r="B848" s="19"/>
      <c r="C848" s="11"/>
      <c r="D848" s="17" t="s">
        <v>103</v>
      </c>
      <c r="E848" s="10" t="s">
        <v>137</v>
      </c>
      <c r="F848" s="11" t="s">
        <v>4382</v>
      </c>
      <c r="G848" s="12">
        <v>85.331000000000003</v>
      </c>
      <c r="H848" s="13">
        <v>42192</v>
      </c>
      <c r="I848" s="12" t="s">
        <v>3982</v>
      </c>
      <c r="J848" s="12" t="s">
        <v>4383</v>
      </c>
      <c r="K848" s="12" t="s">
        <v>39</v>
      </c>
      <c r="L848" s="12" t="s">
        <v>4384</v>
      </c>
      <c r="M848" s="14" t="s">
        <v>4385</v>
      </c>
      <c r="N848" s="14" t="s">
        <v>4386</v>
      </c>
      <c r="O848" s="17" t="s">
        <v>4387</v>
      </c>
    </row>
    <row r="849" spans="1:15" s="62" customFormat="1" x14ac:dyDescent="0.15">
      <c r="A849" s="21" t="s">
        <v>4388</v>
      </c>
      <c r="B849" s="19"/>
      <c r="C849" s="11"/>
      <c r="D849" s="17" t="s">
        <v>61</v>
      </c>
      <c r="E849" s="10" t="s">
        <v>137</v>
      </c>
      <c r="F849" s="11" t="s">
        <v>4389</v>
      </c>
      <c r="G849" s="12">
        <v>102.76600000000001</v>
      </c>
      <c r="H849" s="13">
        <v>42192</v>
      </c>
      <c r="I849" s="12" t="s">
        <v>3982</v>
      </c>
      <c r="J849" s="12" t="s">
        <v>4390</v>
      </c>
      <c r="K849" s="12" t="s">
        <v>39</v>
      </c>
      <c r="L849" s="12" t="s">
        <v>4391</v>
      </c>
      <c r="M849" s="14" t="s">
        <v>4392</v>
      </c>
      <c r="N849" s="14" t="s">
        <v>4393</v>
      </c>
      <c r="O849" s="17" t="s">
        <v>4394</v>
      </c>
    </row>
    <row r="850" spans="1:15" x14ac:dyDescent="0.15">
      <c r="A850" s="49" t="s">
        <v>4395</v>
      </c>
      <c r="B850" s="42" t="s">
        <v>3945</v>
      </c>
      <c r="C850" s="43"/>
      <c r="D850" s="44" t="s">
        <v>4396</v>
      </c>
      <c r="E850" s="41" t="s">
        <v>137</v>
      </c>
      <c r="F850" s="43" t="s">
        <v>4397</v>
      </c>
      <c r="G850" s="45">
        <f>29.101*L850</f>
        <v>203.70699999999999</v>
      </c>
      <c r="H850" s="46">
        <v>42194</v>
      </c>
      <c r="I850" s="45" t="s">
        <v>4112</v>
      </c>
      <c r="J850" s="45" t="s">
        <v>4398</v>
      </c>
      <c r="K850" s="45" t="s">
        <v>141</v>
      </c>
      <c r="L850" s="45">
        <v>7</v>
      </c>
      <c r="M850" s="48" t="s">
        <v>4399</v>
      </c>
      <c r="N850" s="48" t="s">
        <v>4400</v>
      </c>
      <c r="O850" s="44" t="s">
        <v>4401</v>
      </c>
    </row>
    <row r="851" spans="1:15" s="62" customFormat="1" x14ac:dyDescent="0.15">
      <c r="A851" s="20" t="s">
        <v>4402</v>
      </c>
      <c r="B851" s="19"/>
      <c r="C851" s="11"/>
      <c r="D851" s="17" t="s">
        <v>4403</v>
      </c>
      <c r="E851" s="10" t="s">
        <v>137</v>
      </c>
      <c r="F851" s="11" t="s">
        <v>4404</v>
      </c>
      <c r="G851" s="12">
        <v>230.09700000000001</v>
      </c>
      <c r="H851" s="13">
        <v>42194</v>
      </c>
      <c r="I851" s="12" t="s">
        <v>3982</v>
      </c>
      <c r="J851" s="12" t="s">
        <v>4405</v>
      </c>
      <c r="K851" s="12" t="s">
        <v>3898</v>
      </c>
      <c r="L851" s="12" t="s">
        <v>4406</v>
      </c>
      <c r="M851" s="14" t="s">
        <v>4407</v>
      </c>
      <c r="N851" s="14" t="s">
        <v>4408</v>
      </c>
      <c r="O851" s="17" t="s">
        <v>4409</v>
      </c>
    </row>
    <row r="852" spans="1:15" s="62" customFormat="1" x14ac:dyDescent="0.15">
      <c r="A852" s="21" t="s">
        <v>4410</v>
      </c>
      <c r="B852" s="19"/>
      <c r="C852" s="11"/>
      <c r="D852" s="17" t="s">
        <v>4411</v>
      </c>
      <c r="E852" s="10" t="s">
        <v>137</v>
      </c>
      <c r="F852" s="11" t="s">
        <v>4412</v>
      </c>
      <c r="G852" s="12">
        <f>17.52*L852</f>
        <v>87.6</v>
      </c>
      <c r="H852" s="13">
        <v>42194</v>
      </c>
      <c r="I852" s="12" t="s">
        <v>3982</v>
      </c>
      <c r="J852" s="12" t="s">
        <v>4413</v>
      </c>
      <c r="K852" s="12" t="s">
        <v>141</v>
      </c>
      <c r="L852" s="12">
        <v>5</v>
      </c>
      <c r="M852" s="14" t="s">
        <v>4414</v>
      </c>
      <c r="N852" s="14" t="s">
        <v>680</v>
      </c>
      <c r="O852" s="17" t="s">
        <v>4414</v>
      </c>
    </row>
    <row r="853" spans="1:15" x14ac:dyDescent="0.15">
      <c r="A853" s="50" t="s">
        <v>4415</v>
      </c>
      <c r="B853" s="42"/>
      <c r="C853" s="43"/>
      <c r="D853" s="44" t="s">
        <v>171</v>
      </c>
      <c r="E853" s="41" t="s">
        <v>137</v>
      </c>
      <c r="F853" s="43" t="s">
        <v>4416</v>
      </c>
      <c r="G853" s="45">
        <v>50.421999999999997</v>
      </c>
      <c r="H853" s="46">
        <v>42194</v>
      </c>
      <c r="I853" s="45" t="s">
        <v>4417</v>
      </c>
      <c r="J853" s="45" t="s">
        <v>4418</v>
      </c>
      <c r="K853" s="45" t="s">
        <v>3898</v>
      </c>
      <c r="L853" s="45" t="s">
        <v>4419</v>
      </c>
      <c r="M853" s="48" t="s">
        <v>4420</v>
      </c>
      <c r="N853" s="48" t="s">
        <v>4421</v>
      </c>
      <c r="O853" s="44" t="s">
        <v>4422</v>
      </c>
    </row>
    <row r="854" spans="1:15" x14ac:dyDescent="0.15">
      <c r="A854" s="50" t="s">
        <v>4423</v>
      </c>
      <c r="B854" s="42" t="s">
        <v>180</v>
      </c>
      <c r="C854" s="43"/>
      <c r="D854" s="44" t="s">
        <v>128</v>
      </c>
      <c r="E854" s="41" t="s">
        <v>137</v>
      </c>
      <c r="F854" s="43" t="s">
        <v>4424</v>
      </c>
      <c r="G854" s="47">
        <f>8.606*L854</f>
        <v>215.15</v>
      </c>
      <c r="H854" s="46">
        <v>42194</v>
      </c>
      <c r="I854" s="45" t="s">
        <v>3964</v>
      </c>
      <c r="J854" s="45" t="s">
        <v>4425</v>
      </c>
      <c r="K854" s="45" t="s">
        <v>141</v>
      </c>
      <c r="L854" s="45">
        <v>25</v>
      </c>
      <c r="M854" s="48" t="s">
        <v>4426</v>
      </c>
      <c r="N854" s="48" t="s">
        <v>338</v>
      </c>
      <c r="O854" s="44" t="s">
        <v>4426</v>
      </c>
    </row>
    <row r="855" spans="1:15" x14ac:dyDescent="0.15">
      <c r="A855" s="50" t="s">
        <v>4423</v>
      </c>
      <c r="B855" s="42" t="s">
        <v>180</v>
      </c>
      <c r="C855" s="43"/>
      <c r="D855" s="44" t="s">
        <v>128</v>
      </c>
      <c r="E855" s="41" t="s">
        <v>137</v>
      </c>
      <c r="F855" s="43" t="s">
        <v>4427</v>
      </c>
      <c r="G855" s="47">
        <f>8.606*L855</f>
        <v>215.15</v>
      </c>
      <c r="H855" s="46">
        <v>42194</v>
      </c>
      <c r="I855" s="45" t="s">
        <v>3964</v>
      </c>
      <c r="J855" s="45" t="s">
        <v>4428</v>
      </c>
      <c r="K855" s="45" t="s">
        <v>141</v>
      </c>
      <c r="L855" s="45">
        <v>25</v>
      </c>
      <c r="M855" s="48" t="s">
        <v>4429</v>
      </c>
      <c r="N855" s="48" t="s">
        <v>338</v>
      </c>
      <c r="O855" s="44" t="s">
        <v>4430</v>
      </c>
    </row>
    <row r="856" spans="1:15" s="62" customFormat="1" x14ac:dyDescent="0.15">
      <c r="A856" s="21" t="s">
        <v>3969</v>
      </c>
      <c r="B856" s="19" t="s">
        <v>180</v>
      </c>
      <c r="C856" s="11"/>
      <c r="D856" s="17" t="s">
        <v>128</v>
      </c>
      <c r="E856" s="10" t="s">
        <v>137</v>
      </c>
      <c r="F856" s="11" t="s">
        <v>4431</v>
      </c>
      <c r="G856" s="18">
        <f>8.606*L856</f>
        <v>215.15</v>
      </c>
      <c r="H856" s="13">
        <v>42194</v>
      </c>
      <c r="I856" s="12" t="s">
        <v>3964</v>
      </c>
      <c r="J856" s="12" t="s">
        <v>4432</v>
      </c>
      <c r="K856" s="18" t="s">
        <v>141</v>
      </c>
      <c r="L856" s="12">
        <v>25</v>
      </c>
      <c r="M856" s="14" t="s">
        <v>4433</v>
      </c>
      <c r="N856" s="14" t="s">
        <v>3967</v>
      </c>
      <c r="O856" s="17" t="s">
        <v>4433</v>
      </c>
    </row>
    <row r="857" spans="1:15" s="62" customFormat="1" x14ac:dyDescent="0.15">
      <c r="A857" s="21" t="s">
        <v>126</v>
      </c>
      <c r="B857" s="19" t="s">
        <v>180</v>
      </c>
      <c r="C857" s="11"/>
      <c r="D857" s="17" t="s">
        <v>128</v>
      </c>
      <c r="E857" s="10" t="s">
        <v>137</v>
      </c>
      <c r="F857" s="11" t="s">
        <v>4434</v>
      </c>
      <c r="G857" s="12">
        <f>8.606*L857</f>
        <v>215.15</v>
      </c>
      <c r="H857" s="13">
        <v>42194</v>
      </c>
      <c r="I857" s="12" t="s">
        <v>3964</v>
      </c>
      <c r="J857" s="12" t="s">
        <v>4435</v>
      </c>
      <c r="K857" s="18" t="s">
        <v>141</v>
      </c>
      <c r="L857" s="12">
        <v>25</v>
      </c>
      <c r="M857" s="14" t="s">
        <v>4436</v>
      </c>
      <c r="N857" s="14" t="s">
        <v>3967</v>
      </c>
      <c r="O857" s="17" t="s">
        <v>4436</v>
      </c>
    </row>
    <row r="858" spans="1:15" x14ac:dyDescent="0.15">
      <c r="A858" s="50" t="s">
        <v>4022</v>
      </c>
      <c r="B858" s="42"/>
      <c r="C858" s="43"/>
      <c r="D858" s="44" t="s">
        <v>4437</v>
      </c>
      <c r="E858" s="41" t="s">
        <v>137</v>
      </c>
      <c r="F858" s="43" t="s">
        <v>4438</v>
      </c>
      <c r="G858" s="45">
        <f>29.101*L858</f>
        <v>58.201999999999998</v>
      </c>
      <c r="H858" s="46">
        <v>42194</v>
      </c>
      <c r="I858" s="45" t="s">
        <v>4024</v>
      </c>
      <c r="J858" s="45" t="s">
        <v>4439</v>
      </c>
      <c r="K858" s="45" t="s">
        <v>141</v>
      </c>
      <c r="L858" s="45">
        <v>2</v>
      </c>
      <c r="M858" s="48" t="s">
        <v>4440</v>
      </c>
      <c r="N858" s="48" t="s">
        <v>4441</v>
      </c>
      <c r="O858" s="44" t="s">
        <v>4442</v>
      </c>
    </row>
    <row r="859" spans="1:15" s="62" customFormat="1" x14ac:dyDescent="0.15">
      <c r="A859" s="21" t="s">
        <v>136</v>
      </c>
      <c r="B859" s="19"/>
      <c r="C859" s="11"/>
      <c r="D859" s="17" t="s">
        <v>54</v>
      </c>
      <c r="E859" s="10" t="s">
        <v>137</v>
      </c>
      <c r="F859" s="11" t="s">
        <v>4443</v>
      </c>
      <c r="G859" s="18">
        <f>6.405*L859</f>
        <v>96.075000000000003</v>
      </c>
      <c r="H859" s="13">
        <v>42194</v>
      </c>
      <c r="I859" s="12" t="s">
        <v>139</v>
      </c>
      <c r="J859" s="12" t="s">
        <v>4444</v>
      </c>
      <c r="K859" s="12" t="s">
        <v>141</v>
      </c>
      <c r="L859" s="12">
        <v>15</v>
      </c>
      <c r="M859" s="14" t="s">
        <v>4445</v>
      </c>
      <c r="N859" s="14" t="s">
        <v>236</v>
      </c>
      <c r="O859" s="17" t="s">
        <v>4445</v>
      </c>
    </row>
    <row r="860" spans="1:15" s="62" customFormat="1" x14ac:dyDescent="0.15">
      <c r="A860" s="20" t="s">
        <v>4446</v>
      </c>
      <c r="B860" s="19"/>
      <c r="C860" s="11"/>
      <c r="D860" s="17" t="s">
        <v>4447</v>
      </c>
      <c r="E860" s="10" t="s">
        <v>137</v>
      </c>
      <c r="F860" s="11" t="s">
        <v>4448</v>
      </c>
      <c r="G860" s="23">
        <f>20.824*L860</f>
        <v>62.472000000000008</v>
      </c>
      <c r="H860" s="13">
        <v>42195</v>
      </c>
      <c r="I860" s="12" t="s">
        <v>173</v>
      </c>
      <c r="J860" s="12" t="s">
        <v>4449</v>
      </c>
      <c r="K860" s="12" t="s">
        <v>21</v>
      </c>
      <c r="L860" s="12">
        <v>3</v>
      </c>
      <c r="M860" s="14" t="s">
        <v>4450</v>
      </c>
      <c r="N860" s="14" t="s">
        <v>4451</v>
      </c>
      <c r="O860" s="17" t="s">
        <v>4452</v>
      </c>
    </row>
    <row r="861" spans="1:15" s="62" customFormat="1" x14ac:dyDescent="0.15">
      <c r="A861" s="21" t="s">
        <v>4281</v>
      </c>
      <c r="B861" s="19"/>
      <c r="C861" s="11"/>
      <c r="D861" s="17" t="s">
        <v>1475</v>
      </c>
      <c r="E861" s="10" t="s">
        <v>137</v>
      </c>
      <c r="F861" s="11" t="s">
        <v>4453</v>
      </c>
      <c r="G861" s="23">
        <v>204.589</v>
      </c>
      <c r="H861" s="13">
        <v>42195</v>
      </c>
      <c r="I861" s="12" t="s">
        <v>3982</v>
      </c>
      <c r="J861" s="12" t="s">
        <v>4454</v>
      </c>
      <c r="K861" s="12" t="s">
        <v>3898</v>
      </c>
      <c r="L861" s="12" t="s">
        <v>4455</v>
      </c>
      <c r="M861" s="14" t="s">
        <v>4456</v>
      </c>
      <c r="N861" s="14" t="s">
        <v>4457</v>
      </c>
      <c r="O861" s="17" t="s">
        <v>4458</v>
      </c>
    </row>
    <row r="862" spans="1:15" s="62" customFormat="1" x14ac:dyDescent="0.15">
      <c r="A862" s="21" t="s">
        <v>4281</v>
      </c>
      <c r="B862" s="19"/>
      <c r="C862" s="11"/>
      <c r="D862" s="17" t="s">
        <v>1475</v>
      </c>
      <c r="E862" s="10" t="s">
        <v>137</v>
      </c>
      <c r="F862" s="11" t="s">
        <v>4459</v>
      </c>
      <c r="G862" s="23">
        <v>203.608</v>
      </c>
      <c r="H862" s="13">
        <v>42195</v>
      </c>
      <c r="I862" s="12" t="s">
        <v>3982</v>
      </c>
      <c r="J862" s="12" t="s">
        <v>4460</v>
      </c>
      <c r="K862" s="12" t="s">
        <v>3898</v>
      </c>
      <c r="L862" s="12" t="s">
        <v>4461</v>
      </c>
      <c r="M862" s="14" t="s">
        <v>4462</v>
      </c>
      <c r="N862" s="14" t="s">
        <v>4463</v>
      </c>
      <c r="O862" s="17" t="s">
        <v>4464</v>
      </c>
    </row>
    <row r="863" spans="1:15" s="62" customFormat="1" x14ac:dyDescent="0.15">
      <c r="A863" s="21" t="s">
        <v>4465</v>
      </c>
      <c r="B863" s="19"/>
      <c r="C863" s="11"/>
      <c r="D863" s="17" t="s">
        <v>1742</v>
      </c>
      <c r="E863" s="10" t="s">
        <v>137</v>
      </c>
      <c r="F863" s="11" t="s">
        <v>4466</v>
      </c>
      <c r="G863" s="23">
        <v>79.37</v>
      </c>
      <c r="H863" s="13">
        <v>42195</v>
      </c>
      <c r="I863" s="18" t="s">
        <v>7118</v>
      </c>
      <c r="J863" s="12" t="s">
        <v>4467</v>
      </c>
      <c r="K863" s="12" t="s">
        <v>148</v>
      </c>
      <c r="L863" s="12" t="s">
        <v>4468</v>
      </c>
      <c r="M863" s="14" t="s">
        <v>4469</v>
      </c>
      <c r="N863" s="14" t="s">
        <v>4470</v>
      </c>
      <c r="O863" s="17" t="s">
        <v>4471</v>
      </c>
    </row>
    <row r="864" spans="1:15" x14ac:dyDescent="0.15">
      <c r="A864" s="50" t="s">
        <v>4472</v>
      </c>
      <c r="B864" s="42"/>
      <c r="C864" s="43"/>
      <c r="D864" s="44" t="s">
        <v>1781</v>
      </c>
      <c r="E864" s="41" t="s">
        <v>137</v>
      </c>
      <c r="F864" s="43" t="s">
        <v>4473</v>
      </c>
      <c r="G864" s="45">
        <f>17.52*L864</f>
        <v>122.64</v>
      </c>
      <c r="H864" s="46">
        <v>42195</v>
      </c>
      <c r="I864" s="43" t="s">
        <v>3851</v>
      </c>
      <c r="J864" s="43" t="s">
        <v>4474</v>
      </c>
      <c r="K864" s="43" t="s">
        <v>141</v>
      </c>
      <c r="L864" s="43">
        <v>7</v>
      </c>
      <c r="M864" s="48" t="s">
        <v>4475</v>
      </c>
      <c r="N864" s="48" t="s">
        <v>544</v>
      </c>
      <c r="O864" s="44" t="s">
        <v>4475</v>
      </c>
    </row>
    <row r="865" spans="1:15" s="62" customFormat="1" x14ac:dyDescent="0.15">
      <c r="A865" s="20" t="s">
        <v>4476</v>
      </c>
      <c r="B865" s="19"/>
      <c r="C865" s="11"/>
      <c r="D865" s="27" t="s">
        <v>4477</v>
      </c>
      <c r="E865" s="10" t="s">
        <v>137</v>
      </c>
      <c r="F865" s="11" t="s">
        <v>4478</v>
      </c>
      <c r="G865" s="12">
        <f>27.688*L865</f>
        <v>138.44</v>
      </c>
      <c r="H865" s="13">
        <v>42195</v>
      </c>
      <c r="I865" s="12" t="s">
        <v>3982</v>
      </c>
      <c r="J865" s="12" t="s">
        <v>4479</v>
      </c>
      <c r="K865" s="12" t="s">
        <v>141</v>
      </c>
      <c r="L865" s="12">
        <v>5</v>
      </c>
      <c r="M865" s="14" t="s">
        <v>4480</v>
      </c>
      <c r="N865" s="14" t="s">
        <v>680</v>
      </c>
      <c r="O865" s="17" t="s">
        <v>4481</v>
      </c>
    </row>
    <row r="866" spans="1:15" s="62" customFormat="1" x14ac:dyDescent="0.15">
      <c r="A866" s="21" t="s">
        <v>4482</v>
      </c>
      <c r="B866" s="19"/>
      <c r="C866" s="11"/>
      <c r="D866" s="17" t="s">
        <v>432</v>
      </c>
      <c r="E866" s="10" t="s">
        <v>137</v>
      </c>
      <c r="F866" s="11" t="s">
        <v>4483</v>
      </c>
      <c r="G866" s="12">
        <v>267.57299999999998</v>
      </c>
      <c r="H866" s="13">
        <v>42198</v>
      </c>
      <c r="I866" s="12" t="s">
        <v>3982</v>
      </c>
      <c r="J866" s="12" t="s">
        <v>4484</v>
      </c>
      <c r="K866" s="12" t="s">
        <v>3898</v>
      </c>
      <c r="L866" s="12" t="s">
        <v>3868</v>
      </c>
      <c r="M866" s="14" t="s">
        <v>4485</v>
      </c>
      <c r="N866" s="14" t="s">
        <v>3900</v>
      </c>
      <c r="O866" s="17" t="s">
        <v>4486</v>
      </c>
    </row>
    <row r="867" spans="1:15" s="62" customFormat="1" x14ac:dyDescent="0.15">
      <c r="A867" s="21" t="s">
        <v>4482</v>
      </c>
      <c r="B867" s="19"/>
      <c r="C867" s="11"/>
      <c r="D867" s="17" t="s">
        <v>432</v>
      </c>
      <c r="E867" s="10" t="s">
        <v>137</v>
      </c>
      <c r="F867" s="11" t="s">
        <v>4487</v>
      </c>
      <c r="G867" s="12">
        <v>383.64299999999997</v>
      </c>
      <c r="H867" s="13">
        <v>42198</v>
      </c>
      <c r="I867" s="12" t="s">
        <v>3982</v>
      </c>
      <c r="J867" s="12" t="s">
        <v>4488</v>
      </c>
      <c r="K867" s="12" t="s">
        <v>3898</v>
      </c>
      <c r="L867" s="12" t="s">
        <v>4202</v>
      </c>
      <c r="M867" s="14" t="s">
        <v>4489</v>
      </c>
      <c r="N867" s="14" t="s">
        <v>4490</v>
      </c>
      <c r="O867" s="17" t="s">
        <v>4491</v>
      </c>
    </row>
    <row r="868" spans="1:15" s="62" customFormat="1" x14ac:dyDescent="0.15">
      <c r="A868" s="21" t="s">
        <v>4482</v>
      </c>
      <c r="B868" s="19"/>
      <c r="C868" s="11"/>
      <c r="D868" s="17" t="s">
        <v>432</v>
      </c>
      <c r="E868" s="10" t="s">
        <v>137</v>
      </c>
      <c r="F868" s="11" t="s">
        <v>4492</v>
      </c>
      <c r="G868" s="12">
        <v>267.59399999999999</v>
      </c>
      <c r="H868" s="13">
        <v>42198</v>
      </c>
      <c r="I868" s="12" t="s">
        <v>3982</v>
      </c>
      <c r="J868" s="12" t="s">
        <v>4493</v>
      </c>
      <c r="K868" s="12" t="s">
        <v>3898</v>
      </c>
      <c r="L868" s="12" t="s">
        <v>3868</v>
      </c>
      <c r="M868" s="14" t="s">
        <v>4494</v>
      </c>
      <c r="N868" s="14" t="s">
        <v>3900</v>
      </c>
      <c r="O868" s="17" t="s">
        <v>4495</v>
      </c>
    </row>
    <row r="869" spans="1:15" s="62" customFormat="1" x14ac:dyDescent="0.15">
      <c r="A869" s="21" t="s">
        <v>4482</v>
      </c>
      <c r="B869" s="19"/>
      <c r="C869" s="11"/>
      <c r="D869" s="17" t="s">
        <v>432</v>
      </c>
      <c r="E869" s="10" t="s">
        <v>137</v>
      </c>
      <c r="F869" s="11" t="s">
        <v>4496</v>
      </c>
      <c r="G869" s="12">
        <v>385.02199999999999</v>
      </c>
      <c r="H869" s="13">
        <v>42198</v>
      </c>
      <c r="I869" s="12" t="s">
        <v>3982</v>
      </c>
      <c r="J869" s="12" t="s">
        <v>4497</v>
      </c>
      <c r="K869" s="12" t="s">
        <v>3898</v>
      </c>
      <c r="L869" s="12" t="s">
        <v>4202</v>
      </c>
      <c r="M869" s="14" t="s">
        <v>4498</v>
      </c>
      <c r="N869" s="14" t="s">
        <v>4499</v>
      </c>
      <c r="O869" s="17" t="s">
        <v>4500</v>
      </c>
    </row>
    <row r="870" spans="1:15" s="62" customFormat="1" x14ac:dyDescent="0.15">
      <c r="A870" s="21" t="s">
        <v>4482</v>
      </c>
      <c r="B870" s="19"/>
      <c r="C870" s="11"/>
      <c r="D870" s="17" t="s">
        <v>432</v>
      </c>
      <c r="E870" s="10" t="s">
        <v>137</v>
      </c>
      <c r="F870" s="11" t="s">
        <v>4501</v>
      </c>
      <c r="G870" s="12">
        <v>151.24600000000001</v>
      </c>
      <c r="H870" s="13">
        <v>42198</v>
      </c>
      <c r="I870" s="12" t="s">
        <v>3982</v>
      </c>
      <c r="J870" s="12" t="s">
        <v>4502</v>
      </c>
      <c r="K870" s="12" t="s">
        <v>3898</v>
      </c>
      <c r="L870" s="12" t="s">
        <v>4503</v>
      </c>
      <c r="M870" s="14" t="s">
        <v>4504</v>
      </c>
      <c r="N870" s="14" t="s">
        <v>4505</v>
      </c>
      <c r="O870" s="17" t="s">
        <v>4506</v>
      </c>
    </row>
    <row r="871" spans="1:15" s="62" customFormat="1" x14ac:dyDescent="0.15">
      <c r="A871" s="21" t="s">
        <v>3980</v>
      </c>
      <c r="B871" s="19"/>
      <c r="C871" s="11"/>
      <c r="D871" s="17" t="s">
        <v>453</v>
      </c>
      <c r="E871" s="10" t="s">
        <v>137</v>
      </c>
      <c r="F871" s="11" t="s">
        <v>4507</v>
      </c>
      <c r="G871" s="12">
        <v>383.435</v>
      </c>
      <c r="H871" s="13">
        <v>42198</v>
      </c>
      <c r="I871" s="12" t="s">
        <v>3982</v>
      </c>
      <c r="J871" s="12" t="s">
        <v>4508</v>
      </c>
      <c r="K871" s="12" t="s">
        <v>3898</v>
      </c>
      <c r="L871" s="12" t="s">
        <v>4202</v>
      </c>
      <c r="M871" s="14" t="s">
        <v>4509</v>
      </c>
      <c r="N871" s="14" t="s">
        <v>4490</v>
      </c>
      <c r="O871" s="17" t="s">
        <v>4510</v>
      </c>
    </row>
    <row r="872" spans="1:15" s="62" customFormat="1" x14ac:dyDescent="0.15">
      <c r="A872" s="21" t="s">
        <v>3980</v>
      </c>
      <c r="B872" s="19"/>
      <c r="C872" s="11"/>
      <c r="D872" s="17" t="s">
        <v>453</v>
      </c>
      <c r="E872" s="10" t="s">
        <v>137</v>
      </c>
      <c r="F872" s="11" t="s">
        <v>4511</v>
      </c>
      <c r="G872" s="12">
        <v>383.29599999999999</v>
      </c>
      <c r="H872" s="13">
        <v>42198</v>
      </c>
      <c r="I872" s="12" t="s">
        <v>3982</v>
      </c>
      <c r="J872" s="12" t="s">
        <v>4512</v>
      </c>
      <c r="K872" s="12" t="s">
        <v>3898</v>
      </c>
      <c r="L872" s="12" t="s">
        <v>4202</v>
      </c>
      <c r="M872" s="14" t="s">
        <v>4513</v>
      </c>
      <c r="N872" s="14" t="s">
        <v>4514</v>
      </c>
      <c r="O872" s="17" t="s">
        <v>4515</v>
      </c>
    </row>
    <row r="873" spans="1:15" s="62" customFormat="1" x14ac:dyDescent="0.15">
      <c r="A873" s="21" t="s">
        <v>3980</v>
      </c>
      <c r="B873" s="19"/>
      <c r="C873" s="11"/>
      <c r="D873" s="17" t="s">
        <v>453</v>
      </c>
      <c r="E873" s="10" t="s">
        <v>137</v>
      </c>
      <c r="F873" s="11" t="s">
        <v>4516</v>
      </c>
      <c r="G873" s="12">
        <v>185.779</v>
      </c>
      <c r="H873" s="13">
        <v>42198</v>
      </c>
      <c r="I873" s="12" t="s">
        <v>3982</v>
      </c>
      <c r="J873" s="12" t="s">
        <v>4517</v>
      </c>
      <c r="K873" s="12" t="s">
        <v>3898</v>
      </c>
      <c r="L873" s="12" t="s">
        <v>4518</v>
      </c>
      <c r="M873" s="14" t="s">
        <v>4519</v>
      </c>
      <c r="N873" s="14" t="s">
        <v>4520</v>
      </c>
      <c r="O873" s="17" t="s">
        <v>4521</v>
      </c>
    </row>
    <row r="874" spans="1:15" s="62" customFormat="1" x14ac:dyDescent="0.15">
      <c r="A874" s="21" t="s">
        <v>3980</v>
      </c>
      <c r="B874" s="19"/>
      <c r="C874" s="11"/>
      <c r="D874" s="17" t="s">
        <v>453</v>
      </c>
      <c r="E874" s="10" t="s">
        <v>137</v>
      </c>
      <c r="F874" s="11" t="s">
        <v>4522</v>
      </c>
      <c r="G874" s="12">
        <v>383.39</v>
      </c>
      <c r="H874" s="13">
        <v>42198</v>
      </c>
      <c r="I874" s="12" t="s">
        <v>3982</v>
      </c>
      <c r="J874" s="12" t="s">
        <v>4523</v>
      </c>
      <c r="K874" s="12" t="s">
        <v>3898</v>
      </c>
      <c r="L874" s="12" t="s">
        <v>4202</v>
      </c>
      <c r="M874" s="14" t="s">
        <v>4524</v>
      </c>
      <c r="N874" s="14" t="s">
        <v>4514</v>
      </c>
      <c r="O874" s="17" t="s">
        <v>4525</v>
      </c>
    </row>
    <row r="875" spans="1:15" s="62" customFormat="1" x14ac:dyDescent="0.15">
      <c r="A875" s="21" t="s">
        <v>3926</v>
      </c>
      <c r="B875" s="19"/>
      <c r="C875" s="11"/>
      <c r="D875" s="17" t="s">
        <v>2920</v>
      </c>
      <c r="E875" s="10" t="s">
        <v>137</v>
      </c>
      <c r="F875" s="11" t="s">
        <v>8613</v>
      </c>
      <c r="G875" s="12">
        <f>20.816*L875</f>
        <v>520.4</v>
      </c>
      <c r="H875" s="13">
        <v>42199</v>
      </c>
      <c r="I875" s="12" t="s">
        <v>3928</v>
      </c>
      <c r="J875" s="12" t="s">
        <v>4526</v>
      </c>
      <c r="K875" s="12" t="s">
        <v>3887</v>
      </c>
      <c r="L875" s="12">
        <v>25</v>
      </c>
      <c r="M875" s="14" t="s">
        <v>4527</v>
      </c>
      <c r="N875" s="14" t="s">
        <v>3967</v>
      </c>
      <c r="O875" s="17" t="s">
        <v>4527</v>
      </c>
    </row>
    <row r="876" spans="1:15" s="62" customFormat="1" x14ac:dyDescent="0.15">
      <c r="A876" s="21" t="s">
        <v>4528</v>
      </c>
      <c r="B876" s="19"/>
      <c r="C876" s="11"/>
      <c r="D876" s="17" t="s">
        <v>552</v>
      </c>
      <c r="E876" s="10" t="s">
        <v>137</v>
      </c>
      <c r="F876" s="11" t="s">
        <v>4529</v>
      </c>
      <c r="G876" s="12">
        <f>17.52*L876</f>
        <v>87.6</v>
      </c>
      <c r="H876" s="13">
        <v>42199</v>
      </c>
      <c r="I876" s="18" t="s">
        <v>4169</v>
      </c>
      <c r="J876" s="12" t="s">
        <v>4530</v>
      </c>
      <c r="K876" s="12" t="s">
        <v>141</v>
      </c>
      <c r="L876" s="12">
        <v>5</v>
      </c>
      <c r="M876" s="14" t="s">
        <v>2795</v>
      </c>
      <c r="N876" s="14" t="s">
        <v>500</v>
      </c>
      <c r="O876" s="17" t="s">
        <v>4531</v>
      </c>
    </row>
    <row r="877" spans="1:15" s="62" customFormat="1" x14ac:dyDescent="0.15">
      <c r="A877" s="21" t="s">
        <v>475</v>
      </c>
      <c r="B877" s="19"/>
      <c r="C877" s="11"/>
      <c r="D877" s="17" t="s">
        <v>408</v>
      </c>
      <c r="E877" s="10" t="s">
        <v>137</v>
      </c>
      <c r="F877" s="11" t="s">
        <v>8614</v>
      </c>
      <c r="G877" s="12">
        <f>29.101*L877</f>
        <v>349.21199999999999</v>
      </c>
      <c r="H877" s="13">
        <v>42199</v>
      </c>
      <c r="I877" s="12" t="s">
        <v>4417</v>
      </c>
      <c r="J877" s="12" t="s">
        <v>4532</v>
      </c>
      <c r="K877" s="12" t="s">
        <v>21</v>
      </c>
      <c r="L877" s="12">
        <v>12</v>
      </c>
      <c r="M877" s="14" t="s">
        <v>3131</v>
      </c>
      <c r="N877" s="14" t="s">
        <v>3882</v>
      </c>
      <c r="O877" s="17" t="s">
        <v>3131</v>
      </c>
    </row>
    <row r="878" spans="1:15" s="62" customFormat="1" x14ac:dyDescent="0.15">
      <c r="A878" s="21" t="s">
        <v>4533</v>
      </c>
      <c r="B878" s="19"/>
      <c r="C878" s="11"/>
      <c r="D878" s="17" t="s">
        <v>811</v>
      </c>
      <c r="E878" s="10" t="s">
        <v>137</v>
      </c>
      <c r="F878" s="11" t="s">
        <v>4534</v>
      </c>
      <c r="G878" s="12">
        <f>18.708*L878</f>
        <v>93.539999999999992</v>
      </c>
      <c r="H878" s="13">
        <v>42199</v>
      </c>
      <c r="I878" s="12" t="s">
        <v>3916</v>
      </c>
      <c r="J878" s="12" t="s">
        <v>4535</v>
      </c>
      <c r="K878" s="12" t="s">
        <v>141</v>
      </c>
      <c r="L878" s="12">
        <v>5</v>
      </c>
      <c r="M878" s="14" t="s">
        <v>2954</v>
      </c>
      <c r="N878" s="14" t="s">
        <v>4536</v>
      </c>
      <c r="O878" s="17" t="s">
        <v>4537</v>
      </c>
    </row>
    <row r="879" spans="1:15" s="62" customFormat="1" x14ac:dyDescent="0.15">
      <c r="A879" s="21" t="s">
        <v>4538</v>
      </c>
      <c r="B879" s="19" t="s">
        <v>3945</v>
      </c>
      <c r="C879" s="11"/>
      <c r="D879" s="17" t="s">
        <v>4110</v>
      </c>
      <c r="E879" s="10" t="s">
        <v>137</v>
      </c>
      <c r="F879" s="11" t="s">
        <v>4539</v>
      </c>
      <c r="G879" s="12">
        <f>29.101*L879</f>
        <v>145.505</v>
      </c>
      <c r="H879" s="13">
        <v>42199</v>
      </c>
      <c r="I879" s="12" t="s">
        <v>4112</v>
      </c>
      <c r="J879" s="12" t="s">
        <v>4540</v>
      </c>
      <c r="K879" s="12" t="s">
        <v>141</v>
      </c>
      <c r="L879" s="12">
        <v>5</v>
      </c>
      <c r="M879" s="14" t="s">
        <v>4541</v>
      </c>
      <c r="N879" s="14" t="s">
        <v>4542</v>
      </c>
      <c r="O879" s="17" t="s">
        <v>4543</v>
      </c>
    </row>
    <row r="880" spans="1:15" s="62" customFormat="1" x14ac:dyDescent="0.15">
      <c r="A880" s="21" t="s">
        <v>4002</v>
      </c>
      <c r="B880" s="19"/>
      <c r="C880" s="11"/>
      <c r="D880" s="17" t="s">
        <v>1547</v>
      </c>
      <c r="E880" s="10" t="s">
        <v>137</v>
      </c>
      <c r="F880" s="11" t="s">
        <v>4544</v>
      </c>
      <c r="G880" s="12">
        <v>156.32</v>
      </c>
      <c r="H880" s="13">
        <v>42200</v>
      </c>
      <c r="I880" s="12" t="s">
        <v>3982</v>
      </c>
      <c r="J880" s="12" t="s">
        <v>4545</v>
      </c>
      <c r="K880" s="12" t="s">
        <v>148</v>
      </c>
      <c r="L880" s="12" t="s">
        <v>149</v>
      </c>
      <c r="M880" s="14" t="s">
        <v>4546</v>
      </c>
      <c r="N880" s="14" t="s">
        <v>4547</v>
      </c>
      <c r="O880" s="17" t="s">
        <v>4548</v>
      </c>
    </row>
    <row r="881" spans="1:15" s="62" customFormat="1" x14ac:dyDescent="0.15">
      <c r="A881" s="21" t="s">
        <v>4549</v>
      </c>
      <c r="B881" s="19"/>
      <c r="C881" s="11"/>
      <c r="D881" s="17" t="s">
        <v>408</v>
      </c>
      <c r="E881" s="10" t="s">
        <v>137</v>
      </c>
      <c r="F881" s="11" t="s">
        <v>4550</v>
      </c>
      <c r="G881" s="18">
        <f>29.101*L881</f>
        <v>349.21199999999999</v>
      </c>
      <c r="H881" s="13">
        <v>42202</v>
      </c>
      <c r="I881" s="12" t="s">
        <v>4417</v>
      </c>
      <c r="J881" s="12" t="s">
        <v>4551</v>
      </c>
      <c r="K881" s="12" t="s">
        <v>141</v>
      </c>
      <c r="L881" s="12">
        <v>12</v>
      </c>
      <c r="M881" s="14" t="s">
        <v>4552</v>
      </c>
      <c r="N881" s="14" t="s">
        <v>242</v>
      </c>
      <c r="O881" s="17" t="s">
        <v>4553</v>
      </c>
    </row>
    <row r="882" spans="1:15" x14ac:dyDescent="0.15">
      <c r="A882" s="49" t="s">
        <v>4554</v>
      </c>
      <c r="B882" s="42"/>
      <c r="C882" s="43"/>
      <c r="D882" s="44" t="s">
        <v>4555</v>
      </c>
      <c r="E882" s="41" t="s">
        <v>137</v>
      </c>
      <c r="F882" s="43" t="s">
        <v>4556</v>
      </c>
      <c r="G882" s="45">
        <f>3.426*L882</f>
        <v>13.704000000000001</v>
      </c>
      <c r="H882" s="46">
        <v>42205</v>
      </c>
      <c r="I882" s="45" t="s">
        <v>4557</v>
      </c>
      <c r="J882" s="45" t="s">
        <v>4558</v>
      </c>
      <c r="K882" s="45" t="s">
        <v>3887</v>
      </c>
      <c r="L882" s="45">
        <v>4</v>
      </c>
      <c r="M882" s="48" t="s">
        <v>4559</v>
      </c>
      <c r="N882" s="48" t="s">
        <v>4560</v>
      </c>
      <c r="O882" s="44" t="s">
        <v>4561</v>
      </c>
    </row>
    <row r="883" spans="1:15" s="62" customFormat="1" x14ac:dyDescent="0.15">
      <c r="A883" s="21" t="s">
        <v>2811</v>
      </c>
      <c r="B883" s="19"/>
      <c r="C883" s="11"/>
      <c r="D883" s="17" t="s">
        <v>689</v>
      </c>
      <c r="E883" s="10" t="s">
        <v>137</v>
      </c>
      <c r="F883" s="11" t="s">
        <v>4562</v>
      </c>
      <c r="G883" s="12">
        <f>14.405*L883</f>
        <v>360.125</v>
      </c>
      <c r="H883" s="13">
        <v>42206</v>
      </c>
      <c r="I883" s="12" t="s">
        <v>3874</v>
      </c>
      <c r="J883" s="12" t="s">
        <v>4563</v>
      </c>
      <c r="K883" s="12" t="s">
        <v>141</v>
      </c>
      <c r="L883" s="12">
        <v>25</v>
      </c>
      <c r="M883" s="14" t="s">
        <v>4564</v>
      </c>
      <c r="N883" s="14" t="s">
        <v>338</v>
      </c>
      <c r="O883" s="17" t="s">
        <v>4564</v>
      </c>
    </row>
    <row r="884" spans="1:15" s="62" customFormat="1" x14ac:dyDescent="0.15">
      <c r="A884" s="21" t="s">
        <v>4149</v>
      </c>
      <c r="B884" s="19"/>
      <c r="C884" s="11"/>
      <c r="D884" s="17" t="s">
        <v>1044</v>
      </c>
      <c r="E884" s="10" t="s">
        <v>137</v>
      </c>
      <c r="F884" s="11" t="s">
        <v>4565</v>
      </c>
      <c r="G884" s="12">
        <f>7.037*L884</f>
        <v>63.332999999999998</v>
      </c>
      <c r="H884" s="13">
        <v>42208</v>
      </c>
      <c r="I884" s="18" t="s">
        <v>4151</v>
      </c>
      <c r="J884" s="12" t="s">
        <v>4566</v>
      </c>
      <c r="K884" s="12" t="s">
        <v>141</v>
      </c>
      <c r="L884" s="12">
        <v>9</v>
      </c>
      <c r="M884" s="14" t="s">
        <v>4567</v>
      </c>
      <c r="N884" s="14" t="s">
        <v>4568</v>
      </c>
      <c r="O884" s="17" t="s">
        <v>4567</v>
      </c>
    </row>
    <row r="885" spans="1:15" x14ac:dyDescent="0.15">
      <c r="A885" s="50" t="s">
        <v>4423</v>
      </c>
      <c r="B885" s="42" t="s">
        <v>180</v>
      </c>
      <c r="C885" s="43"/>
      <c r="D885" s="44" t="s">
        <v>128</v>
      </c>
      <c r="E885" s="41" t="s">
        <v>137</v>
      </c>
      <c r="F885" s="43" t="s">
        <v>4569</v>
      </c>
      <c r="G885" s="45">
        <f>8.606*L885</f>
        <v>103.27199999999999</v>
      </c>
      <c r="H885" s="46">
        <v>42208</v>
      </c>
      <c r="I885" s="45" t="s">
        <v>3964</v>
      </c>
      <c r="J885" s="45" t="s">
        <v>4570</v>
      </c>
      <c r="K885" s="47" t="s">
        <v>141</v>
      </c>
      <c r="L885" s="45">
        <v>12</v>
      </c>
      <c r="M885" s="48" t="s">
        <v>4571</v>
      </c>
      <c r="N885" s="48" t="s">
        <v>242</v>
      </c>
      <c r="O885" s="44" t="s">
        <v>4572</v>
      </c>
    </row>
    <row r="886" spans="1:15" s="62" customFormat="1" x14ac:dyDescent="0.15">
      <c r="A886" s="21" t="s">
        <v>4573</v>
      </c>
      <c r="B886" s="19"/>
      <c r="C886" s="11"/>
      <c r="D886" s="17" t="s">
        <v>4574</v>
      </c>
      <c r="E886" s="10" t="s">
        <v>137</v>
      </c>
      <c r="F886" s="11" t="s">
        <v>4575</v>
      </c>
      <c r="G886" s="12">
        <f>17.498*L886</f>
        <v>279.96800000000002</v>
      </c>
      <c r="H886" s="13">
        <v>42214</v>
      </c>
      <c r="I886" s="12" t="s">
        <v>3874</v>
      </c>
      <c r="J886" s="12" t="s">
        <v>4576</v>
      </c>
      <c r="K886" s="12" t="s">
        <v>141</v>
      </c>
      <c r="L886" s="12">
        <v>16</v>
      </c>
      <c r="M886" s="14" t="s">
        <v>3570</v>
      </c>
      <c r="N886" s="14" t="s">
        <v>4577</v>
      </c>
      <c r="O886" s="17" t="s">
        <v>3570</v>
      </c>
    </row>
    <row r="887" spans="1:15" s="62" customFormat="1" x14ac:dyDescent="0.15">
      <c r="A887" s="21" t="s">
        <v>4578</v>
      </c>
      <c r="B887" s="19"/>
      <c r="C887" s="11"/>
      <c r="D887" s="17" t="s">
        <v>2861</v>
      </c>
      <c r="E887" s="10" t="s">
        <v>137</v>
      </c>
      <c r="F887" s="11" t="s">
        <v>4579</v>
      </c>
      <c r="G887" s="12">
        <f>14.405*L887</f>
        <v>28.81</v>
      </c>
      <c r="H887" s="13">
        <v>42214</v>
      </c>
      <c r="I887" s="12" t="s">
        <v>4580</v>
      </c>
      <c r="J887" s="12" t="s">
        <v>4581</v>
      </c>
      <c r="K887" s="12" t="s">
        <v>141</v>
      </c>
      <c r="L887" s="12">
        <v>2</v>
      </c>
      <c r="M887" s="14" t="s">
        <v>4582</v>
      </c>
      <c r="N887" s="14" t="s">
        <v>1036</v>
      </c>
      <c r="O887" s="17" t="s">
        <v>4583</v>
      </c>
    </row>
    <row r="888" spans="1:15" s="62" customFormat="1" x14ac:dyDescent="0.15">
      <c r="A888" s="21" t="s">
        <v>4584</v>
      </c>
      <c r="B888" s="19"/>
      <c r="C888" s="11"/>
      <c r="D888" s="17" t="s">
        <v>4585</v>
      </c>
      <c r="E888" s="10" t="s">
        <v>137</v>
      </c>
      <c r="F888" s="11" t="s">
        <v>4586</v>
      </c>
      <c r="G888" s="12">
        <f>17.498*L888</f>
        <v>52.494</v>
      </c>
      <c r="H888" s="13">
        <v>42214</v>
      </c>
      <c r="I888" s="12" t="s">
        <v>139</v>
      </c>
      <c r="J888" s="12" t="s">
        <v>4587</v>
      </c>
      <c r="K888" s="12" t="s">
        <v>21</v>
      </c>
      <c r="L888" s="12">
        <v>3</v>
      </c>
      <c r="M888" s="14" t="s">
        <v>4588</v>
      </c>
      <c r="N888" s="14" t="s">
        <v>4589</v>
      </c>
      <c r="O888" s="17" t="s">
        <v>4590</v>
      </c>
    </row>
    <row r="889" spans="1:15" x14ac:dyDescent="0.15">
      <c r="A889" s="49" t="s">
        <v>4591</v>
      </c>
      <c r="B889" s="42" t="s">
        <v>4592</v>
      </c>
      <c r="C889" s="43"/>
      <c r="D889" s="54" t="s">
        <v>4593</v>
      </c>
      <c r="E889" s="41" t="s">
        <v>137</v>
      </c>
      <c r="F889" s="43" t="s">
        <v>4594</v>
      </c>
      <c r="G889" s="56">
        <f>15.873*L889</f>
        <v>31.745999999999999</v>
      </c>
      <c r="H889" s="46">
        <v>42214</v>
      </c>
      <c r="I889" s="45" t="s">
        <v>4595</v>
      </c>
      <c r="J889" s="45" t="s">
        <v>4596</v>
      </c>
      <c r="K889" s="45" t="s">
        <v>141</v>
      </c>
      <c r="L889" s="45">
        <v>2</v>
      </c>
      <c r="M889" s="48" t="s">
        <v>4597</v>
      </c>
      <c r="N889" s="48" t="s">
        <v>393</v>
      </c>
      <c r="O889" s="44" t="s">
        <v>4597</v>
      </c>
    </row>
    <row r="890" spans="1:15" x14ac:dyDescent="0.15">
      <c r="A890" s="49" t="s">
        <v>4598</v>
      </c>
      <c r="B890" s="42" t="s">
        <v>4599</v>
      </c>
      <c r="C890" s="43"/>
      <c r="D890" s="44" t="s">
        <v>4600</v>
      </c>
      <c r="E890" s="41" t="s">
        <v>137</v>
      </c>
      <c r="F890" s="43" t="s">
        <v>4601</v>
      </c>
      <c r="G890" s="56">
        <f>15.873*L890</f>
        <v>31.745999999999999</v>
      </c>
      <c r="H890" s="46">
        <v>42214</v>
      </c>
      <c r="I890" s="45" t="s">
        <v>4602</v>
      </c>
      <c r="J890" s="45" t="s">
        <v>4603</v>
      </c>
      <c r="K890" s="45" t="s">
        <v>141</v>
      </c>
      <c r="L890" s="45">
        <v>2</v>
      </c>
      <c r="M890" s="48" t="s">
        <v>4597</v>
      </c>
      <c r="N890" s="48" t="s">
        <v>249</v>
      </c>
      <c r="O890" s="44" t="s">
        <v>4604</v>
      </c>
    </row>
    <row r="891" spans="1:15" s="62" customFormat="1" x14ac:dyDescent="0.15">
      <c r="A891" s="21" t="s">
        <v>4605</v>
      </c>
      <c r="B891" s="19"/>
      <c r="C891" s="11"/>
      <c r="D891" s="17" t="s">
        <v>1781</v>
      </c>
      <c r="E891" s="10" t="s">
        <v>137</v>
      </c>
      <c r="F891" s="11" t="s">
        <v>4606</v>
      </c>
      <c r="G891" s="12">
        <f>17.52*L891</f>
        <v>52.56</v>
      </c>
      <c r="H891" s="13">
        <v>42215</v>
      </c>
      <c r="I891" s="12" t="s">
        <v>3982</v>
      </c>
      <c r="J891" s="12" t="s">
        <v>4607</v>
      </c>
      <c r="K891" s="12" t="s">
        <v>132</v>
      </c>
      <c r="L891" s="12">
        <v>3</v>
      </c>
      <c r="M891" s="14" t="s">
        <v>4608</v>
      </c>
      <c r="N891" s="14" t="s">
        <v>4609</v>
      </c>
      <c r="O891" s="17" t="s">
        <v>4608</v>
      </c>
    </row>
    <row r="892" spans="1:15" s="62" customFormat="1" x14ac:dyDescent="0.15">
      <c r="A892" s="21" t="s">
        <v>4610</v>
      </c>
      <c r="B892" s="19"/>
      <c r="C892" s="11"/>
      <c r="D892" s="17" t="s">
        <v>1659</v>
      </c>
      <c r="E892" s="10" t="s">
        <v>137</v>
      </c>
      <c r="F892" s="11" t="s">
        <v>4611</v>
      </c>
      <c r="G892" s="12">
        <f>29.101*L892</f>
        <v>145.505</v>
      </c>
      <c r="H892" s="13">
        <v>42215</v>
      </c>
      <c r="I892" s="12" t="s">
        <v>4024</v>
      </c>
      <c r="J892" s="12" t="s">
        <v>4612</v>
      </c>
      <c r="K892" s="12" t="s">
        <v>3887</v>
      </c>
      <c r="L892" s="12">
        <v>5</v>
      </c>
      <c r="M892" s="14" t="s">
        <v>4613</v>
      </c>
      <c r="N892" s="14" t="s">
        <v>229</v>
      </c>
      <c r="O892" s="17" t="s">
        <v>4613</v>
      </c>
    </row>
    <row r="893" spans="1:15" s="62" customFormat="1" x14ac:dyDescent="0.15">
      <c r="A893" s="21" t="s">
        <v>4549</v>
      </c>
      <c r="B893" s="19"/>
      <c r="C893" s="11"/>
      <c r="D893" s="17" t="s">
        <v>4614</v>
      </c>
      <c r="E893" s="10" t="s">
        <v>137</v>
      </c>
      <c r="F893" s="11" t="s">
        <v>4615</v>
      </c>
      <c r="G893" s="18">
        <f>29.101*L893</f>
        <v>378.31299999999999</v>
      </c>
      <c r="H893" s="13">
        <v>42215</v>
      </c>
      <c r="I893" s="12" t="s">
        <v>4417</v>
      </c>
      <c r="J893" s="12" t="s">
        <v>4616</v>
      </c>
      <c r="K893" s="12" t="s">
        <v>141</v>
      </c>
      <c r="L893" s="12">
        <v>13</v>
      </c>
      <c r="M893" s="14" t="s">
        <v>4617</v>
      </c>
      <c r="N893" s="14" t="s">
        <v>473</v>
      </c>
      <c r="O893" s="17" t="s">
        <v>4618</v>
      </c>
    </row>
    <row r="894" spans="1:15" s="62" customFormat="1" x14ac:dyDescent="0.15">
      <c r="A894" s="21" t="s">
        <v>4619</v>
      </c>
      <c r="B894" s="19"/>
      <c r="C894" s="11"/>
      <c r="D894" s="17" t="s">
        <v>4620</v>
      </c>
      <c r="E894" s="10" t="s">
        <v>137</v>
      </c>
      <c r="F894" s="11" t="s">
        <v>4621</v>
      </c>
      <c r="G894" s="12">
        <f>18.708*L894</f>
        <v>93.539999999999992</v>
      </c>
      <c r="H894" s="13">
        <v>42215</v>
      </c>
      <c r="I894" s="12" t="s">
        <v>4417</v>
      </c>
      <c r="J894" s="12" t="s">
        <v>4622</v>
      </c>
      <c r="K894" s="12" t="s">
        <v>141</v>
      </c>
      <c r="L894" s="12">
        <v>5</v>
      </c>
      <c r="M894" s="14" t="s">
        <v>3304</v>
      </c>
      <c r="N894" s="14" t="s">
        <v>4542</v>
      </c>
      <c r="O894" s="17" t="s">
        <v>3304</v>
      </c>
    </row>
    <row r="895" spans="1:15" s="62" customFormat="1" x14ac:dyDescent="0.15">
      <c r="A895" s="21" t="s">
        <v>4623</v>
      </c>
      <c r="B895" s="60" t="s">
        <v>4624</v>
      </c>
      <c r="C895" s="11"/>
      <c r="D895" s="17" t="s">
        <v>4625</v>
      </c>
      <c r="E895" s="10" t="s">
        <v>137</v>
      </c>
      <c r="F895" s="11" t="s">
        <v>4626</v>
      </c>
      <c r="G895" s="12">
        <f>L895*17.712</f>
        <v>88.56</v>
      </c>
      <c r="H895" s="13">
        <v>42215</v>
      </c>
      <c r="I895" s="12" t="s">
        <v>3874</v>
      </c>
      <c r="J895" s="12" t="s">
        <v>4627</v>
      </c>
      <c r="K895" s="12" t="s">
        <v>141</v>
      </c>
      <c r="L895" s="12">
        <v>5</v>
      </c>
      <c r="M895" s="14" t="s">
        <v>2105</v>
      </c>
      <c r="N895" s="14" t="s">
        <v>4628</v>
      </c>
      <c r="O895" s="17" t="s">
        <v>4629</v>
      </c>
    </row>
    <row r="896" spans="1:15" s="62" customFormat="1" x14ac:dyDescent="0.15">
      <c r="A896" s="21" t="s">
        <v>4630</v>
      </c>
      <c r="B896" s="19"/>
      <c r="C896" s="11"/>
      <c r="D896" s="17" t="s">
        <v>2503</v>
      </c>
      <c r="E896" s="10" t="s">
        <v>137</v>
      </c>
      <c r="F896" s="11" t="s">
        <v>4631</v>
      </c>
      <c r="G896" s="12">
        <v>59.63</v>
      </c>
      <c r="H896" s="13">
        <v>42219</v>
      </c>
      <c r="I896" s="18" t="s">
        <v>3851</v>
      </c>
      <c r="J896" s="12" t="s">
        <v>4632</v>
      </c>
      <c r="K896" s="12" t="s">
        <v>328</v>
      </c>
      <c r="L896" s="12" t="s">
        <v>4633</v>
      </c>
      <c r="M896" s="14" t="s">
        <v>4634</v>
      </c>
      <c r="N896" s="14" t="s">
        <v>4635</v>
      </c>
      <c r="O896" s="14" t="s">
        <v>4636</v>
      </c>
    </row>
    <row r="897" spans="1:15" s="62" customFormat="1" x14ac:dyDescent="0.15">
      <c r="A897" s="21" t="s">
        <v>4637</v>
      </c>
      <c r="B897" s="19"/>
      <c r="C897" s="11"/>
      <c r="D897" s="17" t="s">
        <v>1511</v>
      </c>
      <c r="E897" s="10" t="s">
        <v>137</v>
      </c>
      <c r="F897" s="11" t="s">
        <v>4638</v>
      </c>
      <c r="G897" s="12">
        <v>152.35499999999999</v>
      </c>
      <c r="H897" s="13">
        <v>42219</v>
      </c>
      <c r="I897" s="12" t="s">
        <v>3982</v>
      </c>
      <c r="J897" s="12" t="s">
        <v>4639</v>
      </c>
      <c r="K897" s="12" t="s">
        <v>148</v>
      </c>
      <c r="L897" s="12" t="s">
        <v>149</v>
      </c>
      <c r="M897" s="14" t="s">
        <v>4640</v>
      </c>
      <c r="N897" s="14" t="s">
        <v>4641</v>
      </c>
      <c r="O897" s="14" t="s">
        <v>4642</v>
      </c>
    </row>
    <row r="898" spans="1:15" s="62" customFormat="1" x14ac:dyDescent="0.15">
      <c r="A898" s="21" t="s">
        <v>4256</v>
      </c>
      <c r="B898" s="19"/>
      <c r="C898" s="11"/>
      <c r="D898" s="17" t="s">
        <v>460</v>
      </c>
      <c r="E898" s="10" t="s">
        <v>137</v>
      </c>
      <c r="F898" s="11" t="s">
        <v>4643</v>
      </c>
      <c r="G898" s="12">
        <v>154.21100000000001</v>
      </c>
      <c r="H898" s="13">
        <v>42219</v>
      </c>
      <c r="I898" s="12" t="s">
        <v>3982</v>
      </c>
      <c r="J898" s="12" t="s">
        <v>4644</v>
      </c>
      <c r="K898" s="12" t="s">
        <v>148</v>
      </c>
      <c r="L898" s="12" t="s">
        <v>4645</v>
      </c>
      <c r="M898" s="14" t="s">
        <v>4646</v>
      </c>
      <c r="N898" s="14" t="s">
        <v>4647</v>
      </c>
      <c r="O898" s="14" t="s">
        <v>4648</v>
      </c>
    </row>
    <row r="899" spans="1:15" s="62" customFormat="1" x14ac:dyDescent="0.15">
      <c r="A899" s="21" t="s">
        <v>4649</v>
      </c>
      <c r="B899" s="19"/>
      <c r="C899" s="11"/>
      <c r="D899" s="17" t="s">
        <v>1307</v>
      </c>
      <c r="E899" s="10" t="s">
        <v>137</v>
      </c>
      <c r="F899" s="11" t="s">
        <v>4650</v>
      </c>
      <c r="G899" s="12">
        <v>155.36199999999999</v>
      </c>
      <c r="H899" s="13">
        <v>42219</v>
      </c>
      <c r="I899" s="12" t="s">
        <v>3982</v>
      </c>
      <c r="J899" s="12" t="s">
        <v>4651</v>
      </c>
      <c r="K899" s="12" t="s">
        <v>39</v>
      </c>
      <c r="L899" s="12" t="s">
        <v>4652</v>
      </c>
      <c r="M899" s="14" t="s">
        <v>4653</v>
      </c>
      <c r="N899" s="14" t="s">
        <v>4654</v>
      </c>
      <c r="O899" s="14" t="s">
        <v>4655</v>
      </c>
    </row>
    <row r="900" spans="1:15" s="62" customFormat="1" x14ac:dyDescent="0.15">
      <c r="A900" s="21" t="s">
        <v>4002</v>
      </c>
      <c r="B900" s="19"/>
      <c r="C900" s="11"/>
      <c r="D900" s="17" t="s">
        <v>1547</v>
      </c>
      <c r="E900" s="10" t="s">
        <v>137</v>
      </c>
      <c r="F900" s="11" t="s">
        <v>4656</v>
      </c>
      <c r="G900" s="12">
        <v>153.28700000000001</v>
      </c>
      <c r="H900" s="13">
        <v>42219</v>
      </c>
      <c r="I900" s="12" t="s">
        <v>3982</v>
      </c>
      <c r="J900" s="12" t="s">
        <v>4657</v>
      </c>
      <c r="K900" s="12" t="s">
        <v>148</v>
      </c>
      <c r="L900" s="12" t="s">
        <v>149</v>
      </c>
      <c r="M900" s="14" t="s">
        <v>4658</v>
      </c>
      <c r="N900" s="14" t="s">
        <v>4659</v>
      </c>
      <c r="O900" s="14" t="s">
        <v>4660</v>
      </c>
    </row>
    <row r="901" spans="1:15" s="62" customFormat="1" x14ac:dyDescent="0.15">
      <c r="A901" s="21" t="s">
        <v>4661</v>
      </c>
      <c r="B901" s="19"/>
      <c r="C901" s="11"/>
      <c r="D901" s="17" t="s">
        <v>893</v>
      </c>
      <c r="E901" s="10" t="s">
        <v>137</v>
      </c>
      <c r="F901" s="11" t="s">
        <v>4662</v>
      </c>
      <c r="G901" s="12">
        <v>169.86099999999999</v>
      </c>
      <c r="H901" s="13">
        <v>42219</v>
      </c>
      <c r="I901" s="12" t="s">
        <v>3982</v>
      </c>
      <c r="J901" s="12" t="s">
        <v>4663</v>
      </c>
      <c r="K901" s="12" t="s">
        <v>148</v>
      </c>
      <c r="L901" s="12" t="s">
        <v>4664</v>
      </c>
      <c r="M901" s="14" t="s">
        <v>4665</v>
      </c>
      <c r="N901" s="14" t="s">
        <v>4666</v>
      </c>
      <c r="O901" s="17" t="s">
        <v>4667</v>
      </c>
    </row>
    <row r="902" spans="1:15" s="62" customFormat="1" x14ac:dyDescent="0.15">
      <c r="A902" s="21" t="s">
        <v>1153</v>
      </c>
      <c r="B902" s="22" t="s">
        <v>3842</v>
      </c>
      <c r="C902" s="11"/>
      <c r="D902" s="17" t="s">
        <v>656</v>
      </c>
      <c r="E902" s="10" t="s">
        <v>137</v>
      </c>
      <c r="F902" s="11" t="s">
        <v>4668</v>
      </c>
      <c r="G902" s="12">
        <f>9.871*L902</f>
        <v>128.32300000000001</v>
      </c>
      <c r="H902" s="13">
        <v>42220</v>
      </c>
      <c r="I902" s="12" t="s">
        <v>4105</v>
      </c>
      <c r="J902" s="12" t="s">
        <v>4669</v>
      </c>
      <c r="K902" s="12" t="s">
        <v>141</v>
      </c>
      <c r="L902" s="12">
        <v>13</v>
      </c>
      <c r="M902" s="14" t="s">
        <v>3168</v>
      </c>
      <c r="N902" s="14" t="s">
        <v>473</v>
      </c>
      <c r="O902" s="17" t="s">
        <v>4670</v>
      </c>
    </row>
    <row r="903" spans="1:15" s="62" customFormat="1" x14ac:dyDescent="0.15">
      <c r="A903" s="21" t="s">
        <v>4671</v>
      </c>
      <c r="B903" s="22" t="s">
        <v>3842</v>
      </c>
      <c r="C903" s="11"/>
      <c r="D903" s="17" t="s">
        <v>396</v>
      </c>
      <c r="E903" s="10" t="s">
        <v>137</v>
      </c>
      <c r="F903" s="11" t="s">
        <v>4672</v>
      </c>
      <c r="G903" s="18">
        <f>29.101*L903</f>
        <v>174.60599999999999</v>
      </c>
      <c r="H903" s="13">
        <v>42220</v>
      </c>
      <c r="I903" s="12" t="s">
        <v>4673</v>
      </c>
      <c r="J903" s="12" t="s">
        <v>4674</v>
      </c>
      <c r="K903" s="12" t="s">
        <v>141</v>
      </c>
      <c r="L903" s="12">
        <v>6</v>
      </c>
      <c r="M903" s="14" t="s">
        <v>3391</v>
      </c>
      <c r="N903" s="14" t="s">
        <v>4675</v>
      </c>
      <c r="O903" s="17" t="s">
        <v>3391</v>
      </c>
    </row>
    <row r="904" spans="1:15" s="62" customFormat="1" x14ac:dyDescent="0.15">
      <c r="A904" s="21" t="s">
        <v>4423</v>
      </c>
      <c r="B904" s="19" t="s">
        <v>180</v>
      </c>
      <c r="C904" s="11"/>
      <c r="D904" s="17" t="s">
        <v>128</v>
      </c>
      <c r="E904" s="10" t="s">
        <v>137</v>
      </c>
      <c r="F904" s="11" t="s">
        <v>4676</v>
      </c>
      <c r="G904" s="12">
        <f>8.606*L904</f>
        <v>111.878</v>
      </c>
      <c r="H904" s="13">
        <v>42220</v>
      </c>
      <c r="I904" s="12" t="s">
        <v>3964</v>
      </c>
      <c r="J904" s="12" t="s">
        <v>4677</v>
      </c>
      <c r="K904" s="18" t="s">
        <v>141</v>
      </c>
      <c r="L904" s="12">
        <v>13</v>
      </c>
      <c r="M904" s="14" t="s">
        <v>4572</v>
      </c>
      <c r="N904" s="14" t="s">
        <v>473</v>
      </c>
      <c r="O904" s="17" t="s">
        <v>4678</v>
      </c>
    </row>
    <row r="905" spans="1:15" s="62" customFormat="1" x14ac:dyDescent="0.15">
      <c r="A905" s="21" t="s">
        <v>4679</v>
      </c>
      <c r="B905" s="29" t="s">
        <v>6886</v>
      </c>
      <c r="C905" s="11"/>
      <c r="D905" s="17" t="s">
        <v>419</v>
      </c>
      <c r="E905" s="10" t="s">
        <v>137</v>
      </c>
      <c r="F905" s="11" t="s">
        <v>4680</v>
      </c>
      <c r="G905" s="18">
        <f>8.606*L905</f>
        <v>215.15</v>
      </c>
      <c r="H905" s="13">
        <v>42220</v>
      </c>
      <c r="I905" s="12" t="s">
        <v>3964</v>
      </c>
      <c r="J905" s="12" t="s">
        <v>4681</v>
      </c>
      <c r="K905" s="18" t="s">
        <v>141</v>
      </c>
      <c r="L905" s="12">
        <v>25</v>
      </c>
      <c r="M905" s="14" t="s">
        <v>4682</v>
      </c>
      <c r="N905" s="14" t="s">
        <v>338</v>
      </c>
      <c r="O905" s="17" t="s">
        <v>4683</v>
      </c>
    </row>
    <row r="906" spans="1:15" s="62" customFormat="1" x14ac:dyDescent="0.15">
      <c r="A906" s="21" t="s">
        <v>4684</v>
      </c>
      <c r="B906" s="22" t="s">
        <v>7017</v>
      </c>
      <c r="C906" s="11"/>
      <c r="D906" s="17" t="s">
        <v>419</v>
      </c>
      <c r="E906" s="10" t="s">
        <v>137</v>
      </c>
      <c r="F906" s="11" t="s">
        <v>4685</v>
      </c>
      <c r="G906" s="18">
        <f>8.606*L906</f>
        <v>86.06</v>
      </c>
      <c r="H906" s="13">
        <v>42220</v>
      </c>
      <c r="I906" s="12" t="s">
        <v>3964</v>
      </c>
      <c r="J906" s="12" t="s">
        <v>4686</v>
      </c>
      <c r="K906" s="18" t="s">
        <v>141</v>
      </c>
      <c r="L906" s="12">
        <v>10</v>
      </c>
      <c r="M906" s="14" t="s">
        <v>4687</v>
      </c>
      <c r="N906" s="14" t="s">
        <v>58</v>
      </c>
      <c r="O906" s="17" t="s">
        <v>4688</v>
      </c>
    </row>
    <row r="907" spans="1:15" s="62" customFormat="1" x14ac:dyDescent="0.15">
      <c r="A907" s="21" t="s">
        <v>4689</v>
      </c>
      <c r="B907" s="19"/>
      <c r="C907" s="11"/>
      <c r="D907" s="17" t="s">
        <v>375</v>
      </c>
      <c r="E907" s="10" t="s">
        <v>137</v>
      </c>
      <c r="F907" s="11" t="s">
        <v>4690</v>
      </c>
      <c r="G907" s="18">
        <f>17.52*L907</f>
        <v>210.24</v>
      </c>
      <c r="H907" s="13">
        <v>42220</v>
      </c>
      <c r="I907" s="12" t="s">
        <v>3982</v>
      </c>
      <c r="J907" s="12" t="s">
        <v>4691</v>
      </c>
      <c r="K907" s="12" t="s">
        <v>141</v>
      </c>
      <c r="L907" s="12">
        <v>12</v>
      </c>
      <c r="M907" s="14" t="s">
        <v>4692</v>
      </c>
      <c r="N907" s="14" t="s">
        <v>3882</v>
      </c>
      <c r="O907" s="17" t="s">
        <v>4692</v>
      </c>
    </row>
    <row r="908" spans="1:15" s="62" customFormat="1" x14ac:dyDescent="0.15">
      <c r="A908" s="21" t="s">
        <v>4270</v>
      </c>
      <c r="B908" s="19"/>
      <c r="C908" s="11"/>
      <c r="D908" s="17" t="s">
        <v>1685</v>
      </c>
      <c r="E908" s="10" t="s">
        <v>137</v>
      </c>
      <c r="F908" s="11" t="s">
        <v>4693</v>
      </c>
      <c r="G908" s="12">
        <f>12.838*L908</f>
        <v>128.38</v>
      </c>
      <c r="H908" s="13">
        <v>42220</v>
      </c>
      <c r="I908" s="12" t="s">
        <v>3982</v>
      </c>
      <c r="J908" s="12" t="s">
        <v>4694</v>
      </c>
      <c r="K908" s="12" t="s">
        <v>141</v>
      </c>
      <c r="L908" s="12">
        <v>10</v>
      </c>
      <c r="M908" s="14" t="s">
        <v>4695</v>
      </c>
      <c r="N908" s="14" t="s">
        <v>412</v>
      </c>
      <c r="O908" s="17" t="s">
        <v>4695</v>
      </c>
    </row>
    <row r="909" spans="1:15" s="62" customFormat="1" x14ac:dyDescent="0.15">
      <c r="A909" s="21" t="s">
        <v>4696</v>
      </c>
      <c r="B909" s="19"/>
      <c r="C909" s="11"/>
      <c r="D909" s="17" t="s">
        <v>612</v>
      </c>
      <c r="E909" s="10" t="s">
        <v>137</v>
      </c>
      <c r="F909" s="11" t="s">
        <v>4697</v>
      </c>
      <c r="G909" s="18">
        <f>6.405*L909</f>
        <v>160.125</v>
      </c>
      <c r="H909" s="13">
        <v>42220</v>
      </c>
      <c r="I909" s="12" t="s">
        <v>139</v>
      </c>
      <c r="J909" s="12" t="s">
        <v>4698</v>
      </c>
      <c r="K909" s="12" t="s">
        <v>141</v>
      </c>
      <c r="L909" s="12">
        <v>25</v>
      </c>
      <c r="M909" s="14" t="s">
        <v>4699</v>
      </c>
      <c r="N909" s="14" t="s">
        <v>338</v>
      </c>
      <c r="O909" s="17" t="s">
        <v>4699</v>
      </c>
    </row>
    <row r="910" spans="1:15" s="62" customFormat="1" x14ac:dyDescent="0.15">
      <c r="A910" s="21" t="s">
        <v>4700</v>
      </c>
      <c r="B910" s="19"/>
      <c r="C910" s="11"/>
      <c r="D910" s="17" t="s">
        <v>1973</v>
      </c>
      <c r="E910" s="10" t="s">
        <v>137</v>
      </c>
      <c r="F910" s="11" t="s">
        <v>4701</v>
      </c>
      <c r="G910" s="23">
        <f>12.838*L910</f>
        <v>192.57</v>
      </c>
      <c r="H910" s="13">
        <v>42220</v>
      </c>
      <c r="I910" s="12" t="s">
        <v>139</v>
      </c>
      <c r="J910" s="12" t="s">
        <v>4702</v>
      </c>
      <c r="K910" s="12" t="s">
        <v>141</v>
      </c>
      <c r="L910" s="12">
        <v>15</v>
      </c>
      <c r="M910" s="14" t="s">
        <v>4703</v>
      </c>
      <c r="N910" s="14" t="s">
        <v>1151</v>
      </c>
      <c r="O910" s="17" t="s">
        <v>4703</v>
      </c>
    </row>
    <row r="911" spans="1:15" x14ac:dyDescent="0.15">
      <c r="A911" s="21" t="s">
        <v>4704</v>
      </c>
      <c r="B911" s="19"/>
      <c r="C911" s="11"/>
      <c r="D911" s="17" t="s">
        <v>1219</v>
      </c>
      <c r="E911" s="10" t="s">
        <v>137</v>
      </c>
      <c r="F911" s="11" t="s">
        <v>4705</v>
      </c>
      <c r="G911" s="12">
        <f>24.694*L911</f>
        <v>345.71600000000001</v>
      </c>
      <c r="H911" s="13">
        <v>42220</v>
      </c>
      <c r="I911" s="12" t="s">
        <v>3982</v>
      </c>
      <c r="J911" s="12" t="s">
        <v>4706</v>
      </c>
      <c r="K911" s="12" t="s">
        <v>141</v>
      </c>
      <c r="L911" s="12">
        <v>14</v>
      </c>
      <c r="M911" s="14" t="s">
        <v>4707</v>
      </c>
      <c r="N911" s="14" t="s">
        <v>2902</v>
      </c>
      <c r="O911" s="17" t="s">
        <v>4707</v>
      </c>
    </row>
    <row r="912" spans="1:15" x14ac:dyDescent="0.15">
      <c r="A912" s="21" t="s">
        <v>3926</v>
      </c>
      <c r="B912" s="19"/>
      <c r="C912" s="11"/>
      <c r="D912" s="17" t="s">
        <v>2920</v>
      </c>
      <c r="E912" s="10" t="s">
        <v>137</v>
      </c>
      <c r="F912" s="11" t="s">
        <v>4708</v>
      </c>
      <c r="G912" s="12">
        <f>20.816*L912</f>
        <v>187.34399999999999</v>
      </c>
      <c r="H912" s="13">
        <v>42220</v>
      </c>
      <c r="I912" s="12" t="s">
        <v>3928</v>
      </c>
      <c r="J912" s="12" t="s">
        <v>4709</v>
      </c>
      <c r="K912" s="12" t="s">
        <v>3887</v>
      </c>
      <c r="L912" s="12">
        <v>9</v>
      </c>
      <c r="M912" s="14" t="s">
        <v>3429</v>
      </c>
      <c r="N912" s="14" t="s">
        <v>1185</v>
      </c>
      <c r="O912" s="17" t="s">
        <v>3429</v>
      </c>
    </row>
    <row r="913" spans="1:15" x14ac:dyDescent="0.15">
      <c r="A913" s="21" t="s">
        <v>3926</v>
      </c>
      <c r="B913" s="19"/>
      <c r="C913" s="11"/>
      <c r="D913" s="17" t="s">
        <v>2920</v>
      </c>
      <c r="E913" s="10" t="s">
        <v>137</v>
      </c>
      <c r="F913" s="11" t="s">
        <v>4710</v>
      </c>
      <c r="G913" s="12">
        <f>20.816*L913</f>
        <v>520.4</v>
      </c>
      <c r="H913" s="13">
        <v>42221</v>
      </c>
      <c r="I913" s="12" t="s">
        <v>3928</v>
      </c>
      <c r="J913" s="12" t="s">
        <v>4711</v>
      </c>
      <c r="K913" s="12" t="s">
        <v>3887</v>
      </c>
      <c r="L913" s="12">
        <v>25</v>
      </c>
      <c r="M913" s="14" t="s">
        <v>4712</v>
      </c>
      <c r="N913" s="14" t="s">
        <v>338</v>
      </c>
      <c r="O913" s="17" t="s">
        <v>4712</v>
      </c>
    </row>
    <row r="914" spans="1:15" x14ac:dyDescent="0.15">
      <c r="A914" s="21" t="s">
        <v>4713</v>
      </c>
      <c r="B914" s="19"/>
      <c r="C914" s="11"/>
      <c r="D914" s="17" t="s">
        <v>1181</v>
      </c>
      <c r="E914" s="10" t="s">
        <v>137</v>
      </c>
      <c r="F914" s="11" t="s">
        <v>4714</v>
      </c>
      <c r="G914" s="12">
        <f>17.712*L914</f>
        <v>212.54399999999998</v>
      </c>
      <c r="H914" s="13">
        <v>42221</v>
      </c>
      <c r="I914" s="12" t="s">
        <v>4024</v>
      </c>
      <c r="J914" s="12" t="s">
        <v>4715</v>
      </c>
      <c r="K914" s="12" t="s">
        <v>141</v>
      </c>
      <c r="L914" s="12">
        <v>12</v>
      </c>
      <c r="M914" s="14" t="s">
        <v>3463</v>
      </c>
      <c r="N914" s="14" t="s">
        <v>242</v>
      </c>
      <c r="O914" s="17" t="s">
        <v>3463</v>
      </c>
    </row>
    <row r="915" spans="1:15" x14ac:dyDescent="0.15">
      <c r="A915" s="20" t="s">
        <v>4716</v>
      </c>
      <c r="B915" s="19"/>
      <c r="C915" s="11"/>
      <c r="D915" s="17" t="s">
        <v>4717</v>
      </c>
      <c r="E915" s="10" t="s">
        <v>137</v>
      </c>
      <c r="F915" s="11" t="s">
        <v>4718</v>
      </c>
      <c r="G915" s="12">
        <f>25.448*L915</f>
        <v>25.448</v>
      </c>
      <c r="H915" s="13">
        <v>42221</v>
      </c>
      <c r="I915" s="12" t="s">
        <v>4719</v>
      </c>
      <c r="J915" s="12" t="s">
        <v>4720</v>
      </c>
      <c r="K915" s="12" t="s">
        <v>21</v>
      </c>
      <c r="L915" s="12">
        <v>1</v>
      </c>
      <c r="M915" s="14" t="s">
        <v>4721</v>
      </c>
      <c r="N915" s="14" t="s">
        <v>4722</v>
      </c>
      <c r="O915" s="17" t="s">
        <v>4721</v>
      </c>
    </row>
    <row r="916" spans="1:15" x14ac:dyDescent="0.15">
      <c r="A916" s="21" t="s">
        <v>4723</v>
      </c>
      <c r="B916" s="19"/>
      <c r="C916" s="11"/>
      <c r="D916" s="17" t="s">
        <v>4724</v>
      </c>
      <c r="E916" s="10" t="s">
        <v>137</v>
      </c>
      <c r="F916" s="11" t="s">
        <v>4725</v>
      </c>
      <c r="G916" s="12">
        <f>17.52*L916</f>
        <v>70.08</v>
      </c>
      <c r="H916" s="13">
        <v>42221</v>
      </c>
      <c r="I916" s="23" t="s">
        <v>1068</v>
      </c>
      <c r="J916" s="23" t="s">
        <v>4726</v>
      </c>
      <c r="K916" s="12" t="s">
        <v>141</v>
      </c>
      <c r="L916" s="12">
        <v>4</v>
      </c>
      <c r="M916" s="14" t="s">
        <v>4727</v>
      </c>
      <c r="N916" s="14" t="s">
        <v>571</v>
      </c>
      <c r="O916" s="17" t="s">
        <v>4728</v>
      </c>
    </row>
    <row r="917" spans="1:15" x14ac:dyDescent="0.15">
      <c r="A917" s="50" t="s">
        <v>4729</v>
      </c>
      <c r="B917" s="42"/>
      <c r="C917" s="43"/>
      <c r="D917" s="44" t="s">
        <v>633</v>
      </c>
      <c r="E917" s="41" t="s">
        <v>137</v>
      </c>
      <c r="F917" s="43" t="s">
        <v>4730</v>
      </c>
      <c r="G917" s="45">
        <f>L917*17.498</f>
        <v>437.45000000000005</v>
      </c>
      <c r="H917" s="46">
        <v>42221</v>
      </c>
      <c r="I917" s="45" t="s">
        <v>3874</v>
      </c>
      <c r="J917" s="45" t="s">
        <v>4731</v>
      </c>
      <c r="K917" s="45" t="s">
        <v>141</v>
      </c>
      <c r="L917" s="45">
        <v>25</v>
      </c>
      <c r="M917" s="48" t="s">
        <v>4732</v>
      </c>
      <c r="N917" s="48" t="s">
        <v>338</v>
      </c>
      <c r="O917" s="44" t="s">
        <v>4732</v>
      </c>
    </row>
    <row r="918" spans="1:15" x14ac:dyDescent="0.15">
      <c r="A918" s="50" t="s">
        <v>4733</v>
      </c>
      <c r="B918" s="53" t="s">
        <v>2833</v>
      </c>
      <c r="C918" s="43"/>
      <c r="D918" s="44" t="s">
        <v>2834</v>
      </c>
      <c r="E918" s="41" t="s">
        <v>137</v>
      </c>
      <c r="F918" s="43" t="s">
        <v>4734</v>
      </c>
      <c r="G918" s="47">
        <f>17.498*L918</f>
        <v>262.47000000000003</v>
      </c>
      <c r="H918" s="46">
        <v>42221</v>
      </c>
      <c r="I918" s="45" t="s">
        <v>3874</v>
      </c>
      <c r="J918" s="45" t="s">
        <v>4735</v>
      </c>
      <c r="K918" s="45" t="s">
        <v>141</v>
      </c>
      <c r="L918" s="45">
        <v>15</v>
      </c>
      <c r="M918" s="48" t="s">
        <v>4736</v>
      </c>
      <c r="N918" s="48" t="s">
        <v>236</v>
      </c>
      <c r="O918" s="44" t="s">
        <v>4736</v>
      </c>
    </row>
    <row r="919" spans="1:15" x14ac:dyDescent="0.15">
      <c r="A919" s="21" t="s">
        <v>2811</v>
      </c>
      <c r="B919" s="19"/>
      <c r="C919" s="11"/>
      <c r="D919" s="17" t="s">
        <v>4737</v>
      </c>
      <c r="E919" s="10" t="s">
        <v>137</v>
      </c>
      <c r="F919" s="11" t="s">
        <v>4738</v>
      </c>
      <c r="G919" s="12">
        <f>14.405*L919</f>
        <v>360.125</v>
      </c>
      <c r="H919" s="13">
        <v>42221</v>
      </c>
      <c r="I919" s="12" t="s">
        <v>3874</v>
      </c>
      <c r="J919" s="12" t="s">
        <v>4739</v>
      </c>
      <c r="K919" s="12" t="s">
        <v>141</v>
      </c>
      <c r="L919" s="12">
        <v>25</v>
      </c>
      <c r="M919" s="14" t="s">
        <v>4740</v>
      </c>
      <c r="N919" s="14" t="s">
        <v>3967</v>
      </c>
      <c r="O919" s="17" t="s">
        <v>4740</v>
      </c>
    </row>
    <row r="920" spans="1:15" x14ac:dyDescent="0.15">
      <c r="A920" s="50" t="s">
        <v>4741</v>
      </c>
      <c r="B920" s="42" t="s">
        <v>180</v>
      </c>
      <c r="C920" s="43"/>
      <c r="D920" s="44" t="s">
        <v>789</v>
      </c>
      <c r="E920" s="41" t="s">
        <v>137</v>
      </c>
      <c r="F920" s="43" t="s">
        <v>8598</v>
      </c>
      <c r="G920" s="45">
        <f>29.101*L920</f>
        <v>174.60599999999999</v>
      </c>
      <c r="H920" s="46">
        <v>42221</v>
      </c>
      <c r="I920" s="45" t="s">
        <v>4112</v>
      </c>
      <c r="J920" s="45" t="s">
        <v>4742</v>
      </c>
      <c r="K920" s="45" t="s">
        <v>141</v>
      </c>
      <c r="L920" s="45">
        <v>6</v>
      </c>
      <c r="M920" s="48" t="s">
        <v>4743</v>
      </c>
      <c r="N920" s="48" t="s">
        <v>1211</v>
      </c>
      <c r="O920" s="44" t="s">
        <v>4744</v>
      </c>
    </row>
    <row r="921" spans="1:15" x14ac:dyDescent="0.15">
      <c r="A921" s="21" t="s">
        <v>4538</v>
      </c>
      <c r="B921" s="19" t="s">
        <v>180</v>
      </c>
      <c r="C921" s="11"/>
      <c r="D921" s="17" t="s">
        <v>4110</v>
      </c>
      <c r="E921" s="10" t="s">
        <v>137</v>
      </c>
      <c r="F921" s="11" t="s">
        <v>4745</v>
      </c>
      <c r="G921" s="12">
        <f>29.101*L921</f>
        <v>291.01</v>
      </c>
      <c r="H921" s="13">
        <v>42221</v>
      </c>
      <c r="I921" s="12" t="s">
        <v>4112</v>
      </c>
      <c r="J921" s="12" t="s">
        <v>4746</v>
      </c>
      <c r="K921" s="12" t="s">
        <v>141</v>
      </c>
      <c r="L921" s="12">
        <v>10</v>
      </c>
      <c r="M921" s="14" t="s">
        <v>4747</v>
      </c>
      <c r="N921" s="14" t="s">
        <v>4748</v>
      </c>
      <c r="O921" s="17" t="s">
        <v>4749</v>
      </c>
    </row>
    <row r="922" spans="1:15" x14ac:dyDescent="0.15">
      <c r="A922" s="50" t="s">
        <v>4538</v>
      </c>
      <c r="B922" s="42" t="s">
        <v>180</v>
      </c>
      <c r="C922" s="43"/>
      <c r="D922" s="44" t="s">
        <v>4110</v>
      </c>
      <c r="E922" s="41" t="s">
        <v>137</v>
      </c>
      <c r="F922" s="43" t="s">
        <v>4750</v>
      </c>
      <c r="G922" s="45">
        <f>29.101*L922</f>
        <v>58.201999999999998</v>
      </c>
      <c r="H922" s="46">
        <v>42221</v>
      </c>
      <c r="I922" s="45" t="s">
        <v>4112</v>
      </c>
      <c r="J922" s="45" t="s">
        <v>4751</v>
      </c>
      <c r="K922" s="45" t="s">
        <v>141</v>
      </c>
      <c r="L922" s="45">
        <v>2</v>
      </c>
      <c r="M922" s="48" t="s">
        <v>4752</v>
      </c>
      <c r="N922" s="48" t="s">
        <v>4753</v>
      </c>
      <c r="O922" s="44" t="s">
        <v>4754</v>
      </c>
    </row>
    <row r="923" spans="1:15" x14ac:dyDescent="0.15">
      <c r="A923" s="21" t="s">
        <v>4755</v>
      </c>
      <c r="B923" s="19" t="s">
        <v>180</v>
      </c>
      <c r="C923" s="11"/>
      <c r="D923" s="17" t="s">
        <v>803</v>
      </c>
      <c r="E923" s="10" t="s">
        <v>137</v>
      </c>
      <c r="F923" s="11" t="s">
        <v>4756</v>
      </c>
      <c r="G923" s="12">
        <f>29.101*L923</f>
        <v>291.01</v>
      </c>
      <c r="H923" s="13">
        <v>42221</v>
      </c>
      <c r="I923" s="12" t="s">
        <v>4112</v>
      </c>
      <c r="J923" s="12" t="s">
        <v>4757</v>
      </c>
      <c r="K923" s="12" t="s">
        <v>141</v>
      </c>
      <c r="L923" s="12">
        <v>10</v>
      </c>
      <c r="M923" s="14" t="s">
        <v>4758</v>
      </c>
      <c r="N923" s="14" t="s">
        <v>412</v>
      </c>
      <c r="O923" s="17" t="s">
        <v>4759</v>
      </c>
    </row>
    <row r="924" spans="1:15" x14ac:dyDescent="0.15">
      <c r="A924" s="21" t="s">
        <v>4760</v>
      </c>
      <c r="B924" s="19"/>
      <c r="C924" s="11"/>
      <c r="D924" s="17" t="s">
        <v>3351</v>
      </c>
      <c r="E924" s="10" t="s">
        <v>137</v>
      </c>
      <c r="F924" s="11" t="s">
        <v>4761</v>
      </c>
      <c r="G924" s="12">
        <v>77.588999999999999</v>
      </c>
      <c r="H924" s="13">
        <v>42223</v>
      </c>
      <c r="I924" s="12" t="s">
        <v>3982</v>
      </c>
      <c r="J924" s="12" t="s">
        <v>4762</v>
      </c>
      <c r="K924" s="12" t="s">
        <v>328</v>
      </c>
      <c r="L924" s="12" t="s">
        <v>4209</v>
      </c>
      <c r="M924" s="14" t="s">
        <v>4763</v>
      </c>
      <c r="N924" s="14" t="s">
        <v>4764</v>
      </c>
      <c r="O924" s="17" t="s">
        <v>4765</v>
      </c>
    </row>
    <row r="925" spans="1:15" x14ac:dyDescent="0.15">
      <c r="A925" s="21" t="s">
        <v>4187</v>
      </c>
      <c r="B925" s="19"/>
      <c r="C925" s="11"/>
      <c r="D925" s="17" t="s">
        <v>2156</v>
      </c>
      <c r="E925" s="10" t="s">
        <v>137</v>
      </c>
      <c r="F925" s="11" t="s">
        <v>4766</v>
      </c>
      <c r="G925" s="12">
        <v>106.218</v>
      </c>
      <c r="H925" s="13">
        <v>42223</v>
      </c>
      <c r="I925" s="12" t="s">
        <v>3982</v>
      </c>
      <c r="J925" s="12" t="s">
        <v>4767</v>
      </c>
      <c r="K925" s="12" t="s">
        <v>148</v>
      </c>
      <c r="L925" s="12" t="s">
        <v>4189</v>
      </c>
      <c r="M925" s="14" t="s">
        <v>4768</v>
      </c>
      <c r="N925" s="14" t="s">
        <v>7435</v>
      </c>
      <c r="O925" s="17" t="s">
        <v>4769</v>
      </c>
    </row>
    <row r="926" spans="1:15" x14ac:dyDescent="0.15">
      <c r="A926" s="20" t="s">
        <v>4770</v>
      </c>
      <c r="B926" s="19"/>
      <c r="C926" s="11"/>
      <c r="D926" s="17" t="s">
        <v>334</v>
      </c>
      <c r="E926" s="10" t="s">
        <v>137</v>
      </c>
      <c r="F926" s="11" t="s">
        <v>4771</v>
      </c>
      <c r="G926" s="12">
        <f>18.708*L926</f>
        <v>56.123999999999995</v>
      </c>
      <c r="H926" s="13">
        <v>42223</v>
      </c>
      <c r="I926" s="12" t="s">
        <v>3916</v>
      </c>
      <c r="J926" s="12" t="s">
        <v>4772</v>
      </c>
      <c r="K926" s="12" t="s">
        <v>21</v>
      </c>
      <c r="L926" s="12">
        <v>3</v>
      </c>
      <c r="M926" s="14" t="s">
        <v>3223</v>
      </c>
      <c r="N926" s="14" t="s">
        <v>4773</v>
      </c>
      <c r="O926" s="17" t="s">
        <v>4774</v>
      </c>
    </row>
    <row r="927" spans="1:15" x14ac:dyDescent="0.15">
      <c r="A927" s="49" t="s">
        <v>4775</v>
      </c>
      <c r="B927" s="42"/>
      <c r="C927" s="43"/>
      <c r="D927" s="44" t="s">
        <v>4776</v>
      </c>
      <c r="E927" s="41" t="s">
        <v>137</v>
      </c>
      <c r="F927" s="43" t="s">
        <v>4777</v>
      </c>
      <c r="G927" s="45">
        <f>5.286*L927</f>
        <v>26.43</v>
      </c>
      <c r="H927" s="46">
        <v>42226</v>
      </c>
      <c r="I927" s="45" t="s">
        <v>139</v>
      </c>
      <c r="J927" s="45" t="s">
        <v>4778</v>
      </c>
      <c r="K927" s="45" t="s">
        <v>21</v>
      </c>
      <c r="L927" s="45">
        <v>5</v>
      </c>
      <c r="M927" s="48" t="s">
        <v>4779</v>
      </c>
      <c r="N927" s="48" t="s">
        <v>4780</v>
      </c>
      <c r="O927" s="44" t="s">
        <v>4781</v>
      </c>
    </row>
    <row r="928" spans="1:15" x14ac:dyDescent="0.15">
      <c r="A928" s="50" t="s">
        <v>1836</v>
      </c>
      <c r="B928" s="42"/>
      <c r="C928" s="43"/>
      <c r="D928" s="44" t="s">
        <v>1609</v>
      </c>
      <c r="E928" s="41" t="s">
        <v>137</v>
      </c>
      <c r="F928" s="43" t="s">
        <v>4782</v>
      </c>
      <c r="G928" s="45">
        <f>20.558*L928</f>
        <v>513.95000000000005</v>
      </c>
      <c r="H928" s="46">
        <v>42227</v>
      </c>
      <c r="I928" s="45" t="s">
        <v>3916</v>
      </c>
      <c r="J928" s="45" t="s">
        <v>4783</v>
      </c>
      <c r="K928" s="45" t="s">
        <v>141</v>
      </c>
      <c r="L928" s="45">
        <v>25</v>
      </c>
      <c r="M928" s="48" t="s">
        <v>4784</v>
      </c>
      <c r="N928" s="48" t="s">
        <v>338</v>
      </c>
      <c r="O928" s="44" t="s">
        <v>4784</v>
      </c>
    </row>
    <row r="929" spans="1:15" x14ac:dyDescent="0.15">
      <c r="A929" s="50" t="s">
        <v>1836</v>
      </c>
      <c r="B929" s="42"/>
      <c r="C929" s="43"/>
      <c r="D929" s="44" t="s">
        <v>1609</v>
      </c>
      <c r="E929" s="41" t="s">
        <v>137</v>
      </c>
      <c r="F929" s="43" t="s">
        <v>4785</v>
      </c>
      <c r="G929" s="45">
        <f>20.558*L929</f>
        <v>513.95000000000005</v>
      </c>
      <c r="H929" s="46">
        <v>42227</v>
      </c>
      <c r="I929" s="45" t="s">
        <v>3916</v>
      </c>
      <c r="J929" s="45" t="s">
        <v>4786</v>
      </c>
      <c r="K929" s="45" t="s">
        <v>141</v>
      </c>
      <c r="L929" s="45">
        <v>25</v>
      </c>
      <c r="M929" s="48" t="s">
        <v>4787</v>
      </c>
      <c r="N929" s="48" t="s">
        <v>338</v>
      </c>
      <c r="O929" s="44" t="s">
        <v>4787</v>
      </c>
    </row>
    <row r="930" spans="1:15" x14ac:dyDescent="0.15">
      <c r="A930" s="50" t="s">
        <v>1836</v>
      </c>
      <c r="B930" s="42"/>
      <c r="C930" s="43"/>
      <c r="D930" s="44" t="s">
        <v>1609</v>
      </c>
      <c r="E930" s="41" t="s">
        <v>137</v>
      </c>
      <c r="F930" s="43" t="s">
        <v>4788</v>
      </c>
      <c r="G930" s="45">
        <f>20.558*L930</f>
        <v>513.95000000000005</v>
      </c>
      <c r="H930" s="46">
        <v>42227</v>
      </c>
      <c r="I930" s="45" t="s">
        <v>3916</v>
      </c>
      <c r="J930" s="45" t="s">
        <v>4789</v>
      </c>
      <c r="K930" s="45" t="s">
        <v>141</v>
      </c>
      <c r="L930" s="45">
        <v>25</v>
      </c>
      <c r="M930" s="48" t="s">
        <v>4790</v>
      </c>
      <c r="N930" s="48" t="s">
        <v>338</v>
      </c>
      <c r="O930" s="44" t="s">
        <v>4790</v>
      </c>
    </row>
    <row r="931" spans="1:15" x14ac:dyDescent="0.15">
      <c r="A931" s="21" t="s">
        <v>1836</v>
      </c>
      <c r="B931" s="19"/>
      <c r="C931" s="11"/>
      <c r="D931" s="17" t="s">
        <v>1609</v>
      </c>
      <c r="E931" s="10" t="s">
        <v>137</v>
      </c>
      <c r="F931" s="11" t="s">
        <v>4791</v>
      </c>
      <c r="G931" s="12">
        <f>20.558*L931</f>
        <v>513.95000000000005</v>
      </c>
      <c r="H931" s="13">
        <v>42227</v>
      </c>
      <c r="I931" s="12" t="s">
        <v>3916</v>
      </c>
      <c r="J931" s="12" t="s">
        <v>4792</v>
      </c>
      <c r="K931" s="12" t="s">
        <v>141</v>
      </c>
      <c r="L931" s="12">
        <v>25</v>
      </c>
      <c r="M931" s="14" t="s">
        <v>4793</v>
      </c>
      <c r="N931" s="14" t="s">
        <v>338</v>
      </c>
      <c r="O931" s="17" t="s">
        <v>4793</v>
      </c>
    </row>
    <row r="932" spans="1:15" x14ac:dyDescent="0.15">
      <c r="A932" s="21" t="s">
        <v>4794</v>
      </c>
      <c r="B932" s="19"/>
      <c r="C932" s="11"/>
      <c r="D932" s="17" t="s">
        <v>1609</v>
      </c>
      <c r="E932" s="10" t="s">
        <v>137</v>
      </c>
      <c r="F932" s="11" t="s">
        <v>4795</v>
      </c>
      <c r="G932" s="12">
        <f>20.558*L932</f>
        <v>513.95000000000005</v>
      </c>
      <c r="H932" s="13">
        <v>42227</v>
      </c>
      <c r="I932" s="12" t="s">
        <v>3916</v>
      </c>
      <c r="J932" s="12" t="s">
        <v>4796</v>
      </c>
      <c r="K932" s="12" t="s">
        <v>141</v>
      </c>
      <c r="L932" s="12">
        <v>25</v>
      </c>
      <c r="M932" s="14" t="s">
        <v>4797</v>
      </c>
      <c r="N932" s="14" t="s">
        <v>338</v>
      </c>
      <c r="O932" s="17" t="s">
        <v>4797</v>
      </c>
    </row>
    <row r="933" spans="1:15" x14ac:dyDescent="0.15">
      <c r="A933" s="21" t="s">
        <v>4798</v>
      </c>
      <c r="B933" s="19"/>
      <c r="C933" s="11"/>
      <c r="D933" s="17" t="s">
        <v>97</v>
      </c>
      <c r="E933" s="10" t="s">
        <v>137</v>
      </c>
      <c r="F933" s="11" t="s">
        <v>4799</v>
      </c>
      <c r="G933" s="18">
        <f>12.838*L933</f>
        <v>51.351999999999997</v>
      </c>
      <c r="H933" s="13">
        <v>42227</v>
      </c>
      <c r="I933" s="12" t="s">
        <v>4580</v>
      </c>
      <c r="J933" s="12" t="s">
        <v>4800</v>
      </c>
      <c r="K933" s="12" t="s">
        <v>141</v>
      </c>
      <c r="L933" s="12">
        <v>4</v>
      </c>
      <c r="M933" s="14" t="s">
        <v>3426</v>
      </c>
      <c r="N933" s="14" t="s">
        <v>556</v>
      </c>
      <c r="O933" s="17" t="s">
        <v>4801</v>
      </c>
    </row>
    <row r="934" spans="1:15" x14ac:dyDescent="0.15">
      <c r="A934" s="21" t="s">
        <v>136</v>
      </c>
      <c r="B934" s="19"/>
      <c r="C934" s="11"/>
      <c r="D934" s="17" t="s">
        <v>54</v>
      </c>
      <c r="E934" s="10" t="s">
        <v>137</v>
      </c>
      <c r="F934" s="11" t="s">
        <v>4802</v>
      </c>
      <c r="G934" s="18">
        <f>6.405*L934</f>
        <v>96.075000000000003</v>
      </c>
      <c r="H934" s="13">
        <v>42227</v>
      </c>
      <c r="I934" s="12" t="s">
        <v>139</v>
      </c>
      <c r="J934" s="12" t="s">
        <v>4803</v>
      </c>
      <c r="K934" s="12" t="s">
        <v>141</v>
      </c>
      <c r="L934" s="12">
        <v>15</v>
      </c>
      <c r="M934" s="14" t="s">
        <v>3507</v>
      </c>
      <c r="N934" s="14" t="s">
        <v>1151</v>
      </c>
      <c r="O934" s="17" t="s">
        <v>3507</v>
      </c>
    </row>
    <row r="935" spans="1:15" x14ac:dyDescent="0.15">
      <c r="A935" s="21" t="s">
        <v>4804</v>
      </c>
      <c r="B935" s="19"/>
      <c r="C935" s="11"/>
      <c r="D935" s="17" t="s">
        <v>341</v>
      </c>
      <c r="E935" s="10" t="s">
        <v>137</v>
      </c>
      <c r="F935" s="11" t="s">
        <v>4805</v>
      </c>
      <c r="G935" s="18">
        <f>18.708*L935</f>
        <v>467.69999999999993</v>
      </c>
      <c r="H935" s="13">
        <v>42227</v>
      </c>
      <c r="I935" s="12" t="s">
        <v>3866</v>
      </c>
      <c r="J935" s="12" t="s">
        <v>4806</v>
      </c>
      <c r="K935" s="12" t="s">
        <v>141</v>
      </c>
      <c r="L935" s="12">
        <v>25</v>
      </c>
      <c r="M935" s="14" t="s">
        <v>4807</v>
      </c>
      <c r="N935" s="14" t="s">
        <v>3967</v>
      </c>
      <c r="O935" s="17" t="s">
        <v>4808</v>
      </c>
    </row>
    <row r="936" spans="1:15" x14ac:dyDescent="0.15">
      <c r="A936" s="21" t="s">
        <v>3922</v>
      </c>
      <c r="B936" s="19"/>
      <c r="C936" s="11"/>
      <c r="D936" s="17" t="s">
        <v>4737</v>
      </c>
      <c r="E936" s="10" t="s">
        <v>137</v>
      </c>
      <c r="F936" s="11" t="s">
        <v>4809</v>
      </c>
      <c r="G936" s="12">
        <f>14.405*L936</f>
        <v>360.125</v>
      </c>
      <c r="H936" s="13">
        <v>42227</v>
      </c>
      <c r="I936" s="12" t="s">
        <v>3874</v>
      </c>
      <c r="J936" s="12" t="s">
        <v>4810</v>
      </c>
      <c r="K936" s="12" t="s">
        <v>141</v>
      </c>
      <c r="L936" s="12">
        <v>25</v>
      </c>
      <c r="M936" s="14" t="s">
        <v>4811</v>
      </c>
      <c r="N936" s="14" t="s">
        <v>3967</v>
      </c>
      <c r="O936" s="17" t="s">
        <v>4812</v>
      </c>
    </row>
    <row r="937" spans="1:15" x14ac:dyDescent="0.15">
      <c r="A937" s="49" t="s">
        <v>4813</v>
      </c>
      <c r="B937" s="42"/>
      <c r="C937" s="43"/>
      <c r="D937" s="44" t="s">
        <v>4814</v>
      </c>
      <c r="E937" s="41" t="s">
        <v>137</v>
      </c>
      <c r="F937" s="43" t="s">
        <v>4815</v>
      </c>
      <c r="G937" s="45">
        <v>33.116</v>
      </c>
      <c r="H937" s="46">
        <v>42228</v>
      </c>
      <c r="I937" s="45" t="s">
        <v>3982</v>
      </c>
      <c r="J937" s="45" t="s">
        <v>4816</v>
      </c>
      <c r="K937" s="45" t="s">
        <v>141</v>
      </c>
      <c r="L937" s="45" t="s">
        <v>4817</v>
      </c>
      <c r="M937" s="48" t="s">
        <v>4818</v>
      </c>
      <c r="N937" s="48" t="s">
        <v>4819</v>
      </c>
      <c r="O937" s="44" t="s">
        <v>4820</v>
      </c>
    </row>
    <row r="938" spans="1:15" x14ac:dyDescent="0.15">
      <c r="A938" s="49" t="s">
        <v>4821</v>
      </c>
      <c r="B938" s="42"/>
      <c r="C938" s="43"/>
      <c r="D938" s="44" t="s">
        <v>728</v>
      </c>
      <c r="E938" s="41" t="s">
        <v>137</v>
      </c>
      <c r="F938" s="43" t="s">
        <v>4822</v>
      </c>
      <c r="G938" s="45">
        <v>20.152000000000001</v>
      </c>
      <c r="H938" s="46">
        <v>42234</v>
      </c>
      <c r="I938" s="45" t="s">
        <v>3982</v>
      </c>
      <c r="J938" s="45" t="s">
        <v>4823</v>
      </c>
      <c r="K938" s="45" t="s">
        <v>141</v>
      </c>
      <c r="L938" s="45" t="s">
        <v>4824</v>
      </c>
      <c r="M938" s="48" t="s">
        <v>4825</v>
      </c>
      <c r="N938" s="48" t="s">
        <v>4826</v>
      </c>
      <c r="O938" s="44" t="s">
        <v>4827</v>
      </c>
    </row>
    <row r="939" spans="1:15" x14ac:dyDescent="0.15">
      <c r="A939" s="20" t="s">
        <v>4828</v>
      </c>
      <c r="B939" s="19"/>
      <c r="C939" s="11"/>
      <c r="D939" s="17" t="s">
        <v>334</v>
      </c>
      <c r="E939" s="10" t="s">
        <v>137</v>
      </c>
      <c r="F939" s="11" t="s">
        <v>4829</v>
      </c>
      <c r="G939" s="12">
        <f>18.708*L939</f>
        <v>56.123999999999995</v>
      </c>
      <c r="H939" s="13">
        <v>42234</v>
      </c>
      <c r="I939" s="12" t="s">
        <v>3916</v>
      </c>
      <c r="J939" s="12" t="s">
        <v>4830</v>
      </c>
      <c r="K939" s="12" t="s">
        <v>3887</v>
      </c>
      <c r="L939" s="12">
        <v>3</v>
      </c>
      <c r="M939" s="14" t="s">
        <v>4831</v>
      </c>
      <c r="N939" s="14" t="s">
        <v>3325</v>
      </c>
      <c r="O939" s="17" t="s">
        <v>4832</v>
      </c>
    </row>
    <row r="940" spans="1:15" x14ac:dyDescent="0.15">
      <c r="A940" s="21" t="s">
        <v>4002</v>
      </c>
      <c r="B940" s="19"/>
      <c r="C940" s="11"/>
      <c r="D940" s="17" t="s">
        <v>1547</v>
      </c>
      <c r="E940" s="10" t="s">
        <v>137</v>
      </c>
      <c r="F940" s="11" t="s">
        <v>4833</v>
      </c>
      <c r="G940" s="12">
        <v>171.72499999999999</v>
      </c>
      <c r="H940" s="13">
        <v>42234</v>
      </c>
      <c r="I940" s="12" t="s">
        <v>3982</v>
      </c>
      <c r="J940" s="12" t="s">
        <v>4834</v>
      </c>
      <c r="K940" s="12" t="s">
        <v>148</v>
      </c>
      <c r="L940" s="12" t="s">
        <v>4835</v>
      </c>
      <c r="M940" s="14" t="s">
        <v>4836</v>
      </c>
      <c r="N940" s="14" t="s">
        <v>4837</v>
      </c>
      <c r="O940" s="17" t="s">
        <v>4838</v>
      </c>
    </row>
    <row r="941" spans="1:15" x14ac:dyDescent="0.15">
      <c r="A941" s="50" t="s">
        <v>4533</v>
      </c>
      <c r="B941" s="42"/>
      <c r="C941" s="43"/>
      <c r="D941" s="44" t="s">
        <v>4839</v>
      </c>
      <c r="E941" s="41" t="s">
        <v>137</v>
      </c>
      <c r="F941" s="43" t="s">
        <v>4840</v>
      </c>
      <c r="G941" s="45">
        <f>18.708*L941</f>
        <v>18.707999999999998</v>
      </c>
      <c r="H941" s="46">
        <v>42234</v>
      </c>
      <c r="I941" s="45" t="s">
        <v>3916</v>
      </c>
      <c r="J941" s="45" t="s">
        <v>4841</v>
      </c>
      <c r="K941" s="45" t="s">
        <v>141</v>
      </c>
      <c r="L941" s="45">
        <v>1</v>
      </c>
      <c r="M941" s="48" t="s">
        <v>4842</v>
      </c>
      <c r="N941" s="48" t="s">
        <v>4843</v>
      </c>
      <c r="O941" s="44" t="s">
        <v>4844</v>
      </c>
    </row>
    <row r="942" spans="1:15" x14ac:dyDescent="0.15">
      <c r="A942" s="49" t="s">
        <v>4845</v>
      </c>
      <c r="B942" s="51" t="s">
        <v>3945</v>
      </c>
      <c r="C942" s="43"/>
      <c r="D942" s="44" t="s">
        <v>4846</v>
      </c>
      <c r="E942" s="41" t="s">
        <v>137</v>
      </c>
      <c r="F942" s="43" t="s">
        <v>4847</v>
      </c>
      <c r="G942" s="47">
        <f>29.101*L942</f>
        <v>145.505</v>
      </c>
      <c r="H942" s="46">
        <v>42234</v>
      </c>
      <c r="I942" s="45" t="s">
        <v>4673</v>
      </c>
      <c r="J942" s="45" t="s">
        <v>4848</v>
      </c>
      <c r="K942" s="45" t="s">
        <v>141</v>
      </c>
      <c r="L942" s="45">
        <v>5</v>
      </c>
      <c r="M942" s="48" t="s">
        <v>4849</v>
      </c>
      <c r="N942" s="48" t="s">
        <v>4850</v>
      </c>
      <c r="O942" s="44" t="s">
        <v>4851</v>
      </c>
    </row>
    <row r="943" spans="1:15" x14ac:dyDescent="0.15">
      <c r="A943" s="49" t="s">
        <v>4852</v>
      </c>
      <c r="B943" s="42"/>
      <c r="C943" s="43"/>
      <c r="D943" s="44" t="s">
        <v>4068</v>
      </c>
      <c r="E943" s="41" t="s">
        <v>137</v>
      </c>
      <c r="F943" s="43" t="s">
        <v>4853</v>
      </c>
      <c r="G943" s="45">
        <f>5.286*L943</f>
        <v>31.715999999999998</v>
      </c>
      <c r="H943" s="46">
        <v>42234</v>
      </c>
      <c r="I943" s="45" t="s">
        <v>139</v>
      </c>
      <c r="J943" s="45" t="s">
        <v>4854</v>
      </c>
      <c r="K943" s="45" t="s">
        <v>3887</v>
      </c>
      <c r="L943" s="45">
        <v>6</v>
      </c>
      <c r="M943" s="48" t="s">
        <v>4855</v>
      </c>
      <c r="N943" s="48" t="s">
        <v>3672</v>
      </c>
      <c r="O943" s="44" t="s">
        <v>4855</v>
      </c>
    </row>
    <row r="944" spans="1:15" x14ac:dyDescent="0.15">
      <c r="A944" s="21" t="s">
        <v>4856</v>
      </c>
      <c r="B944" s="19"/>
      <c r="C944" s="11"/>
      <c r="D944" s="17" t="s">
        <v>4857</v>
      </c>
      <c r="E944" s="10" t="s">
        <v>137</v>
      </c>
      <c r="F944" s="11" t="s">
        <v>4858</v>
      </c>
      <c r="G944" s="12">
        <f>17.498*L944</f>
        <v>174.98000000000002</v>
      </c>
      <c r="H944" s="13">
        <v>42234</v>
      </c>
      <c r="I944" s="12" t="s">
        <v>3874</v>
      </c>
      <c r="J944" s="12" t="s">
        <v>4859</v>
      </c>
      <c r="K944" s="12" t="s">
        <v>141</v>
      </c>
      <c r="L944" s="12">
        <v>10</v>
      </c>
      <c r="M944" s="14" t="s">
        <v>4860</v>
      </c>
      <c r="N944" s="14" t="s">
        <v>58</v>
      </c>
      <c r="O944" s="17" t="s">
        <v>4860</v>
      </c>
    </row>
    <row r="945" spans="1:15" x14ac:dyDescent="0.15">
      <c r="A945" s="49" t="s">
        <v>4861</v>
      </c>
      <c r="B945" s="42"/>
      <c r="C945" s="43"/>
      <c r="D945" s="44" t="s">
        <v>4862</v>
      </c>
      <c r="E945" s="41" t="s">
        <v>137</v>
      </c>
      <c r="F945" s="43" t="s">
        <v>4863</v>
      </c>
      <c r="G945" s="45">
        <f>15.873*L945</f>
        <v>31.745999999999999</v>
      </c>
      <c r="H945" s="46">
        <v>42235</v>
      </c>
      <c r="I945" s="45" t="s">
        <v>3982</v>
      </c>
      <c r="J945" s="45" t="s">
        <v>4864</v>
      </c>
      <c r="K945" s="45" t="s">
        <v>141</v>
      </c>
      <c r="L945" s="45">
        <v>2</v>
      </c>
      <c r="M945" s="48" t="s">
        <v>4865</v>
      </c>
      <c r="N945" s="48" t="s">
        <v>4866</v>
      </c>
      <c r="O945" s="44" t="s">
        <v>4865</v>
      </c>
    </row>
    <row r="946" spans="1:15" x14ac:dyDescent="0.15">
      <c r="A946" s="20" t="s">
        <v>4867</v>
      </c>
      <c r="B946" s="22" t="s">
        <v>3945</v>
      </c>
      <c r="C946" s="11"/>
      <c r="D946" s="17" t="s">
        <v>4868</v>
      </c>
      <c r="E946" s="10" t="s">
        <v>137</v>
      </c>
      <c r="F946" s="11" t="s">
        <v>4869</v>
      </c>
      <c r="G946" s="12">
        <f>14.87*L946</f>
        <v>29.74</v>
      </c>
      <c r="H946" s="13">
        <v>42235</v>
      </c>
      <c r="I946" s="12" t="s">
        <v>4870</v>
      </c>
      <c r="J946" s="12" t="s">
        <v>4871</v>
      </c>
      <c r="K946" s="12" t="s">
        <v>141</v>
      </c>
      <c r="L946" s="12">
        <v>2</v>
      </c>
      <c r="M946" s="14" t="s">
        <v>4872</v>
      </c>
      <c r="N946" s="14" t="s">
        <v>4873</v>
      </c>
      <c r="O946" s="17" t="s">
        <v>4872</v>
      </c>
    </row>
    <row r="947" spans="1:15" x14ac:dyDescent="0.15">
      <c r="A947" s="21" t="s">
        <v>3980</v>
      </c>
      <c r="B947" s="19"/>
      <c r="C947" s="11"/>
      <c r="D947" s="17" t="s">
        <v>453</v>
      </c>
      <c r="E947" s="10" t="s">
        <v>137</v>
      </c>
      <c r="F947" s="11" t="s">
        <v>4874</v>
      </c>
      <c r="G947" s="12">
        <v>34.871000000000002</v>
      </c>
      <c r="H947" s="13">
        <v>42235</v>
      </c>
      <c r="I947" s="12" t="s">
        <v>3982</v>
      </c>
      <c r="J947" s="12" t="s">
        <v>4875</v>
      </c>
      <c r="K947" s="12" t="s">
        <v>3898</v>
      </c>
      <c r="L947" s="12" t="s">
        <v>4876</v>
      </c>
      <c r="M947" s="14" t="s">
        <v>4877</v>
      </c>
      <c r="N947" s="14" t="s">
        <v>4878</v>
      </c>
      <c r="O947" s="17" t="s">
        <v>4879</v>
      </c>
    </row>
    <row r="948" spans="1:15" x14ac:dyDescent="0.15">
      <c r="A948" s="21" t="s">
        <v>3944</v>
      </c>
      <c r="B948" s="22" t="s">
        <v>3945</v>
      </c>
      <c r="C948" s="11"/>
      <c r="D948" s="17" t="s">
        <v>4880</v>
      </c>
      <c r="E948" s="10" t="s">
        <v>137</v>
      </c>
      <c r="F948" s="11" t="s">
        <v>4881</v>
      </c>
      <c r="G948" s="18">
        <f>9.804*L948</f>
        <v>245.1</v>
      </c>
      <c r="H948" s="13">
        <v>42235</v>
      </c>
      <c r="I948" s="12" t="s">
        <v>3947</v>
      </c>
      <c r="J948" s="12" t="s">
        <v>4882</v>
      </c>
      <c r="K948" s="12" t="s">
        <v>141</v>
      </c>
      <c r="L948" s="12">
        <v>25</v>
      </c>
      <c r="M948" s="14" t="s">
        <v>4883</v>
      </c>
      <c r="N948" s="14" t="s">
        <v>3967</v>
      </c>
      <c r="O948" s="17" t="s">
        <v>4884</v>
      </c>
    </row>
    <row r="949" spans="1:15" x14ac:dyDescent="0.15">
      <c r="A949" s="50" t="s">
        <v>4549</v>
      </c>
      <c r="B949" s="42"/>
      <c r="C949" s="43"/>
      <c r="D949" s="44" t="s">
        <v>4614</v>
      </c>
      <c r="E949" s="41" t="s">
        <v>137</v>
      </c>
      <c r="F949" s="43" t="s">
        <v>4885</v>
      </c>
      <c r="G949" s="47">
        <f>29.101*L949</f>
        <v>727.52499999999998</v>
      </c>
      <c r="H949" s="46">
        <v>42235</v>
      </c>
      <c r="I949" s="45" t="s">
        <v>4886</v>
      </c>
      <c r="J949" s="45" t="s">
        <v>4887</v>
      </c>
      <c r="K949" s="45" t="s">
        <v>141</v>
      </c>
      <c r="L949" s="45">
        <v>25</v>
      </c>
      <c r="M949" s="48" t="s">
        <v>4888</v>
      </c>
      <c r="N949" s="48" t="s">
        <v>3967</v>
      </c>
      <c r="O949" s="44" t="s">
        <v>4889</v>
      </c>
    </row>
    <row r="950" spans="1:15" x14ac:dyDescent="0.15">
      <c r="A950" s="50" t="s">
        <v>4549</v>
      </c>
      <c r="B950" s="42"/>
      <c r="C950" s="43"/>
      <c r="D950" s="44" t="s">
        <v>4614</v>
      </c>
      <c r="E950" s="41" t="s">
        <v>137</v>
      </c>
      <c r="F950" s="43" t="s">
        <v>4890</v>
      </c>
      <c r="G950" s="47">
        <f>29.101*L950</f>
        <v>727.52499999999998</v>
      </c>
      <c r="H950" s="46">
        <v>42235</v>
      </c>
      <c r="I950" s="45" t="s">
        <v>4886</v>
      </c>
      <c r="J950" s="45" t="s">
        <v>4891</v>
      </c>
      <c r="K950" s="45" t="s">
        <v>141</v>
      </c>
      <c r="L950" s="45">
        <v>25</v>
      </c>
      <c r="M950" s="48" t="s">
        <v>4892</v>
      </c>
      <c r="N950" s="48" t="s">
        <v>3967</v>
      </c>
      <c r="O950" s="44" t="s">
        <v>4893</v>
      </c>
    </row>
    <row r="951" spans="1:15" x14ac:dyDescent="0.15">
      <c r="A951" s="50" t="s">
        <v>4549</v>
      </c>
      <c r="B951" s="42"/>
      <c r="C951" s="43"/>
      <c r="D951" s="44" t="s">
        <v>4614</v>
      </c>
      <c r="E951" s="41" t="s">
        <v>137</v>
      </c>
      <c r="F951" s="43" t="s">
        <v>4894</v>
      </c>
      <c r="G951" s="47">
        <f>29.101*L951</f>
        <v>727.52499999999998</v>
      </c>
      <c r="H951" s="46">
        <v>42235</v>
      </c>
      <c r="I951" s="45" t="s">
        <v>4886</v>
      </c>
      <c r="J951" s="45" t="s">
        <v>4895</v>
      </c>
      <c r="K951" s="45" t="s">
        <v>141</v>
      </c>
      <c r="L951" s="45">
        <v>25</v>
      </c>
      <c r="M951" s="48" t="s">
        <v>4896</v>
      </c>
      <c r="N951" s="48" t="s">
        <v>3967</v>
      </c>
      <c r="O951" s="44" t="s">
        <v>4897</v>
      </c>
    </row>
    <row r="952" spans="1:15" x14ac:dyDescent="0.15">
      <c r="A952" s="21" t="s">
        <v>4898</v>
      </c>
      <c r="B952" s="19"/>
      <c r="C952" s="11"/>
      <c r="D952" s="17" t="s">
        <v>4614</v>
      </c>
      <c r="E952" s="10" t="s">
        <v>137</v>
      </c>
      <c r="F952" s="11" t="s">
        <v>4899</v>
      </c>
      <c r="G952" s="12">
        <f>29.101*L952</f>
        <v>727.52499999999998</v>
      </c>
      <c r="H952" s="13">
        <v>42235</v>
      </c>
      <c r="I952" s="12" t="s">
        <v>4886</v>
      </c>
      <c r="J952" s="12" t="s">
        <v>4900</v>
      </c>
      <c r="K952" s="12" t="s">
        <v>141</v>
      </c>
      <c r="L952" s="12">
        <v>25</v>
      </c>
      <c r="M952" s="14" t="s">
        <v>4901</v>
      </c>
      <c r="N952" s="14" t="s">
        <v>3967</v>
      </c>
      <c r="O952" s="17" t="s">
        <v>4902</v>
      </c>
    </row>
    <row r="953" spans="1:15" x14ac:dyDescent="0.15">
      <c r="A953" s="20" t="s">
        <v>4903</v>
      </c>
      <c r="B953" s="22" t="s">
        <v>3842</v>
      </c>
      <c r="C953" s="11"/>
      <c r="D953" s="17" t="s">
        <v>3777</v>
      </c>
      <c r="E953" s="10" t="s">
        <v>137</v>
      </c>
      <c r="F953" s="11" t="s">
        <v>4904</v>
      </c>
      <c r="G953" s="18">
        <f>4.701*L953</f>
        <v>23.504999999999999</v>
      </c>
      <c r="H953" s="13">
        <v>42241</v>
      </c>
      <c r="I953" s="12" t="s">
        <v>3997</v>
      </c>
      <c r="J953" s="12" t="s">
        <v>4905</v>
      </c>
      <c r="K953" s="12" t="s">
        <v>141</v>
      </c>
      <c r="L953" s="12">
        <v>5</v>
      </c>
      <c r="M953" s="14" t="s">
        <v>4906</v>
      </c>
      <c r="N953" s="14" t="s">
        <v>4907</v>
      </c>
      <c r="O953" s="17" t="s">
        <v>4906</v>
      </c>
    </row>
    <row r="954" spans="1:15" x14ac:dyDescent="0.15">
      <c r="A954" s="50" t="s">
        <v>4908</v>
      </c>
      <c r="B954" s="42"/>
      <c r="C954" s="43"/>
      <c r="D954" s="44" t="s">
        <v>4909</v>
      </c>
      <c r="E954" s="41" t="s">
        <v>137</v>
      </c>
      <c r="F954" s="43" t="s">
        <v>4910</v>
      </c>
      <c r="G954" s="45">
        <v>110.684</v>
      </c>
      <c r="H954" s="46">
        <v>42242</v>
      </c>
      <c r="I954" s="45" t="s">
        <v>4417</v>
      </c>
      <c r="J954" s="45" t="s">
        <v>4911</v>
      </c>
      <c r="K954" s="45" t="s">
        <v>3898</v>
      </c>
      <c r="L954" s="45" t="s">
        <v>4209</v>
      </c>
      <c r="M954" s="48" t="s">
        <v>4912</v>
      </c>
      <c r="N954" s="48" t="s">
        <v>4913</v>
      </c>
      <c r="O954" s="44" t="s">
        <v>4914</v>
      </c>
    </row>
    <row r="955" spans="1:15" x14ac:dyDescent="0.15">
      <c r="A955" s="21" t="s">
        <v>4915</v>
      </c>
      <c r="B955" s="19"/>
      <c r="C955" s="11"/>
      <c r="D955" s="17" t="s">
        <v>4916</v>
      </c>
      <c r="E955" s="10" t="s">
        <v>137</v>
      </c>
      <c r="F955" s="11" t="s">
        <v>4917</v>
      </c>
      <c r="G955" s="12">
        <f>17.52*L955</f>
        <v>175.2</v>
      </c>
      <c r="H955" s="13">
        <v>42242</v>
      </c>
      <c r="I955" s="18" t="s">
        <v>4169</v>
      </c>
      <c r="J955" s="18" t="s">
        <v>4918</v>
      </c>
      <c r="K955" s="18" t="s">
        <v>141</v>
      </c>
      <c r="L955" s="12">
        <v>10</v>
      </c>
      <c r="M955" s="14" t="s">
        <v>4919</v>
      </c>
      <c r="N955" s="14" t="s">
        <v>4920</v>
      </c>
      <c r="O955" s="17" t="s">
        <v>4919</v>
      </c>
    </row>
    <row r="956" spans="1:15" x14ac:dyDescent="0.15">
      <c r="A956" s="50" t="s">
        <v>4921</v>
      </c>
      <c r="B956" s="42"/>
      <c r="C956" s="43"/>
      <c r="D956" s="44" t="s">
        <v>826</v>
      </c>
      <c r="E956" s="41" t="s">
        <v>137</v>
      </c>
      <c r="F956" s="43" t="s">
        <v>4922</v>
      </c>
      <c r="G956" s="47">
        <f>29.101*L956</f>
        <v>116.404</v>
      </c>
      <c r="H956" s="46">
        <v>42242</v>
      </c>
      <c r="I956" s="45" t="s">
        <v>4417</v>
      </c>
      <c r="J956" s="45" t="s">
        <v>4923</v>
      </c>
      <c r="K956" s="45" t="s">
        <v>21</v>
      </c>
      <c r="L956" s="45">
        <v>4</v>
      </c>
      <c r="M956" s="48" t="s">
        <v>4924</v>
      </c>
      <c r="N956" s="48" t="s">
        <v>4925</v>
      </c>
      <c r="O956" s="44" t="s">
        <v>4926</v>
      </c>
    </row>
    <row r="957" spans="1:15" x14ac:dyDescent="0.15">
      <c r="A957" s="21" t="s">
        <v>4804</v>
      </c>
      <c r="B957" s="19"/>
      <c r="C957" s="11"/>
      <c r="D957" s="17" t="s">
        <v>341</v>
      </c>
      <c r="E957" s="10" t="s">
        <v>137</v>
      </c>
      <c r="F957" s="11" t="s">
        <v>4927</v>
      </c>
      <c r="G957" s="18">
        <f>18.708*L957</f>
        <v>467.69999999999993</v>
      </c>
      <c r="H957" s="13">
        <v>42242</v>
      </c>
      <c r="I957" s="12" t="s">
        <v>3866</v>
      </c>
      <c r="J957" s="12" t="s">
        <v>4928</v>
      </c>
      <c r="K957" s="12" t="s">
        <v>141</v>
      </c>
      <c r="L957" s="12">
        <v>25</v>
      </c>
      <c r="M957" s="14" t="s">
        <v>4929</v>
      </c>
      <c r="N957" s="14" t="s">
        <v>3967</v>
      </c>
      <c r="O957" s="17" t="s">
        <v>4930</v>
      </c>
    </row>
    <row r="958" spans="1:15" x14ac:dyDescent="0.15">
      <c r="A958" s="21" t="s">
        <v>4623</v>
      </c>
      <c r="B958" s="63" t="s">
        <v>4931</v>
      </c>
      <c r="C958" s="11"/>
      <c r="D958" s="17" t="s">
        <v>2098</v>
      </c>
      <c r="E958" s="10" t="s">
        <v>137</v>
      </c>
      <c r="F958" s="11" t="s">
        <v>4932</v>
      </c>
      <c r="G958" s="12">
        <f>L958*17.712</f>
        <v>177.12</v>
      </c>
      <c r="H958" s="13">
        <v>42242</v>
      </c>
      <c r="I958" s="12" t="s">
        <v>3874</v>
      </c>
      <c r="J958" s="12" t="s">
        <v>4933</v>
      </c>
      <c r="K958" s="12" t="s">
        <v>141</v>
      </c>
      <c r="L958" s="12">
        <v>10</v>
      </c>
      <c r="M958" s="14" t="s">
        <v>4934</v>
      </c>
      <c r="N958" s="14" t="s">
        <v>4935</v>
      </c>
      <c r="O958" s="17" t="s">
        <v>4936</v>
      </c>
    </row>
    <row r="959" spans="1:15" x14ac:dyDescent="0.15">
      <c r="A959" s="21" t="s">
        <v>4733</v>
      </c>
      <c r="B959" s="29" t="s">
        <v>4937</v>
      </c>
      <c r="C959" s="11"/>
      <c r="D959" s="17" t="s">
        <v>2834</v>
      </c>
      <c r="E959" s="10" t="s">
        <v>137</v>
      </c>
      <c r="F959" s="11" t="s">
        <v>4938</v>
      </c>
      <c r="G959" s="18">
        <f>17.498*L959</f>
        <v>174.98000000000002</v>
      </c>
      <c r="H959" s="13">
        <v>42242</v>
      </c>
      <c r="I959" s="12" t="s">
        <v>3874</v>
      </c>
      <c r="J959" s="12" t="s">
        <v>4939</v>
      </c>
      <c r="K959" s="12" t="s">
        <v>141</v>
      </c>
      <c r="L959" s="12">
        <v>10</v>
      </c>
      <c r="M959" s="14" t="s">
        <v>4940</v>
      </c>
      <c r="N959" s="14" t="s">
        <v>4941</v>
      </c>
      <c r="O959" s="17" t="s">
        <v>4942</v>
      </c>
    </row>
    <row r="960" spans="1:15" x14ac:dyDescent="0.15">
      <c r="A960" s="50" t="s">
        <v>4943</v>
      </c>
      <c r="B960" s="42"/>
      <c r="C960" s="43"/>
      <c r="D960" s="44" t="s">
        <v>4944</v>
      </c>
      <c r="E960" s="41" t="s">
        <v>137</v>
      </c>
      <c r="F960" s="43" t="s">
        <v>4945</v>
      </c>
      <c r="G960" s="45">
        <f>25.399*L960</f>
        <v>634.97500000000002</v>
      </c>
      <c r="H960" s="46">
        <v>42242</v>
      </c>
      <c r="I960" s="45" t="s">
        <v>3874</v>
      </c>
      <c r="J960" s="45" t="s">
        <v>4946</v>
      </c>
      <c r="K960" s="45" t="s">
        <v>3887</v>
      </c>
      <c r="L960" s="45">
        <v>25</v>
      </c>
      <c r="M960" s="48" t="s">
        <v>4947</v>
      </c>
      <c r="N960" s="48" t="s">
        <v>3967</v>
      </c>
      <c r="O960" s="44" t="s">
        <v>4947</v>
      </c>
    </row>
    <row r="961" spans="1:15" x14ac:dyDescent="0.15">
      <c r="A961" s="50" t="s">
        <v>1134</v>
      </c>
      <c r="B961" s="42"/>
      <c r="C961" s="43"/>
      <c r="D961" s="44" t="s">
        <v>4944</v>
      </c>
      <c r="E961" s="41" t="s">
        <v>137</v>
      </c>
      <c r="F961" s="43" t="s">
        <v>4948</v>
      </c>
      <c r="G961" s="45">
        <f>25.399*L961</f>
        <v>634.97500000000002</v>
      </c>
      <c r="H961" s="46">
        <v>42242</v>
      </c>
      <c r="I961" s="45" t="s">
        <v>3874</v>
      </c>
      <c r="J961" s="45" t="s">
        <v>4949</v>
      </c>
      <c r="K961" s="45" t="s">
        <v>3887</v>
      </c>
      <c r="L961" s="45">
        <v>25</v>
      </c>
      <c r="M961" s="48" t="s">
        <v>4950</v>
      </c>
      <c r="N961" s="48" t="s">
        <v>3967</v>
      </c>
      <c r="O961" s="44" t="s">
        <v>4951</v>
      </c>
    </row>
    <row r="962" spans="1:15" x14ac:dyDescent="0.15">
      <c r="A962" s="49" t="s">
        <v>4952</v>
      </c>
      <c r="B962" s="42"/>
      <c r="C962" s="43"/>
      <c r="D962" s="44" t="s">
        <v>4953</v>
      </c>
      <c r="E962" s="41" t="s">
        <v>137</v>
      </c>
      <c r="F962" s="43" t="s">
        <v>4954</v>
      </c>
      <c r="G962" s="47">
        <f>28.374*L962</f>
        <v>85.122</v>
      </c>
      <c r="H962" s="46">
        <v>42242</v>
      </c>
      <c r="I962" s="45" t="s">
        <v>4417</v>
      </c>
      <c r="J962" s="45" t="s">
        <v>4955</v>
      </c>
      <c r="K962" s="45" t="s">
        <v>141</v>
      </c>
      <c r="L962" s="45">
        <v>3</v>
      </c>
      <c r="M962" s="48" t="s">
        <v>4956</v>
      </c>
      <c r="N962" s="48" t="s">
        <v>4957</v>
      </c>
      <c r="O962" s="44" t="s">
        <v>4958</v>
      </c>
    </row>
    <row r="963" spans="1:15" x14ac:dyDescent="0.15">
      <c r="A963" s="21" t="s">
        <v>4533</v>
      </c>
      <c r="B963" s="19"/>
      <c r="C963" s="11"/>
      <c r="D963" s="17" t="s">
        <v>811</v>
      </c>
      <c r="E963" s="10" t="s">
        <v>137</v>
      </c>
      <c r="F963" s="11" t="s">
        <v>4959</v>
      </c>
      <c r="G963" s="12">
        <f>18.708*L963</f>
        <v>467.69999999999993</v>
      </c>
      <c r="H963" s="13">
        <v>42243</v>
      </c>
      <c r="I963" s="12" t="s">
        <v>3916</v>
      </c>
      <c r="J963" s="12" t="s">
        <v>4960</v>
      </c>
      <c r="K963" s="12" t="s">
        <v>141</v>
      </c>
      <c r="L963" s="12">
        <v>25</v>
      </c>
      <c r="M963" s="14" t="s">
        <v>4961</v>
      </c>
      <c r="N963" s="14" t="s">
        <v>338</v>
      </c>
      <c r="O963" s="17" t="s">
        <v>4961</v>
      </c>
    </row>
    <row r="964" spans="1:15" x14ac:dyDescent="0.15">
      <c r="A964" s="21" t="s">
        <v>4962</v>
      </c>
      <c r="B964" s="19"/>
      <c r="C964" s="11"/>
      <c r="D964" s="17" t="s">
        <v>811</v>
      </c>
      <c r="E964" s="10" t="s">
        <v>137</v>
      </c>
      <c r="F964" s="11" t="s">
        <v>4963</v>
      </c>
      <c r="G964" s="12">
        <f>18.708*L964</f>
        <v>187.07999999999998</v>
      </c>
      <c r="H964" s="13">
        <v>42243</v>
      </c>
      <c r="I964" s="12" t="s">
        <v>3916</v>
      </c>
      <c r="J964" s="12" t="s">
        <v>4964</v>
      </c>
      <c r="K964" s="12" t="s">
        <v>141</v>
      </c>
      <c r="L964" s="12">
        <v>10</v>
      </c>
      <c r="M964" s="14" t="s">
        <v>4965</v>
      </c>
      <c r="N964" s="14" t="s">
        <v>412</v>
      </c>
      <c r="O964" s="17" t="s">
        <v>4965</v>
      </c>
    </row>
    <row r="965" spans="1:15" x14ac:dyDescent="0.15">
      <c r="A965" s="50" t="s">
        <v>3914</v>
      </c>
      <c r="B965" s="42"/>
      <c r="C965" s="43"/>
      <c r="D965" s="44" t="s">
        <v>341</v>
      </c>
      <c r="E965" s="41" t="s">
        <v>137</v>
      </c>
      <c r="F965" s="43" t="s">
        <v>4966</v>
      </c>
      <c r="G965" s="45">
        <f>18.708*L965</f>
        <v>130.95599999999999</v>
      </c>
      <c r="H965" s="46">
        <v>42243</v>
      </c>
      <c r="I965" s="45" t="s">
        <v>3916</v>
      </c>
      <c r="J965" s="45" t="s">
        <v>4967</v>
      </c>
      <c r="K965" s="45" t="s">
        <v>21</v>
      </c>
      <c r="L965" s="45">
        <v>7</v>
      </c>
      <c r="M965" s="48" t="s">
        <v>4968</v>
      </c>
      <c r="N965" s="48" t="s">
        <v>544</v>
      </c>
      <c r="O965" s="44" t="s">
        <v>4968</v>
      </c>
    </row>
    <row r="966" spans="1:15" x14ac:dyDescent="0.15">
      <c r="A966" s="21" t="s">
        <v>4969</v>
      </c>
      <c r="B966" s="19"/>
      <c r="C966" s="11"/>
      <c r="D966" s="17" t="s">
        <v>341</v>
      </c>
      <c r="E966" s="10" t="s">
        <v>137</v>
      </c>
      <c r="F966" s="11" t="s">
        <v>4970</v>
      </c>
      <c r="G966" s="12">
        <f>18.708*L966</f>
        <v>93.539999999999992</v>
      </c>
      <c r="H966" s="13">
        <v>42243</v>
      </c>
      <c r="I966" s="12" t="s">
        <v>3916</v>
      </c>
      <c r="J966" s="12" t="s">
        <v>4971</v>
      </c>
      <c r="K966" s="12" t="s">
        <v>141</v>
      </c>
      <c r="L966" s="12">
        <v>5</v>
      </c>
      <c r="M966" s="14" t="s">
        <v>4968</v>
      </c>
      <c r="N966" s="14" t="s">
        <v>4780</v>
      </c>
      <c r="O966" s="17" t="s">
        <v>4972</v>
      </c>
    </row>
    <row r="967" spans="1:15" x14ac:dyDescent="0.15">
      <c r="A967" s="21" t="s">
        <v>4339</v>
      </c>
      <c r="B967" s="19"/>
      <c r="C967" s="11"/>
      <c r="D967" s="17" t="s">
        <v>1669</v>
      </c>
      <c r="E967" s="10" t="s">
        <v>137</v>
      </c>
      <c r="F967" s="11" t="s">
        <v>4973</v>
      </c>
      <c r="G967" s="18">
        <f>13.006*L967</f>
        <v>325.14999999999998</v>
      </c>
      <c r="H967" s="13">
        <v>42243</v>
      </c>
      <c r="I967" s="12" t="s">
        <v>4341</v>
      </c>
      <c r="J967" s="12" t="s">
        <v>4974</v>
      </c>
      <c r="K967" s="18" t="s">
        <v>141</v>
      </c>
      <c r="L967" s="12">
        <v>25</v>
      </c>
      <c r="M967" s="14" t="s">
        <v>4975</v>
      </c>
      <c r="N967" s="14" t="s">
        <v>338</v>
      </c>
      <c r="O967" s="17" t="s">
        <v>4975</v>
      </c>
    </row>
    <row r="968" spans="1:15" x14ac:dyDescent="0.15">
      <c r="A968" s="21" t="s">
        <v>4976</v>
      </c>
      <c r="B968" s="22" t="s">
        <v>3842</v>
      </c>
      <c r="C968" s="11"/>
      <c r="D968" s="17" t="s">
        <v>1163</v>
      </c>
      <c r="E968" s="10" t="s">
        <v>137</v>
      </c>
      <c r="F968" s="11" t="s">
        <v>4977</v>
      </c>
      <c r="G968" s="12">
        <f>9.871*L968</f>
        <v>246.77500000000001</v>
      </c>
      <c r="H968" s="13">
        <v>42243</v>
      </c>
      <c r="I968" s="12" t="s">
        <v>4105</v>
      </c>
      <c r="J968" s="12" t="s">
        <v>4978</v>
      </c>
      <c r="K968" s="18" t="s">
        <v>141</v>
      </c>
      <c r="L968" s="12">
        <v>25</v>
      </c>
      <c r="M968" s="14" t="s">
        <v>4979</v>
      </c>
      <c r="N968" s="14" t="s">
        <v>338</v>
      </c>
      <c r="O968" s="17" t="s">
        <v>4980</v>
      </c>
    </row>
    <row r="969" spans="1:15" x14ac:dyDescent="0.15">
      <c r="A969" s="21" t="s">
        <v>4981</v>
      </c>
      <c r="B969" s="19"/>
      <c r="C969" s="11"/>
      <c r="D969" s="17" t="s">
        <v>54</v>
      </c>
      <c r="E969" s="10" t="s">
        <v>137</v>
      </c>
      <c r="F969" s="11" t="s">
        <v>4982</v>
      </c>
      <c r="G969" s="18">
        <f>6.405*L969</f>
        <v>160.125</v>
      </c>
      <c r="H969" s="13">
        <v>42243</v>
      </c>
      <c r="I969" s="12" t="s">
        <v>139</v>
      </c>
      <c r="J969" s="12" t="s">
        <v>4983</v>
      </c>
      <c r="K969" s="12" t="s">
        <v>141</v>
      </c>
      <c r="L969" s="12">
        <v>25</v>
      </c>
      <c r="M969" s="14" t="s">
        <v>4984</v>
      </c>
      <c r="N969" s="14" t="s">
        <v>338</v>
      </c>
      <c r="O969" s="17" t="s">
        <v>4984</v>
      </c>
    </row>
    <row r="970" spans="1:15" x14ac:dyDescent="0.15">
      <c r="A970" s="21" t="s">
        <v>4985</v>
      </c>
      <c r="B970" s="19"/>
      <c r="C970" s="11"/>
      <c r="D970" s="17" t="s">
        <v>97</v>
      </c>
      <c r="E970" s="10" t="s">
        <v>137</v>
      </c>
      <c r="F970" s="11" t="s">
        <v>4986</v>
      </c>
      <c r="G970" s="12">
        <f>12.838*L970</f>
        <v>38.513999999999996</v>
      </c>
      <c r="H970" s="13">
        <v>42243</v>
      </c>
      <c r="I970" s="12" t="s">
        <v>139</v>
      </c>
      <c r="J970" s="12" t="s">
        <v>4987</v>
      </c>
      <c r="K970" s="12" t="s">
        <v>141</v>
      </c>
      <c r="L970" s="12">
        <v>3</v>
      </c>
      <c r="M970" s="14" t="s">
        <v>3426</v>
      </c>
      <c r="N970" s="14" t="s">
        <v>1858</v>
      </c>
      <c r="O970" s="17" t="s">
        <v>4988</v>
      </c>
    </row>
    <row r="971" spans="1:15" x14ac:dyDescent="0.15">
      <c r="A971" s="50" t="s">
        <v>3926</v>
      </c>
      <c r="B971" s="42"/>
      <c r="C971" s="43"/>
      <c r="D971" s="44" t="s">
        <v>2920</v>
      </c>
      <c r="E971" s="41" t="s">
        <v>137</v>
      </c>
      <c r="F971" s="43" t="s">
        <v>4989</v>
      </c>
      <c r="G971" s="45">
        <f>20.816*L971</f>
        <v>437.13599999999997</v>
      </c>
      <c r="H971" s="46">
        <v>42243</v>
      </c>
      <c r="I971" s="45" t="s">
        <v>3928</v>
      </c>
      <c r="J971" s="45" t="s">
        <v>4990</v>
      </c>
      <c r="K971" s="45" t="s">
        <v>3887</v>
      </c>
      <c r="L971" s="45">
        <v>21</v>
      </c>
      <c r="M971" s="48" t="s">
        <v>4991</v>
      </c>
      <c r="N971" s="48" t="s">
        <v>4992</v>
      </c>
      <c r="O971" s="44" t="s">
        <v>4991</v>
      </c>
    </row>
    <row r="972" spans="1:15" x14ac:dyDescent="0.15">
      <c r="A972" s="49" t="s">
        <v>4373</v>
      </c>
      <c r="B972" s="42"/>
      <c r="C972" s="43"/>
      <c r="D972" s="54" t="s">
        <v>4993</v>
      </c>
      <c r="E972" s="41" t="s">
        <v>137</v>
      </c>
      <c r="F972" s="43" t="s">
        <v>4994</v>
      </c>
      <c r="G972" s="45">
        <f>20.816*L972</f>
        <v>62.447999999999993</v>
      </c>
      <c r="H972" s="46">
        <v>42243</v>
      </c>
      <c r="I972" s="45" t="s">
        <v>3928</v>
      </c>
      <c r="J972" s="45" t="s">
        <v>4995</v>
      </c>
      <c r="K972" s="45" t="s">
        <v>3887</v>
      </c>
      <c r="L972" s="45">
        <v>3</v>
      </c>
      <c r="M972" s="48" t="s">
        <v>3832</v>
      </c>
      <c r="N972" s="48" t="s">
        <v>4609</v>
      </c>
      <c r="O972" s="44" t="s">
        <v>3832</v>
      </c>
    </row>
    <row r="973" spans="1:15" x14ac:dyDescent="0.15">
      <c r="A973" s="49" t="s">
        <v>4446</v>
      </c>
      <c r="B973" s="42"/>
      <c r="C973" s="43"/>
      <c r="D973" s="44" t="s">
        <v>4996</v>
      </c>
      <c r="E973" s="41" t="s">
        <v>137</v>
      </c>
      <c r="F973" s="43" t="s">
        <v>4997</v>
      </c>
      <c r="G973" s="52">
        <f>20.824*L973</f>
        <v>62.472000000000008</v>
      </c>
      <c r="H973" s="46">
        <v>42243</v>
      </c>
      <c r="I973" s="45" t="s">
        <v>3982</v>
      </c>
      <c r="J973" s="45" t="s">
        <v>4998</v>
      </c>
      <c r="K973" s="45" t="s">
        <v>21</v>
      </c>
      <c r="L973" s="45">
        <v>3</v>
      </c>
      <c r="M973" s="48" t="s">
        <v>4999</v>
      </c>
      <c r="N973" s="48" t="s">
        <v>3889</v>
      </c>
      <c r="O973" s="44" t="s">
        <v>4999</v>
      </c>
    </row>
    <row r="974" spans="1:15" x14ac:dyDescent="0.15">
      <c r="A974" s="49" t="s">
        <v>5000</v>
      </c>
      <c r="B974" s="42"/>
      <c r="C974" s="43"/>
      <c r="D974" s="44" t="s">
        <v>4996</v>
      </c>
      <c r="E974" s="41" t="s">
        <v>137</v>
      </c>
      <c r="F974" s="43" t="s">
        <v>5001</v>
      </c>
      <c r="G974" s="52">
        <f>20.824*L974</f>
        <v>104.12</v>
      </c>
      <c r="H974" s="46">
        <v>42243</v>
      </c>
      <c r="I974" s="45" t="s">
        <v>3982</v>
      </c>
      <c r="J974" s="45" t="s">
        <v>5002</v>
      </c>
      <c r="K974" s="45" t="s">
        <v>21</v>
      </c>
      <c r="L974" s="45">
        <v>5</v>
      </c>
      <c r="M974" s="48" t="s">
        <v>4999</v>
      </c>
      <c r="N974" s="48" t="s">
        <v>4780</v>
      </c>
      <c r="O974" s="44" t="s">
        <v>5003</v>
      </c>
    </row>
    <row r="975" spans="1:15" x14ac:dyDescent="0.15">
      <c r="A975" s="49" t="s">
        <v>5004</v>
      </c>
      <c r="B975" s="42"/>
      <c r="C975" s="43"/>
      <c r="D975" s="44" t="s">
        <v>5005</v>
      </c>
      <c r="E975" s="41" t="s">
        <v>137</v>
      </c>
      <c r="F975" s="43" t="s">
        <v>5006</v>
      </c>
      <c r="G975" s="52">
        <v>27.396000000000001</v>
      </c>
      <c r="H975" s="46">
        <v>42244</v>
      </c>
      <c r="I975" s="45" t="s">
        <v>3982</v>
      </c>
      <c r="J975" s="45" t="s">
        <v>5007</v>
      </c>
      <c r="K975" s="45" t="s">
        <v>3898</v>
      </c>
      <c r="L975" s="45" t="s">
        <v>5008</v>
      </c>
      <c r="M975" s="48" t="s">
        <v>5009</v>
      </c>
      <c r="N975" s="48" t="s">
        <v>5010</v>
      </c>
      <c r="O975" s="44" t="s">
        <v>5011</v>
      </c>
    </row>
    <row r="976" spans="1:15" x14ac:dyDescent="0.15">
      <c r="A976" s="50" t="s">
        <v>5012</v>
      </c>
      <c r="B976" s="42"/>
      <c r="C976" s="43"/>
      <c r="D976" s="44" t="s">
        <v>1692</v>
      </c>
      <c r="E976" s="41" t="s">
        <v>137</v>
      </c>
      <c r="F976" s="43" t="s">
        <v>5013</v>
      </c>
      <c r="G976" s="52">
        <v>153.79499999999999</v>
      </c>
      <c r="H976" s="46">
        <v>42244</v>
      </c>
      <c r="I976" s="45" t="s">
        <v>3982</v>
      </c>
      <c r="J976" s="45" t="s">
        <v>5014</v>
      </c>
      <c r="K976" s="45" t="s">
        <v>148</v>
      </c>
      <c r="L976" s="45" t="s">
        <v>4503</v>
      </c>
      <c r="M976" s="48" t="s">
        <v>5015</v>
      </c>
      <c r="N976" s="48" t="s">
        <v>5016</v>
      </c>
      <c r="O976" s="44" t="s">
        <v>5017</v>
      </c>
    </row>
    <row r="977" spans="1:15" x14ac:dyDescent="0.15">
      <c r="A977" s="20" t="s">
        <v>4002</v>
      </c>
      <c r="B977" s="19"/>
      <c r="C977" s="11"/>
      <c r="D977" s="17" t="s">
        <v>1547</v>
      </c>
      <c r="E977" s="10" t="s">
        <v>137</v>
      </c>
      <c r="F977" s="11" t="s">
        <v>5018</v>
      </c>
      <c r="G977" s="23">
        <v>153.32499999999999</v>
      </c>
      <c r="H977" s="13">
        <v>42244</v>
      </c>
      <c r="I977" s="12" t="s">
        <v>3982</v>
      </c>
      <c r="J977" s="12" t="s">
        <v>5019</v>
      </c>
      <c r="K977" s="12" t="s">
        <v>148</v>
      </c>
      <c r="L977" s="12" t="s">
        <v>149</v>
      </c>
      <c r="M977" s="14" t="s">
        <v>5020</v>
      </c>
      <c r="N977" s="14" t="s">
        <v>5021</v>
      </c>
      <c r="O977" s="17" t="s">
        <v>5022</v>
      </c>
    </row>
    <row r="978" spans="1:15" x14ac:dyDescent="0.15">
      <c r="A978" s="21" t="s">
        <v>4002</v>
      </c>
      <c r="B978" s="19"/>
      <c r="C978" s="11"/>
      <c r="D978" s="17" t="s">
        <v>1547</v>
      </c>
      <c r="E978" s="10" t="s">
        <v>137</v>
      </c>
      <c r="F978" s="11" t="s">
        <v>5023</v>
      </c>
      <c r="G978" s="23">
        <v>104.67700000000001</v>
      </c>
      <c r="H978" s="13">
        <v>42244</v>
      </c>
      <c r="I978" s="12" t="s">
        <v>3982</v>
      </c>
      <c r="J978" s="12" t="s">
        <v>5024</v>
      </c>
      <c r="K978" s="12" t="s">
        <v>148</v>
      </c>
      <c r="L978" s="12" t="s">
        <v>5025</v>
      </c>
      <c r="M978" s="14" t="s">
        <v>5026</v>
      </c>
      <c r="N978" s="14" t="s">
        <v>5027</v>
      </c>
      <c r="O978" s="17" t="s">
        <v>5028</v>
      </c>
    </row>
    <row r="979" spans="1:15" x14ac:dyDescent="0.15">
      <c r="A979" s="21" t="s">
        <v>5029</v>
      </c>
      <c r="B979" s="21" t="s">
        <v>279</v>
      </c>
      <c r="C979" s="11"/>
      <c r="D979" s="17" t="s">
        <v>280</v>
      </c>
      <c r="E979" s="10" t="s">
        <v>137</v>
      </c>
      <c r="F979" s="11" t="s">
        <v>5030</v>
      </c>
      <c r="G979" s="12">
        <f>11.584*L979</f>
        <v>185.34399999999999</v>
      </c>
      <c r="H979" s="13">
        <v>42244</v>
      </c>
      <c r="I979" s="12" t="s">
        <v>282</v>
      </c>
      <c r="J979" s="12" t="s">
        <v>5031</v>
      </c>
      <c r="K979" s="12" t="s">
        <v>141</v>
      </c>
      <c r="L979" s="12">
        <v>16</v>
      </c>
      <c r="M979" s="14" t="s">
        <v>5032</v>
      </c>
      <c r="N979" s="14" t="s">
        <v>4577</v>
      </c>
      <c r="O979" s="17" t="s">
        <v>5033</v>
      </c>
    </row>
    <row r="980" spans="1:15" x14ac:dyDescent="0.15">
      <c r="A980" s="21" t="s">
        <v>4804</v>
      </c>
      <c r="B980" s="19"/>
      <c r="C980" s="11"/>
      <c r="D980" s="17" t="s">
        <v>341</v>
      </c>
      <c r="E980" s="10" t="s">
        <v>137</v>
      </c>
      <c r="F980" s="11" t="s">
        <v>5034</v>
      </c>
      <c r="G980" s="18">
        <f>18.708*L980</f>
        <v>112.24799999999999</v>
      </c>
      <c r="H980" s="13">
        <v>42244</v>
      </c>
      <c r="I980" s="12" t="s">
        <v>3866</v>
      </c>
      <c r="J980" s="12" t="s">
        <v>5035</v>
      </c>
      <c r="K980" s="12" t="s">
        <v>141</v>
      </c>
      <c r="L980" s="12">
        <v>6</v>
      </c>
      <c r="M980" s="14" t="s">
        <v>5036</v>
      </c>
      <c r="N980" s="14" t="s">
        <v>5037</v>
      </c>
      <c r="O980" s="17" t="s">
        <v>5038</v>
      </c>
    </row>
    <row r="981" spans="1:15" x14ac:dyDescent="0.15">
      <c r="A981" s="21" t="s">
        <v>3727</v>
      </c>
      <c r="B981" s="19"/>
      <c r="C981" s="11"/>
      <c r="D981" s="17" t="s">
        <v>1181</v>
      </c>
      <c r="E981" s="10" t="s">
        <v>137</v>
      </c>
      <c r="F981" s="11" t="s">
        <v>5039</v>
      </c>
      <c r="G981" s="12">
        <f>17.712*L981</f>
        <v>442.8</v>
      </c>
      <c r="H981" s="13">
        <v>42247</v>
      </c>
      <c r="I981" s="12" t="s">
        <v>4024</v>
      </c>
      <c r="J981" s="12" t="s">
        <v>5040</v>
      </c>
      <c r="K981" s="12" t="s">
        <v>141</v>
      </c>
      <c r="L981" s="12">
        <v>25</v>
      </c>
      <c r="M981" s="14" t="s">
        <v>5041</v>
      </c>
      <c r="N981" s="14" t="s">
        <v>338</v>
      </c>
      <c r="O981" s="17" t="s">
        <v>5041</v>
      </c>
    </row>
    <row r="982" spans="1:15" x14ac:dyDescent="0.15">
      <c r="A982" s="21" t="s">
        <v>2848</v>
      </c>
      <c r="B982" s="19"/>
      <c r="C982" s="11"/>
      <c r="D982" s="17" t="s">
        <v>425</v>
      </c>
      <c r="E982" s="10" t="s">
        <v>137</v>
      </c>
      <c r="F982" s="11" t="s">
        <v>5042</v>
      </c>
      <c r="G982" s="12">
        <f>18.708*L982</f>
        <v>467.69999999999993</v>
      </c>
      <c r="H982" s="13">
        <v>42247</v>
      </c>
      <c r="I982" s="12" t="s">
        <v>3916</v>
      </c>
      <c r="J982" s="12" t="s">
        <v>5043</v>
      </c>
      <c r="K982" s="12" t="s">
        <v>132</v>
      </c>
      <c r="L982" s="12">
        <v>25</v>
      </c>
      <c r="M982" s="14" t="s">
        <v>5044</v>
      </c>
      <c r="N982" s="14" t="s">
        <v>338</v>
      </c>
      <c r="O982" s="17" t="s">
        <v>5044</v>
      </c>
    </row>
    <row r="983" spans="1:15" x14ac:dyDescent="0.15">
      <c r="A983" s="21" t="s">
        <v>2363</v>
      </c>
      <c r="B983" s="19"/>
      <c r="C983" s="11"/>
      <c r="D983" s="17" t="s">
        <v>425</v>
      </c>
      <c r="E983" s="10" t="s">
        <v>137</v>
      </c>
      <c r="F983" s="11" t="s">
        <v>5045</v>
      </c>
      <c r="G983" s="12">
        <f>18.708*L983</f>
        <v>467.69999999999993</v>
      </c>
      <c r="H983" s="13">
        <v>42247</v>
      </c>
      <c r="I983" s="12" t="s">
        <v>3916</v>
      </c>
      <c r="J983" s="12" t="s">
        <v>5046</v>
      </c>
      <c r="K983" s="12" t="s">
        <v>141</v>
      </c>
      <c r="L983" s="12">
        <v>25</v>
      </c>
      <c r="M983" s="14" t="s">
        <v>5047</v>
      </c>
      <c r="N983" s="14" t="s">
        <v>338</v>
      </c>
      <c r="O983" s="17" t="s">
        <v>5047</v>
      </c>
    </row>
    <row r="984" spans="1:15" x14ac:dyDescent="0.15">
      <c r="A984" s="21" t="s">
        <v>5048</v>
      </c>
      <c r="B984" s="19"/>
      <c r="C984" s="11"/>
      <c r="D984" s="17" t="s">
        <v>425</v>
      </c>
      <c r="E984" s="10" t="s">
        <v>137</v>
      </c>
      <c r="F984" s="11" t="s">
        <v>5049</v>
      </c>
      <c r="G984" s="12">
        <f>18.708*L984</f>
        <v>187.07999999999998</v>
      </c>
      <c r="H984" s="13">
        <v>42247</v>
      </c>
      <c r="I984" s="12" t="s">
        <v>3916</v>
      </c>
      <c r="J984" s="12" t="s">
        <v>5050</v>
      </c>
      <c r="K984" s="12" t="s">
        <v>141</v>
      </c>
      <c r="L984" s="12">
        <v>10</v>
      </c>
      <c r="M984" s="14" t="s">
        <v>3515</v>
      </c>
      <c r="N984" s="14" t="s">
        <v>4935</v>
      </c>
      <c r="O984" s="17" t="s">
        <v>5051</v>
      </c>
    </row>
    <row r="985" spans="1:15" x14ac:dyDescent="0.15">
      <c r="A985" s="50" t="s">
        <v>1675</v>
      </c>
      <c r="B985" s="42"/>
      <c r="C985" s="43"/>
      <c r="D985" s="44" t="s">
        <v>1669</v>
      </c>
      <c r="E985" s="41" t="s">
        <v>137</v>
      </c>
      <c r="F985" s="43" t="s">
        <v>5052</v>
      </c>
      <c r="G985" s="47">
        <f>13.006*L985</f>
        <v>325.14999999999998</v>
      </c>
      <c r="H985" s="46">
        <v>42247</v>
      </c>
      <c r="I985" s="45" t="s">
        <v>4341</v>
      </c>
      <c r="J985" s="45" t="s">
        <v>5053</v>
      </c>
      <c r="K985" s="47" t="s">
        <v>141</v>
      </c>
      <c r="L985" s="45">
        <v>25</v>
      </c>
      <c r="M985" s="48" t="s">
        <v>5054</v>
      </c>
      <c r="N985" s="48" t="s">
        <v>338</v>
      </c>
      <c r="O985" s="44" t="s">
        <v>5054</v>
      </c>
    </row>
    <row r="986" spans="1:15" x14ac:dyDescent="0.15">
      <c r="A986" s="21" t="s">
        <v>5055</v>
      </c>
      <c r="B986" s="19"/>
      <c r="C986" s="11"/>
      <c r="D986" s="17" t="s">
        <v>5056</v>
      </c>
      <c r="E986" s="10" t="s">
        <v>137</v>
      </c>
      <c r="F986" s="11" t="s">
        <v>5057</v>
      </c>
      <c r="G986" s="18">
        <f>14.405*L986</f>
        <v>72.024999999999991</v>
      </c>
      <c r="H986" s="13">
        <v>42248</v>
      </c>
      <c r="I986" s="11" t="s">
        <v>4580</v>
      </c>
      <c r="J986" s="11" t="s">
        <v>5058</v>
      </c>
      <c r="K986" s="11" t="s">
        <v>141</v>
      </c>
      <c r="L986" s="12">
        <v>5</v>
      </c>
      <c r="M986" s="14" t="s">
        <v>5059</v>
      </c>
      <c r="N986" s="14" t="s">
        <v>5060</v>
      </c>
      <c r="O986" s="17" t="s">
        <v>5061</v>
      </c>
    </row>
    <row r="987" spans="1:15" x14ac:dyDescent="0.15">
      <c r="A987" s="21" t="s">
        <v>699</v>
      </c>
      <c r="B987" s="11" t="s">
        <v>5062</v>
      </c>
      <c r="C987" s="11"/>
      <c r="D987" s="17" t="s">
        <v>223</v>
      </c>
      <c r="E987" s="10" t="s">
        <v>137</v>
      </c>
      <c r="F987" s="11" t="s">
        <v>5063</v>
      </c>
      <c r="G987" s="12">
        <f>29.101*L987/2</f>
        <v>58.201999999999998</v>
      </c>
      <c r="H987" s="13">
        <v>42248</v>
      </c>
      <c r="I987" s="12" t="s">
        <v>5064</v>
      </c>
      <c r="J987" s="12" t="s">
        <v>5065</v>
      </c>
      <c r="K987" s="12" t="s">
        <v>141</v>
      </c>
      <c r="L987" s="12">
        <v>4</v>
      </c>
      <c r="M987" s="14" t="s">
        <v>3655</v>
      </c>
      <c r="N987" s="14" t="s">
        <v>5066</v>
      </c>
      <c r="O987" s="17" t="s">
        <v>5067</v>
      </c>
    </row>
    <row r="988" spans="1:15" x14ac:dyDescent="0.15">
      <c r="A988" s="21" t="s">
        <v>5068</v>
      </c>
      <c r="B988" s="19"/>
      <c r="C988" s="11"/>
      <c r="D988" s="17" t="s">
        <v>54</v>
      </c>
      <c r="E988" s="10" t="s">
        <v>137</v>
      </c>
      <c r="F988" s="11" t="s">
        <v>5069</v>
      </c>
      <c r="G988" s="18">
        <f>6.405*L988</f>
        <v>32.024999999999999</v>
      </c>
      <c r="H988" s="13">
        <v>42248</v>
      </c>
      <c r="I988" s="12" t="s">
        <v>5070</v>
      </c>
      <c r="J988" s="12" t="s">
        <v>5071</v>
      </c>
      <c r="K988" s="12" t="s">
        <v>141</v>
      </c>
      <c r="L988" s="12">
        <v>5</v>
      </c>
      <c r="M988" s="14" t="s">
        <v>3675</v>
      </c>
      <c r="N988" s="14" t="s">
        <v>680</v>
      </c>
      <c r="O988" s="17" t="s">
        <v>5072</v>
      </c>
    </row>
    <row r="989" spans="1:15" x14ac:dyDescent="0.15">
      <c r="A989" s="21" t="s">
        <v>4985</v>
      </c>
      <c r="B989" s="19"/>
      <c r="C989" s="11"/>
      <c r="D989" s="17" t="s">
        <v>97</v>
      </c>
      <c r="E989" s="10" t="s">
        <v>137</v>
      </c>
      <c r="F989" s="11" t="s">
        <v>5073</v>
      </c>
      <c r="G989" s="12">
        <f>12.838*L989</f>
        <v>38.513999999999996</v>
      </c>
      <c r="H989" s="13">
        <v>42248</v>
      </c>
      <c r="I989" s="12" t="s">
        <v>139</v>
      </c>
      <c r="J989" s="12" t="s">
        <v>5074</v>
      </c>
      <c r="K989" s="12" t="s">
        <v>141</v>
      </c>
      <c r="L989" s="12">
        <v>3</v>
      </c>
      <c r="M989" s="14" t="s">
        <v>3426</v>
      </c>
      <c r="N989" s="14" t="s">
        <v>479</v>
      </c>
      <c r="O989" s="17" t="s">
        <v>5075</v>
      </c>
    </row>
    <row r="990" spans="1:15" x14ac:dyDescent="0.15">
      <c r="A990" s="21" t="s">
        <v>53</v>
      </c>
      <c r="B990" s="19"/>
      <c r="C990" s="11"/>
      <c r="D990" s="17" t="s">
        <v>54</v>
      </c>
      <c r="E990" s="10" t="s">
        <v>137</v>
      </c>
      <c r="F990" s="11" t="s">
        <v>5076</v>
      </c>
      <c r="G990" s="18">
        <f>6.405*L990</f>
        <v>160.125</v>
      </c>
      <c r="H990" s="13">
        <v>42248</v>
      </c>
      <c r="I990" s="12" t="s">
        <v>139</v>
      </c>
      <c r="J990" s="12" t="s">
        <v>5077</v>
      </c>
      <c r="K990" s="12" t="s">
        <v>141</v>
      </c>
      <c r="L990" s="12">
        <v>25</v>
      </c>
      <c r="M990" s="14" t="s">
        <v>5078</v>
      </c>
      <c r="N990" s="14" t="s">
        <v>338</v>
      </c>
      <c r="O990" s="17" t="s">
        <v>5078</v>
      </c>
    </row>
    <row r="991" spans="1:15" x14ac:dyDescent="0.15">
      <c r="A991" s="21" t="s">
        <v>136</v>
      </c>
      <c r="B991" s="19"/>
      <c r="C991" s="11"/>
      <c r="D991" s="17" t="s">
        <v>54</v>
      </c>
      <c r="E991" s="10" t="s">
        <v>137</v>
      </c>
      <c r="F991" s="11" t="s">
        <v>5079</v>
      </c>
      <c r="G991" s="18">
        <f>6.405*L991</f>
        <v>160.125</v>
      </c>
      <c r="H991" s="13">
        <v>42248</v>
      </c>
      <c r="I991" s="12" t="s">
        <v>139</v>
      </c>
      <c r="J991" s="12" t="s">
        <v>5080</v>
      </c>
      <c r="K991" s="12" t="s">
        <v>141</v>
      </c>
      <c r="L991" s="12">
        <v>25</v>
      </c>
      <c r="M991" s="14" t="s">
        <v>5081</v>
      </c>
      <c r="N991" s="14" t="s">
        <v>338</v>
      </c>
      <c r="O991" s="17" t="s">
        <v>5082</v>
      </c>
    </row>
    <row r="992" spans="1:15" x14ac:dyDescent="0.15">
      <c r="A992" s="50" t="s">
        <v>5083</v>
      </c>
      <c r="B992" s="42"/>
      <c r="C992" s="43"/>
      <c r="D992" s="44" t="s">
        <v>1583</v>
      </c>
      <c r="E992" s="41" t="s">
        <v>137</v>
      </c>
      <c r="F992" s="43" t="s">
        <v>5084</v>
      </c>
      <c r="G992" s="45">
        <f>17.52*L992</f>
        <v>87.6</v>
      </c>
      <c r="H992" s="46">
        <v>42248</v>
      </c>
      <c r="I992" s="45" t="s">
        <v>5085</v>
      </c>
      <c r="J992" s="45" t="s">
        <v>5086</v>
      </c>
      <c r="K992" s="45" t="s">
        <v>141</v>
      </c>
      <c r="L992" s="45">
        <v>5</v>
      </c>
      <c r="M992" s="48" t="s">
        <v>5087</v>
      </c>
      <c r="N992" s="48" t="s">
        <v>500</v>
      </c>
      <c r="O992" s="44" t="s">
        <v>5087</v>
      </c>
    </row>
    <row r="993" spans="1:15" x14ac:dyDescent="0.15">
      <c r="A993" s="50" t="s">
        <v>5088</v>
      </c>
      <c r="B993" s="42"/>
      <c r="C993" s="43"/>
      <c r="D993" s="44" t="s">
        <v>3009</v>
      </c>
      <c r="E993" s="41" t="s">
        <v>137</v>
      </c>
      <c r="F993" s="43" t="s">
        <v>5089</v>
      </c>
      <c r="G993" s="45">
        <v>100.10599999999999</v>
      </c>
      <c r="H993" s="46">
        <v>42248</v>
      </c>
      <c r="I993" s="45" t="s">
        <v>3982</v>
      </c>
      <c r="J993" s="45" t="s">
        <v>5090</v>
      </c>
      <c r="K993" s="45" t="s">
        <v>3898</v>
      </c>
      <c r="L993" s="45" t="s">
        <v>5091</v>
      </c>
      <c r="M993" s="48" t="s">
        <v>5092</v>
      </c>
      <c r="N993" s="48" t="s">
        <v>5093</v>
      </c>
      <c r="O993" s="44" t="s">
        <v>5094</v>
      </c>
    </row>
    <row r="994" spans="1:15" x14ac:dyDescent="0.15">
      <c r="A994" s="50" t="s">
        <v>4256</v>
      </c>
      <c r="B994" s="42"/>
      <c r="C994" s="43"/>
      <c r="D994" s="44" t="s">
        <v>460</v>
      </c>
      <c r="E994" s="41" t="s">
        <v>137</v>
      </c>
      <c r="F994" s="43" t="s">
        <v>5095</v>
      </c>
      <c r="G994" s="45">
        <v>68.331000000000003</v>
      </c>
      <c r="H994" s="46">
        <v>42248</v>
      </c>
      <c r="I994" s="45" t="s">
        <v>3982</v>
      </c>
      <c r="J994" s="45" t="s">
        <v>5096</v>
      </c>
      <c r="K994" s="45" t="s">
        <v>148</v>
      </c>
      <c r="L994" s="45" t="s">
        <v>5097</v>
      </c>
      <c r="M994" s="48" t="s">
        <v>5098</v>
      </c>
      <c r="N994" s="48" t="s">
        <v>5099</v>
      </c>
      <c r="O994" s="44" t="s">
        <v>5100</v>
      </c>
    </row>
    <row r="995" spans="1:15" x14ac:dyDescent="0.15">
      <c r="A995" s="21" t="s">
        <v>5101</v>
      </c>
      <c r="B995" s="11" t="s">
        <v>127</v>
      </c>
      <c r="C995" s="11"/>
      <c r="D995" s="17" t="s">
        <v>2125</v>
      </c>
      <c r="E995" s="10" t="s">
        <v>137</v>
      </c>
      <c r="F995" s="11" t="s">
        <v>5102</v>
      </c>
      <c r="G995" s="12">
        <f>9.871*L995</f>
        <v>118.452</v>
      </c>
      <c r="H995" s="13">
        <v>42248</v>
      </c>
      <c r="I995" s="18" t="s">
        <v>4105</v>
      </c>
      <c r="J995" s="12" t="s">
        <v>5103</v>
      </c>
      <c r="K995" s="12" t="s">
        <v>141</v>
      </c>
      <c r="L995" s="12">
        <v>12</v>
      </c>
      <c r="M995" s="14" t="s">
        <v>5104</v>
      </c>
      <c r="N995" s="14" t="s">
        <v>242</v>
      </c>
      <c r="O995" s="17" t="s">
        <v>5105</v>
      </c>
    </row>
    <row r="996" spans="1:15" x14ac:dyDescent="0.15">
      <c r="A996" s="50" t="s">
        <v>4671</v>
      </c>
      <c r="B996" s="43" t="s">
        <v>127</v>
      </c>
      <c r="C996" s="43"/>
      <c r="D996" s="44" t="s">
        <v>396</v>
      </c>
      <c r="E996" s="41" t="s">
        <v>137</v>
      </c>
      <c r="F996" s="43" t="s">
        <v>5106</v>
      </c>
      <c r="G996" s="47">
        <f>29.101*L996</f>
        <v>87.302999999999997</v>
      </c>
      <c r="H996" s="46">
        <v>42248</v>
      </c>
      <c r="I996" s="45" t="s">
        <v>4673</v>
      </c>
      <c r="J996" s="45" t="s">
        <v>5107</v>
      </c>
      <c r="K996" s="45" t="s">
        <v>141</v>
      </c>
      <c r="L996" s="45">
        <v>3</v>
      </c>
      <c r="M996" s="48" t="s">
        <v>5108</v>
      </c>
      <c r="N996" s="48" t="s">
        <v>4451</v>
      </c>
      <c r="O996" s="44" t="s">
        <v>5109</v>
      </c>
    </row>
    <row r="997" spans="1:15" x14ac:dyDescent="0.15">
      <c r="A997" s="21" t="s">
        <v>3841</v>
      </c>
      <c r="B997" s="11" t="s">
        <v>127</v>
      </c>
      <c r="C997" s="11"/>
      <c r="D997" s="17" t="s">
        <v>859</v>
      </c>
      <c r="E997" s="10" t="s">
        <v>137</v>
      </c>
      <c r="F997" s="11" t="s">
        <v>8568</v>
      </c>
      <c r="G997" s="12">
        <f>8.823*L997</f>
        <v>105.876</v>
      </c>
      <c r="H997" s="13">
        <v>42248</v>
      </c>
      <c r="I997" s="12" t="s">
        <v>3844</v>
      </c>
      <c r="J997" s="12" t="s">
        <v>5110</v>
      </c>
      <c r="K997" s="12" t="s">
        <v>141</v>
      </c>
      <c r="L997" s="12">
        <v>12</v>
      </c>
      <c r="M997" s="14" t="s">
        <v>5111</v>
      </c>
      <c r="N997" s="14" t="s">
        <v>5112</v>
      </c>
      <c r="O997" s="17" t="s">
        <v>8617</v>
      </c>
    </row>
    <row r="998" spans="1:15" x14ac:dyDescent="0.15">
      <c r="A998" s="21" t="s">
        <v>126</v>
      </c>
      <c r="B998" s="19" t="s">
        <v>180</v>
      </c>
      <c r="C998" s="11"/>
      <c r="D998" s="17" t="s">
        <v>128</v>
      </c>
      <c r="E998" s="10" t="s">
        <v>137</v>
      </c>
      <c r="F998" s="11" t="s">
        <v>5113</v>
      </c>
      <c r="G998" s="12">
        <f t="shared" ref="G998:G1003" si="3">8.606*L998</f>
        <v>215.15</v>
      </c>
      <c r="H998" s="13">
        <v>42248</v>
      </c>
      <c r="I998" s="12" t="s">
        <v>3964</v>
      </c>
      <c r="J998" s="12" t="s">
        <v>5114</v>
      </c>
      <c r="K998" s="18" t="s">
        <v>141</v>
      </c>
      <c r="L998" s="12">
        <v>25</v>
      </c>
      <c r="M998" s="14" t="s">
        <v>5115</v>
      </c>
      <c r="N998" s="14" t="s">
        <v>338</v>
      </c>
      <c r="O998" s="17" t="s">
        <v>5116</v>
      </c>
    </row>
    <row r="999" spans="1:15" x14ac:dyDescent="0.15">
      <c r="A999" s="21" t="s">
        <v>126</v>
      </c>
      <c r="B999" s="19" t="s">
        <v>180</v>
      </c>
      <c r="C999" s="11"/>
      <c r="D999" s="17" t="s">
        <v>128</v>
      </c>
      <c r="E999" s="10" t="s">
        <v>137</v>
      </c>
      <c r="F999" s="11" t="s">
        <v>5117</v>
      </c>
      <c r="G999" s="12">
        <f t="shared" si="3"/>
        <v>215.15</v>
      </c>
      <c r="H999" s="13">
        <v>42248</v>
      </c>
      <c r="I999" s="12" t="s">
        <v>3964</v>
      </c>
      <c r="J999" s="12" t="s">
        <v>5118</v>
      </c>
      <c r="K999" s="18" t="s">
        <v>141</v>
      </c>
      <c r="L999" s="12">
        <v>25</v>
      </c>
      <c r="M999" s="14" t="s">
        <v>5119</v>
      </c>
      <c r="N999" s="14" t="s">
        <v>338</v>
      </c>
      <c r="O999" s="17" t="s">
        <v>5120</v>
      </c>
    </row>
    <row r="1000" spans="1:15" x14ac:dyDescent="0.15">
      <c r="A1000" s="21" t="s">
        <v>126</v>
      </c>
      <c r="B1000" s="19" t="s">
        <v>180</v>
      </c>
      <c r="C1000" s="11"/>
      <c r="D1000" s="17" t="s">
        <v>128</v>
      </c>
      <c r="E1000" s="10" t="s">
        <v>137</v>
      </c>
      <c r="F1000" s="11" t="s">
        <v>5121</v>
      </c>
      <c r="G1000" s="12">
        <f t="shared" si="3"/>
        <v>215.15</v>
      </c>
      <c r="H1000" s="13">
        <v>42248</v>
      </c>
      <c r="I1000" s="12" t="s">
        <v>3964</v>
      </c>
      <c r="J1000" s="12" t="s">
        <v>5122</v>
      </c>
      <c r="K1000" s="18" t="s">
        <v>141</v>
      </c>
      <c r="L1000" s="12">
        <v>25</v>
      </c>
      <c r="M1000" s="14" t="s">
        <v>5123</v>
      </c>
      <c r="N1000" s="14" t="s">
        <v>338</v>
      </c>
      <c r="O1000" s="17" t="s">
        <v>5124</v>
      </c>
    </row>
    <row r="1001" spans="1:15" x14ac:dyDescent="0.15">
      <c r="A1001" s="21" t="s">
        <v>126</v>
      </c>
      <c r="B1001" s="19" t="s">
        <v>180</v>
      </c>
      <c r="C1001" s="11"/>
      <c r="D1001" s="17" t="s">
        <v>128</v>
      </c>
      <c r="E1001" s="10" t="s">
        <v>137</v>
      </c>
      <c r="F1001" s="11" t="s">
        <v>5125</v>
      </c>
      <c r="G1001" s="12">
        <f t="shared" si="3"/>
        <v>215.15</v>
      </c>
      <c r="H1001" s="13">
        <v>42248</v>
      </c>
      <c r="I1001" s="12" t="s">
        <v>3964</v>
      </c>
      <c r="J1001" s="12" t="s">
        <v>5126</v>
      </c>
      <c r="K1001" s="18" t="s">
        <v>141</v>
      </c>
      <c r="L1001" s="12">
        <v>25</v>
      </c>
      <c r="M1001" s="14" t="s">
        <v>5127</v>
      </c>
      <c r="N1001" s="14" t="s">
        <v>338</v>
      </c>
      <c r="O1001" s="17" t="s">
        <v>5128</v>
      </c>
    </row>
    <row r="1002" spans="1:15" x14ac:dyDescent="0.15">
      <c r="A1002" s="21" t="s">
        <v>3969</v>
      </c>
      <c r="B1002" s="19" t="s">
        <v>180</v>
      </c>
      <c r="C1002" s="11"/>
      <c r="D1002" s="17" t="s">
        <v>128</v>
      </c>
      <c r="E1002" s="10" t="s">
        <v>137</v>
      </c>
      <c r="F1002" s="11" t="s">
        <v>5129</v>
      </c>
      <c r="G1002" s="12">
        <f t="shared" si="3"/>
        <v>215.15</v>
      </c>
      <c r="H1002" s="13">
        <v>42248</v>
      </c>
      <c r="I1002" s="12" t="s">
        <v>3964</v>
      </c>
      <c r="J1002" s="12" t="s">
        <v>5130</v>
      </c>
      <c r="K1002" s="18" t="s">
        <v>141</v>
      </c>
      <c r="L1002" s="12">
        <v>25</v>
      </c>
      <c r="M1002" s="14" t="s">
        <v>5131</v>
      </c>
      <c r="N1002" s="14" t="s">
        <v>338</v>
      </c>
      <c r="O1002" s="17" t="s">
        <v>5132</v>
      </c>
    </row>
    <row r="1003" spans="1:15" x14ac:dyDescent="0.15">
      <c r="A1003" s="21" t="s">
        <v>4423</v>
      </c>
      <c r="B1003" s="19" t="s">
        <v>180</v>
      </c>
      <c r="C1003" s="11"/>
      <c r="D1003" s="17" t="s">
        <v>128</v>
      </c>
      <c r="E1003" s="10" t="s">
        <v>137</v>
      </c>
      <c r="F1003" s="11" t="s">
        <v>5133</v>
      </c>
      <c r="G1003" s="12">
        <f t="shared" si="3"/>
        <v>215.15</v>
      </c>
      <c r="H1003" s="13">
        <v>42248</v>
      </c>
      <c r="I1003" s="12" t="s">
        <v>3964</v>
      </c>
      <c r="J1003" s="12" t="s">
        <v>5134</v>
      </c>
      <c r="K1003" s="18" t="s">
        <v>141</v>
      </c>
      <c r="L1003" s="12">
        <v>25</v>
      </c>
      <c r="M1003" s="14" t="s">
        <v>5135</v>
      </c>
      <c r="N1003" s="14" t="s">
        <v>338</v>
      </c>
      <c r="O1003" s="17" t="s">
        <v>5136</v>
      </c>
    </row>
    <row r="1004" spans="1:15" x14ac:dyDescent="0.15">
      <c r="A1004" s="21" t="s">
        <v>1207</v>
      </c>
      <c r="B1004" s="19"/>
      <c r="C1004" s="11"/>
      <c r="D1004" s="17" t="s">
        <v>567</v>
      </c>
      <c r="E1004" s="10" t="s">
        <v>137</v>
      </c>
      <c r="F1004" s="11" t="s">
        <v>5137</v>
      </c>
      <c r="G1004" s="12">
        <f>27.688*L1004</f>
        <v>138.44</v>
      </c>
      <c r="H1004" s="13">
        <v>42249</v>
      </c>
      <c r="I1004" s="12" t="s">
        <v>3874</v>
      </c>
      <c r="J1004" s="12" t="s">
        <v>5138</v>
      </c>
      <c r="K1004" s="12" t="s">
        <v>141</v>
      </c>
      <c r="L1004" s="12">
        <v>5</v>
      </c>
      <c r="M1004" s="14" t="s">
        <v>3606</v>
      </c>
      <c r="N1004" s="14" t="s">
        <v>4780</v>
      </c>
      <c r="O1004" s="17" t="s">
        <v>5139</v>
      </c>
    </row>
    <row r="1005" spans="1:15" x14ac:dyDescent="0.15">
      <c r="A1005" s="21" t="s">
        <v>4921</v>
      </c>
      <c r="B1005" s="19"/>
      <c r="C1005" s="11"/>
      <c r="D1005" s="17" t="s">
        <v>826</v>
      </c>
      <c r="E1005" s="10" t="s">
        <v>137</v>
      </c>
      <c r="F1005" s="11" t="s">
        <v>5140</v>
      </c>
      <c r="G1005" s="18">
        <f>29.101*L1005</f>
        <v>58.201999999999998</v>
      </c>
      <c r="H1005" s="13">
        <v>42249</v>
      </c>
      <c r="I1005" s="12" t="s">
        <v>4417</v>
      </c>
      <c r="J1005" s="12" t="s">
        <v>5141</v>
      </c>
      <c r="K1005" s="12" t="s">
        <v>141</v>
      </c>
      <c r="L1005" s="12">
        <v>2</v>
      </c>
      <c r="M1005" s="14" t="s">
        <v>5142</v>
      </c>
      <c r="N1005" s="14" t="s">
        <v>5143</v>
      </c>
      <c r="O1005" s="17" t="s">
        <v>5144</v>
      </c>
    </row>
    <row r="1006" spans="1:15" x14ac:dyDescent="0.15">
      <c r="A1006" s="50" t="s">
        <v>4549</v>
      </c>
      <c r="B1006" s="42"/>
      <c r="C1006" s="43"/>
      <c r="D1006" s="44" t="s">
        <v>408</v>
      </c>
      <c r="E1006" s="41" t="s">
        <v>137</v>
      </c>
      <c r="F1006" s="43" t="s">
        <v>5145</v>
      </c>
      <c r="G1006" s="45">
        <f>29.101*L1006</f>
        <v>727.52499999999998</v>
      </c>
      <c r="H1006" s="46">
        <v>42249</v>
      </c>
      <c r="I1006" s="45" t="s">
        <v>4886</v>
      </c>
      <c r="J1006" s="45" t="s">
        <v>5146</v>
      </c>
      <c r="K1006" s="45" t="s">
        <v>141</v>
      </c>
      <c r="L1006" s="45">
        <v>25</v>
      </c>
      <c r="M1006" s="48" t="s">
        <v>5147</v>
      </c>
      <c r="N1006" s="48" t="s">
        <v>3967</v>
      </c>
      <c r="O1006" s="44" t="s">
        <v>5148</v>
      </c>
    </row>
    <row r="1007" spans="1:15" x14ac:dyDescent="0.15">
      <c r="A1007" s="21" t="s">
        <v>4549</v>
      </c>
      <c r="B1007" s="19"/>
      <c r="C1007" s="11"/>
      <c r="D1007" s="17" t="s">
        <v>408</v>
      </c>
      <c r="E1007" s="10" t="s">
        <v>137</v>
      </c>
      <c r="F1007" s="11" t="s">
        <v>5149</v>
      </c>
      <c r="G1007" s="12">
        <f>29.101*L1007</f>
        <v>727.52499999999998</v>
      </c>
      <c r="H1007" s="13">
        <v>42249</v>
      </c>
      <c r="I1007" s="12" t="s">
        <v>4886</v>
      </c>
      <c r="J1007" s="12" t="s">
        <v>5150</v>
      </c>
      <c r="K1007" s="12" t="s">
        <v>141</v>
      </c>
      <c r="L1007" s="12">
        <v>25</v>
      </c>
      <c r="M1007" s="14" t="s">
        <v>5151</v>
      </c>
      <c r="N1007" s="14" t="s">
        <v>3967</v>
      </c>
      <c r="O1007" s="17" t="s">
        <v>5152</v>
      </c>
    </row>
    <row r="1008" spans="1:15" x14ac:dyDescent="0.15">
      <c r="A1008" s="21" t="s">
        <v>467</v>
      </c>
      <c r="B1008" s="19"/>
      <c r="C1008" s="11"/>
      <c r="D1008" s="17" t="s">
        <v>341</v>
      </c>
      <c r="E1008" s="10" t="s">
        <v>137</v>
      </c>
      <c r="F1008" s="11" t="s">
        <v>5153</v>
      </c>
      <c r="G1008" s="18">
        <f>18.708*L1008</f>
        <v>130.95599999999999</v>
      </c>
      <c r="H1008" s="13">
        <v>42249</v>
      </c>
      <c r="I1008" s="12" t="s">
        <v>3866</v>
      </c>
      <c r="J1008" s="12" t="s">
        <v>5154</v>
      </c>
      <c r="K1008" s="12" t="s">
        <v>141</v>
      </c>
      <c r="L1008" s="12">
        <v>7</v>
      </c>
      <c r="M1008" s="14" t="s">
        <v>5036</v>
      </c>
      <c r="N1008" s="14" t="s">
        <v>5155</v>
      </c>
      <c r="O1008" s="17" t="s">
        <v>4968</v>
      </c>
    </row>
    <row r="1009" spans="1:15" x14ac:dyDescent="0.15">
      <c r="A1009" s="50" t="s">
        <v>4733</v>
      </c>
      <c r="B1009" s="53" t="s">
        <v>4937</v>
      </c>
      <c r="C1009" s="43"/>
      <c r="D1009" s="44" t="s">
        <v>2834</v>
      </c>
      <c r="E1009" s="41" t="s">
        <v>137</v>
      </c>
      <c r="F1009" s="43" t="s">
        <v>5156</v>
      </c>
      <c r="G1009" s="47">
        <f>17.498*L1009</f>
        <v>174.98000000000002</v>
      </c>
      <c r="H1009" s="46">
        <v>42249</v>
      </c>
      <c r="I1009" s="45" t="s">
        <v>3874</v>
      </c>
      <c r="J1009" s="45" t="s">
        <v>5157</v>
      </c>
      <c r="K1009" s="45" t="s">
        <v>141</v>
      </c>
      <c r="L1009" s="45">
        <v>10</v>
      </c>
      <c r="M1009" s="48" t="s">
        <v>5158</v>
      </c>
      <c r="N1009" s="48" t="s">
        <v>4941</v>
      </c>
      <c r="O1009" s="44" t="s">
        <v>5159</v>
      </c>
    </row>
    <row r="1010" spans="1:15" x14ac:dyDescent="0.15">
      <c r="A1010" s="20" t="s">
        <v>5160</v>
      </c>
      <c r="B1010" s="29"/>
      <c r="C1010" s="11"/>
      <c r="D1010" s="27" t="s">
        <v>5161</v>
      </c>
      <c r="E1010" s="10" t="s">
        <v>137</v>
      </c>
      <c r="F1010" s="11" t="s">
        <v>5162</v>
      </c>
      <c r="G1010" s="12">
        <f>27.67*L1010</f>
        <v>359.71000000000004</v>
      </c>
      <c r="H1010" s="13">
        <v>42253</v>
      </c>
      <c r="I1010" s="12" t="s">
        <v>3874</v>
      </c>
      <c r="J1010" s="12" t="s">
        <v>5163</v>
      </c>
      <c r="K1010" s="12" t="s">
        <v>141</v>
      </c>
      <c r="L1010" s="12">
        <v>13</v>
      </c>
      <c r="M1010" s="14" t="s">
        <v>5164</v>
      </c>
      <c r="N1010" s="14" t="s">
        <v>5165</v>
      </c>
      <c r="O1010" s="17" t="s">
        <v>5166</v>
      </c>
    </row>
    <row r="1011" spans="1:15" x14ac:dyDescent="0.15">
      <c r="A1011" s="20" t="s">
        <v>5167</v>
      </c>
      <c r="B1011" s="22" t="s">
        <v>5168</v>
      </c>
      <c r="C1011" s="14" t="s">
        <v>5169</v>
      </c>
      <c r="D1011" s="27" t="s">
        <v>5170</v>
      </c>
      <c r="E1011" s="10" t="s">
        <v>137</v>
      </c>
      <c r="F1011" s="11" t="s">
        <v>5171</v>
      </c>
      <c r="G1011" s="12">
        <f>2.238*L1011</f>
        <v>15.666</v>
      </c>
      <c r="H1011" s="13">
        <v>42253</v>
      </c>
      <c r="I1011" s="28" t="s">
        <v>5172</v>
      </c>
      <c r="J1011" s="12" t="s">
        <v>5173</v>
      </c>
      <c r="K1011" s="28" t="s">
        <v>141</v>
      </c>
      <c r="L1011" s="12">
        <v>7</v>
      </c>
      <c r="M1011" s="14" t="s">
        <v>5174</v>
      </c>
      <c r="N1011" s="14" t="s">
        <v>5175</v>
      </c>
      <c r="O1011" s="17" t="s">
        <v>5176</v>
      </c>
    </row>
    <row r="1012" spans="1:15" x14ac:dyDescent="0.15">
      <c r="A1012" s="49" t="s">
        <v>5177</v>
      </c>
      <c r="B1012" s="42"/>
      <c r="C1012" s="43"/>
      <c r="D1012" s="44" t="s">
        <v>5178</v>
      </c>
      <c r="E1012" s="41" t="s">
        <v>137</v>
      </c>
      <c r="F1012" s="43" t="s">
        <v>5179</v>
      </c>
      <c r="G1012" s="45">
        <v>26.030999999999999</v>
      </c>
      <c r="H1012" s="46">
        <v>42253</v>
      </c>
      <c r="I1012" s="45" t="s">
        <v>3982</v>
      </c>
      <c r="J1012" s="45" t="s">
        <v>5180</v>
      </c>
      <c r="K1012" s="45" t="s">
        <v>141</v>
      </c>
      <c r="L1012" s="45" t="s">
        <v>5181</v>
      </c>
      <c r="M1012" s="48" t="s">
        <v>5182</v>
      </c>
      <c r="N1012" s="48" t="s">
        <v>5183</v>
      </c>
      <c r="O1012" s="44" t="s">
        <v>6604</v>
      </c>
    </row>
    <row r="1013" spans="1:15" x14ac:dyDescent="0.15">
      <c r="A1013" s="50" t="s">
        <v>3610</v>
      </c>
      <c r="B1013" s="42"/>
      <c r="C1013" s="43"/>
      <c r="D1013" s="44" t="s">
        <v>811</v>
      </c>
      <c r="E1013" s="41" t="s">
        <v>137</v>
      </c>
      <c r="F1013" s="43" t="s">
        <v>5184</v>
      </c>
      <c r="G1013" s="45">
        <f>18.708*L1013</f>
        <v>467.69999999999993</v>
      </c>
      <c r="H1013" s="46">
        <v>42255</v>
      </c>
      <c r="I1013" s="45" t="s">
        <v>3916</v>
      </c>
      <c r="J1013" s="45" t="s">
        <v>5185</v>
      </c>
      <c r="K1013" s="45" t="s">
        <v>141</v>
      </c>
      <c r="L1013" s="45">
        <v>25</v>
      </c>
      <c r="M1013" s="48" t="s">
        <v>5186</v>
      </c>
      <c r="N1013" s="48" t="s">
        <v>338</v>
      </c>
      <c r="O1013" s="44" t="s">
        <v>5186</v>
      </c>
    </row>
    <row r="1014" spans="1:15" x14ac:dyDescent="0.15">
      <c r="A1014" s="50" t="s">
        <v>1675</v>
      </c>
      <c r="B1014" s="42"/>
      <c r="C1014" s="43"/>
      <c r="D1014" s="44" t="s">
        <v>1669</v>
      </c>
      <c r="E1014" s="41" t="s">
        <v>137</v>
      </c>
      <c r="F1014" s="43" t="s">
        <v>5187</v>
      </c>
      <c r="G1014" s="47">
        <f>13.006*L1014</f>
        <v>156.072</v>
      </c>
      <c r="H1014" s="46">
        <v>42255</v>
      </c>
      <c r="I1014" s="45" t="s">
        <v>4341</v>
      </c>
      <c r="J1014" s="45" t="s">
        <v>5188</v>
      </c>
      <c r="K1014" s="47" t="s">
        <v>141</v>
      </c>
      <c r="L1014" s="45">
        <v>12</v>
      </c>
      <c r="M1014" s="48" t="s">
        <v>5189</v>
      </c>
      <c r="N1014" s="48" t="s">
        <v>242</v>
      </c>
      <c r="O1014" s="44" t="s">
        <v>5189</v>
      </c>
    </row>
    <row r="1015" spans="1:15" x14ac:dyDescent="0.15">
      <c r="A1015" s="50" t="s">
        <v>5190</v>
      </c>
      <c r="B1015" s="42"/>
      <c r="C1015" s="43"/>
      <c r="D1015" s="44" t="s">
        <v>97</v>
      </c>
      <c r="E1015" s="41" t="s">
        <v>137</v>
      </c>
      <c r="F1015" s="43" t="s">
        <v>5191</v>
      </c>
      <c r="G1015" s="47">
        <f>12.838*L1015</f>
        <v>64.19</v>
      </c>
      <c r="H1015" s="46">
        <v>42255</v>
      </c>
      <c r="I1015" s="45" t="s">
        <v>4580</v>
      </c>
      <c r="J1015" s="45" t="s">
        <v>5192</v>
      </c>
      <c r="K1015" s="45" t="s">
        <v>141</v>
      </c>
      <c r="L1015" s="45">
        <v>5</v>
      </c>
      <c r="M1015" s="48" t="s">
        <v>5193</v>
      </c>
      <c r="N1015" s="48" t="s">
        <v>229</v>
      </c>
      <c r="O1015" s="44" t="s">
        <v>5193</v>
      </c>
    </row>
    <row r="1016" spans="1:15" x14ac:dyDescent="0.15">
      <c r="A1016" s="21" t="s">
        <v>4067</v>
      </c>
      <c r="B1016" s="19"/>
      <c r="C1016" s="11"/>
      <c r="D1016" s="17" t="s">
        <v>4068</v>
      </c>
      <c r="E1016" s="10" t="s">
        <v>137</v>
      </c>
      <c r="F1016" s="11" t="s">
        <v>5194</v>
      </c>
      <c r="G1016" s="12">
        <f>5.286*L1016</f>
        <v>37.001999999999995</v>
      </c>
      <c r="H1016" s="13">
        <v>42255</v>
      </c>
      <c r="I1016" s="12" t="s">
        <v>139</v>
      </c>
      <c r="J1016" s="12" t="s">
        <v>5195</v>
      </c>
      <c r="K1016" s="12" t="s">
        <v>3887</v>
      </c>
      <c r="L1016" s="12">
        <v>7</v>
      </c>
      <c r="M1016" s="14" t="s">
        <v>4855</v>
      </c>
      <c r="N1016" s="14" t="s">
        <v>5196</v>
      </c>
      <c r="O1016" s="17" t="s">
        <v>5197</v>
      </c>
    </row>
    <row r="1017" spans="1:15" x14ac:dyDescent="0.15">
      <c r="A1017" s="21" t="s">
        <v>5198</v>
      </c>
      <c r="B1017" s="19"/>
      <c r="C1017" s="11"/>
      <c r="D1017" s="17" t="s">
        <v>1463</v>
      </c>
      <c r="E1017" s="10" t="s">
        <v>137</v>
      </c>
      <c r="F1017" s="11" t="s">
        <v>5199</v>
      </c>
      <c r="G1017" s="12">
        <f>14.38*L1017</f>
        <v>115.04</v>
      </c>
      <c r="H1017" s="13">
        <v>42255</v>
      </c>
      <c r="I1017" s="12" t="s">
        <v>139</v>
      </c>
      <c r="J1017" s="12" t="s">
        <v>5200</v>
      </c>
      <c r="K1017" s="12" t="s">
        <v>141</v>
      </c>
      <c r="L1017" s="12">
        <v>8</v>
      </c>
      <c r="M1017" s="14" t="s">
        <v>5201</v>
      </c>
      <c r="N1017" s="14" t="s">
        <v>1217</v>
      </c>
      <c r="O1017" s="17" t="s">
        <v>5201</v>
      </c>
    </row>
    <row r="1018" spans="1:15" x14ac:dyDescent="0.15">
      <c r="A1018" s="50" t="s">
        <v>5202</v>
      </c>
      <c r="B1018" s="42"/>
      <c r="C1018" s="43"/>
      <c r="D1018" s="44" t="s">
        <v>1685</v>
      </c>
      <c r="E1018" s="41" t="s">
        <v>137</v>
      </c>
      <c r="F1018" s="43" t="s">
        <v>5203</v>
      </c>
      <c r="G1018" s="45">
        <f>12.838*L1018</f>
        <v>38.513999999999996</v>
      </c>
      <c r="H1018" s="46">
        <v>42255</v>
      </c>
      <c r="I1018" s="45" t="s">
        <v>3982</v>
      </c>
      <c r="J1018" s="45" t="s">
        <v>5204</v>
      </c>
      <c r="K1018" s="45" t="s">
        <v>141</v>
      </c>
      <c r="L1018" s="45">
        <v>3</v>
      </c>
      <c r="M1018" s="48" t="s">
        <v>5205</v>
      </c>
      <c r="N1018" s="48" t="s">
        <v>4609</v>
      </c>
      <c r="O1018" s="44" t="s">
        <v>5205</v>
      </c>
    </row>
    <row r="1019" spans="1:15" x14ac:dyDescent="0.15">
      <c r="A1019" s="50" t="s">
        <v>5206</v>
      </c>
      <c r="B1019" s="42"/>
      <c r="C1019" s="43"/>
      <c r="D1019" s="44" t="s">
        <v>2503</v>
      </c>
      <c r="E1019" s="41" t="s">
        <v>137</v>
      </c>
      <c r="F1019" s="43" t="s">
        <v>5207</v>
      </c>
      <c r="G1019" s="45">
        <v>57.43</v>
      </c>
      <c r="H1019" s="46">
        <v>42255</v>
      </c>
      <c r="I1019" s="47" t="s">
        <v>3851</v>
      </c>
      <c r="J1019" s="45" t="s">
        <v>5208</v>
      </c>
      <c r="K1019" s="45" t="s">
        <v>328</v>
      </c>
      <c r="L1019" s="45" t="s">
        <v>5209</v>
      </c>
      <c r="M1019" s="48" t="s">
        <v>5210</v>
      </c>
      <c r="N1019" s="48" t="s">
        <v>5211</v>
      </c>
      <c r="O1019" s="44" t="s">
        <v>5212</v>
      </c>
    </row>
    <row r="1020" spans="1:15" x14ac:dyDescent="0.15">
      <c r="A1020" s="49" t="s">
        <v>4156</v>
      </c>
      <c r="B1020" s="42"/>
      <c r="C1020" s="43"/>
      <c r="D1020" s="54" t="s">
        <v>5213</v>
      </c>
      <c r="E1020" s="41" t="s">
        <v>137</v>
      </c>
      <c r="F1020" s="43" t="s">
        <v>5214</v>
      </c>
      <c r="G1020" s="45">
        <f>20.816*L1020</f>
        <v>83.263999999999996</v>
      </c>
      <c r="H1020" s="46">
        <v>42255</v>
      </c>
      <c r="I1020" s="45" t="s">
        <v>3928</v>
      </c>
      <c r="J1020" s="45" t="s">
        <v>5215</v>
      </c>
      <c r="K1020" s="45" t="s">
        <v>141</v>
      </c>
      <c r="L1020" s="45">
        <v>4</v>
      </c>
      <c r="M1020" s="48" t="s">
        <v>5216</v>
      </c>
      <c r="N1020" s="48" t="s">
        <v>3392</v>
      </c>
      <c r="O1020" s="44" t="s">
        <v>5216</v>
      </c>
    </row>
    <row r="1021" spans="1:15" x14ac:dyDescent="0.15">
      <c r="A1021" s="50" t="s">
        <v>4100</v>
      </c>
      <c r="B1021" s="42"/>
      <c r="C1021" s="43"/>
      <c r="D1021" s="44" t="s">
        <v>1230</v>
      </c>
      <c r="E1021" s="41" t="s">
        <v>137</v>
      </c>
      <c r="F1021" s="43" t="s">
        <v>5217</v>
      </c>
      <c r="G1021" s="45">
        <f>29.911*L1021</f>
        <v>299.11</v>
      </c>
      <c r="H1021" s="46">
        <v>42255</v>
      </c>
      <c r="I1021" s="45" t="s">
        <v>4101</v>
      </c>
      <c r="J1021" s="45" t="s">
        <v>5218</v>
      </c>
      <c r="K1021" s="45" t="s">
        <v>3898</v>
      </c>
      <c r="L1021" s="45">
        <v>10</v>
      </c>
      <c r="M1021" s="48" t="s">
        <v>3802</v>
      </c>
      <c r="N1021" s="48" t="s">
        <v>412</v>
      </c>
      <c r="O1021" s="44" t="s">
        <v>3802</v>
      </c>
    </row>
    <row r="1022" spans="1:15" x14ac:dyDescent="0.15">
      <c r="A1022" s="20" t="s">
        <v>5219</v>
      </c>
      <c r="B1022" s="22" t="s">
        <v>5168</v>
      </c>
      <c r="C1022" s="11"/>
      <c r="D1022" s="17" t="s">
        <v>5220</v>
      </c>
      <c r="E1022" s="10" t="s">
        <v>137</v>
      </c>
      <c r="F1022" s="11" t="s">
        <v>5221</v>
      </c>
      <c r="G1022" s="12">
        <f>2.078*L1022</f>
        <v>12.468</v>
      </c>
      <c r="H1022" s="13">
        <v>42255</v>
      </c>
      <c r="I1022" s="12" t="s">
        <v>5222</v>
      </c>
      <c r="J1022" s="12" t="s">
        <v>5223</v>
      </c>
      <c r="K1022" s="12" t="s">
        <v>141</v>
      </c>
      <c r="L1022" s="12">
        <v>6</v>
      </c>
      <c r="M1022" s="14" t="s">
        <v>5224</v>
      </c>
      <c r="N1022" s="14" t="s">
        <v>5225</v>
      </c>
      <c r="O1022" s="17" t="s">
        <v>5226</v>
      </c>
    </row>
    <row r="1023" spans="1:15" x14ac:dyDescent="0.15">
      <c r="A1023" s="49" t="s">
        <v>5227</v>
      </c>
      <c r="B1023" s="51" t="s">
        <v>5168</v>
      </c>
      <c r="C1023" s="43"/>
      <c r="D1023" s="54" t="s">
        <v>5228</v>
      </c>
      <c r="E1023" s="41" t="s">
        <v>137</v>
      </c>
      <c r="F1023" s="43" t="s">
        <v>5229</v>
      </c>
      <c r="G1023" s="45">
        <f>2.078*L1023</f>
        <v>31.169999999999998</v>
      </c>
      <c r="H1023" s="46">
        <v>42255</v>
      </c>
      <c r="I1023" s="45" t="s">
        <v>5222</v>
      </c>
      <c r="J1023" s="45" t="s">
        <v>5230</v>
      </c>
      <c r="K1023" s="45" t="s">
        <v>141</v>
      </c>
      <c r="L1023" s="45">
        <v>15</v>
      </c>
      <c r="M1023" s="48" t="s">
        <v>5231</v>
      </c>
      <c r="N1023" s="48" t="s">
        <v>5232</v>
      </c>
      <c r="O1023" s="44" t="s">
        <v>5233</v>
      </c>
    </row>
    <row r="1024" spans="1:15" x14ac:dyDescent="0.15">
      <c r="A1024" s="21" t="s">
        <v>5234</v>
      </c>
      <c r="B1024" s="19"/>
      <c r="C1024" s="11"/>
      <c r="D1024" s="17" t="s">
        <v>4909</v>
      </c>
      <c r="E1024" s="10" t="s">
        <v>137</v>
      </c>
      <c r="F1024" s="11" t="s">
        <v>5235</v>
      </c>
      <c r="G1024" s="12">
        <v>80.593999999999994</v>
      </c>
      <c r="H1024" s="13">
        <v>42256</v>
      </c>
      <c r="I1024" s="12" t="s">
        <v>4417</v>
      </c>
      <c r="J1024" s="12" t="s">
        <v>5236</v>
      </c>
      <c r="K1024" s="12" t="s">
        <v>3898</v>
      </c>
      <c r="L1024" s="12" t="s">
        <v>4216</v>
      </c>
      <c r="M1024" s="14" t="s">
        <v>5237</v>
      </c>
      <c r="N1024" s="14" t="s">
        <v>5238</v>
      </c>
      <c r="O1024" s="17" t="s">
        <v>5239</v>
      </c>
    </row>
    <row r="1025" spans="1:15" x14ac:dyDescent="0.15">
      <c r="A1025" s="21" t="s">
        <v>4804</v>
      </c>
      <c r="B1025" s="19"/>
      <c r="C1025" s="11"/>
      <c r="D1025" s="17" t="s">
        <v>341</v>
      </c>
      <c r="E1025" s="10" t="s">
        <v>137</v>
      </c>
      <c r="F1025" s="11" t="s">
        <v>5240</v>
      </c>
      <c r="G1025" s="18">
        <f>18.708*L1025</f>
        <v>224.49599999999998</v>
      </c>
      <c r="H1025" s="13">
        <v>42256</v>
      </c>
      <c r="I1025" s="12" t="s">
        <v>3866</v>
      </c>
      <c r="J1025" s="12" t="s">
        <v>5241</v>
      </c>
      <c r="K1025" s="12" t="s">
        <v>141</v>
      </c>
      <c r="L1025" s="12">
        <v>12</v>
      </c>
      <c r="M1025" s="14" t="s">
        <v>3736</v>
      </c>
      <c r="N1025" s="14" t="s">
        <v>242</v>
      </c>
      <c r="O1025" s="17" t="s">
        <v>3736</v>
      </c>
    </row>
    <row r="1026" spans="1:15" x14ac:dyDescent="0.15">
      <c r="A1026" s="21" t="s">
        <v>1180</v>
      </c>
      <c r="B1026" s="19"/>
      <c r="C1026" s="11"/>
      <c r="D1026" s="17" t="s">
        <v>1181</v>
      </c>
      <c r="E1026" s="10" t="s">
        <v>137</v>
      </c>
      <c r="F1026" s="11" t="s">
        <v>5242</v>
      </c>
      <c r="G1026" s="12">
        <f>17.712*L1026</f>
        <v>230.256</v>
      </c>
      <c r="H1026" s="13">
        <v>42256</v>
      </c>
      <c r="I1026" s="12" t="s">
        <v>3874</v>
      </c>
      <c r="J1026" s="12" t="s">
        <v>5243</v>
      </c>
      <c r="K1026" s="12" t="s">
        <v>141</v>
      </c>
      <c r="L1026" s="12">
        <v>13</v>
      </c>
      <c r="M1026" s="14" t="s">
        <v>3730</v>
      </c>
      <c r="N1026" s="14" t="s">
        <v>473</v>
      </c>
      <c r="O1026" s="17" t="s">
        <v>3730</v>
      </c>
    </row>
    <row r="1027" spans="1:15" x14ac:dyDescent="0.15">
      <c r="A1027" s="21" t="s">
        <v>5244</v>
      </c>
      <c r="B1027" s="19"/>
      <c r="C1027" s="11"/>
      <c r="D1027" s="17" t="s">
        <v>389</v>
      </c>
      <c r="E1027" s="10" t="s">
        <v>137</v>
      </c>
      <c r="F1027" s="11" t="s">
        <v>5245</v>
      </c>
      <c r="G1027" s="12">
        <f>17.52*L1027</f>
        <v>175.2</v>
      </c>
      <c r="H1027" s="13">
        <v>42256</v>
      </c>
      <c r="I1027" s="12" t="s">
        <v>3874</v>
      </c>
      <c r="J1027" s="12" t="s">
        <v>5246</v>
      </c>
      <c r="K1027" s="12" t="s">
        <v>141</v>
      </c>
      <c r="L1027" s="12">
        <v>10</v>
      </c>
      <c r="M1027" s="14" t="s">
        <v>5247</v>
      </c>
      <c r="N1027" s="14" t="s">
        <v>1367</v>
      </c>
      <c r="O1027" s="17" t="s">
        <v>5247</v>
      </c>
    </row>
    <row r="1028" spans="1:15" x14ac:dyDescent="0.15">
      <c r="A1028" s="50" t="s">
        <v>4533</v>
      </c>
      <c r="B1028" s="42"/>
      <c r="C1028" s="43"/>
      <c r="D1028" s="44" t="s">
        <v>811</v>
      </c>
      <c r="E1028" s="41" t="s">
        <v>137</v>
      </c>
      <c r="F1028" s="43" t="s">
        <v>5248</v>
      </c>
      <c r="G1028" s="45">
        <f>18.708*L1028</f>
        <v>280.62</v>
      </c>
      <c r="H1028" s="46">
        <v>42257</v>
      </c>
      <c r="I1028" s="45" t="s">
        <v>3916</v>
      </c>
      <c r="J1028" s="45" t="s">
        <v>5249</v>
      </c>
      <c r="K1028" s="45" t="s">
        <v>141</v>
      </c>
      <c r="L1028" s="45">
        <v>15</v>
      </c>
      <c r="M1028" s="48" t="s">
        <v>4965</v>
      </c>
      <c r="N1028" s="48" t="s">
        <v>236</v>
      </c>
      <c r="O1028" s="44" t="s">
        <v>5250</v>
      </c>
    </row>
    <row r="1029" spans="1:15" x14ac:dyDescent="0.15">
      <c r="A1029" s="21" t="s">
        <v>4969</v>
      </c>
      <c r="B1029" s="19"/>
      <c r="C1029" s="11"/>
      <c r="D1029" s="17" t="s">
        <v>341</v>
      </c>
      <c r="E1029" s="10" t="s">
        <v>137</v>
      </c>
      <c r="F1029" s="11" t="s">
        <v>5251</v>
      </c>
      <c r="G1029" s="12">
        <f>18.708*L1029</f>
        <v>280.62</v>
      </c>
      <c r="H1029" s="13">
        <v>42257</v>
      </c>
      <c r="I1029" s="12" t="s">
        <v>3916</v>
      </c>
      <c r="J1029" s="12" t="s">
        <v>5252</v>
      </c>
      <c r="K1029" s="12" t="s">
        <v>141</v>
      </c>
      <c r="L1029" s="12">
        <v>15</v>
      </c>
      <c r="M1029" s="14" t="s">
        <v>5253</v>
      </c>
      <c r="N1029" s="14" t="s">
        <v>1151</v>
      </c>
      <c r="O1029" s="17" t="s">
        <v>5253</v>
      </c>
    </row>
    <row r="1030" spans="1:15" x14ac:dyDescent="0.15">
      <c r="A1030" s="21" t="s">
        <v>5254</v>
      </c>
      <c r="B1030" s="19"/>
      <c r="C1030" s="11"/>
      <c r="D1030" s="17" t="s">
        <v>54</v>
      </c>
      <c r="E1030" s="10" t="s">
        <v>137</v>
      </c>
      <c r="F1030" s="11" t="s">
        <v>5255</v>
      </c>
      <c r="G1030" s="18">
        <f>6.405*L1030</f>
        <v>96.075000000000003</v>
      </c>
      <c r="H1030" s="13">
        <v>42257</v>
      </c>
      <c r="I1030" s="12" t="s">
        <v>5070</v>
      </c>
      <c r="J1030" s="12" t="s">
        <v>5256</v>
      </c>
      <c r="K1030" s="12" t="s">
        <v>132</v>
      </c>
      <c r="L1030" s="12">
        <v>15</v>
      </c>
      <c r="M1030" s="14" t="s">
        <v>3678</v>
      </c>
      <c r="N1030" s="14" t="s">
        <v>236</v>
      </c>
      <c r="O1030" s="17" t="s">
        <v>5257</v>
      </c>
    </row>
    <row r="1031" spans="1:15" x14ac:dyDescent="0.15">
      <c r="A1031" s="50" t="s">
        <v>5258</v>
      </c>
      <c r="B1031" s="42"/>
      <c r="C1031" s="43"/>
      <c r="D1031" s="44" t="s">
        <v>1644</v>
      </c>
      <c r="E1031" s="41" t="s">
        <v>137</v>
      </c>
      <c r="F1031" s="43" t="s">
        <v>5259</v>
      </c>
      <c r="G1031" s="47">
        <f>17.52*L1031</f>
        <v>87.6</v>
      </c>
      <c r="H1031" s="46">
        <v>42257</v>
      </c>
      <c r="I1031" s="45" t="s">
        <v>3982</v>
      </c>
      <c r="J1031" s="45" t="s">
        <v>5260</v>
      </c>
      <c r="K1031" s="45" t="s">
        <v>3887</v>
      </c>
      <c r="L1031" s="45">
        <v>5</v>
      </c>
      <c r="M1031" s="48" t="s">
        <v>5261</v>
      </c>
      <c r="N1031" s="48" t="s">
        <v>229</v>
      </c>
      <c r="O1031" s="44" t="s">
        <v>5261</v>
      </c>
    </row>
    <row r="1032" spans="1:15" x14ac:dyDescent="0.15">
      <c r="A1032" s="50" t="s">
        <v>5262</v>
      </c>
      <c r="B1032" s="42"/>
      <c r="C1032" s="43"/>
      <c r="D1032" s="44" t="s">
        <v>1595</v>
      </c>
      <c r="E1032" s="41" t="s">
        <v>137</v>
      </c>
      <c r="F1032" s="43" t="s">
        <v>5263</v>
      </c>
      <c r="G1032" s="45">
        <v>191.893</v>
      </c>
      <c r="H1032" s="46">
        <v>42257</v>
      </c>
      <c r="I1032" s="45" t="s">
        <v>3982</v>
      </c>
      <c r="J1032" s="45" t="s">
        <v>5264</v>
      </c>
      <c r="K1032" s="45" t="s">
        <v>3898</v>
      </c>
      <c r="L1032" s="45" t="s">
        <v>5265</v>
      </c>
      <c r="M1032" s="48" t="s">
        <v>5266</v>
      </c>
      <c r="N1032" s="48" t="s">
        <v>5267</v>
      </c>
      <c r="O1032" s="44" t="s">
        <v>5268</v>
      </c>
    </row>
    <row r="1033" spans="1:15" x14ac:dyDescent="0.15">
      <c r="A1033" s="21" t="s">
        <v>5262</v>
      </c>
      <c r="B1033" s="19"/>
      <c r="C1033" s="11"/>
      <c r="D1033" s="17" t="s">
        <v>1595</v>
      </c>
      <c r="E1033" s="10" t="s">
        <v>137</v>
      </c>
      <c r="F1033" s="11" t="s">
        <v>5269</v>
      </c>
      <c r="G1033" s="12">
        <v>52.118000000000002</v>
      </c>
      <c r="H1033" s="13">
        <v>42257</v>
      </c>
      <c r="I1033" s="12" t="s">
        <v>3982</v>
      </c>
      <c r="J1033" s="12" t="s">
        <v>5270</v>
      </c>
      <c r="K1033" s="12" t="s">
        <v>3898</v>
      </c>
      <c r="L1033" s="12" t="s">
        <v>5271</v>
      </c>
      <c r="M1033" s="14" t="s">
        <v>5272</v>
      </c>
      <c r="N1033" s="14" t="s">
        <v>5273</v>
      </c>
      <c r="O1033" s="17" t="s">
        <v>5274</v>
      </c>
    </row>
    <row r="1034" spans="1:15" x14ac:dyDescent="0.15">
      <c r="A1034" s="21" t="s">
        <v>5275</v>
      </c>
      <c r="B1034" s="19"/>
      <c r="C1034" s="11"/>
      <c r="D1034" s="17" t="s">
        <v>977</v>
      </c>
      <c r="E1034" s="10" t="s">
        <v>137</v>
      </c>
      <c r="F1034" s="11" t="s">
        <v>5276</v>
      </c>
      <c r="G1034" s="12">
        <v>110.57899999999999</v>
      </c>
      <c r="H1034" s="13">
        <v>42257</v>
      </c>
      <c r="I1034" s="12" t="s">
        <v>3982</v>
      </c>
      <c r="J1034" s="12" t="s">
        <v>5277</v>
      </c>
      <c r="K1034" s="12" t="s">
        <v>3898</v>
      </c>
      <c r="L1034" s="12" t="s">
        <v>5278</v>
      </c>
      <c r="M1034" s="14" t="s">
        <v>5279</v>
      </c>
      <c r="N1034" s="14" t="s">
        <v>5280</v>
      </c>
      <c r="O1034" s="17" t="s">
        <v>5281</v>
      </c>
    </row>
    <row r="1035" spans="1:15" x14ac:dyDescent="0.15">
      <c r="A1035" s="50" t="s">
        <v>5244</v>
      </c>
      <c r="B1035" s="42"/>
      <c r="C1035" s="43"/>
      <c r="D1035" s="44" t="s">
        <v>389</v>
      </c>
      <c r="E1035" s="41" t="s">
        <v>137</v>
      </c>
      <c r="F1035" s="43" t="s">
        <v>5282</v>
      </c>
      <c r="G1035" s="45">
        <f>17.52*L1035</f>
        <v>87.6</v>
      </c>
      <c r="H1035" s="46">
        <v>42257</v>
      </c>
      <c r="I1035" s="45" t="s">
        <v>3874</v>
      </c>
      <c r="J1035" s="45" t="s">
        <v>5283</v>
      </c>
      <c r="K1035" s="45" t="s">
        <v>141</v>
      </c>
      <c r="L1035" s="45">
        <v>5</v>
      </c>
      <c r="M1035" s="48" t="s">
        <v>5247</v>
      </c>
      <c r="N1035" s="48" t="s">
        <v>680</v>
      </c>
      <c r="O1035" s="44" t="s">
        <v>5284</v>
      </c>
    </row>
    <row r="1036" spans="1:15" x14ac:dyDescent="0.15">
      <c r="A1036" s="21" t="s">
        <v>5244</v>
      </c>
      <c r="B1036" s="19"/>
      <c r="C1036" s="11"/>
      <c r="D1036" s="17" t="s">
        <v>389</v>
      </c>
      <c r="E1036" s="10" t="s">
        <v>137</v>
      </c>
      <c r="F1036" s="11" t="s">
        <v>5285</v>
      </c>
      <c r="G1036" s="12">
        <f>17.52*L1036</f>
        <v>175.2</v>
      </c>
      <c r="H1036" s="13">
        <v>42257</v>
      </c>
      <c r="I1036" s="12" t="s">
        <v>3874</v>
      </c>
      <c r="J1036" s="12" t="s">
        <v>5286</v>
      </c>
      <c r="K1036" s="12" t="s">
        <v>141</v>
      </c>
      <c r="L1036" s="12">
        <v>10</v>
      </c>
      <c r="M1036" s="14" t="s">
        <v>5287</v>
      </c>
      <c r="N1036" s="14" t="s">
        <v>412</v>
      </c>
      <c r="O1036" s="17" t="s">
        <v>5287</v>
      </c>
    </row>
    <row r="1037" spans="1:15" x14ac:dyDescent="0.15">
      <c r="A1037" s="50" t="s">
        <v>4591</v>
      </c>
      <c r="B1037" s="42" t="s">
        <v>4592</v>
      </c>
      <c r="C1037" s="43"/>
      <c r="D1037" s="44" t="s">
        <v>4600</v>
      </c>
      <c r="E1037" s="41" t="s">
        <v>137</v>
      </c>
      <c r="F1037" s="43" t="s">
        <v>5288</v>
      </c>
      <c r="G1037" s="56">
        <f>15.873*L1037</f>
        <v>47.619</v>
      </c>
      <c r="H1037" s="46">
        <v>42257</v>
      </c>
      <c r="I1037" s="45" t="s">
        <v>4595</v>
      </c>
      <c r="J1037" s="45" t="s">
        <v>5289</v>
      </c>
      <c r="K1037" s="45" t="s">
        <v>141</v>
      </c>
      <c r="L1037" s="45">
        <v>3</v>
      </c>
      <c r="M1037" s="48" t="s">
        <v>5290</v>
      </c>
      <c r="N1037" s="48" t="s">
        <v>4773</v>
      </c>
      <c r="O1037" s="44" t="s">
        <v>5290</v>
      </c>
    </row>
    <row r="1038" spans="1:15" x14ac:dyDescent="0.15">
      <c r="A1038" s="20" t="s">
        <v>5291</v>
      </c>
      <c r="B1038" s="19" t="s">
        <v>180</v>
      </c>
      <c r="C1038" s="11"/>
      <c r="D1038" s="17" t="s">
        <v>5292</v>
      </c>
      <c r="E1038" s="10" t="s">
        <v>137</v>
      </c>
      <c r="F1038" s="11" t="s">
        <v>5293</v>
      </c>
      <c r="G1038" s="12">
        <f>29.101*L1038</f>
        <v>29.100999999999999</v>
      </c>
      <c r="H1038" s="13">
        <v>42257</v>
      </c>
      <c r="I1038" s="12" t="s">
        <v>5294</v>
      </c>
      <c r="J1038" s="12" t="s">
        <v>5295</v>
      </c>
      <c r="K1038" s="12" t="s">
        <v>141</v>
      </c>
      <c r="L1038" s="12">
        <v>1</v>
      </c>
      <c r="M1038" s="14" t="s">
        <v>5296</v>
      </c>
      <c r="N1038" s="14" t="s">
        <v>5297</v>
      </c>
      <c r="O1038" s="17" t="s">
        <v>5298</v>
      </c>
    </row>
    <row r="1039" spans="1:15" x14ac:dyDescent="0.15">
      <c r="A1039" s="50" t="s">
        <v>3782</v>
      </c>
      <c r="B1039" s="51" t="s">
        <v>3842</v>
      </c>
      <c r="C1039" s="43"/>
      <c r="D1039" s="44" t="s">
        <v>3783</v>
      </c>
      <c r="E1039" s="41" t="s">
        <v>137</v>
      </c>
      <c r="F1039" s="43" t="s">
        <v>5299</v>
      </c>
      <c r="G1039" s="47">
        <f>4.701*L1039</f>
        <v>117.52499999999999</v>
      </c>
      <c r="H1039" s="46">
        <v>42261</v>
      </c>
      <c r="I1039" s="45" t="s">
        <v>3997</v>
      </c>
      <c r="J1039" s="45" t="s">
        <v>5300</v>
      </c>
      <c r="K1039" s="45" t="s">
        <v>141</v>
      </c>
      <c r="L1039" s="45">
        <v>25</v>
      </c>
      <c r="M1039" s="48" t="s">
        <v>5301</v>
      </c>
      <c r="N1039" s="48" t="s">
        <v>338</v>
      </c>
      <c r="O1039" s="44" t="s">
        <v>5302</v>
      </c>
    </row>
    <row r="1040" spans="1:15" x14ac:dyDescent="0.15">
      <c r="A1040" s="50" t="s">
        <v>5303</v>
      </c>
      <c r="B1040" s="42"/>
      <c r="C1040" s="43"/>
      <c r="D1040" s="44" t="s">
        <v>223</v>
      </c>
      <c r="E1040" s="41" t="s">
        <v>137</v>
      </c>
      <c r="F1040" s="43" t="s">
        <v>5304</v>
      </c>
      <c r="G1040" s="45">
        <f>29.101*L1040</f>
        <v>232.80799999999999</v>
      </c>
      <c r="H1040" s="46">
        <v>42262</v>
      </c>
      <c r="I1040" s="45" t="s">
        <v>4024</v>
      </c>
      <c r="J1040" s="45" t="s">
        <v>5305</v>
      </c>
      <c r="K1040" s="45" t="s">
        <v>141</v>
      </c>
      <c r="L1040" s="45">
        <v>8</v>
      </c>
      <c r="M1040" s="48" t="s">
        <v>3655</v>
      </c>
      <c r="N1040" s="48" t="s">
        <v>5306</v>
      </c>
      <c r="O1040" s="44" t="s">
        <v>5307</v>
      </c>
    </row>
    <row r="1041" spans="1:15" x14ac:dyDescent="0.15">
      <c r="A1041" s="21" t="s">
        <v>4713</v>
      </c>
      <c r="B1041" s="19"/>
      <c r="C1041" s="11"/>
      <c r="D1041" s="17" t="s">
        <v>1181</v>
      </c>
      <c r="E1041" s="10" t="s">
        <v>137</v>
      </c>
      <c r="F1041" s="11" t="s">
        <v>5308</v>
      </c>
      <c r="G1041" s="12">
        <f>17.712*L1041</f>
        <v>265.68</v>
      </c>
      <c r="H1041" s="13">
        <v>42262</v>
      </c>
      <c r="I1041" s="12" t="s">
        <v>4024</v>
      </c>
      <c r="J1041" s="12" t="s">
        <v>5309</v>
      </c>
      <c r="K1041" s="12" t="s">
        <v>141</v>
      </c>
      <c r="L1041" s="12">
        <v>15</v>
      </c>
      <c r="M1041" s="14" t="s">
        <v>5310</v>
      </c>
      <c r="N1041" s="14" t="s">
        <v>5311</v>
      </c>
      <c r="O1041" s="17" t="s">
        <v>5310</v>
      </c>
    </row>
    <row r="1042" spans="1:15" x14ac:dyDescent="0.15">
      <c r="A1042" s="21" t="s">
        <v>4794</v>
      </c>
      <c r="B1042" s="19"/>
      <c r="C1042" s="11"/>
      <c r="D1042" s="17" t="s">
        <v>1609</v>
      </c>
      <c r="E1042" s="10" t="s">
        <v>137</v>
      </c>
      <c r="F1042" s="11" t="s">
        <v>5312</v>
      </c>
      <c r="G1042" s="12">
        <f>20.558*L1042</f>
        <v>513.95000000000005</v>
      </c>
      <c r="H1042" s="13">
        <v>42262</v>
      </c>
      <c r="I1042" s="12" t="s">
        <v>3916</v>
      </c>
      <c r="J1042" s="12" t="s">
        <v>5313</v>
      </c>
      <c r="K1042" s="12" t="s">
        <v>141</v>
      </c>
      <c r="L1042" s="12">
        <v>25</v>
      </c>
      <c r="M1042" s="14" t="s">
        <v>5314</v>
      </c>
      <c r="N1042" s="14" t="s">
        <v>338</v>
      </c>
      <c r="O1042" s="17" t="s">
        <v>5314</v>
      </c>
    </row>
    <row r="1043" spans="1:15" x14ac:dyDescent="0.15">
      <c r="A1043" s="21" t="s">
        <v>5315</v>
      </c>
      <c r="B1043" s="19"/>
      <c r="C1043" s="11"/>
      <c r="D1043" s="17" t="s">
        <v>334</v>
      </c>
      <c r="E1043" s="10" t="s">
        <v>137</v>
      </c>
      <c r="F1043" s="11" t="s">
        <v>5316</v>
      </c>
      <c r="G1043" s="12">
        <f>18.708*L1043</f>
        <v>467.69999999999993</v>
      </c>
      <c r="H1043" s="13">
        <v>42262</v>
      </c>
      <c r="I1043" s="12" t="s">
        <v>3916</v>
      </c>
      <c r="J1043" s="12" t="s">
        <v>5317</v>
      </c>
      <c r="K1043" s="12" t="s">
        <v>3887</v>
      </c>
      <c r="L1043" s="12">
        <v>25</v>
      </c>
      <c r="M1043" s="14" t="s">
        <v>5318</v>
      </c>
      <c r="N1043" s="14" t="s">
        <v>338</v>
      </c>
      <c r="O1043" s="17" t="s">
        <v>5318</v>
      </c>
    </row>
    <row r="1044" spans="1:15" x14ac:dyDescent="0.15">
      <c r="A1044" s="21" t="s">
        <v>5048</v>
      </c>
      <c r="B1044" s="19"/>
      <c r="C1044" s="11"/>
      <c r="D1044" s="17" t="s">
        <v>425</v>
      </c>
      <c r="E1044" s="10" t="s">
        <v>137</v>
      </c>
      <c r="F1044" s="11" t="s">
        <v>5319</v>
      </c>
      <c r="G1044" s="12">
        <f>18.708*L1044</f>
        <v>392.86799999999994</v>
      </c>
      <c r="H1044" s="13">
        <v>42262</v>
      </c>
      <c r="I1044" s="12" t="s">
        <v>3916</v>
      </c>
      <c r="J1044" s="12" t="s">
        <v>5320</v>
      </c>
      <c r="K1044" s="12" t="s">
        <v>141</v>
      </c>
      <c r="L1044" s="12">
        <v>21</v>
      </c>
      <c r="M1044" s="14" t="s">
        <v>5321</v>
      </c>
      <c r="N1044" s="14" t="s">
        <v>4992</v>
      </c>
      <c r="O1044" s="17" t="s">
        <v>5321</v>
      </c>
    </row>
    <row r="1045" spans="1:15" x14ac:dyDescent="0.15">
      <c r="A1045" s="50" t="s">
        <v>4339</v>
      </c>
      <c r="B1045" s="42"/>
      <c r="C1045" s="43"/>
      <c r="D1045" s="44" t="s">
        <v>1669</v>
      </c>
      <c r="E1045" s="41" t="s">
        <v>137</v>
      </c>
      <c r="F1045" s="43" t="s">
        <v>5322</v>
      </c>
      <c r="G1045" s="47">
        <f>13.006*L1045</f>
        <v>325.14999999999998</v>
      </c>
      <c r="H1045" s="46">
        <v>42262</v>
      </c>
      <c r="I1045" s="45" t="s">
        <v>4341</v>
      </c>
      <c r="J1045" s="45" t="s">
        <v>5323</v>
      </c>
      <c r="K1045" s="47" t="s">
        <v>141</v>
      </c>
      <c r="L1045" s="45">
        <v>25</v>
      </c>
      <c r="M1045" s="48" t="s">
        <v>5324</v>
      </c>
      <c r="N1045" s="48" t="s">
        <v>338</v>
      </c>
      <c r="O1045" s="44" t="s">
        <v>5324</v>
      </c>
    </row>
    <row r="1046" spans="1:15" x14ac:dyDescent="0.15">
      <c r="A1046" s="21" t="s">
        <v>4149</v>
      </c>
      <c r="B1046" s="19"/>
      <c r="C1046" s="11"/>
      <c r="D1046" s="17" t="s">
        <v>1044</v>
      </c>
      <c r="E1046" s="10" t="s">
        <v>137</v>
      </c>
      <c r="F1046" s="11" t="s">
        <v>5325</v>
      </c>
      <c r="G1046" s="12">
        <f>7.037*L1046</f>
        <v>105.55499999999999</v>
      </c>
      <c r="H1046" s="13">
        <v>42262</v>
      </c>
      <c r="I1046" s="18" t="s">
        <v>4151</v>
      </c>
      <c r="J1046" s="12" t="s">
        <v>5326</v>
      </c>
      <c r="K1046" s="12" t="s">
        <v>141</v>
      </c>
      <c r="L1046" s="12">
        <v>15</v>
      </c>
      <c r="M1046" s="14" t="s">
        <v>5327</v>
      </c>
      <c r="N1046" s="14" t="s">
        <v>1151</v>
      </c>
      <c r="O1046" s="17" t="s">
        <v>5327</v>
      </c>
    </row>
    <row r="1047" spans="1:15" x14ac:dyDescent="0.15">
      <c r="A1047" s="21" t="s">
        <v>3926</v>
      </c>
      <c r="B1047" s="19"/>
      <c r="C1047" s="11"/>
      <c r="D1047" s="17" t="s">
        <v>2920</v>
      </c>
      <c r="E1047" s="10" t="s">
        <v>137</v>
      </c>
      <c r="F1047" s="11" t="s">
        <v>5328</v>
      </c>
      <c r="G1047" s="12">
        <f>20.816*L1047</f>
        <v>520.4</v>
      </c>
      <c r="H1047" s="13">
        <v>42262</v>
      </c>
      <c r="I1047" s="12" t="s">
        <v>3928</v>
      </c>
      <c r="J1047" s="12" t="s">
        <v>5329</v>
      </c>
      <c r="K1047" s="12" t="s">
        <v>3887</v>
      </c>
      <c r="L1047" s="12">
        <v>25</v>
      </c>
      <c r="M1047" s="14" t="s">
        <v>5330</v>
      </c>
      <c r="N1047" s="14" t="s">
        <v>3967</v>
      </c>
      <c r="O1047" s="17" t="s">
        <v>5330</v>
      </c>
    </row>
    <row r="1048" spans="1:15" x14ac:dyDescent="0.15">
      <c r="A1048" s="32" t="s">
        <v>5083</v>
      </c>
      <c r="B1048" s="19" t="s">
        <v>4592</v>
      </c>
      <c r="C1048" s="11"/>
      <c r="D1048" s="17" t="s">
        <v>1583</v>
      </c>
      <c r="E1048" s="10" t="s">
        <v>137</v>
      </c>
      <c r="F1048" s="11" t="s">
        <v>5331</v>
      </c>
      <c r="G1048" s="12">
        <f>17.52*L1048</f>
        <v>87.6</v>
      </c>
      <c r="H1048" s="13">
        <v>42262</v>
      </c>
      <c r="I1048" s="12" t="s">
        <v>5085</v>
      </c>
      <c r="J1048" s="12" t="s">
        <v>5332</v>
      </c>
      <c r="K1048" s="12" t="s">
        <v>141</v>
      </c>
      <c r="L1048" s="12">
        <v>5</v>
      </c>
      <c r="M1048" s="14" t="s">
        <v>5087</v>
      </c>
      <c r="N1048" s="14" t="s">
        <v>680</v>
      </c>
      <c r="O1048" s="17" t="s">
        <v>5087</v>
      </c>
    </row>
    <row r="1049" spans="1:15" x14ac:dyDescent="0.15">
      <c r="A1049" s="32" t="s">
        <v>5000</v>
      </c>
      <c r="B1049" s="19" t="s">
        <v>4592</v>
      </c>
      <c r="C1049" s="11"/>
      <c r="D1049" s="17" t="s">
        <v>4996</v>
      </c>
      <c r="E1049" s="10" t="s">
        <v>137</v>
      </c>
      <c r="F1049" s="11" t="s">
        <v>5333</v>
      </c>
      <c r="G1049" s="23">
        <f>20.824*L1049</f>
        <v>62.472000000000008</v>
      </c>
      <c r="H1049" s="13">
        <v>42262</v>
      </c>
      <c r="I1049" s="12" t="s">
        <v>3982</v>
      </c>
      <c r="J1049" s="12" t="s">
        <v>5334</v>
      </c>
      <c r="K1049" s="12" t="s">
        <v>21</v>
      </c>
      <c r="L1049" s="12">
        <v>3</v>
      </c>
      <c r="M1049" s="14" t="s">
        <v>4999</v>
      </c>
      <c r="N1049" s="14" t="s">
        <v>830</v>
      </c>
      <c r="O1049" s="17" t="s">
        <v>4999</v>
      </c>
    </row>
    <row r="1050" spans="1:15" x14ac:dyDescent="0.15">
      <c r="A1050" s="32" t="s">
        <v>4123</v>
      </c>
      <c r="B1050" s="19" t="s">
        <v>4592</v>
      </c>
      <c r="C1050" s="11"/>
      <c r="D1050" s="17" t="s">
        <v>375</v>
      </c>
      <c r="E1050" s="10" t="s">
        <v>137</v>
      </c>
      <c r="F1050" s="11" t="s">
        <v>5335</v>
      </c>
      <c r="G1050" s="12">
        <f>17.52*L1050</f>
        <v>227.76</v>
      </c>
      <c r="H1050" s="13">
        <v>42262</v>
      </c>
      <c r="I1050" s="12" t="s">
        <v>3982</v>
      </c>
      <c r="J1050" s="12" t="s">
        <v>5336</v>
      </c>
      <c r="K1050" s="12" t="s">
        <v>141</v>
      </c>
      <c r="L1050" s="12">
        <v>13</v>
      </c>
      <c r="M1050" s="14" t="s">
        <v>4692</v>
      </c>
      <c r="N1050" s="14" t="s">
        <v>473</v>
      </c>
      <c r="O1050" s="17" t="s">
        <v>4692</v>
      </c>
    </row>
    <row r="1051" spans="1:15" x14ac:dyDescent="0.15">
      <c r="A1051" s="32" t="s">
        <v>4472</v>
      </c>
      <c r="B1051" s="19" t="s">
        <v>4592</v>
      </c>
      <c r="C1051" s="11"/>
      <c r="D1051" s="17" t="s">
        <v>1781</v>
      </c>
      <c r="E1051" s="10" t="s">
        <v>137</v>
      </c>
      <c r="F1051" s="11" t="s">
        <v>5337</v>
      </c>
      <c r="G1051" s="12">
        <f>17.52*L1051</f>
        <v>122.64</v>
      </c>
      <c r="H1051" s="13">
        <v>42262</v>
      </c>
      <c r="I1051" s="11" t="s">
        <v>3851</v>
      </c>
      <c r="J1051" s="11" t="s">
        <v>5338</v>
      </c>
      <c r="K1051" s="11" t="s">
        <v>141</v>
      </c>
      <c r="L1051" s="11">
        <v>7</v>
      </c>
      <c r="M1051" s="14" t="s">
        <v>4608</v>
      </c>
      <c r="N1051" s="14" t="s">
        <v>5339</v>
      </c>
      <c r="O1051" s="17" t="s">
        <v>4608</v>
      </c>
    </row>
    <row r="1052" spans="1:15" x14ac:dyDescent="0.15">
      <c r="A1052" s="32" t="s">
        <v>5258</v>
      </c>
      <c r="B1052" s="19" t="s">
        <v>4592</v>
      </c>
      <c r="C1052" s="11"/>
      <c r="D1052" s="17" t="s">
        <v>1644</v>
      </c>
      <c r="E1052" s="10" t="s">
        <v>137</v>
      </c>
      <c r="F1052" s="11" t="s">
        <v>5340</v>
      </c>
      <c r="G1052" s="18">
        <f>17.52*L1052</f>
        <v>157.68</v>
      </c>
      <c r="H1052" s="13">
        <v>42262</v>
      </c>
      <c r="I1052" s="12" t="s">
        <v>3982</v>
      </c>
      <c r="J1052" s="12" t="s">
        <v>5341</v>
      </c>
      <c r="K1052" s="12" t="s">
        <v>3887</v>
      </c>
      <c r="L1052" s="12">
        <v>9</v>
      </c>
      <c r="M1052" s="14" t="s">
        <v>5342</v>
      </c>
      <c r="N1052" s="14" t="s">
        <v>1185</v>
      </c>
      <c r="O1052" s="17" t="s">
        <v>5342</v>
      </c>
    </row>
    <row r="1053" spans="1:15" x14ac:dyDescent="0.15">
      <c r="A1053" s="32" t="s">
        <v>5343</v>
      </c>
      <c r="B1053" s="19" t="s">
        <v>4592</v>
      </c>
      <c r="C1053" s="11"/>
      <c r="D1053" s="17" t="s">
        <v>1103</v>
      </c>
      <c r="E1053" s="10" t="s">
        <v>137</v>
      </c>
      <c r="F1053" s="11" t="s">
        <v>5344</v>
      </c>
      <c r="G1053" s="12">
        <f>18.708*L1053</f>
        <v>74.831999999999994</v>
      </c>
      <c r="H1053" s="13">
        <v>42262</v>
      </c>
      <c r="I1053" s="12" t="s">
        <v>3982</v>
      </c>
      <c r="J1053" s="12" t="s">
        <v>5345</v>
      </c>
      <c r="K1053" s="12" t="s">
        <v>21</v>
      </c>
      <c r="L1053" s="12">
        <v>4</v>
      </c>
      <c r="M1053" s="14" t="s">
        <v>5346</v>
      </c>
      <c r="N1053" s="14" t="s">
        <v>5347</v>
      </c>
      <c r="O1053" s="17" t="s">
        <v>5346</v>
      </c>
    </row>
    <row r="1054" spans="1:15" x14ac:dyDescent="0.15">
      <c r="A1054" s="32" t="s">
        <v>4270</v>
      </c>
      <c r="B1054" s="19" t="s">
        <v>4592</v>
      </c>
      <c r="C1054" s="11"/>
      <c r="D1054" s="17" t="s">
        <v>1685</v>
      </c>
      <c r="E1054" s="10" t="s">
        <v>137</v>
      </c>
      <c r="F1054" s="11" t="s">
        <v>5348</v>
      </c>
      <c r="G1054" s="12">
        <f>12.838*L1054</f>
        <v>154.05599999999998</v>
      </c>
      <c r="H1054" s="13">
        <v>42262</v>
      </c>
      <c r="I1054" s="12" t="s">
        <v>3982</v>
      </c>
      <c r="J1054" s="12" t="s">
        <v>5349</v>
      </c>
      <c r="K1054" s="12" t="s">
        <v>141</v>
      </c>
      <c r="L1054" s="12">
        <v>12</v>
      </c>
      <c r="M1054" s="14" t="s">
        <v>5205</v>
      </c>
      <c r="N1054" s="14" t="s">
        <v>5350</v>
      </c>
      <c r="O1054" s="17" t="s">
        <v>5205</v>
      </c>
    </row>
    <row r="1055" spans="1:15" x14ac:dyDescent="0.15">
      <c r="A1055" s="32" t="s">
        <v>4446</v>
      </c>
      <c r="B1055" s="19" t="s">
        <v>4592</v>
      </c>
      <c r="C1055" s="11"/>
      <c r="D1055" s="17" t="s">
        <v>4996</v>
      </c>
      <c r="E1055" s="10" t="s">
        <v>137</v>
      </c>
      <c r="F1055" s="11" t="s">
        <v>5351</v>
      </c>
      <c r="G1055" s="23">
        <f>20.824*L1055</f>
        <v>41.648000000000003</v>
      </c>
      <c r="H1055" s="13">
        <v>42262</v>
      </c>
      <c r="I1055" s="12" t="s">
        <v>3982</v>
      </c>
      <c r="J1055" s="12" t="s">
        <v>5352</v>
      </c>
      <c r="K1055" s="12" t="s">
        <v>21</v>
      </c>
      <c r="L1055" s="12">
        <v>2</v>
      </c>
      <c r="M1055" s="14" t="s">
        <v>5353</v>
      </c>
      <c r="N1055" s="14" t="s">
        <v>94</v>
      </c>
      <c r="O1055" s="17" t="s">
        <v>5353</v>
      </c>
    </row>
    <row r="1056" spans="1:15" x14ac:dyDescent="0.15">
      <c r="A1056" s="49" t="s">
        <v>5354</v>
      </c>
      <c r="B1056" s="42" t="s">
        <v>4592</v>
      </c>
      <c r="C1056" s="43"/>
      <c r="D1056" s="54" t="s">
        <v>4916</v>
      </c>
      <c r="E1056" s="41" t="s">
        <v>137</v>
      </c>
      <c r="F1056" s="43" t="s">
        <v>5355</v>
      </c>
      <c r="G1056" s="45">
        <f>17.52*L1056</f>
        <v>122.64</v>
      </c>
      <c r="H1056" s="46">
        <v>42262</v>
      </c>
      <c r="I1056" s="45" t="s">
        <v>3982</v>
      </c>
      <c r="J1056" s="45" t="s">
        <v>5356</v>
      </c>
      <c r="K1056" s="45" t="s">
        <v>21</v>
      </c>
      <c r="L1056" s="45">
        <v>7</v>
      </c>
      <c r="M1056" s="48" t="s">
        <v>4919</v>
      </c>
      <c r="N1056" s="48" t="s">
        <v>5357</v>
      </c>
      <c r="O1056" s="44" t="s">
        <v>4919</v>
      </c>
    </row>
    <row r="1057" spans="1:15" x14ac:dyDescent="0.15">
      <c r="A1057" s="21" t="s">
        <v>4981</v>
      </c>
      <c r="B1057" s="19"/>
      <c r="C1057" s="11"/>
      <c r="D1057" s="17" t="s">
        <v>54</v>
      </c>
      <c r="E1057" s="10" t="s">
        <v>137</v>
      </c>
      <c r="F1057" s="11" t="s">
        <v>5358</v>
      </c>
      <c r="G1057" s="12">
        <f>6.405*L1057</f>
        <v>160.125</v>
      </c>
      <c r="H1057" s="13">
        <v>42262</v>
      </c>
      <c r="I1057" s="12" t="s">
        <v>139</v>
      </c>
      <c r="J1057" s="12" t="s">
        <v>5359</v>
      </c>
      <c r="K1057" s="12" t="s">
        <v>141</v>
      </c>
      <c r="L1057" s="12">
        <v>25</v>
      </c>
      <c r="M1057" s="14" t="s">
        <v>5360</v>
      </c>
      <c r="N1057" s="14" t="s">
        <v>338</v>
      </c>
      <c r="O1057" s="17" t="s">
        <v>5360</v>
      </c>
    </row>
    <row r="1058" spans="1:15" x14ac:dyDescent="0.15">
      <c r="A1058" s="21" t="s">
        <v>4696</v>
      </c>
      <c r="B1058" s="19"/>
      <c r="C1058" s="11"/>
      <c r="D1058" s="17" t="s">
        <v>612</v>
      </c>
      <c r="E1058" s="10" t="s">
        <v>137</v>
      </c>
      <c r="F1058" s="11" t="s">
        <v>5361</v>
      </c>
      <c r="G1058" s="18">
        <f>6.405*L1058</f>
        <v>76.86</v>
      </c>
      <c r="H1058" s="13">
        <v>42262</v>
      </c>
      <c r="I1058" s="12" t="s">
        <v>139</v>
      </c>
      <c r="J1058" s="12" t="s">
        <v>5362</v>
      </c>
      <c r="K1058" s="12" t="s">
        <v>141</v>
      </c>
      <c r="L1058" s="12">
        <v>12</v>
      </c>
      <c r="M1058" s="14" t="s">
        <v>5363</v>
      </c>
      <c r="N1058" s="14" t="s">
        <v>242</v>
      </c>
      <c r="O1058" s="17" t="s">
        <v>5363</v>
      </c>
    </row>
    <row r="1059" spans="1:15" x14ac:dyDescent="0.15">
      <c r="A1059" s="21" t="s">
        <v>5364</v>
      </c>
      <c r="B1059" s="19"/>
      <c r="C1059" s="11"/>
      <c r="D1059" s="17" t="s">
        <v>97</v>
      </c>
      <c r="E1059" s="10" t="s">
        <v>137</v>
      </c>
      <c r="F1059" s="11" t="s">
        <v>5365</v>
      </c>
      <c r="G1059" s="23">
        <f>12.838*L1059</f>
        <v>166.89399999999998</v>
      </c>
      <c r="H1059" s="13">
        <v>42262</v>
      </c>
      <c r="I1059" s="12" t="s">
        <v>139</v>
      </c>
      <c r="J1059" s="12" t="s">
        <v>5366</v>
      </c>
      <c r="K1059" s="12" t="s">
        <v>141</v>
      </c>
      <c r="L1059" s="12">
        <v>13</v>
      </c>
      <c r="M1059" s="14" t="s">
        <v>5367</v>
      </c>
      <c r="N1059" s="14" t="s">
        <v>5368</v>
      </c>
      <c r="O1059" s="17" t="s">
        <v>5367</v>
      </c>
    </row>
    <row r="1060" spans="1:15" x14ac:dyDescent="0.15">
      <c r="A1060" s="50" t="s">
        <v>4852</v>
      </c>
      <c r="B1060" s="42"/>
      <c r="C1060" s="43"/>
      <c r="D1060" s="44" t="s">
        <v>4068</v>
      </c>
      <c r="E1060" s="41" t="s">
        <v>137</v>
      </c>
      <c r="F1060" s="43" t="s">
        <v>5369</v>
      </c>
      <c r="G1060" s="45">
        <f>5.286*L1060</f>
        <v>26.43</v>
      </c>
      <c r="H1060" s="46">
        <v>42262</v>
      </c>
      <c r="I1060" s="45" t="s">
        <v>139</v>
      </c>
      <c r="J1060" s="45" t="s">
        <v>5370</v>
      </c>
      <c r="K1060" s="45" t="s">
        <v>3887</v>
      </c>
      <c r="L1060" s="45">
        <v>5</v>
      </c>
      <c r="M1060" s="48" t="s">
        <v>5371</v>
      </c>
      <c r="N1060" s="48" t="s">
        <v>5372</v>
      </c>
      <c r="O1060" s="44" t="s">
        <v>5371</v>
      </c>
    </row>
    <row r="1061" spans="1:15" x14ac:dyDescent="0.15">
      <c r="A1061" s="21" t="s">
        <v>5373</v>
      </c>
      <c r="B1061" s="24" t="s">
        <v>3945</v>
      </c>
      <c r="C1061" s="11"/>
      <c r="D1061" s="17" t="s">
        <v>419</v>
      </c>
      <c r="E1061" s="10" t="s">
        <v>137</v>
      </c>
      <c r="F1061" s="11" t="s">
        <v>5374</v>
      </c>
      <c r="G1061" s="18">
        <f>8.606*L1061</f>
        <v>206.54399999999998</v>
      </c>
      <c r="H1061" s="13">
        <v>42262</v>
      </c>
      <c r="I1061" s="12" t="s">
        <v>3964</v>
      </c>
      <c r="J1061" s="12" t="s">
        <v>5375</v>
      </c>
      <c r="K1061" s="18" t="s">
        <v>141</v>
      </c>
      <c r="L1061" s="12">
        <v>24</v>
      </c>
      <c r="M1061" s="14" t="s">
        <v>5376</v>
      </c>
      <c r="N1061" s="14" t="s">
        <v>5377</v>
      </c>
      <c r="O1061" s="17" t="s">
        <v>5378</v>
      </c>
    </row>
    <row r="1062" spans="1:15" x14ac:dyDescent="0.15">
      <c r="A1062" s="21" t="s">
        <v>4679</v>
      </c>
      <c r="B1062" s="24" t="s">
        <v>3945</v>
      </c>
      <c r="C1062" s="11"/>
      <c r="D1062" s="17" t="s">
        <v>419</v>
      </c>
      <c r="E1062" s="10" t="s">
        <v>137</v>
      </c>
      <c r="F1062" s="11" t="s">
        <v>5379</v>
      </c>
      <c r="G1062" s="12">
        <f>8.606*L1062</f>
        <v>215.15</v>
      </c>
      <c r="H1062" s="13">
        <v>42262</v>
      </c>
      <c r="I1062" s="12" t="s">
        <v>3964</v>
      </c>
      <c r="J1062" s="12" t="s">
        <v>5380</v>
      </c>
      <c r="K1062" s="18" t="s">
        <v>141</v>
      </c>
      <c r="L1062" s="12">
        <v>25</v>
      </c>
      <c r="M1062" s="14" t="s">
        <v>5381</v>
      </c>
      <c r="N1062" s="14" t="s">
        <v>338</v>
      </c>
      <c r="O1062" s="17" t="s">
        <v>5382</v>
      </c>
    </row>
    <row r="1063" spans="1:15" x14ac:dyDescent="0.15">
      <c r="A1063" s="32" t="s">
        <v>5383</v>
      </c>
      <c r="B1063" s="19"/>
      <c r="C1063" s="11"/>
      <c r="D1063" s="17" t="s">
        <v>1475</v>
      </c>
      <c r="E1063" s="10" t="s">
        <v>137</v>
      </c>
      <c r="F1063" s="11" t="s">
        <v>5384</v>
      </c>
      <c r="G1063" s="12">
        <v>99.566000000000003</v>
      </c>
      <c r="H1063" s="13">
        <v>42262</v>
      </c>
      <c r="I1063" s="12" t="s">
        <v>3982</v>
      </c>
      <c r="J1063" s="12" t="s">
        <v>5385</v>
      </c>
      <c r="K1063" s="12" t="s">
        <v>3898</v>
      </c>
      <c r="L1063" s="12" t="s">
        <v>5386</v>
      </c>
      <c r="M1063" s="14" t="s">
        <v>5387</v>
      </c>
      <c r="N1063" s="14" t="s">
        <v>5388</v>
      </c>
      <c r="O1063" s="17" t="s">
        <v>5389</v>
      </c>
    </row>
    <row r="1064" spans="1:15" x14ac:dyDescent="0.15">
      <c r="A1064" s="21" t="s">
        <v>5383</v>
      </c>
      <c r="B1064" s="19"/>
      <c r="C1064" s="11"/>
      <c r="D1064" s="17" t="s">
        <v>1475</v>
      </c>
      <c r="E1064" s="10" t="s">
        <v>137</v>
      </c>
      <c r="F1064" s="11" t="s">
        <v>5390</v>
      </c>
      <c r="G1064" s="12">
        <v>99.843999999999994</v>
      </c>
      <c r="H1064" s="13">
        <v>42262</v>
      </c>
      <c r="I1064" s="12" t="s">
        <v>3982</v>
      </c>
      <c r="J1064" s="12" t="s">
        <v>5391</v>
      </c>
      <c r="K1064" s="12" t="s">
        <v>3898</v>
      </c>
      <c r="L1064" s="12" t="s">
        <v>5386</v>
      </c>
      <c r="M1064" s="14" t="s">
        <v>5392</v>
      </c>
      <c r="N1064" s="14" t="s">
        <v>5393</v>
      </c>
      <c r="O1064" s="17" t="s">
        <v>5394</v>
      </c>
    </row>
    <row r="1065" spans="1:15" x14ac:dyDescent="0.15">
      <c r="A1065" s="21" t="s">
        <v>5383</v>
      </c>
      <c r="B1065" s="19"/>
      <c r="C1065" s="11"/>
      <c r="D1065" s="17" t="s">
        <v>1475</v>
      </c>
      <c r="E1065" s="10" t="s">
        <v>137</v>
      </c>
      <c r="F1065" s="11" t="s">
        <v>5395</v>
      </c>
      <c r="G1065" s="12">
        <v>100.221</v>
      </c>
      <c r="H1065" s="13">
        <v>42262</v>
      </c>
      <c r="I1065" s="12" t="s">
        <v>3982</v>
      </c>
      <c r="J1065" s="12" t="s">
        <v>5396</v>
      </c>
      <c r="K1065" s="12" t="s">
        <v>3898</v>
      </c>
      <c r="L1065" s="12" t="s">
        <v>5386</v>
      </c>
      <c r="M1065" s="14" t="s">
        <v>5397</v>
      </c>
      <c r="N1065" s="14" t="s">
        <v>5398</v>
      </c>
      <c r="O1065" s="17" t="s">
        <v>5399</v>
      </c>
    </row>
    <row r="1066" spans="1:15" x14ac:dyDescent="0.15">
      <c r="A1066" s="32" t="s">
        <v>4760</v>
      </c>
      <c r="B1066" s="19"/>
      <c r="C1066" s="11"/>
      <c r="D1066" s="17" t="s">
        <v>3351</v>
      </c>
      <c r="E1066" s="10" t="s">
        <v>17</v>
      </c>
      <c r="F1066" s="11" t="s">
        <v>5400</v>
      </c>
      <c r="G1066" s="12">
        <v>98.778999999999996</v>
      </c>
      <c r="H1066" s="13">
        <v>42262</v>
      </c>
      <c r="I1066" s="12" t="s">
        <v>3982</v>
      </c>
      <c r="J1066" s="12" t="s">
        <v>5401</v>
      </c>
      <c r="K1066" s="12" t="s">
        <v>328</v>
      </c>
      <c r="L1066" s="12" t="s">
        <v>4384</v>
      </c>
      <c r="M1066" s="14" t="s">
        <v>5402</v>
      </c>
      <c r="N1066" s="14" t="s">
        <v>5403</v>
      </c>
      <c r="O1066" s="17" t="s">
        <v>5404</v>
      </c>
    </row>
    <row r="1067" spans="1:15" x14ac:dyDescent="0.15">
      <c r="A1067" s="57" t="s">
        <v>5088</v>
      </c>
      <c r="B1067" s="42"/>
      <c r="C1067" s="43"/>
      <c r="D1067" s="44" t="s">
        <v>3009</v>
      </c>
      <c r="E1067" s="41" t="s">
        <v>17</v>
      </c>
      <c r="F1067" s="43" t="s">
        <v>5405</v>
      </c>
      <c r="G1067" s="45">
        <v>122.16500000000001</v>
      </c>
      <c r="H1067" s="46">
        <v>42262</v>
      </c>
      <c r="I1067" s="45" t="s">
        <v>3982</v>
      </c>
      <c r="J1067" s="45" t="s">
        <v>5406</v>
      </c>
      <c r="K1067" s="45" t="s">
        <v>3898</v>
      </c>
      <c r="L1067" s="45" t="s">
        <v>5407</v>
      </c>
      <c r="M1067" s="48" t="s">
        <v>5408</v>
      </c>
      <c r="N1067" s="48" t="s">
        <v>5409</v>
      </c>
      <c r="O1067" s="44" t="s">
        <v>5410</v>
      </c>
    </row>
    <row r="1068" spans="1:15" x14ac:dyDescent="0.15">
      <c r="A1068" s="21" t="s">
        <v>5088</v>
      </c>
      <c r="B1068" s="19"/>
      <c r="C1068" s="11"/>
      <c r="D1068" s="17" t="s">
        <v>3009</v>
      </c>
      <c r="E1068" s="10" t="s">
        <v>17</v>
      </c>
      <c r="F1068" s="11" t="s">
        <v>5411</v>
      </c>
      <c r="G1068" s="12">
        <v>183.50200000000001</v>
      </c>
      <c r="H1068" s="13">
        <v>42262</v>
      </c>
      <c r="I1068" s="12" t="s">
        <v>3982</v>
      </c>
      <c r="J1068" s="12" t="s">
        <v>5412</v>
      </c>
      <c r="K1068" s="12" t="s">
        <v>3898</v>
      </c>
      <c r="L1068" s="12" t="s">
        <v>5413</v>
      </c>
      <c r="M1068" s="14" t="s">
        <v>5414</v>
      </c>
      <c r="N1068" s="14" t="s">
        <v>5415</v>
      </c>
      <c r="O1068" s="17" t="s">
        <v>5416</v>
      </c>
    </row>
    <row r="1069" spans="1:15" x14ac:dyDescent="0.15">
      <c r="A1069" s="32" t="s">
        <v>4630</v>
      </c>
      <c r="B1069" s="19" t="s">
        <v>4592</v>
      </c>
      <c r="C1069" s="11"/>
      <c r="D1069" s="17" t="s">
        <v>2503</v>
      </c>
      <c r="E1069" s="10" t="s">
        <v>17</v>
      </c>
      <c r="F1069" s="11" t="s">
        <v>5417</v>
      </c>
      <c r="G1069" s="12">
        <v>80.811999999999998</v>
      </c>
      <c r="H1069" s="13">
        <v>42262</v>
      </c>
      <c r="I1069" s="18" t="s">
        <v>3851</v>
      </c>
      <c r="J1069" s="12" t="s">
        <v>5418</v>
      </c>
      <c r="K1069" s="12" t="s">
        <v>328</v>
      </c>
      <c r="L1069" s="12" t="s">
        <v>5419</v>
      </c>
      <c r="M1069" s="14" t="s">
        <v>5420</v>
      </c>
      <c r="N1069" s="14" t="s">
        <v>5421</v>
      </c>
      <c r="O1069" s="17" t="s">
        <v>5422</v>
      </c>
    </row>
    <row r="1070" spans="1:15" x14ac:dyDescent="0.15">
      <c r="A1070" s="32" t="s">
        <v>5262</v>
      </c>
      <c r="B1070" s="19"/>
      <c r="C1070" s="11"/>
      <c r="D1070" s="17" t="s">
        <v>1595</v>
      </c>
      <c r="E1070" s="10" t="s">
        <v>17</v>
      </c>
      <c r="F1070" s="11" t="s">
        <v>5423</v>
      </c>
      <c r="G1070" s="12">
        <v>192.09800000000001</v>
      </c>
      <c r="H1070" s="13">
        <v>42262</v>
      </c>
      <c r="I1070" s="12" t="s">
        <v>3982</v>
      </c>
      <c r="J1070" s="12" t="s">
        <v>5424</v>
      </c>
      <c r="K1070" s="12" t="s">
        <v>3898</v>
      </c>
      <c r="L1070" s="12" t="s">
        <v>5265</v>
      </c>
      <c r="M1070" s="14" t="s">
        <v>5425</v>
      </c>
      <c r="N1070" s="14" t="s">
        <v>5426</v>
      </c>
      <c r="O1070" s="17" t="s">
        <v>5427</v>
      </c>
    </row>
    <row r="1071" spans="1:15" x14ac:dyDescent="0.15">
      <c r="A1071" s="32" t="s">
        <v>5012</v>
      </c>
      <c r="B1071" s="19" t="s">
        <v>4592</v>
      </c>
      <c r="C1071" s="11"/>
      <c r="D1071" s="17" t="s">
        <v>1692</v>
      </c>
      <c r="E1071" s="10" t="s">
        <v>17</v>
      </c>
      <c r="F1071" s="11" t="s">
        <v>5428</v>
      </c>
      <c r="G1071" s="12">
        <v>306.01100000000002</v>
      </c>
      <c r="H1071" s="13">
        <v>42262</v>
      </c>
      <c r="I1071" s="12" t="s">
        <v>3982</v>
      </c>
      <c r="J1071" s="12" t="s">
        <v>5429</v>
      </c>
      <c r="K1071" s="12" t="s">
        <v>148</v>
      </c>
      <c r="L1071" s="12" t="s">
        <v>3984</v>
      </c>
      <c r="M1071" s="14" t="s">
        <v>7036</v>
      </c>
      <c r="N1071" s="14" t="s">
        <v>7043</v>
      </c>
      <c r="O1071" s="17" t="s">
        <v>7035</v>
      </c>
    </row>
    <row r="1072" spans="1:15" x14ac:dyDescent="0.15">
      <c r="A1072" s="21" t="s">
        <v>5012</v>
      </c>
      <c r="B1072" s="19"/>
      <c r="C1072" s="11"/>
      <c r="D1072" s="17" t="s">
        <v>1692</v>
      </c>
      <c r="E1072" s="10" t="s">
        <v>17</v>
      </c>
      <c r="F1072" s="11" t="s">
        <v>5430</v>
      </c>
      <c r="G1072" s="12">
        <v>305.27300000000002</v>
      </c>
      <c r="H1072" s="13">
        <v>42262</v>
      </c>
      <c r="I1072" s="12" t="s">
        <v>3982</v>
      </c>
      <c r="J1072" s="12" t="s">
        <v>5431</v>
      </c>
      <c r="K1072" s="12" t="s">
        <v>148</v>
      </c>
      <c r="L1072" s="12" t="s">
        <v>3984</v>
      </c>
      <c r="M1072" s="14" t="s">
        <v>5432</v>
      </c>
      <c r="N1072" s="14" t="s">
        <v>5433</v>
      </c>
      <c r="O1072" s="17" t="s">
        <v>5434</v>
      </c>
    </row>
    <row r="1073" spans="1:15" x14ac:dyDescent="0.15">
      <c r="A1073" s="50" t="s">
        <v>5435</v>
      </c>
      <c r="B1073" s="42"/>
      <c r="C1073" s="43"/>
      <c r="D1073" s="44" t="s">
        <v>573</v>
      </c>
      <c r="E1073" s="41" t="s">
        <v>137</v>
      </c>
      <c r="F1073" s="43" t="s">
        <v>5436</v>
      </c>
      <c r="G1073" s="45">
        <f>17.52*L1073</f>
        <v>52.56</v>
      </c>
      <c r="H1073" s="46">
        <v>42263</v>
      </c>
      <c r="I1073" s="52" t="s">
        <v>3874</v>
      </c>
      <c r="J1073" s="52" t="s">
        <v>5437</v>
      </c>
      <c r="K1073" s="45" t="s">
        <v>141</v>
      </c>
      <c r="L1073" s="45">
        <v>3</v>
      </c>
      <c r="M1073" s="48" t="s">
        <v>4727</v>
      </c>
      <c r="N1073" s="48" t="s">
        <v>3889</v>
      </c>
      <c r="O1073" s="44" t="s">
        <v>5438</v>
      </c>
    </row>
    <row r="1074" spans="1:15" x14ac:dyDescent="0.15">
      <c r="A1074" s="50" t="s">
        <v>5234</v>
      </c>
      <c r="B1074" s="42"/>
      <c r="C1074" s="43"/>
      <c r="D1074" s="44" t="s">
        <v>4909</v>
      </c>
      <c r="E1074" s="41" t="s">
        <v>137</v>
      </c>
      <c r="F1074" s="43" t="s">
        <v>5439</v>
      </c>
      <c r="G1074" s="45">
        <v>80.628</v>
      </c>
      <c r="H1074" s="46">
        <v>42263</v>
      </c>
      <c r="I1074" s="45" t="s">
        <v>4417</v>
      </c>
      <c r="J1074" s="45" t="s">
        <v>5440</v>
      </c>
      <c r="K1074" s="45" t="s">
        <v>3898</v>
      </c>
      <c r="L1074" s="45" t="s">
        <v>4216</v>
      </c>
      <c r="M1074" s="48" t="s">
        <v>5441</v>
      </c>
      <c r="N1074" s="48" t="s">
        <v>5442</v>
      </c>
      <c r="O1074" s="44" t="s">
        <v>5443</v>
      </c>
    </row>
    <row r="1075" spans="1:15" x14ac:dyDescent="0.15">
      <c r="A1075" s="21" t="s">
        <v>5444</v>
      </c>
      <c r="B1075" s="19"/>
      <c r="C1075" s="11"/>
      <c r="D1075" s="17" t="s">
        <v>5445</v>
      </c>
      <c r="E1075" s="10" t="s">
        <v>137</v>
      </c>
      <c r="F1075" s="11" t="s">
        <v>5446</v>
      </c>
      <c r="G1075" s="12">
        <f>27.688*L1075</f>
        <v>359.94399999999996</v>
      </c>
      <c r="H1075" s="13">
        <v>42263</v>
      </c>
      <c r="I1075" s="12" t="s">
        <v>3874</v>
      </c>
      <c r="J1075" s="12" t="s">
        <v>5447</v>
      </c>
      <c r="K1075" s="12" t="s">
        <v>141</v>
      </c>
      <c r="L1075" s="12">
        <v>13</v>
      </c>
      <c r="M1075" s="14" t="s">
        <v>5448</v>
      </c>
      <c r="N1075" s="14" t="s">
        <v>4134</v>
      </c>
      <c r="O1075" s="17" t="s">
        <v>5449</v>
      </c>
    </row>
    <row r="1076" spans="1:15" x14ac:dyDescent="0.15">
      <c r="A1076" s="50" t="s">
        <v>4921</v>
      </c>
      <c r="B1076" s="42"/>
      <c r="C1076" s="43"/>
      <c r="D1076" s="44" t="s">
        <v>5450</v>
      </c>
      <c r="E1076" s="41" t="s">
        <v>137</v>
      </c>
      <c r="F1076" s="43" t="s">
        <v>5451</v>
      </c>
      <c r="G1076" s="47">
        <f>29.101*L1076</f>
        <v>116.404</v>
      </c>
      <c r="H1076" s="46">
        <v>42263</v>
      </c>
      <c r="I1076" s="45" t="s">
        <v>4417</v>
      </c>
      <c r="J1076" s="45" t="s">
        <v>5452</v>
      </c>
      <c r="K1076" s="45" t="s">
        <v>141</v>
      </c>
      <c r="L1076" s="45">
        <v>4</v>
      </c>
      <c r="M1076" s="48" t="s">
        <v>5142</v>
      </c>
      <c r="N1076" s="48" t="s">
        <v>5453</v>
      </c>
      <c r="O1076" s="44" t="s">
        <v>5454</v>
      </c>
    </row>
    <row r="1077" spans="1:15" x14ac:dyDescent="0.15">
      <c r="A1077" s="21" t="s">
        <v>4549</v>
      </c>
      <c r="B1077" s="19"/>
      <c r="C1077" s="11"/>
      <c r="D1077" s="17" t="s">
        <v>4614</v>
      </c>
      <c r="E1077" s="10" t="s">
        <v>137</v>
      </c>
      <c r="F1077" s="11" t="s">
        <v>5455</v>
      </c>
      <c r="G1077" s="12">
        <f>29.101*L1077</f>
        <v>378.31299999999999</v>
      </c>
      <c r="H1077" s="13">
        <v>42263</v>
      </c>
      <c r="I1077" s="12" t="s">
        <v>4886</v>
      </c>
      <c r="J1077" s="12" t="s">
        <v>5456</v>
      </c>
      <c r="K1077" s="12" t="s">
        <v>141</v>
      </c>
      <c r="L1077" s="12">
        <v>13</v>
      </c>
      <c r="M1077" s="14" t="s">
        <v>5457</v>
      </c>
      <c r="N1077" s="14" t="s">
        <v>5458</v>
      </c>
      <c r="O1077" s="17" t="s">
        <v>5459</v>
      </c>
    </row>
    <row r="1078" spans="1:15" x14ac:dyDescent="0.15">
      <c r="A1078" s="21" t="s">
        <v>4549</v>
      </c>
      <c r="B1078" s="19"/>
      <c r="C1078" s="11"/>
      <c r="D1078" s="17" t="s">
        <v>4614</v>
      </c>
      <c r="E1078" s="10" t="s">
        <v>137</v>
      </c>
      <c r="F1078" s="11" t="s">
        <v>5460</v>
      </c>
      <c r="G1078" s="12">
        <f>29.101*L1078</f>
        <v>349.21199999999999</v>
      </c>
      <c r="H1078" s="13">
        <v>42263</v>
      </c>
      <c r="I1078" s="12" t="s">
        <v>4886</v>
      </c>
      <c r="J1078" s="12" t="s">
        <v>5461</v>
      </c>
      <c r="K1078" s="12" t="s">
        <v>141</v>
      </c>
      <c r="L1078" s="12">
        <v>12</v>
      </c>
      <c r="M1078" s="14" t="s">
        <v>5462</v>
      </c>
      <c r="N1078" s="14" t="s">
        <v>5463</v>
      </c>
      <c r="O1078" s="17" t="s">
        <v>5464</v>
      </c>
    </row>
    <row r="1079" spans="1:15" x14ac:dyDescent="0.15">
      <c r="A1079" s="21" t="s">
        <v>4804</v>
      </c>
      <c r="B1079" s="19"/>
      <c r="C1079" s="11"/>
      <c r="D1079" s="17" t="s">
        <v>5465</v>
      </c>
      <c r="E1079" s="10" t="s">
        <v>137</v>
      </c>
      <c r="F1079" s="11" t="s">
        <v>5466</v>
      </c>
      <c r="G1079" s="18">
        <f>18.708*L1079</f>
        <v>187.07999999999998</v>
      </c>
      <c r="H1079" s="13">
        <v>42263</v>
      </c>
      <c r="I1079" s="12" t="s">
        <v>3866</v>
      </c>
      <c r="J1079" s="12" t="s">
        <v>5467</v>
      </c>
      <c r="K1079" s="12" t="s">
        <v>141</v>
      </c>
      <c r="L1079" s="12">
        <v>10</v>
      </c>
      <c r="M1079" s="14" t="s">
        <v>5253</v>
      </c>
      <c r="N1079" s="14" t="s">
        <v>4935</v>
      </c>
      <c r="O1079" s="17" t="s">
        <v>5253</v>
      </c>
    </row>
    <row r="1080" spans="1:15" x14ac:dyDescent="0.15">
      <c r="A1080" s="21" t="s">
        <v>4619</v>
      </c>
      <c r="B1080" s="19"/>
      <c r="C1080" s="11"/>
      <c r="D1080" s="17" t="s">
        <v>4620</v>
      </c>
      <c r="E1080" s="10" t="s">
        <v>137</v>
      </c>
      <c r="F1080" s="11" t="s">
        <v>5468</v>
      </c>
      <c r="G1080" s="12">
        <f>18.708*L1080</f>
        <v>74.831999999999994</v>
      </c>
      <c r="H1080" s="13">
        <v>42263</v>
      </c>
      <c r="I1080" s="12" t="s">
        <v>4417</v>
      </c>
      <c r="J1080" s="12" t="s">
        <v>5469</v>
      </c>
      <c r="K1080" s="12" t="s">
        <v>141</v>
      </c>
      <c r="L1080" s="12">
        <v>4</v>
      </c>
      <c r="M1080" s="14" t="s">
        <v>5470</v>
      </c>
      <c r="N1080" s="14" t="s">
        <v>4925</v>
      </c>
      <c r="O1080" s="17" t="s">
        <v>5321</v>
      </c>
    </row>
    <row r="1081" spans="1:15" x14ac:dyDescent="0.15">
      <c r="A1081" s="21" t="s">
        <v>5471</v>
      </c>
      <c r="B1081" s="19"/>
      <c r="C1081" s="11"/>
      <c r="D1081" s="17" t="s">
        <v>4625</v>
      </c>
      <c r="E1081" s="10" t="s">
        <v>137</v>
      </c>
      <c r="F1081" s="11" t="s">
        <v>5472</v>
      </c>
      <c r="G1081" s="12">
        <f>17.712*L1081</f>
        <v>141.696</v>
      </c>
      <c r="H1081" s="13">
        <v>42263</v>
      </c>
      <c r="I1081" s="12" t="s">
        <v>3874</v>
      </c>
      <c r="J1081" s="12" t="s">
        <v>5473</v>
      </c>
      <c r="K1081" s="12" t="s">
        <v>141</v>
      </c>
      <c r="L1081" s="12">
        <v>8</v>
      </c>
      <c r="M1081" s="14" t="s">
        <v>5474</v>
      </c>
      <c r="N1081" s="14" t="s">
        <v>5475</v>
      </c>
      <c r="O1081" s="17" t="s">
        <v>5476</v>
      </c>
    </row>
    <row r="1082" spans="1:15" x14ac:dyDescent="0.15">
      <c r="A1082" s="21" t="s">
        <v>3922</v>
      </c>
      <c r="B1082" s="19"/>
      <c r="C1082" s="11"/>
      <c r="D1082" s="17" t="s">
        <v>4737</v>
      </c>
      <c r="E1082" s="10" t="s">
        <v>137</v>
      </c>
      <c r="F1082" s="11" t="s">
        <v>5477</v>
      </c>
      <c r="G1082" s="12">
        <f>14.405*L1082</f>
        <v>360.125</v>
      </c>
      <c r="H1082" s="13">
        <v>42263</v>
      </c>
      <c r="I1082" s="12" t="s">
        <v>3874</v>
      </c>
      <c r="J1082" s="12" t="s">
        <v>5478</v>
      </c>
      <c r="K1082" s="12" t="s">
        <v>141</v>
      </c>
      <c r="L1082" s="12">
        <v>25</v>
      </c>
      <c r="M1082" s="14" t="s">
        <v>5479</v>
      </c>
      <c r="N1082" s="14" t="s">
        <v>3967</v>
      </c>
      <c r="O1082" s="17" t="s">
        <v>5480</v>
      </c>
    </row>
    <row r="1083" spans="1:15" x14ac:dyDescent="0.15">
      <c r="A1083" s="21" t="s">
        <v>3922</v>
      </c>
      <c r="B1083" s="19"/>
      <c r="C1083" s="11"/>
      <c r="D1083" s="17" t="s">
        <v>4737</v>
      </c>
      <c r="E1083" s="10" t="s">
        <v>137</v>
      </c>
      <c r="F1083" s="11" t="s">
        <v>5481</v>
      </c>
      <c r="G1083" s="12">
        <f>14.405*L1083</f>
        <v>331.315</v>
      </c>
      <c r="H1083" s="13">
        <v>42263</v>
      </c>
      <c r="I1083" s="12" t="s">
        <v>3874</v>
      </c>
      <c r="J1083" s="12" t="s">
        <v>5482</v>
      </c>
      <c r="K1083" s="12" t="s">
        <v>141</v>
      </c>
      <c r="L1083" s="12">
        <v>23</v>
      </c>
      <c r="M1083" s="14" t="s">
        <v>5483</v>
      </c>
      <c r="N1083" s="14" t="s">
        <v>5484</v>
      </c>
      <c r="O1083" s="17" t="s">
        <v>5485</v>
      </c>
    </row>
    <row r="1084" spans="1:15" x14ac:dyDescent="0.15">
      <c r="A1084" s="21" t="s">
        <v>3922</v>
      </c>
      <c r="B1084" s="19"/>
      <c r="C1084" s="11"/>
      <c r="D1084" s="17" t="s">
        <v>4737</v>
      </c>
      <c r="E1084" s="10" t="s">
        <v>137</v>
      </c>
      <c r="F1084" s="11" t="s">
        <v>5486</v>
      </c>
      <c r="G1084" s="12">
        <f>14.405*L1084</f>
        <v>360.125</v>
      </c>
      <c r="H1084" s="13">
        <v>42263</v>
      </c>
      <c r="I1084" s="12" t="s">
        <v>3874</v>
      </c>
      <c r="J1084" s="12" t="s">
        <v>5487</v>
      </c>
      <c r="K1084" s="12" t="s">
        <v>141</v>
      </c>
      <c r="L1084" s="12">
        <v>25</v>
      </c>
      <c r="M1084" s="14" t="s">
        <v>5488</v>
      </c>
      <c r="N1084" s="14" t="s">
        <v>3967</v>
      </c>
      <c r="O1084" s="17" t="s">
        <v>5489</v>
      </c>
    </row>
    <row r="1085" spans="1:15" x14ac:dyDescent="0.15">
      <c r="A1085" s="20" t="s">
        <v>5490</v>
      </c>
      <c r="B1085" s="19"/>
      <c r="C1085" s="11"/>
      <c r="D1085" s="17" t="s">
        <v>5491</v>
      </c>
      <c r="E1085" s="10" t="s">
        <v>137</v>
      </c>
      <c r="F1085" s="11" t="s">
        <v>5492</v>
      </c>
      <c r="G1085" s="12">
        <v>141.75</v>
      </c>
      <c r="H1085" s="13">
        <v>42264</v>
      </c>
      <c r="I1085" s="12" t="s">
        <v>3982</v>
      </c>
      <c r="J1085" s="12" t="s">
        <v>5493</v>
      </c>
      <c r="K1085" s="12" t="s">
        <v>141</v>
      </c>
      <c r="L1085" s="12" t="s">
        <v>5494</v>
      </c>
      <c r="M1085" s="14" t="s">
        <v>5495</v>
      </c>
      <c r="N1085" s="14" t="s">
        <v>5496</v>
      </c>
      <c r="O1085" s="17" t="s">
        <v>5497</v>
      </c>
    </row>
    <row r="1086" spans="1:15" x14ac:dyDescent="0.15">
      <c r="A1086" s="49" t="s">
        <v>5490</v>
      </c>
      <c r="B1086" s="42"/>
      <c r="C1086" s="43"/>
      <c r="D1086" s="44" t="s">
        <v>5491</v>
      </c>
      <c r="E1086" s="41" t="s">
        <v>137</v>
      </c>
      <c r="F1086" s="43" t="s">
        <v>5498</v>
      </c>
      <c r="G1086" s="45">
        <v>100.732</v>
      </c>
      <c r="H1086" s="46">
        <v>42264</v>
      </c>
      <c r="I1086" s="45" t="s">
        <v>3982</v>
      </c>
      <c r="J1086" s="45" t="s">
        <v>5499</v>
      </c>
      <c r="K1086" s="45" t="s">
        <v>141</v>
      </c>
      <c r="L1086" s="45" t="s">
        <v>5500</v>
      </c>
      <c r="M1086" s="48" t="s">
        <v>5501</v>
      </c>
      <c r="N1086" s="48" t="s">
        <v>5502</v>
      </c>
      <c r="O1086" s="44" t="s">
        <v>5503</v>
      </c>
    </row>
    <row r="1087" spans="1:15" x14ac:dyDescent="0.15">
      <c r="A1087" s="32" t="s">
        <v>5177</v>
      </c>
      <c r="B1087" s="19"/>
      <c r="C1087" s="11"/>
      <c r="D1087" s="17" t="s">
        <v>5504</v>
      </c>
      <c r="E1087" s="10" t="s">
        <v>137</v>
      </c>
      <c r="F1087" s="11" t="s">
        <v>5505</v>
      </c>
      <c r="G1087" s="12">
        <v>52.155999999999999</v>
      </c>
      <c r="H1087" s="13">
        <v>42264</v>
      </c>
      <c r="I1087" s="12" t="s">
        <v>3982</v>
      </c>
      <c r="J1087" s="12" t="s">
        <v>5506</v>
      </c>
      <c r="K1087" s="12" t="s">
        <v>141</v>
      </c>
      <c r="L1087" s="12" t="s">
        <v>5507</v>
      </c>
      <c r="M1087" s="14" t="s">
        <v>5508</v>
      </c>
      <c r="N1087" s="14" t="s">
        <v>5509</v>
      </c>
      <c r="O1087" s="17" t="s">
        <v>5510</v>
      </c>
    </row>
    <row r="1088" spans="1:15" x14ac:dyDescent="0.15">
      <c r="A1088" s="50" t="s">
        <v>4123</v>
      </c>
      <c r="B1088" s="42"/>
      <c r="C1088" s="43"/>
      <c r="D1088" s="44" t="s">
        <v>375</v>
      </c>
      <c r="E1088" s="41" t="s">
        <v>137</v>
      </c>
      <c r="F1088" s="43" t="s">
        <v>5511</v>
      </c>
      <c r="G1088" s="45">
        <f>17.52*L1088</f>
        <v>350.4</v>
      </c>
      <c r="H1088" s="46">
        <v>42264</v>
      </c>
      <c r="I1088" s="45" t="s">
        <v>3982</v>
      </c>
      <c r="J1088" s="45" t="s">
        <v>5512</v>
      </c>
      <c r="K1088" s="45" t="s">
        <v>141</v>
      </c>
      <c r="L1088" s="45">
        <v>20</v>
      </c>
      <c r="M1088" s="48" t="s">
        <v>5513</v>
      </c>
      <c r="N1088" s="48" t="s">
        <v>3259</v>
      </c>
      <c r="O1088" s="44" t="s">
        <v>5513</v>
      </c>
    </row>
    <row r="1089" spans="1:15" x14ac:dyDescent="0.15">
      <c r="A1089" s="50" t="s">
        <v>5048</v>
      </c>
      <c r="B1089" s="42"/>
      <c r="C1089" s="43"/>
      <c r="D1089" s="44" t="s">
        <v>425</v>
      </c>
      <c r="E1089" s="41" t="s">
        <v>137</v>
      </c>
      <c r="F1089" s="43" t="s">
        <v>5514</v>
      </c>
      <c r="G1089" s="45">
        <f>18.708*L1089</f>
        <v>467.69999999999993</v>
      </c>
      <c r="H1089" s="46">
        <v>42264</v>
      </c>
      <c r="I1089" s="45" t="s">
        <v>3916</v>
      </c>
      <c r="J1089" s="45" t="s">
        <v>5515</v>
      </c>
      <c r="K1089" s="45" t="s">
        <v>141</v>
      </c>
      <c r="L1089" s="45">
        <v>25</v>
      </c>
      <c r="M1089" s="48" t="s">
        <v>5516</v>
      </c>
      <c r="N1089" s="48" t="s">
        <v>338</v>
      </c>
      <c r="O1089" s="44" t="s">
        <v>5516</v>
      </c>
    </row>
    <row r="1090" spans="1:15" x14ac:dyDescent="0.15">
      <c r="A1090" s="20" t="s">
        <v>5517</v>
      </c>
      <c r="B1090" s="19"/>
      <c r="C1090" s="11"/>
      <c r="D1090" s="17" t="s">
        <v>5518</v>
      </c>
      <c r="E1090" s="10" t="s">
        <v>137</v>
      </c>
      <c r="F1090" s="11" t="s">
        <v>5519</v>
      </c>
      <c r="G1090" s="12">
        <f>12.838*L1090</f>
        <v>12.837999999999999</v>
      </c>
      <c r="H1090" s="13">
        <v>42264</v>
      </c>
      <c r="I1090" s="12" t="s">
        <v>5520</v>
      </c>
      <c r="J1090" s="12" t="s">
        <v>5521</v>
      </c>
      <c r="K1090" s="12" t="s">
        <v>141</v>
      </c>
      <c r="L1090" s="12">
        <v>1</v>
      </c>
      <c r="M1090" s="14" t="s">
        <v>5522</v>
      </c>
      <c r="N1090" s="14" t="s">
        <v>4843</v>
      </c>
      <c r="O1090" s="17" t="s">
        <v>5523</v>
      </c>
    </row>
    <row r="1091" spans="1:15" x14ac:dyDescent="0.15">
      <c r="A1091" s="21" t="s">
        <v>5524</v>
      </c>
      <c r="B1091" s="22" t="s">
        <v>3945</v>
      </c>
      <c r="C1091" s="11"/>
      <c r="D1091" s="17" t="s">
        <v>353</v>
      </c>
      <c r="E1091" s="10" t="s">
        <v>137</v>
      </c>
      <c r="F1091" s="11" t="s">
        <v>5525</v>
      </c>
      <c r="G1091" s="18">
        <f>9.804*L1091</f>
        <v>98.04</v>
      </c>
      <c r="H1091" s="13">
        <v>42264</v>
      </c>
      <c r="I1091" s="12" t="s">
        <v>4105</v>
      </c>
      <c r="J1091" s="12" t="s">
        <v>5526</v>
      </c>
      <c r="K1091" s="12" t="s">
        <v>141</v>
      </c>
      <c r="L1091" s="12">
        <v>10</v>
      </c>
      <c r="M1091" s="14" t="s">
        <v>5527</v>
      </c>
      <c r="N1091" s="14" t="s">
        <v>412</v>
      </c>
      <c r="O1091" s="17" t="s">
        <v>5528</v>
      </c>
    </row>
    <row r="1092" spans="1:15" x14ac:dyDescent="0.15">
      <c r="A1092" s="21" t="s">
        <v>3944</v>
      </c>
      <c r="B1092" s="22" t="s">
        <v>3945</v>
      </c>
      <c r="C1092" s="11"/>
      <c r="D1092" s="17" t="s">
        <v>353</v>
      </c>
      <c r="E1092" s="10" t="s">
        <v>137</v>
      </c>
      <c r="F1092" s="11" t="s">
        <v>5529</v>
      </c>
      <c r="G1092" s="18">
        <f>9.804*L1092</f>
        <v>137.256</v>
      </c>
      <c r="H1092" s="13">
        <v>42264</v>
      </c>
      <c r="I1092" s="12" t="s">
        <v>5530</v>
      </c>
      <c r="J1092" s="12" t="s">
        <v>5531</v>
      </c>
      <c r="K1092" s="12" t="s">
        <v>141</v>
      </c>
      <c r="L1092" s="12">
        <v>14</v>
      </c>
      <c r="M1092" s="14" t="s">
        <v>5532</v>
      </c>
      <c r="N1092" s="14" t="s">
        <v>5533</v>
      </c>
      <c r="O1092" s="17" t="s">
        <v>5532</v>
      </c>
    </row>
    <row r="1093" spans="1:15" x14ac:dyDescent="0.15">
      <c r="A1093" s="21" t="s">
        <v>5524</v>
      </c>
      <c r="B1093" s="22" t="s">
        <v>3842</v>
      </c>
      <c r="C1093" s="11"/>
      <c r="D1093" s="17" t="s">
        <v>353</v>
      </c>
      <c r="E1093" s="10" t="s">
        <v>137</v>
      </c>
      <c r="F1093" s="11" t="s">
        <v>5534</v>
      </c>
      <c r="G1093" s="18">
        <f>9.804*L1093</f>
        <v>19.608000000000001</v>
      </c>
      <c r="H1093" s="13">
        <v>42264</v>
      </c>
      <c r="I1093" s="12" t="s">
        <v>4105</v>
      </c>
      <c r="J1093" s="12" t="s">
        <v>5535</v>
      </c>
      <c r="K1093" s="12" t="s">
        <v>141</v>
      </c>
      <c r="L1093" s="12">
        <v>2</v>
      </c>
      <c r="M1093" s="14" t="s">
        <v>5536</v>
      </c>
      <c r="N1093" s="14" t="s">
        <v>5537</v>
      </c>
      <c r="O1093" s="17" t="s">
        <v>5536</v>
      </c>
    </row>
    <row r="1094" spans="1:15" x14ac:dyDescent="0.15">
      <c r="A1094" s="21" t="s">
        <v>5538</v>
      </c>
      <c r="B1094" s="22" t="s">
        <v>5168</v>
      </c>
      <c r="C1094" s="11"/>
      <c r="D1094" s="17" t="s">
        <v>3777</v>
      </c>
      <c r="E1094" s="10" t="s">
        <v>137</v>
      </c>
      <c r="F1094" s="11" t="s">
        <v>5539</v>
      </c>
      <c r="G1094" s="18">
        <f>4.701*L1094</f>
        <v>117.52499999999999</v>
      </c>
      <c r="H1094" s="13">
        <v>42264</v>
      </c>
      <c r="I1094" s="12" t="s">
        <v>3997</v>
      </c>
      <c r="J1094" s="12" t="s">
        <v>5540</v>
      </c>
      <c r="K1094" s="12" t="s">
        <v>141</v>
      </c>
      <c r="L1094" s="12">
        <v>25</v>
      </c>
      <c r="M1094" s="14" t="s">
        <v>5541</v>
      </c>
      <c r="N1094" s="14" t="s">
        <v>338</v>
      </c>
      <c r="O1094" s="17" t="s">
        <v>5541</v>
      </c>
    </row>
    <row r="1095" spans="1:15" x14ac:dyDescent="0.15">
      <c r="A1095" s="21" t="s">
        <v>5538</v>
      </c>
      <c r="B1095" s="22" t="s">
        <v>5168</v>
      </c>
      <c r="C1095" s="11"/>
      <c r="D1095" s="17" t="s">
        <v>3777</v>
      </c>
      <c r="E1095" s="10" t="s">
        <v>137</v>
      </c>
      <c r="F1095" s="11" t="s">
        <v>5542</v>
      </c>
      <c r="G1095" s="18">
        <f>4.701*L1095</f>
        <v>117.52499999999999</v>
      </c>
      <c r="H1095" s="13">
        <v>42264</v>
      </c>
      <c r="I1095" s="12" t="s">
        <v>3997</v>
      </c>
      <c r="J1095" s="12" t="s">
        <v>5543</v>
      </c>
      <c r="K1095" s="12" t="s">
        <v>141</v>
      </c>
      <c r="L1095" s="12">
        <v>25</v>
      </c>
      <c r="M1095" s="14" t="s">
        <v>5544</v>
      </c>
      <c r="N1095" s="14" t="s">
        <v>338</v>
      </c>
      <c r="O1095" s="17" t="s">
        <v>5544</v>
      </c>
    </row>
    <row r="1096" spans="1:15" x14ac:dyDescent="0.15">
      <c r="A1096" s="21" t="s">
        <v>5538</v>
      </c>
      <c r="B1096" s="22" t="s">
        <v>5168</v>
      </c>
      <c r="C1096" s="11"/>
      <c r="D1096" s="17" t="s">
        <v>3777</v>
      </c>
      <c r="E1096" s="10" t="s">
        <v>137</v>
      </c>
      <c r="F1096" s="11" t="s">
        <v>5545</v>
      </c>
      <c r="G1096" s="18">
        <f>4.701*L1096</f>
        <v>117.52499999999999</v>
      </c>
      <c r="H1096" s="13">
        <v>42264</v>
      </c>
      <c r="I1096" s="12" t="s">
        <v>3997</v>
      </c>
      <c r="J1096" s="12" t="s">
        <v>5546</v>
      </c>
      <c r="K1096" s="12" t="s">
        <v>141</v>
      </c>
      <c r="L1096" s="12">
        <v>25</v>
      </c>
      <c r="M1096" s="14" t="s">
        <v>5547</v>
      </c>
      <c r="N1096" s="14" t="s">
        <v>338</v>
      </c>
      <c r="O1096" s="17" t="s">
        <v>5547</v>
      </c>
    </row>
    <row r="1097" spans="1:15" x14ac:dyDescent="0.15">
      <c r="A1097" s="20" t="s">
        <v>5548</v>
      </c>
      <c r="B1097" s="19" t="s">
        <v>180</v>
      </c>
      <c r="C1097" s="11"/>
      <c r="D1097" s="17" t="s">
        <v>4086</v>
      </c>
      <c r="E1097" s="10" t="s">
        <v>137</v>
      </c>
      <c r="F1097" s="11" t="s">
        <v>5549</v>
      </c>
      <c r="G1097" s="23">
        <f>14.87*L1097</f>
        <v>74.349999999999994</v>
      </c>
      <c r="H1097" s="13">
        <v>42264</v>
      </c>
      <c r="I1097" s="12" t="s">
        <v>3844</v>
      </c>
      <c r="J1097" s="12" t="s">
        <v>5550</v>
      </c>
      <c r="K1097" s="12" t="s">
        <v>141</v>
      </c>
      <c r="L1097" s="12">
        <v>5</v>
      </c>
      <c r="M1097" s="14" t="s">
        <v>4089</v>
      </c>
      <c r="N1097" s="14" t="s">
        <v>680</v>
      </c>
      <c r="O1097" s="17" t="s">
        <v>5551</v>
      </c>
    </row>
    <row r="1098" spans="1:15" x14ac:dyDescent="0.15">
      <c r="A1098" s="21" t="s">
        <v>4533</v>
      </c>
      <c r="B1098" s="19"/>
      <c r="C1098" s="11"/>
      <c r="D1098" s="17" t="s">
        <v>811</v>
      </c>
      <c r="E1098" s="10" t="s">
        <v>137</v>
      </c>
      <c r="F1098" s="11" t="s">
        <v>5552</v>
      </c>
      <c r="G1098" s="12">
        <f>18.708*L1098</f>
        <v>280.62</v>
      </c>
      <c r="H1098" s="13">
        <v>42264</v>
      </c>
      <c r="I1098" s="12" t="s">
        <v>3916</v>
      </c>
      <c r="J1098" s="12" t="s">
        <v>5553</v>
      </c>
      <c r="K1098" s="12" t="s">
        <v>141</v>
      </c>
      <c r="L1098" s="12">
        <v>15</v>
      </c>
      <c r="M1098" s="14" t="s">
        <v>5554</v>
      </c>
      <c r="N1098" s="14" t="s">
        <v>1151</v>
      </c>
      <c r="O1098" s="17" t="s">
        <v>5554</v>
      </c>
    </row>
    <row r="1099" spans="1:15" s="62" customFormat="1" x14ac:dyDescent="0.15">
      <c r="A1099" s="17" t="s">
        <v>5555</v>
      </c>
      <c r="B1099" s="19"/>
      <c r="C1099" s="11"/>
      <c r="D1099" s="17" t="s">
        <v>5556</v>
      </c>
      <c r="E1099" s="10" t="s">
        <v>5557</v>
      </c>
      <c r="F1099" s="11" t="s">
        <v>5558</v>
      </c>
      <c r="G1099" s="12">
        <f>35.474*L1099</f>
        <v>886.84999999999991</v>
      </c>
      <c r="H1099" s="13">
        <v>42264</v>
      </c>
      <c r="I1099" s="12" t="s">
        <v>5559</v>
      </c>
      <c r="J1099" s="12" t="s">
        <v>5560</v>
      </c>
      <c r="K1099" s="12" t="s">
        <v>141</v>
      </c>
      <c r="L1099" s="12">
        <v>25</v>
      </c>
      <c r="M1099" s="14" t="s">
        <v>5561</v>
      </c>
      <c r="N1099" s="14" t="s">
        <v>3967</v>
      </c>
      <c r="O1099" s="17" t="s">
        <v>3593</v>
      </c>
    </row>
    <row r="1100" spans="1:15" s="62" customFormat="1" x14ac:dyDescent="0.15">
      <c r="A1100" s="17" t="s">
        <v>5555</v>
      </c>
      <c r="B1100" s="19"/>
      <c r="C1100" s="11"/>
      <c r="D1100" s="17" t="s">
        <v>5556</v>
      </c>
      <c r="E1100" s="10" t="s">
        <v>5557</v>
      </c>
      <c r="F1100" s="11" t="s">
        <v>5562</v>
      </c>
      <c r="G1100" s="12">
        <f>35.474*L1100</f>
        <v>886.84999999999991</v>
      </c>
      <c r="H1100" s="13">
        <v>42264</v>
      </c>
      <c r="I1100" s="12" t="s">
        <v>5559</v>
      </c>
      <c r="J1100" s="12" t="s">
        <v>5563</v>
      </c>
      <c r="K1100" s="12" t="s">
        <v>141</v>
      </c>
      <c r="L1100" s="12">
        <v>25</v>
      </c>
      <c r="M1100" s="14" t="s">
        <v>5564</v>
      </c>
      <c r="N1100" s="14" t="s">
        <v>3967</v>
      </c>
      <c r="O1100" s="17" t="s">
        <v>3593</v>
      </c>
    </row>
    <row r="1101" spans="1:15" x14ac:dyDescent="0.15">
      <c r="A1101" s="20" t="s">
        <v>7648</v>
      </c>
      <c r="B1101" s="19"/>
      <c r="C1101" s="11"/>
      <c r="D1101" s="17" t="s">
        <v>5565</v>
      </c>
      <c r="E1101" s="10" t="s">
        <v>137</v>
      </c>
      <c r="F1101" s="11" t="s">
        <v>5566</v>
      </c>
      <c r="G1101" s="12">
        <v>15.231999999999999</v>
      </c>
      <c r="H1101" s="13">
        <v>42268</v>
      </c>
      <c r="I1101" s="12" t="s">
        <v>5567</v>
      </c>
      <c r="J1101" s="12" t="s">
        <v>5568</v>
      </c>
      <c r="K1101" s="12" t="s">
        <v>141</v>
      </c>
      <c r="L1101" s="12">
        <v>1</v>
      </c>
      <c r="M1101" s="14" t="s">
        <v>5569</v>
      </c>
      <c r="N1101" s="14" t="s">
        <v>5570</v>
      </c>
      <c r="O1101" s="17" t="s">
        <v>5571</v>
      </c>
    </row>
    <row r="1102" spans="1:15" x14ac:dyDescent="0.15">
      <c r="A1102" s="50" t="s">
        <v>4713</v>
      </c>
      <c r="B1102" s="42"/>
      <c r="C1102" s="43"/>
      <c r="D1102" s="44" t="s">
        <v>1181</v>
      </c>
      <c r="E1102" s="41" t="s">
        <v>137</v>
      </c>
      <c r="F1102" s="43" t="s">
        <v>5572</v>
      </c>
      <c r="G1102" s="45">
        <f>17.712*L1102</f>
        <v>177.12</v>
      </c>
      <c r="H1102" s="46">
        <v>42269</v>
      </c>
      <c r="I1102" s="45" t="s">
        <v>4024</v>
      </c>
      <c r="J1102" s="45" t="s">
        <v>5573</v>
      </c>
      <c r="K1102" s="45" t="s">
        <v>141</v>
      </c>
      <c r="L1102" s="45">
        <v>10</v>
      </c>
      <c r="M1102" s="48" t="s">
        <v>5574</v>
      </c>
      <c r="N1102" s="48" t="s">
        <v>412</v>
      </c>
      <c r="O1102" s="44" t="s">
        <v>5574</v>
      </c>
    </row>
    <row r="1103" spans="1:15" x14ac:dyDescent="0.15">
      <c r="A1103" s="21" t="s">
        <v>4794</v>
      </c>
      <c r="B1103" s="19"/>
      <c r="C1103" s="11"/>
      <c r="D1103" s="17" t="s">
        <v>1609</v>
      </c>
      <c r="E1103" s="10" t="s">
        <v>137</v>
      </c>
      <c r="F1103" s="11" t="s">
        <v>5575</v>
      </c>
      <c r="G1103" s="12">
        <f>20.558*L1103</f>
        <v>513.95000000000005</v>
      </c>
      <c r="H1103" s="13">
        <v>42269</v>
      </c>
      <c r="I1103" s="12" t="s">
        <v>3916</v>
      </c>
      <c r="J1103" s="12" t="s">
        <v>5576</v>
      </c>
      <c r="K1103" s="12" t="s">
        <v>141</v>
      </c>
      <c r="L1103" s="12">
        <v>25</v>
      </c>
      <c r="M1103" s="14" t="s">
        <v>5577</v>
      </c>
      <c r="N1103" s="14" t="s">
        <v>338</v>
      </c>
      <c r="O1103" s="17" t="s">
        <v>5577</v>
      </c>
    </row>
    <row r="1104" spans="1:15" x14ac:dyDescent="0.15">
      <c r="A1104" s="21" t="s">
        <v>4794</v>
      </c>
      <c r="B1104" s="19"/>
      <c r="C1104" s="11"/>
      <c r="D1104" s="17" t="s">
        <v>1609</v>
      </c>
      <c r="E1104" s="10" t="s">
        <v>137</v>
      </c>
      <c r="F1104" s="11" t="s">
        <v>5578</v>
      </c>
      <c r="G1104" s="12">
        <f>20.558*L1104</f>
        <v>205.57999999999998</v>
      </c>
      <c r="H1104" s="13">
        <v>42269</v>
      </c>
      <c r="I1104" s="12" t="s">
        <v>3916</v>
      </c>
      <c r="J1104" s="12" t="s">
        <v>5579</v>
      </c>
      <c r="K1104" s="12" t="s">
        <v>141</v>
      </c>
      <c r="L1104" s="12">
        <v>10</v>
      </c>
      <c r="M1104" s="14" t="s">
        <v>5580</v>
      </c>
      <c r="N1104" s="14" t="s">
        <v>412</v>
      </c>
      <c r="O1104" s="17" t="s">
        <v>5580</v>
      </c>
    </row>
    <row r="1105" spans="1:15" x14ac:dyDescent="0.15">
      <c r="A1105" s="50" t="s">
        <v>5315</v>
      </c>
      <c r="B1105" s="42"/>
      <c r="C1105" s="43"/>
      <c r="D1105" s="44" t="s">
        <v>334</v>
      </c>
      <c r="E1105" s="41" t="s">
        <v>137</v>
      </c>
      <c r="F1105" s="43" t="s">
        <v>5581</v>
      </c>
      <c r="G1105" s="45">
        <f t="shared" ref="G1105:G1110" si="4">18.708*L1105</f>
        <v>74.831999999999994</v>
      </c>
      <c r="H1105" s="46">
        <v>42269</v>
      </c>
      <c r="I1105" s="45" t="s">
        <v>3916</v>
      </c>
      <c r="J1105" s="45" t="s">
        <v>5582</v>
      </c>
      <c r="K1105" s="45" t="s">
        <v>3887</v>
      </c>
      <c r="L1105" s="45">
        <v>4</v>
      </c>
      <c r="M1105" s="48" t="s">
        <v>3223</v>
      </c>
      <c r="N1105" s="48" t="s">
        <v>3392</v>
      </c>
      <c r="O1105" s="44" t="s">
        <v>5583</v>
      </c>
    </row>
    <row r="1106" spans="1:15" x14ac:dyDescent="0.15">
      <c r="A1106" s="21" t="s">
        <v>1243</v>
      </c>
      <c r="B1106" s="19"/>
      <c r="C1106" s="11"/>
      <c r="D1106" s="17" t="s">
        <v>334</v>
      </c>
      <c r="E1106" s="10" t="s">
        <v>137</v>
      </c>
      <c r="F1106" s="11" t="s">
        <v>5584</v>
      </c>
      <c r="G1106" s="12">
        <f t="shared" si="4"/>
        <v>467.69999999999993</v>
      </c>
      <c r="H1106" s="13">
        <v>42269</v>
      </c>
      <c r="I1106" s="12" t="s">
        <v>3916</v>
      </c>
      <c r="J1106" s="12" t="s">
        <v>5585</v>
      </c>
      <c r="K1106" s="12" t="s">
        <v>3887</v>
      </c>
      <c r="L1106" s="12">
        <v>25</v>
      </c>
      <c r="M1106" s="14" t="s">
        <v>5586</v>
      </c>
      <c r="N1106" s="14" t="s">
        <v>338</v>
      </c>
      <c r="O1106" s="17" t="s">
        <v>5586</v>
      </c>
    </row>
    <row r="1107" spans="1:15" x14ac:dyDescent="0.15">
      <c r="A1107" s="21" t="s">
        <v>5048</v>
      </c>
      <c r="B1107" s="19"/>
      <c r="C1107" s="11"/>
      <c r="D1107" s="17" t="s">
        <v>425</v>
      </c>
      <c r="E1107" s="10" t="s">
        <v>137</v>
      </c>
      <c r="F1107" s="11" t="s">
        <v>5587</v>
      </c>
      <c r="G1107" s="12">
        <f t="shared" si="4"/>
        <v>467.69999999999993</v>
      </c>
      <c r="H1107" s="13">
        <v>42269</v>
      </c>
      <c r="I1107" s="12" t="s">
        <v>3916</v>
      </c>
      <c r="J1107" s="12" t="s">
        <v>5588</v>
      </c>
      <c r="K1107" s="12" t="s">
        <v>141</v>
      </c>
      <c r="L1107" s="12">
        <v>25</v>
      </c>
      <c r="M1107" s="14" t="s">
        <v>5589</v>
      </c>
      <c r="N1107" s="14" t="s">
        <v>338</v>
      </c>
      <c r="O1107" s="17" t="s">
        <v>5589</v>
      </c>
    </row>
    <row r="1108" spans="1:15" x14ac:dyDescent="0.15">
      <c r="A1108" s="21" t="s">
        <v>3914</v>
      </c>
      <c r="B1108" s="19"/>
      <c r="C1108" s="11"/>
      <c r="D1108" s="17" t="s">
        <v>341</v>
      </c>
      <c r="E1108" s="10" t="s">
        <v>137</v>
      </c>
      <c r="F1108" s="11" t="s">
        <v>5590</v>
      </c>
      <c r="G1108" s="12">
        <f t="shared" si="4"/>
        <v>56.123999999999995</v>
      </c>
      <c r="H1108" s="13">
        <v>42269</v>
      </c>
      <c r="I1108" s="12" t="s">
        <v>3916</v>
      </c>
      <c r="J1108" s="12" t="s">
        <v>5591</v>
      </c>
      <c r="K1108" s="12" t="s">
        <v>21</v>
      </c>
      <c r="L1108" s="12">
        <v>3</v>
      </c>
      <c r="M1108" s="14" t="s">
        <v>5592</v>
      </c>
      <c r="N1108" s="14" t="s">
        <v>4609</v>
      </c>
      <c r="O1108" s="17" t="s">
        <v>5592</v>
      </c>
    </row>
    <row r="1109" spans="1:15" x14ac:dyDescent="0.15">
      <c r="A1109" s="21" t="s">
        <v>4969</v>
      </c>
      <c r="B1109" s="19"/>
      <c r="C1109" s="11"/>
      <c r="D1109" s="17" t="s">
        <v>341</v>
      </c>
      <c r="E1109" s="10" t="s">
        <v>137</v>
      </c>
      <c r="F1109" s="11" t="s">
        <v>5593</v>
      </c>
      <c r="G1109" s="12">
        <f t="shared" si="4"/>
        <v>93.539999999999992</v>
      </c>
      <c r="H1109" s="13">
        <v>42269</v>
      </c>
      <c r="I1109" s="12" t="s">
        <v>3916</v>
      </c>
      <c r="J1109" s="12" t="s">
        <v>5594</v>
      </c>
      <c r="K1109" s="12" t="s">
        <v>141</v>
      </c>
      <c r="L1109" s="12">
        <v>5</v>
      </c>
      <c r="M1109" s="14" t="s">
        <v>5592</v>
      </c>
      <c r="N1109" s="14" t="s">
        <v>565</v>
      </c>
      <c r="O1109" s="17" t="s">
        <v>5595</v>
      </c>
    </row>
    <row r="1110" spans="1:15" x14ac:dyDescent="0.15">
      <c r="A1110" s="50" t="s">
        <v>4962</v>
      </c>
      <c r="B1110" s="42"/>
      <c r="C1110" s="43"/>
      <c r="D1110" s="44" t="s">
        <v>811</v>
      </c>
      <c r="E1110" s="41" t="s">
        <v>137</v>
      </c>
      <c r="F1110" s="43" t="s">
        <v>5596</v>
      </c>
      <c r="G1110" s="45">
        <f t="shared" si="4"/>
        <v>93.539999999999992</v>
      </c>
      <c r="H1110" s="46">
        <v>42269</v>
      </c>
      <c r="I1110" s="45" t="s">
        <v>3916</v>
      </c>
      <c r="J1110" s="45" t="s">
        <v>5597</v>
      </c>
      <c r="K1110" s="45" t="s">
        <v>141</v>
      </c>
      <c r="L1110" s="45">
        <v>5</v>
      </c>
      <c r="M1110" s="48" t="s">
        <v>3824</v>
      </c>
      <c r="N1110" s="48" t="s">
        <v>1845</v>
      </c>
      <c r="O1110" s="44" t="s">
        <v>5598</v>
      </c>
    </row>
    <row r="1111" spans="1:15" x14ac:dyDescent="0.15">
      <c r="A1111" s="50" t="s">
        <v>1675</v>
      </c>
      <c r="B1111" s="42"/>
      <c r="C1111" s="43"/>
      <c r="D1111" s="44" t="s">
        <v>1669</v>
      </c>
      <c r="E1111" s="41" t="s">
        <v>137</v>
      </c>
      <c r="F1111" s="43" t="s">
        <v>5599</v>
      </c>
      <c r="G1111" s="47">
        <f>13.006*L1111</f>
        <v>169.078</v>
      </c>
      <c r="H1111" s="46">
        <v>42269</v>
      </c>
      <c r="I1111" s="45" t="s">
        <v>4341</v>
      </c>
      <c r="J1111" s="45" t="s">
        <v>5600</v>
      </c>
      <c r="K1111" s="47" t="s">
        <v>141</v>
      </c>
      <c r="L1111" s="45">
        <v>13</v>
      </c>
      <c r="M1111" s="48" t="s">
        <v>5189</v>
      </c>
      <c r="N1111" s="48" t="s">
        <v>473</v>
      </c>
      <c r="O1111" s="44" t="s">
        <v>5601</v>
      </c>
    </row>
    <row r="1112" spans="1:15" x14ac:dyDescent="0.15">
      <c r="A1112" s="21" t="s">
        <v>4339</v>
      </c>
      <c r="B1112" s="19"/>
      <c r="C1112" s="11"/>
      <c r="D1112" s="17" t="s">
        <v>1669</v>
      </c>
      <c r="E1112" s="10" t="s">
        <v>137</v>
      </c>
      <c r="F1112" s="11" t="s">
        <v>5602</v>
      </c>
      <c r="G1112" s="18">
        <f>13.006*L1112</f>
        <v>325.14999999999998</v>
      </c>
      <c r="H1112" s="13">
        <v>42269</v>
      </c>
      <c r="I1112" s="12" t="s">
        <v>4341</v>
      </c>
      <c r="J1112" s="12" t="s">
        <v>5603</v>
      </c>
      <c r="K1112" s="18" t="s">
        <v>141</v>
      </c>
      <c r="L1112" s="12">
        <v>25</v>
      </c>
      <c r="M1112" s="14" t="s">
        <v>5604</v>
      </c>
      <c r="N1112" s="14" t="s">
        <v>338</v>
      </c>
      <c r="O1112" s="17" t="s">
        <v>5604</v>
      </c>
    </row>
    <row r="1113" spans="1:15" x14ac:dyDescent="0.15">
      <c r="A1113" s="21" t="s">
        <v>5605</v>
      </c>
      <c r="B1113" s="11" t="s">
        <v>5062</v>
      </c>
      <c r="C1113" s="11"/>
      <c r="D1113" s="17" t="s">
        <v>223</v>
      </c>
      <c r="E1113" s="10" t="s">
        <v>137</v>
      </c>
      <c r="F1113" s="11" t="s">
        <v>5606</v>
      </c>
      <c r="G1113" s="12">
        <f>29.101*L1113/2</f>
        <v>87.302999999999997</v>
      </c>
      <c r="H1113" s="13">
        <v>42269</v>
      </c>
      <c r="I1113" s="12" t="s">
        <v>5064</v>
      </c>
      <c r="J1113" s="12" t="s">
        <v>5607</v>
      </c>
      <c r="K1113" s="12" t="s">
        <v>141</v>
      </c>
      <c r="L1113" s="12">
        <v>6</v>
      </c>
      <c r="M1113" s="14" t="s">
        <v>5608</v>
      </c>
      <c r="N1113" s="14" t="s">
        <v>4675</v>
      </c>
      <c r="O1113" s="17" t="s">
        <v>5608</v>
      </c>
    </row>
    <row r="1114" spans="1:15" x14ac:dyDescent="0.15">
      <c r="A1114" s="50" t="s">
        <v>5254</v>
      </c>
      <c r="B1114" s="42"/>
      <c r="C1114" s="43"/>
      <c r="D1114" s="44" t="s">
        <v>54</v>
      </c>
      <c r="E1114" s="41" t="s">
        <v>137</v>
      </c>
      <c r="F1114" s="43" t="s">
        <v>5609</v>
      </c>
      <c r="G1114" s="47">
        <f>6.405*L1114</f>
        <v>96.075000000000003</v>
      </c>
      <c r="H1114" s="46">
        <v>42269</v>
      </c>
      <c r="I1114" s="45" t="s">
        <v>5070</v>
      </c>
      <c r="J1114" s="45" t="s">
        <v>5610</v>
      </c>
      <c r="K1114" s="45" t="s">
        <v>132</v>
      </c>
      <c r="L1114" s="45">
        <v>15</v>
      </c>
      <c r="M1114" s="48" t="s">
        <v>5611</v>
      </c>
      <c r="N1114" s="48" t="s">
        <v>1151</v>
      </c>
      <c r="O1114" s="44" t="s">
        <v>5611</v>
      </c>
    </row>
    <row r="1115" spans="1:15" x14ac:dyDescent="0.15">
      <c r="A1115" s="21" t="s">
        <v>3926</v>
      </c>
      <c r="B1115" s="19"/>
      <c r="C1115" s="11"/>
      <c r="D1115" s="17" t="s">
        <v>2920</v>
      </c>
      <c r="E1115" s="10" t="s">
        <v>137</v>
      </c>
      <c r="F1115" s="11" t="s">
        <v>5612</v>
      </c>
      <c r="G1115" s="12">
        <f>20.816*L1115</f>
        <v>520.4</v>
      </c>
      <c r="H1115" s="13">
        <v>42269</v>
      </c>
      <c r="I1115" s="12" t="s">
        <v>3928</v>
      </c>
      <c r="J1115" s="12" t="s">
        <v>5613</v>
      </c>
      <c r="K1115" s="12" t="s">
        <v>3887</v>
      </c>
      <c r="L1115" s="12">
        <v>25</v>
      </c>
      <c r="M1115" s="14" t="s">
        <v>5614</v>
      </c>
      <c r="N1115" s="14" t="s">
        <v>338</v>
      </c>
      <c r="O1115" s="17" t="s">
        <v>5614</v>
      </c>
    </row>
    <row r="1116" spans="1:15" x14ac:dyDescent="0.15">
      <c r="A1116" s="21" t="s">
        <v>1589</v>
      </c>
      <c r="B1116" s="19"/>
      <c r="C1116" s="11"/>
      <c r="D1116" s="17" t="s">
        <v>2920</v>
      </c>
      <c r="E1116" s="10" t="s">
        <v>137</v>
      </c>
      <c r="F1116" s="11" t="s">
        <v>5615</v>
      </c>
      <c r="G1116" s="12">
        <f>20.816*L1116</f>
        <v>312.24</v>
      </c>
      <c r="H1116" s="13">
        <v>42269</v>
      </c>
      <c r="I1116" s="12" t="s">
        <v>3928</v>
      </c>
      <c r="J1116" s="12" t="s">
        <v>5616</v>
      </c>
      <c r="K1116" s="12" t="s">
        <v>3887</v>
      </c>
      <c r="L1116" s="12">
        <v>15</v>
      </c>
      <c r="M1116" s="14" t="s">
        <v>5617</v>
      </c>
      <c r="N1116" s="14" t="s">
        <v>236</v>
      </c>
      <c r="O1116" s="17" t="s">
        <v>5617</v>
      </c>
    </row>
    <row r="1117" spans="1:15" x14ac:dyDescent="0.15">
      <c r="A1117" s="50" t="s">
        <v>4100</v>
      </c>
      <c r="B1117" s="42"/>
      <c r="C1117" s="43"/>
      <c r="D1117" s="44" t="s">
        <v>1230</v>
      </c>
      <c r="E1117" s="41" t="s">
        <v>137</v>
      </c>
      <c r="F1117" s="43" t="s">
        <v>5618</v>
      </c>
      <c r="G1117" s="45">
        <f>29.911*L1117</f>
        <v>358.93200000000002</v>
      </c>
      <c r="H1117" s="46">
        <v>42269</v>
      </c>
      <c r="I1117" s="45" t="s">
        <v>4101</v>
      </c>
      <c r="J1117" s="45" t="s">
        <v>5619</v>
      </c>
      <c r="K1117" s="45" t="s">
        <v>3898</v>
      </c>
      <c r="L1117" s="45">
        <v>12</v>
      </c>
      <c r="M1117" s="48" t="s">
        <v>5620</v>
      </c>
      <c r="N1117" s="48" t="s">
        <v>242</v>
      </c>
      <c r="O1117" s="44" t="s">
        <v>5620</v>
      </c>
    </row>
    <row r="1118" spans="1:15" x14ac:dyDescent="0.15">
      <c r="A1118" s="21" t="s">
        <v>5621</v>
      </c>
      <c r="B1118" s="19"/>
      <c r="C1118" s="11"/>
      <c r="D1118" s="17" t="s">
        <v>1525</v>
      </c>
      <c r="E1118" s="10" t="s">
        <v>137</v>
      </c>
      <c r="F1118" s="11" t="s">
        <v>5622</v>
      </c>
      <c r="G1118" s="18">
        <f>17.498*L1118</f>
        <v>87.490000000000009</v>
      </c>
      <c r="H1118" s="13">
        <v>42269</v>
      </c>
      <c r="I1118" s="12" t="s">
        <v>139</v>
      </c>
      <c r="J1118" s="12" t="s">
        <v>5623</v>
      </c>
      <c r="K1118" s="12" t="s">
        <v>141</v>
      </c>
      <c r="L1118" s="12">
        <v>5</v>
      </c>
      <c r="M1118" s="14" t="s">
        <v>2869</v>
      </c>
      <c r="N1118" s="14" t="s">
        <v>500</v>
      </c>
      <c r="O1118" s="17" t="s">
        <v>5624</v>
      </c>
    </row>
    <row r="1119" spans="1:15" x14ac:dyDescent="0.15">
      <c r="A1119" s="50" t="s">
        <v>5625</v>
      </c>
      <c r="B1119" s="42" t="s">
        <v>5062</v>
      </c>
      <c r="C1119" s="43"/>
      <c r="D1119" s="44" t="s">
        <v>1230</v>
      </c>
      <c r="E1119" s="41" t="s">
        <v>137</v>
      </c>
      <c r="F1119" s="43" t="s">
        <v>5626</v>
      </c>
      <c r="G1119" s="45">
        <f>29.911*L1119/2</f>
        <v>59.822000000000003</v>
      </c>
      <c r="H1119" s="46">
        <v>42269</v>
      </c>
      <c r="I1119" s="45" t="s">
        <v>139</v>
      </c>
      <c r="J1119" s="45" t="s">
        <v>5627</v>
      </c>
      <c r="K1119" s="45" t="s">
        <v>21</v>
      </c>
      <c r="L1119" s="45">
        <v>4</v>
      </c>
      <c r="M1119" s="48" t="s">
        <v>5620</v>
      </c>
      <c r="N1119" s="48" t="s">
        <v>5628</v>
      </c>
      <c r="O1119" s="44" t="s">
        <v>5629</v>
      </c>
    </row>
    <row r="1120" spans="1:15" x14ac:dyDescent="0.15">
      <c r="A1120" s="21" t="s">
        <v>136</v>
      </c>
      <c r="B1120" s="19"/>
      <c r="C1120" s="11"/>
      <c r="D1120" s="17" t="s">
        <v>54</v>
      </c>
      <c r="E1120" s="10" t="s">
        <v>137</v>
      </c>
      <c r="F1120" s="11" t="s">
        <v>5630</v>
      </c>
      <c r="G1120" s="18">
        <f>6.405*L1120</f>
        <v>96.075000000000003</v>
      </c>
      <c r="H1120" s="13">
        <v>42269</v>
      </c>
      <c r="I1120" s="12" t="s">
        <v>139</v>
      </c>
      <c r="J1120" s="12" t="s">
        <v>5631</v>
      </c>
      <c r="K1120" s="12" t="s">
        <v>141</v>
      </c>
      <c r="L1120" s="12">
        <v>15</v>
      </c>
      <c r="M1120" s="14" t="s">
        <v>5632</v>
      </c>
      <c r="N1120" s="14" t="s">
        <v>1151</v>
      </c>
      <c r="O1120" s="17" t="s">
        <v>5632</v>
      </c>
    </row>
    <row r="1121" spans="1:15" x14ac:dyDescent="0.15">
      <c r="A1121" s="21" t="s">
        <v>4981</v>
      </c>
      <c r="B1121" s="19"/>
      <c r="C1121" s="11"/>
      <c r="D1121" s="17" t="s">
        <v>54</v>
      </c>
      <c r="E1121" s="10" t="s">
        <v>137</v>
      </c>
      <c r="F1121" s="11" t="s">
        <v>5633</v>
      </c>
      <c r="G1121" s="12">
        <f>6.405*L1121</f>
        <v>64.05</v>
      </c>
      <c r="H1121" s="13">
        <v>42269</v>
      </c>
      <c r="I1121" s="12" t="s">
        <v>139</v>
      </c>
      <c r="J1121" s="12" t="s">
        <v>5634</v>
      </c>
      <c r="K1121" s="12" t="s">
        <v>141</v>
      </c>
      <c r="L1121" s="12">
        <v>10</v>
      </c>
      <c r="M1121" s="14" t="s">
        <v>5611</v>
      </c>
      <c r="N1121" s="14" t="s">
        <v>58</v>
      </c>
      <c r="O1121" s="17" t="s">
        <v>5635</v>
      </c>
    </row>
    <row r="1122" spans="1:15" x14ac:dyDescent="0.15">
      <c r="A1122" s="21" t="s">
        <v>4981</v>
      </c>
      <c r="B1122" s="19"/>
      <c r="C1122" s="11"/>
      <c r="D1122" s="17" t="s">
        <v>54</v>
      </c>
      <c r="E1122" s="10" t="s">
        <v>137</v>
      </c>
      <c r="F1122" s="11" t="s">
        <v>5636</v>
      </c>
      <c r="G1122" s="12">
        <f>6.405*L1122</f>
        <v>64.05</v>
      </c>
      <c r="H1122" s="13">
        <v>42269</v>
      </c>
      <c r="I1122" s="12" t="s">
        <v>139</v>
      </c>
      <c r="J1122" s="12" t="s">
        <v>5637</v>
      </c>
      <c r="K1122" s="12" t="s">
        <v>141</v>
      </c>
      <c r="L1122" s="12">
        <v>10</v>
      </c>
      <c r="M1122" s="14" t="s">
        <v>5632</v>
      </c>
      <c r="N1122" s="14" t="s">
        <v>58</v>
      </c>
      <c r="O1122" s="17" t="s">
        <v>5638</v>
      </c>
    </row>
    <row r="1123" spans="1:15" x14ac:dyDescent="0.15">
      <c r="A1123" s="21" t="s">
        <v>4696</v>
      </c>
      <c r="B1123" s="19"/>
      <c r="C1123" s="11"/>
      <c r="D1123" s="17" t="s">
        <v>612</v>
      </c>
      <c r="E1123" s="10" t="s">
        <v>137</v>
      </c>
      <c r="F1123" s="11" t="s">
        <v>5639</v>
      </c>
      <c r="G1123" s="18">
        <f>6.405*L1123</f>
        <v>83.265000000000001</v>
      </c>
      <c r="H1123" s="13">
        <v>42269</v>
      </c>
      <c r="I1123" s="12" t="s">
        <v>139</v>
      </c>
      <c r="J1123" s="12" t="s">
        <v>5640</v>
      </c>
      <c r="K1123" s="12" t="s">
        <v>141</v>
      </c>
      <c r="L1123" s="12">
        <v>13</v>
      </c>
      <c r="M1123" s="14" t="s">
        <v>5363</v>
      </c>
      <c r="N1123" s="14" t="s">
        <v>473</v>
      </c>
      <c r="O1123" s="17" t="s">
        <v>5641</v>
      </c>
    </row>
    <row r="1124" spans="1:15" x14ac:dyDescent="0.15">
      <c r="A1124" s="50" t="s">
        <v>5364</v>
      </c>
      <c r="B1124" s="42"/>
      <c r="C1124" s="43"/>
      <c r="D1124" s="44" t="s">
        <v>97</v>
      </c>
      <c r="E1124" s="41" t="s">
        <v>137</v>
      </c>
      <c r="F1124" s="43" t="s">
        <v>5642</v>
      </c>
      <c r="G1124" s="52">
        <f>12.838*L1124</f>
        <v>64.19</v>
      </c>
      <c r="H1124" s="46">
        <v>42269</v>
      </c>
      <c r="I1124" s="45" t="s">
        <v>139</v>
      </c>
      <c r="J1124" s="45" t="s">
        <v>5643</v>
      </c>
      <c r="K1124" s="45" t="s">
        <v>141</v>
      </c>
      <c r="L1124" s="45">
        <v>5</v>
      </c>
      <c r="M1124" s="48" t="s">
        <v>5193</v>
      </c>
      <c r="N1124" s="48" t="s">
        <v>1689</v>
      </c>
      <c r="O1124" s="44" t="s">
        <v>5644</v>
      </c>
    </row>
    <row r="1125" spans="1:15" x14ac:dyDescent="0.15">
      <c r="A1125" s="21" t="s">
        <v>5645</v>
      </c>
      <c r="B1125" s="19"/>
      <c r="C1125" s="11"/>
      <c r="D1125" s="17" t="s">
        <v>5646</v>
      </c>
      <c r="E1125" s="10" t="s">
        <v>137</v>
      </c>
      <c r="F1125" s="11" t="s">
        <v>5647</v>
      </c>
      <c r="G1125" s="12">
        <f>17.52*L1125</f>
        <v>87.6</v>
      </c>
      <c r="H1125" s="13">
        <v>42269</v>
      </c>
      <c r="I1125" s="12" t="s">
        <v>3874</v>
      </c>
      <c r="J1125" s="12" t="s">
        <v>5648</v>
      </c>
      <c r="K1125" s="12" t="s">
        <v>141</v>
      </c>
      <c r="L1125" s="12">
        <v>5</v>
      </c>
      <c r="M1125" s="14" t="s">
        <v>5649</v>
      </c>
      <c r="N1125" s="14" t="s">
        <v>5650</v>
      </c>
      <c r="O1125" s="17" t="s">
        <v>5651</v>
      </c>
    </row>
    <row r="1126" spans="1:15" x14ac:dyDescent="0.15">
      <c r="A1126" s="21" t="s">
        <v>4915</v>
      </c>
      <c r="B1126" s="19"/>
      <c r="C1126" s="11"/>
      <c r="D1126" s="17" t="s">
        <v>4916</v>
      </c>
      <c r="E1126" s="10" t="s">
        <v>137</v>
      </c>
      <c r="F1126" s="11" t="s">
        <v>5652</v>
      </c>
      <c r="G1126" s="12">
        <f>17.52*L1126</f>
        <v>52.56</v>
      </c>
      <c r="H1126" s="13">
        <v>42269</v>
      </c>
      <c r="I1126" s="18" t="s">
        <v>4169</v>
      </c>
      <c r="J1126" s="18" t="s">
        <v>5653</v>
      </c>
      <c r="K1126" s="18" t="s">
        <v>141</v>
      </c>
      <c r="L1126" s="12">
        <v>3</v>
      </c>
      <c r="M1126" s="14" t="s">
        <v>5654</v>
      </c>
      <c r="N1126" s="14" t="s">
        <v>5655</v>
      </c>
      <c r="O1126" s="17" t="s">
        <v>5656</v>
      </c>
    </row>
    <row r="1127" spans="1:15" x14ac:dyDescent="0.15">
      <c r="A1127" s="21" t="s">
        <v>5657</v>
      </c>
      <c r="B1127" s="19"/>
      <c r="C1127" s="11"/>
      <c r="D1127" s="17" t="s">
        <v>5658</v>
      </c>
      <c r="E1127" s="10" t="s">
        <v>137</v>
      </c>
      <c r="F1127" s="11" t="s">
        <v>5659</v>
      </c>
      <c r="G1127" s="12">
        <f>17.52*L1127</f>
        <v>87.6</v>
      </c>
      <c r="H1127" s="13">
        <v>42269</v>
      </c>
      <c r="I1127" s="12" t="s">
        <v>3874</v>
      </c>
      <c r="J1127" s="12" t="s">
        <v>5660</v>
      </c>
      <c r="K1127" s="12" t="s">
        <v>21</v>
      </c>
      <c r="L1127" s="12">
        <v>5</v>
      </c>
      <c r="M1127" s="14" t="s">
        <v>550</v>
      </c>
      <c r="N1127" s="14" t="s">
        <v>4542</v>
      </c>
      <c r="O1127" s="17" t="s">
        <v>5661</v>
      </c>
    </row>
    <row r="1128" spans="1:15" x14ac:dyDescent="0.15">
      <c r="A1128" s="50" t="s">
        <v>3974</v>
      </c>
      <c r="B1128" s="42"/>
      <c r="C1128" s="43"/>
      <c r="D1128" s="44" t="s">
        <v>5662</v>
      </c>
      <c r="E1128" s="41" t="s">
        <v>137</v>
      </c>
      <c r="F1128" s="43" t="s">
        <v>5663</v>
      </c>
      <c r="G1128" s="45">
        <v>69.694999999999993</v>
      </c>
      <c r="H1128" s="46">
        <v>42269</v>
      </c>
      <c r="I1128" s="47" t="s">
        <v>3866</v>
      </c>
      <c r="J1128" s="45" t="s">
        <v>5664</v>
      </c>
      <c r="K1128" s="45" t="s">
        <v>3898</v>
      </c>
      <c r="L1128" s="45" t="s">
        <v>5665</v>
      </c>
      <c r="M1128" s="48" t="s">
        <v>5666</v>
      </c>
      <c r="N1128" s="48" t="s">
        <v>5667</v>
      </c>
      <c r="O1128" s="44" t="s">
        <v>5668</v>
      </c>
    </row>
    <row r="1129" spans="1:15" x14ac:dyDescent="0.15">
      <c r="A1129" s="21" t="s">
        <v>5444</v>
      </c>
      <c r="B1129" s="19"/>
      <c r="C1129" s="11"/>
      <c r="D1129" s="17" t="s">
        <v>5445</v>
      </c>
      <c r="E1129" s="10" t="s">
        <v>137</v>
      </c>
      <c r="F1129" s="11" t="s">
        <v>5669</v>
      </c>
      <c r="G1129" s="12">
        <f>27.688*L1129</f>
        <v>193.816</v>
      </c>
      <c r="H1129" s="13">
        <v>42269</v>
      </c>
      <c r="I1129" s="12" t="s">
        <v>3874</v>
      </c>
      <c r="J1129" s="12" t="s">
        <v>5670</v>
      </c>
      <c r="K1129" s="12" t="s">
        <v>141</v>
      </c>
      <c r="L1129" s="12">
        <v>7</v>
      </c>
      <c r="M1129" s="14" t="s">
        <v>5671</v>
      </c>
      <c r="N1129" s="14" t="s">
        <v>4400</v>
      </c>
      <c r="O1129" s="17" t="s">
        <v>5672</v>
      </c>
    </row>
    <row r="1130" spans="1:15" x14ac:dyDescent="0.15">
      <c r="A1130" s="21" t="s">
        <v>4573</v>
      </c>
      <c r="B1130" s="19"/>
      <c r="C1130" s="11"/>
      <c r="D1130" s="17" t="s">
        <v>4574</v>
      </c>
      <c r="E1130" s="10" t="s">
        <v>137</v>
      </c>
      <c r="F1130" s="11" t="s">
        <v>5673</v>
      </c>
      <c r="G1130" s="12">
        <f>17.498*L1130</f>
        <v>157.482</v>
      </c>
      <c r="H1130" s="13">
        <v>42269</v>
      </c>
      <c r="I1130" s="12" t="s">
        <v>3874</v>
      </c>
      <c r="J1130" s="12" t="s">
        <v>5674</v>
      </c>
      <c r="K1130" s="12" t="s">
        <v>141</v>
      </c>
      <c r="L1130" s="12">
        <v>9</v>
      </c>
      <c r="M1130" s="14" t="s">
        <v>5675</v>
      </c>
      <c r="N1130" s="14" t="s">
        <v>5676</v>
      </c>
      <c r="O1130" s="17" t="s">
        <v>5677</v>
      </c>
    </row>
    <row r="1131" spans="1:15" x14ac:dyDescent="0.15">
      <c r="A1131" s="50" t="s">
        <v>4573</v>
      </c>
      <c r="B1131" s="42"/>
      <c r="C1131" s="43"/>
      <c r="D1131" s="44" t="s">
        <v>4574</v>
      </c>
      <c r="E1131" s="41" t="s">
        <v>137</v>
      </c>
      <c r="F1131" s="43" t="s">
        <v>5678</v>
      </c>
      <c r="G1131" s="45">
        <f>17.498*L1131</f>
        <v>52.494</v>
      </c>
      <c r="H1131" s="46">
        <v>42269</v>
      </c>
      <c r="I1131" s="45" t="s">
        <v>3874</v>
      </c>
      <c r="J1131" s="45" t="s">
        <v>5679</v>
      </c>
      <c r="K1131" s="45" t="s">
        <v>141</v>
      </c>
      <c r="L1131" s="45">
        <v>3</v>
      </c>
      <c r="M1131" s="48" t="s">
        <v>5680</v>
      </c>
      <c r="N1131" s="48" t="s">
        <v>4451</v>
      </c>
      <c r="O1131" s="44" t="s">
        <v>5681</v>
      </c>
    </row>
    <row r="1132" spans="1:15" x14ac:dyDescent="0.15">
      <c r="A1132" s="21" t="s">
        <v>4729</v>
      </c>
      <c r="B1132" s="19"/>
      <c r="C1132" s="11"/>
      <c r="D1132" s="17" t="s">
        <v>5682</v>
      </c>
      <c r="E1132" s="10" t="s">
        <v>137</v>
      </c>
      <c r="F1132" s="11" t="s">
        <v>5683</v>
      </c>
      <c r="G1132" s="12">
        <f>L1132*17.498</f>
        <v>437.45000000000005</v>
      </c>
      <c r="H1132" s="13">
        <v>42269</v>
      </c>
      <c r="I1132" s="12" t="s">
        <v>3874</v>
      </c>
      <c r="J1132" s="12" t="s">
        <v>5684</v>
      </c>
      <c r="K1132" s="12" t="s">
        <v>141</v>
      </c>
      <c r="L1132" s="12">
        <v>25</v>
      </c>
      <c r="M1132" s="14" t="s">
        <v>5685</v>
      </c>
      <c r="N1132" s="14" t="s">
        <v>3967</v>
      </c>
      <c r="O1132" s="17" t="s">
        <v>5686</v>
      </c>
    </row>
    <row r="1133" spans="1:15" x14ac:dyDescent="0.15">
      <c r="A1133" s="21" t="s">
        <v>4549</v>
      </c>
      <c r="B1133" s="19"/>
      <c r="C1133" s="11"/>
      <c r="D1133" s="17" t="s">
        <v>4614</v>
      </c>
      <c r="E1133" s="10" t="s">
        <v>137</v>
      </c>
      <c r="F1133" s="11" t="s">
        <v>5687</v>
      </c>
      <c r="G1133" s="12">
        <f>29.101*L1133</f>
        <v>727.52499999999998</v>
      </c>
      <c r="H1133" s="13">
        <v>42269</v>
      </c>
      <c r="I1133" s="12" t="s">
        <v>4886</v>
      </c>
      <c r="J1133" s="12" t="s">
        <v>5688</v>
      </c>
      <c r="K1133" s="12" t="s">
        <v>141</v>
      </c>
      <c r="L1133" s="12">
        <v>25</v>
      </c>
      <c r="M1133" s="14" t="s">
        <v>5689</v>
      </c>
      <c r="N1133" s="14" t="s">
        <v>338</v>
      </c>
      <c r="O1133" s="17" t="s">
        <v>5689</v>
      </c>
    </row>
    <row r="1134" spans="1:15" x14ac:dyDescent="0.15">
      <c r="A1134" s="50" t="s">
        <v>4549</v>
      </c>
      <c r="B1134" s="42"/>
      <c r="C1134" s="43"/>
      <c r="D1134" s="44" t="s">
        <v>4614</v>
      </c>
      <c r="E1134" s="41" t="s">
        <v>137</v>
      </c>
      <c r="F1134" s="43" t="s">
        <v>5690</v>
      </c>
      <c r="G1134" s="45">
        <f>29.101*L1134</f>
        <v>727.52499999999998</v>
      </c>
      <c r="H1134" s="46">
        <v>42269</v>
      </c>
      <c r="I1134" s="45" t="s">
        <v>4886</v>
      </c>
      <c r="J1134" s="45" t="s">
        <v>5691</v>
      </c>
      <c r="K1134" s="45" t="s">
        <v>141</v>
      </c>
      <c r="L1134" s="45">
        <v>25</v>
      </c>
      <c r="M1134" s="48" t="s">
        <v>5692</v>
      </c>
      <c r="N1134" s="48" t="s">
        <v>338</v>
      </c>
      <c r="O1134" s="44" t="s">
        <v>5693</v>
      </c>
    </row>
    <row r="1135" spans="1:15" x14ac:dyDescent="0.15">
      <c r="A1135" s="21" t="s">
        <v>4549</v>
      </c>
      <c r="B1135" s="19"/>
      <c r="C1135" s="11"/>
      <c r="D1135" s="17" t="s">
        <v>4614</v>
      </c>
      <c r="E1135" s="10" t="s">
        <v>137</v>
      </c>
      <c r="F1135" s="11" t="s">
        <v>5694</v>
      </c>
      <c r="G1135" s="12">
        <f>29.101*L1135</f>
        <v>727.52499999999998</v>
      </c>
      <c r="H1135" s="13">
        <v>42269</v>
      </c>
      <c r="I1135" s="12" t="s">
        <v>4886</v>
      </c>
      <c r="J1135" s="12" t="s">
        <v>5695</v>
      </c>
      <c r="K1135" s="12" t="s">
        <v>141</v>
      </c>
      <c r="L1135" s="12">
        <v>25</v>
      </c>
      <c r="M1135" s="14" t="s">
        <v>5696</v>
      </c>
      <c r="N1135" s="14" t="s">
        <v>338</v>
      </c>
      <c r="O1135" s="17" t="s">
        <v>5697</v>
      </c>
    </row>
    <row r="1136" spans="1:15" x14ac:dyDescent="0.15">
      <c r="A1136" s="21" t="s">
        <v>4804</v>
      </c>
      <c r="B1136" s="19"/>
      <c r="C1136" s="11"/>
      <c r="D1136" s="17" t="s">
        <v>5465</v>
      </c>
      <c r="E1136" s="10" t="s">
        <v>137</v>
      </c>
      <c r="F1136" s="11" t="s">
        <v>5698</v>
      </c>
      <c r="G1136" s="18">
        <f>18.708*L1136</f>
        <v>467.69999999999993</v>
      </c>
      <c r="H1136" s="13">
        <v>42269</v>
      </c>
      <c r="I1136" s="12" t="s">
        <v>3866</v>
      </c>
      <c r="J1136" s="12" t="s">
        <v>5699</v>
      </c>
      <c r="K1136" s="12" t="s">
        <v>141</v>
      </c>
      <c r="L1136" s="12">
        <v>25</v>
      </c>
      <c r="M1136" s="14" t="s">
        <v>5700</v>
      </c>
      <c r="N1136" s="14" t="s">
        <v>3967</v>
      </c>
      <c r="O1136" s="17" t="s">
        <v>5701</v>
      </c>
    </row>
    <row r="1137" spans="1:15" x14ac:dyDescent="0.15">
      <c r="A1137" s="50" t="s">
        <v>4623</v>
      </c>
      <c r="B1137" s="42"/>
      <c r="C1137" s="43"/>
      <c r="D1137" s="44" t="s">
        <v>4625</v>
      </c>
      <c r="E1137" s="41" t="s">
        <v>137</v>
      </c>
      <c r="F1137" s="43" t="s">
        <v>5702</v>
      </c>
      <c r="G1137" s="45">
        <f>L1137*17.712</f>
        <v>177.12</v>
      </c>
      <c r="H1137" s="46">
        <v>42269</v>
      </c>
      <c r="I1137" s="45" t="s">
        <v>3874</v>
      </c>
      <c r="J1137" s="45" t="s">
        <v>5703</v>
      </c>
      <c r="K1137" s="45" t="s">
        <v>141</v>
      </c>
      <c r="L1137" s="45">
        <v>10</v>
      </c>
      <c r="M1137" s="48" t="s">
        <v>5474</v>
      </c>
      <c r="N1137" s="48" t="s">
        <v>4935</v>
      </c>
      <c r="O1137" s="44" t="s">
        <v>5704</v>
      </c>
    </row>
    <row r="1138" spans="1:15" x14ac:dyDescent="0.15">
      <c r="A1138" s="21" t="s">
        <v>5471</v>
      </c>
      <c r="B1138" s="19"/>
      <c r="C1138" s="11"/>
      <c r="D1138" s="17" t="s">
        <v>4625</v>
      </c>
      <c r="E1138" s="10" t="s">
        <v>137</v>
      </c>
      <c r="F1138" s="11" t="s">
        <v>5705</v>
      </c>
      <c r="G1138" s="12">
        <f>17.712*L1138</f>
        <v>442.8</v>
      </c>
      <c r="H1138" s="13">
        <v>42269</v>
      </c>
      <c r="I1138" s="12" t="s">
        <v>3874</v>
      </c>
      <c r="J1138" s="12" t="s">
        <v>5706</v>
      </c>
      <c r="K1138" s="12" t="s">
        <v>141</v>
      </c>
      <c r="L1138" s="12">
        <v>25</v>
      </c>
      <c r="M1138" s="14" t="s">
        <v>5707</v>
      </c>
      <c r="N1138" s="14" t="s">
        <v>3967</v>
      </c>
      <c r="O1138" s="17" t="s">
        <v>5708</v>
      </c>
    </row>
    <row r="1139" spans="1:15" x14ac:dyDescent="0.15">
      <c r="A1139" s="50" t="s">
        <v>4856</v>
      </c>
      <c r="B1139" s="42"/>
      <c r="C1139" s="43"/>
      <c r="D1139" s="44" t="s">
        <v>5709</v>
      </c>
      <c r="E1139" s="41" t="s">
        <v>137</v>
      </c>
      <c r="F1139" s="43" t="s">
        <v>5710</v>
      </c>
      <c r="G1139" s="45">
        <f>17.498*L1139</f>
        <v>87.490000000000009</v>
      </c>
      <c r="H1139" s="46">
        <v>42269</v>
      </c>
      <c r="I1139" s="45" t="s">
        <v>3874</v>
      </c>
      <c r="J1139" s="45" t="s">
        <v>5711</v>
      </c>
      <c r="K1139" s="45" t="s">
        <v>141</v>
      </c>
      <c r="L1139" s="45">
        <v>5</v>
      </c>
      <c r="M1139" s="48" t="s">
        <v>5712</v>
      </c>
      <c r="N1139" s="48" t="s">
        <v>4115</v>
      </c>
      <c r="O1139" s="44" t="s">
        <v>5713</v>
      </c>
    </row>
    <row r="1140" spans="1:15" x14ac:dyDescent="0.15">
      <c r="A1140" s="50" t="s">
        <v>4733</v>
      </c>
      <c r="B1140" s="53" t="s">
        <v>4937</v>
      </c>
      <c r="C1140" s="43"/>
      <c r="D1140" s="44" t="s">
        <v>5714</v>
      </c>
      <c r="E1140" s="41" t="s">
        <v>137</v>
      </c>
      <c r="F1140" s="43" t="s">
        <v>5715</v>
      </c>
      <c r="G1140" s="47">
        <f>17.498*L1140</f>
        <v>262.47000000000003</v>
      </c>
      <c r="H1140" s="46">
        <v>42269</v>
      </c>
      <c r="I1140" s="45" t="s">
        <v>3874</v>
      </c>
      <c r="J1140" s="45" t="s">
        <v>5716</v>
      </c>
      <c r="K1140" s="45" t="s">
        <v>141</v>
      </c>
      <c r="L1140" s="45">
        <v>15</v>
      </c>
      <c r="M1140" s="48" t="s">
        <v>5158</v>
      </c>
      <c r="N1140" s="48" t="s">
        <v>5311</v>
      </c>
      <c r="O1140" s="44" t="s">
        <v>5717</v>
      </c>
    </row>
    <row r="1141" spans="1:15" x14ac:dyDescent="0.15">
      <c r="A1141" s="21" t="s">
        <v>3922</v>
      </c>
      <c r="B1141" s="19"/>
      <c r="C1141" s="11"/>
      <c r="D1141" s="17" t="s">
        <v>4737</v>
      </c>
      <c r="E1141" s="10" t="s">
        <v>137</v>
      </c>
      <c r="F1141" s="11" t="s">
        <v>5718</v>
      </c>
      <c r="G1141" s="12">
        <f>14.405*L1141</f>
        <v>360.125</v>
      </c>
      <c r="H1141" s="13">
        <v>42269</v>
      </c>
      <c r="I1141" s="12" t="s">
        <v>3874</v>
      </c>
      <c r="J1141" s="12" t="s">
        <v>5719</v>
      </c>
      <c r="K1141" s="12" t="s">
        <v>141</v>
      </c>
      <c r="L1141" s="12">
        <v>25</v>
      </c>
      <c r="M1141" s="14" t="s">
        <v>5720</v>
      </c>
      <c r="N1141" s="14" t="s">
        <v>3967</v>
      </c>
      <c r="O1141" s="17" t="s">
        <v>5721</v>
      </c>
    </row>
    <row r="1142" spans="1:15" x14ac:dyDescent="0.15">
      <c r="A1142" s="21" t="s">
        <v>5244</v>
      </c>
      <c r="B1142" s="19"/>
      <c r="C1142" s="11"/>
      <c r="D1142" s="17" t="s">
        <v>5722</v>
      </c>
      <c r="E1142" s="10" t="s">
        <v>137</v>
      </c>
      <c r="F1142" s="11" t="s">
        <v>5723</v>
      </c>
      <c r="G1142" s="12">
        <f>17.52*L1142</f>
        <v>262.8</v>
      </c>
      <c r="H1142" s="13">
        <v>42269</v>
      </c>
      <c r="I1142" s="12" t="s">
        <v>3874</v>
      </c>
      <c r="J1142" s="12" t="s">
        <v>5724</v>
      </c>
      <c r="K1142" s="12" t="s">
        <v>141</v>
      </c>
      <c r="L1142" s="12">
        <v>15</v>
      </c>
      <c r="M1142" s="14" t="s">
        <v>5725</v>
      </c>
      <c r="N1142" s="14" t="s">
        <v>5311</v>
      </c>
      <c r="O1142" s="17" t="s">
        <v>5726</v>
      </c>
    </row>
    <row r="1143" spans="1:15" x14ac:dyDescent="0.15">
      <c r="A1143" s="50" t="s">
        <v>5291</v>
      </c>
      <c r="B1143" s="42" t="s">
        <v>180</v>
      </c>
      <c r="C1143" s="43"/>
      <c r="D1143" s="44" t="s">
        <v>5727</v>
      </c>
      <c r="E1143" s="41" t="s">
        <v>137</v>
      </c>
      <c r="F1143" s="43" t="s">
        <v>5728</v>
      </c>
      <c r="G1143" s="45">
        <f>29.101*L1143</f>
        <v>29.100999999999999</v>
      </c>
      <c r="H1143" s="46">
        <v>42269</v>
      </c>
      <c r="I1143" s="45" t="s">
        <v>5294</v>
      </c>
      <c r="J1143" s="45" t="s">
        <v>5729</v>
      </c>
      <c r="K1143" s="45" t="s">
        <v>141</v>
      </c>
      <c r="L1143" s="45">
        <v>1</v>
      </c>
      <c r="M1143" s="48" t="s">
        <v>5730</v>
      </c>
      <c r="N1143" s="48" t="s">
        <v>5731</v>
      </c>
      <c r="O1143" s="44" t="s">
        <v>5732</v>
      </c>
    </row>
    <row r="1144" spans="1:15" s="62" customFormat="1" x14ac:dyDescent="0.15">
      <c r="A1144" s="17" t="s">
        <v>6625</v>
      </c>
      <c r="B1144" s="19"/>
      <c r="C1144" s="11"/>
      <c r="D1144" s="17" t="s">
        <v>5733</v>
      </c>
      <c r="E1144" s="10" t="s">
        <v>5557</v>
      </c>
      <c r="F1144" s="11" t="s">
        <v>5734</v>
      </c>
      <c r="G1144" s="12">
        <f>35.474*L1144</f>
        <v>886.84999999999991</v>
      </c>
      <c r="H1144" s="13">
        <v>42269</v>
      </c>
      <c r="I1144" s="12" t="s">
        <v>5559</v>
      </c>
      <c r="J1144" s="12" t="s">
        <v>5735</v>
      </c>
      <c r="K1144" s="12" t="s">
        <v>141</v>
      </c>
      <c r="L1144" s="12">
        <v>25</v>
      </c>
      <c r="M1144" s="14" t="s">
        <v>5736</v>
      </c>
      <c r="N1144" s="14" t="s">
        <v>3967</v>
      </c>
      <c r="O1144" s="17" t="s">
        <v>5737</v>
      </c>
    </row>
    <row r="1145" spans="1:15" x14ac:dyDescent="0.15">
      <c r="A1145" s="50" t="s">
        <v>5471</v>
      </c>
      <c r="B1145" s="42"/>
      <c r="C1145" s="43"/>
      <c r="D1145" s="44" t="s">
        <v>8408</v>
      </c>
      <c r="E1145" s="41" t="s">
        <v>137</v>
      </c>
      <c r="F1145" s="43" t="s">
        <v>5738</v>
      </c>
      <c r="G1145" s="45">
        <f>17.712*L1145</f>
        <v>265.68</v>
      </c>
      <c r="H1145" s="46">
        <v>42269</v>
      </c>
      <c r="I1145" s="45" t="s">
        <v>3874</v>
      </c>
      <c r="J1145" s="45" t="s">
        <v>5739</v>
      </c>
      <c r="K1145" s="45" t="s">
        <v>141</v>
      </c>
      <c r="L1145" s="45">
        <v>15</v>
      </c>
      <c r="M1145" s="48" t="s">
        <v>5740</v>
      </c>
      <c r="N1145" s="48" t="s">
        <v>5311</v>
      </c>
      <c r="O1145" s="44" t="s">
        <v>5740</v>
      </c>
    </row>
    <row r="1146" spans="1:15" x14ac:dyDescent="0.15">
      <c r="A1146" s="57" t="s">
        <v>4605</v>
      </c>
      <c r="B1146" s="42" t="s">
        <v>4592</v>
      </c>
      <c r="C1146" s="43"/>
      <c r="D1146" s="44" t="s">
        <v>1781</v>
      </c>
      <c r="E1146" s="41" t="s">
        <v>137</v>
      </c>
      <c r="F1146" s="43" t="s">
        <v>5741</v>
      </c>
      <c r="G1146" s="45">
        <f>17.52*L1146</f>
        <v>35.04</v>
      </c>
      <c r="H1146" s="46">
        <v>42271</v>
      </c>
      <c r="I1146" s="45" t="s">
        <v>3982</v>
      </c>
      <c r="J1146" s="45" t="s">
        <v>5742</v>
      </c>
      <c r="K1146" s="45" t="s">
        <v>132</v>
      </c>
      <c r="L1146" s="45">
        <v>2</v>
      </c>
      <c r="M1146" s="48" t="s">
        <v>4608</v>
      </c>
      <c r="N1146" s="48" t="s">
        <v>4753</v>
      </c>
      <c r="O1146" s="44" t="s">
        <v>5743</v>
      </c>
    </row>
    <row r="1147" spans="1:15" x14ac:dyDescent="0.15">
      <c r="A1147" s="21" t="s">
        <v>5258</v>
      </c>
      <c r="B1147" s="19"/>
      <c r="C1147" s="11"/>
      <c r="D1147" s="17" t="s">
        <v>1644</v>
      </c>
      <c r="E1147" s="10" t="s">
        <v>137</v>
      </c>
      <c r="F1147" s="11" t="s">
        <v>5744</v>
      </c>
      <c r="G1147" s="18">
        <f>17.52*L1147</f>
        <v>87.6</v>
      </c>
      <c r="H1147" s="13">
        <v>42271</v>
      </c>
      <c r="I1147" s="12" t="s">
        <v>3982</v>
      </c>
      <c r="J1147" s="12" t="s">
        <v>5745</v>
      </c>
      <c r="K1147" s="12" t="s">
        <v>3887</v>
      </c>
      <c r="L1147" s="12">
        <v>5</v>
      </c>
      <c r="M1147" s="14" t="s">
        <v>5746</v>
      </c>
      <c r="N1147" s="14" t="s">
        <v>4628</v>
      </c>
      <c r="O1147" s="17" t="s">
        <v>5746</v>
      </c>
    </row>
    <row r="1148" spans="1:15" x14ac:dyDescent="0.15">
      <c r="A1148" s="50" t="s">
        <v>3530</v>
      </c>
      <c r="B1148" s="42"/>
      <c r="C1148" s="43"/>
      <c r="D1148" s="44" t="s">
        <v>1475</v>
      </c>
      <c r="E1148" s="41" t="s">
        <v>137</v>
      </c>
      <c r="F1148" s="43" t="s">
        <v>5747</v>
      </c>
      <c r="G1148" s="45">
        <v>98.906000000000006</v>
      </c>
      <c r="H1148" s="46">
        <v>42271</v>
      </c>
      <c r="I1148" s="45" t="s">
        <v>3982</v>
      </c>
      <c r="J1148" s="45" t="s">
        <v>5748</v>
      </c>
      <c r="K1148" s="45" t="s">
        <v>3898</v>
      </c>
      <c r="L1148" s="45" t="s">
        <v>5386</v>
      </c>
      <c r="M1148" s="48" t="s">
        <v>5749</v>
      </c>
      <c r="N1148" s="48" t="s">
        <v>5750</v>
      </c>
      <c r="O1148" s="44" t="s">
        <v>5751</v>
      </c>
    </row>
    <row r="1149" spans="1:15" x14ac:dyDescent="0.15">
      <c r="A1149" s="21" t="s">
        <v>3530</v>
      </c>
      <c r="B1149" s="19"/>
      <c r="C1149" s="11"/>
      <c r="D1149" s="17" t="s">
        <v>1475</v>
      </c>
      <c r="E1149" s="10" t="s">
        <v>137</v>
      </c>
      <c r="F1149" s="11" t="s">
        <v>5752</v>
      </c>
      <c r="G1149" s="12">
        <v>98.972999999999999</v>
      </c>
      <c r="H1149" s="13">
        <v>42271</v>
      </c>
      <c r="I1149" s="12" t="s">
        <v>3982</v>
      </c>
      <c r="J1149" s="12" t="s">
        <v>5753</v>
      </c>
      <c r="K1149" s="12" t="s">
        <v>3898</v>
      </c>
      <c r="L1149" s="12" t="s">
        <v>5386</v>
      </c>
      <c r="M1149" s="14" t="s">
        <v>5754</v>
      </c>
      <c r="N1149" s="14" t="s">
        <v>5755</v>
      </c>
      <c r="O1149" s="17" t="s">
        <v>5756</v>
      </c>
    </row>
    <row r="1150" spans="1:15" x14ac:dyDescent="0.15">
      <c r="A1150" s="21" t="s">
        <v>4630</v>
      </c>
      <c r="B1150" s="19"/>
      <c r="C1150" s="11"/>
      <c r="D1150" s="17" t="s">
        <v>2503</v>
      </c>
      <c r="E1150" s="10" t="s">
        <v>137</v>
      </c>
      <c r="F1150" s="11" t="s">
        <v>5757</v>
      </c>
      <c r="G1150" s="12">
        <v>102.182</v>
      </c>
      <c r="H1150" s="13">
        <v>42271</v>
      </c>
      <c r="I1150" s="18" t="s">
        <v>3851</v>
      </c>
      <c r="J1150" s="12" t="s">
        <v>5758</v>
      </c>
      <c r="K1150" s="12" t="s">
        <v>328</v>
      </c>
      <c r="L1150" s="12" t="s">
        <v>5759</v>
      </c>
      <c r="M1150" s="14" t="s">
        <v>5760</v>
      </c>
      <c r="N1150" s="14" t="s">
        <v>5761</v>
      </c>
      <c r="O1150" s="17" t="s">
        <v>5762</v>
      </c>
    </row>
    <row r="1151" spans="1:15" x14ac:dyDescent="0.15">
      <c r="A1151" s="21" t="s">
        <v>4637</v>
      </c>
      <c r="B1151" s="19"/>
      <c r="C1151" s="11"/>
      <c r="D1151" s="17" t="s">
        <v>1511</v>
      </c>
      <c r="E1151" s="10" t="s">
        <v>137</v>
      </c>
      <c r="F1151" s="11" t="s">
        <v>5763</v>
      </c>
      <c r="G1151" s="12">
        <v>102.986</v>
      </c>
      <c r="H1151" s="13">
        <v>42271</v>
      </c>
      <c r="I1151" s="12" t="s">
        <v>3982</v>
      </c>
      <c r="J1151" s="12" t="s">
        <v>5764</v>
      </c>
      <c r="K1151" s="12" t="s">
        <v>148</v>
      </c>
      <c r="L1151" s="12" t="s">
        <v>5025</v>
      </c>
      <c r="M1151" s="14" t="s">
        <v>5765</v>
      </c>
      <c r="N1151" s="14" t="s">
        <v>5766</v>
      </c>
      <c r="O1151" s="17" t="s">
        <v>5767</v>
      </c>
    </row>
    <row r="1152" spans="1:15" x14ac:dyDescent="0.15">
      <c r="A1152" s="32" t="s">
        <v>145</v>
      </c>
      <c r="B1152" s="19" t="s">
        <v>4592</v>
      </c>
      <c r="C1152" s="11"/>
      <c r="D1152" s="17" t="s">
        <v>103</v>
      </c>
      <c r="E1152" s="10" t="s">
        <v>137</v>
      </c>
      <c r="F1152" s="11" t="s">
        <v>5768</v>
      </c>
      <c r="G1152" s="12">
        <v>30.82</v>
      </c>
      <c r="H1152" s="13">
        <v>42271</v>
      </c>
      <c r="I1152" s="12" t="s">
        <v>3982</v>
      </c>
      <c r="J1152" s="12" t="s">
        <v>5769</v>
      </c>
      <c r="K1152" s="18" t="s">
        <v>148</v>
      </c>
      <c r="L1152" s="12" t="s">
        <v>4419</v>
      </c>
      <c r="M1152" s="14" t="s">
        <v>5770</v>
      </c>
      <c r="N1152" s="14" t="s">
        <v>5771</v>
      </c>
      <c r="O1152" s="17" t="s">
        <v>5772</v>
      </c>
    </row>
    <row r="1153" spans="1:15" x14ac:dyDescent="0.15">
      <c r="A1153" s="50" t="s">
        <v>5275</v>
      </c>
      <c r="B1153" s="42"/>
      <c r="C1153" s="43"/>
      <c r="D1153" s="44" t="s">
        <v>977</v>
      </c>
      <c r="E1153" s="41" t="s">
        <v>137</v>
      </c>
      <c r="F1153" s="43" t="s">
        <v>5773</v>
      </c>
      <c r="G1153" s="45">
        <v>80.037000000000006</v>
      </c>
      <c r="H1153" s="46">
        <v>42271</v>
      </c>
      <c r="I1153" s="45" t="s">
        <v>3982</v>
      </c>
      <c r="J1153" s="45" t="s">
        <v>5774</v>
      </c>
      <c r="K1153" s="45" t="s">
        <v>3898</v>
      </c>
      <c r="L1153" s="45" t="s">
        <v>5775</v>
      </c>
      <c r="M1153" s="48" t="s">
        <v>5776</v>
      </c>
      <c r="N1153" s="48" t="s">
        <v>5777</v>
      </c>
      <c r="O1153" s="44" t="s">
        <v>5778</v>
      </c>
    </row>
    <row r="1154" spans="1:15" x14ac:dyDescent="0.15">
      <c r="A1154" s="57" t="s">
        <v>4256</v>
      </c>
      <c r="B1154" s="42" t="s">
        <v>4592</v>
      </c>
      <c r="C1154" s="43"/>
      <c r="D1154" s="44" t="s">
        <v>460</v>
      </c>
      <c r="E1154" s="41" t="s">
        <v>137</v>
      </c>
      <c r="F1154" s="43" t="s">
        <v>5779</v>
      </c>
      <c r="G1154" s="45">
        <v>84.123999999999995</v>
      </c>
      <c r="H1154" s="46">
        <v>42271</v>
      </c>
      <c r="I1154" s="45" t="s">
        <v>3982</v>
      </c>
      <c r="J1154" s="45" t="s">
        <v>5780</v>
      </c>
      <c r="K1154" s="45" t="s">
        <v>148</v>
      </c>
      <c r="L1154" s="45" t="s">
        <v>5781</v>
      </c>
      <c r="M1154" s="48" t="s">
        <v>5782</v>
      </c>
      <c r="N1154" s="48" t="s">
        <v>5783</v>
      </c>
      <c r="O1154" s="44" t="s">
        <v>5784</v>
      </c>
    </row>
    <row r="1155" spans="1:15" x14ac:dyDescent="0.15">
      <c r="A1155" s="21" t="s">
        <v>4256</v>
      </c>
      <c r="B1155" s="19"/>
      <c r="C1155" s="11"/>
      <c r="D1155" s="17" t="s">
        <v>460</v>
      </c>
      <c r="E1155" s="10" t="s">
        <v>137</v>
      </c>
      <c r="F1155" s="11" t="s">
        <v>5785</v>
      </c>
      <c r="G1155" s="12">
        <v>68.8</v>
      </c>
      <c r="H1155" s="13">
        <v>42271</v>
      </c>
      <c r="I1155" s="12" t="s">
        <v>3982</v>
      </c>
      <c r="J1155" s="12" t="s">
        <v>5786</v>
      </c>
      <c r="K1155" s="12" t="s">
        <v>148</v>
      </c>
      <c r="L1155" s="12" t="s">
        <v>5097</v>
      </c>
      <c r="M1155" s="14" t="s">
        <v>5787</v>
      </c>
      <c r="N1155" s="14" t="s">
        <v>5788</v>
      </c>
      <c r="O1155" s="17" t="s">
        <v>5789</v>
      </c>
    </row>
    <row r="1156" spans="1:15" x14ac:dyDescent="0.15">
      <c r="A1156" s="57" t="s">
        <v>4002</v>
      </c>
      <c r="B1156" s="42" t="s">
        <v>4592</v>
      </c>
      <c r="C1156" s="43"/>
      <c r="D1156" s="44" t="s">
        <v>1547</v>
      </c>
      <c r="E1156" s="41" t="s">
        <v>17</v>
      </c>
      <c r="F1156" s="43" t="s">
        <v>5790</v>
      </c>
      <c r="G1156" s="45">
        <v>103.38800000000001</v>
      </c>
      <c r="H1156" s="46">
        <v>42271</v>
      </c>
      <c r="I1156" s="45" t="s">
        <v>3982</v>
      </c>
      <c r="J1156" s="45" t="s">
        <v>5791</v>
      </c>
      <c r="K1156" s="45" t="s">
        <v>39</v>
      </c>
      <c r="L1156" s="45" t="s">
        <v>5025</v>
      </c>
      <c r="M1156" s="48" t="s">
        <v>5792</v>
      </c>
      <c r="N1156" s="48" t="s">
        <v>5793</v>
      </c>
      <c r="O1156" s="44" t="s">
        <v>5794</v>
      </c>
    </row>
    <row r="1157" spans="1:15" x14ac:dyDescent="0.15">
      <c r="A1157" s="32" t="s">
        <v>2226</v>
      </c>
      <c r="B1157" s="19" t="s">
        <v>4592</v>
      </c>
      <c r="C1157" s="11"/>
      <c r="D1157" s="17" t="s">
        <v>846</v>
      </c>
      <c r="E1157" s="10" t="s">
        <v>17</v>
      </c>
      <c r="F1157" s="11" t="s">
        <v>5795</v>
      </c>
      <c r="G1157" s="12">
        <v>201.63800000000001</v>
      </c>
      <c r="H1157" s="13">
        <v>42271</v>
      </c>
      <c r="I1157" s="18" t="s">
        <v>3851</v>
      </c>
      <c r="J1157" s="12" t="s">
        <v>5796</v>
      </c>
      <c r="K1157" s="12" t="s">
        <v>3898</v>
      </c>
      <c r="L1157" s="12" t="s">
        <v>4177</v>
      </c>
      <c r="M1157" s="14" t="s">
        <v>5797</v>
      </c>
      <c r="N1157" s="14" t="s">
        <v>5798</v>
      </c>
      <c r="O1157" s="17" t="s">
        <v>5799</v>
      </c>
    </row>
    <row r="1158" spans="1:15" x14ac:dyDescent="0.15">
      <c r="A1158" s="50" t="s">
        <v>4174</v>
      </c>
      <c r="B1158" s="42"/>
      <c r="C1158" s="43"/>
      <c r="D1158" s="44" t="s">
        <v>846</v>
      </c>
      <c r="E1158" s="41" t="s">
        <v>17</v>
      </c>
      <c r="F1158" s="43" t="s">
        <v>5800</v>
      </c>
      <c r="G1158" s="45">
        <v>261.79300000000001</v>
      </c>
      <c r="H1158" s="46">
        <v>42271</v>
      </c>
      <c r="I1158" s="47" t="s">
        <v>3851</v>
      </c>
      <c r="J1158" s="45" t="s">
        <v>5801</v>
      </c>
      <c r="K1158" s="45" t="s">
        <v>3898</v>
      </c>
      <c r="L1158" s="45" t="s">
        <v>5802</v>
      </c>
      <c r="M1158" s="48" t="s">
        <v>5803</v>
      </c>
      <c r="N1158" s="48" t="s">
        <v>5804</v>
      </c>
      <c r="O1158" s="44" t="s">
        <v>5805</v>
      </c>
    </row>
    <row r="1159" spans="1:15" x14ac:dyDescent="0.15">
      <c r="A1159" s="21" t="s">
        <v>4174</v>
      </c>
      <c r="B1159" s="19"/>
      <c r="C1159" s="11"/>
      <c r="D1159" s="17" t="s">
        <v>846</v>
      </c>
      <c r="E1159" s="10" t="s">
        <v>17</v>
      </c>
      <c r="F1159" s="11" t="s">
        <v>5806</v>
      </c>
      <c r="G1159" s="12">
        <v>262.15199999999999</v>
      </c>
      <c r="H1159" s="13">
        <v>42271</v>
      </c>
      <c r="I1159" s="18" t="s">
        <v>3851</v>
      </c>
      <c r="J1159" s="12" t="s">
        <v>5807</v>
      </c>
      <c r="K1159" s="12" t="s">
        <v>3898</v>
      </c>
      <c r="L1159" s="12" t="s">
        <v>5802</v>
      </c>
      <c r="M1159" s="14" t="s">
        <v>5808</v>
      </c>
      <c r="N1159" s="14" t="s">
        <v>5809</v>
      </c>
      <c r="O1159" s="17" t="s">
        <v>5810</v>
      </c>
    </row>
    <row r="1160" spans="1:15" x14ac:dyDescent="0.15">
      <c r="A1160" s="21" t="s">
        <v>4174</v>
      </c>
      <c r="B1160" s="19"/>
      <c r="C1160" s="11"/>
      <c r="D1160" s="17" t="s">
        <v>846</v>
      </c>
      <c r="E1160" s="10" t="s">
        <v>17</v>
      </c>
      <c r="F1160" s="11" t="s">
        <v>5811</v>
      </c>
      <c r="G1160" s="12">
        <v>141.25899999999999</v>
      </c>
      <c r="H1160" s="13">
        <v>42271</v>
      </c>
      <c r="I1160" s="18" t="s">
        <v>3851</v>
      </c>
      <c r="J1160" s="12" t="s">
        <v>5812</v>
      </c>
      <c r="K1160" s="12" t="s">
        <v>3898</v>
      </c>
      <c r="L1160" s="12" t="s">
        <v>4384</v>
      </c>
      <c r="M1160" s="14" t="s">
        <v>5813</v>
      </c>
      <c r="N1160" s="14" t="s">
        <v>5814</v>
      </c>
      <c r="O1160" s="17" t="s">
        <v>5815</v>
      </c>
    </row>
    <row r="1161" spans="1:15" x14ac:dyDescent="0.15">
      <c r="A1161" s="21" t="s">
        <v>5012</v>
      </c>
      <c r="B1161" s="19"/>
      <c r="C1161" s="11"/>
      <c r="D1161" s="17" t="s">
        <v>1692</v>
      </c>
      <c r="E1161" s="10" t="s">
        <v>17</v>
      </c>
      <c r="F1161" s="11" t="s">
        <v>5816</v>
      </c>
      <c r="G1161" s="12">
        <v>270.858</v>
      </c>
      <c r="H1161" s="13">
        <v>42271</v>
      </c>
      <c r="I1161" s="12" t="s">
        <v>3982</v>
      </c>
      <c r="J1161" s="12" t="s">
        <v>5817</v>
      </c>
      <c r="K1161" s="12" t="s">
        <v>148</v>
      </c>
      <c r="L1161" s="12" t="s">
        <v>3868</v>
      </c>
      <c r="M1161" s="14" t="s">
        <v>5818</v>
      </c>
      <c r="N1161" s="14" t="s">
        <v>5819</v>
      </c>
      <c r="O1161" s="17" t="s">
        <v>5820</v>
      </c>
    </row>
    <row r="1162" spans="1:15" x14ac:dyDescent="0.15">
      <c r="A1162" s="21" t="s">
        <v>5012</v>
      </c>
      <c r="B1162" s="19"/>
      <c r="C1162" s="11"/>
      <c r="D1162" s="17" t="s">
        <v>1692</v>
      </c>
      <c r="E1162" s="10" t="s">
        <v>17</v>
      </c>
      <c r="F1162" s="11" t="s">
        <v>5821</v>
      </c>
      <c r="G1162" s="12">
        <v>378.62400000000002</v>
      </c>
      <c r="H1162" s="13">
        <v>42271</v>
      </c>
      <c r="I1162" s="12" t="s">
        <v>3982</v>
      </c>
      <c r="J1162" s="12" t="s">
        <v>5822</v>
      </c>
      <c r="K1162" s="12" t="s">
        <v>148</v>
      </c>
      <c r="L1162" s="12" t="s">
        <v>5823</v>
      </c>
      <c r="M1162" s="14" t="s">
        <v>5824</v>
      </c>
      <c r="N1162" s="14" t="s">
        <v>5825</v>
      </c>
      <c r="O1162" s="17" t="s">
        <v>5826</v>
      </c>
    </row>
    <row r="1163" spans="1:15" x14ac:dyDescent="0.15">
      <c r="A1163" s="50" t="s">
        <v>5827</v>
      </c>
      <c r="B1163" s="43" t="s">
        <v>127</v>
      </c>
      <c r="C1163" s="43"/>
      <c r="D1163" s="44" t="s">
        <v>2125</v>
      </c>
      <c r="E1163" s="41" t="s">
        <v>17</v>
      </c>
      <c r="F1163" s="43" t="s">
        <v>5828</v>
      </c>
      <c r="G1163" s="45">
        <f>9.871*L1163</f>
        <v>128.32300000000001</v>
      </c>
      <c r="H1163" s="46">
        <v>42271</v>
      </c>
      <c r="I1163" s="47" t="s">
        <v>4105</v>
      </c>
      <c r="J1163" s="45" t="s">
        <v>5829</v>
      </c>
      <c r="K1163" s="45" t="s">
        <v>141</v>
      </c>
      <c r="L1163" s="45">
        <v>13</v>
      </c>
      <c r="M1163" s="48" t="s">
        <v>5104</v>
      </c>
      <c r="N1163" s="48" t="s">
        <v>473</v>
      </c>
      <c r="O1163" s="44" t="s">
        <v>5830</v>
      </c>
    </row>
    <row r="1164" spans="1:15" x14ac:dyDescent="0.15">
      <c r="A1164" s="21" t="s">
        <v>126</v>
      </c>
      <c r="B1164" s="19" t="s">
        <v>180</v>
      </c>
      <c r="C1164" s="11"/>
      <c r="D1164" s="17" t="s">
        <v>128</v>
      </c>
      <c r="E1164" s="10" t="s">
        <v>17</v>
      </c>
      <c r="F1164" s="11" t="s">
        <v>5831</v>
      </c>
      <c r="G1164" s="12">
        <f t="shared" ref="G1164:G1172" si="5">8.606*L1164</f>
        <v>215.15</v>
      </c>
      <c r="H1164" s="13">
        <v>42271</v>
      </c>
      <c r="I1164" s="12" t="s">
        <v>3964</v>
      </c>
      <c r="J1164" s="12" t="s">
        <v>5832</v>
      </c>
      <c r="K1164" s="18" t="s">
        <v>141</v>
      </c>
      <c r="L1164" s="12">
        <v>25</v>
      </c>
      <c r="M1164" s="14" t="s">
        <v>5833</v>
      </c>
      <c r="N1164" s="14" t="s">
        <v>338</v>
      </c>
      <c r="O1164" s="17" t="s">
        <v>5834</v>
      </c>
    </row>
    <row r="1165" spans="1:15" x14ac:dyDescent="0.15">
      <c r="A1165" s="21" t="s">
        <v>126</v>
      </c>
      <c r="B1165" s="19" t="s">
        <v>180</v>
      </c>
      <c r="C1165" s="11"/>
      <c r="D1165" s="17" t="s">
        <v>128</v>
      </c>
      <c r="E1165" s="10" t="s">
        <v>17</v>
      </c>
      <c r="F1165" s="11" t="s">
        <v>5835</v>
      </c>
      <c r="G1165" s="12">
        <f t="shared" si="5"/>
        <v>215.15</v>
      </c>
      <c r="H1165" s="13">
        <v>42271</v>
      </c>
      <c r="I1165" s="12" t="s">
        <v>3964</v>
      </c>
      <c r="J1165" s="12" t="s">
        <v>5836</v>
      </c>
      <c r="K1165" s="18" t="s">
        <v>141</v>
      </c>
      <c r="L1165" s="12">
        <v>25</v>
      </c>
      <c r="M1165" s="14" t="s">
        <v>5837</v>
      </c>
      <c r="N1165" s="14" t="s">
        <v>338</v>
      </c>
      <c r="O1165" s="17" t="s">
        <v>5837</v>
      </c>
    </row>
    <row r="1166" spans="1:15" x14ac:dyDescent="0.15">
      <c r="A1166" s="21" t="s">
        <v>126</v>
      </c>
      <c r="B1166" s="19" t="s">
        <v>180</v>
      </c>
      <c r="C1166" s="11"/>
      <c r="D1166" s="17" t="s">
        <v>128</v>
      </c>
      <c r="E1166" s="10" t="s">
        <v>17</v>
      </c>
      <c r="F1166" s="11" t="s">
        <v>5838</v>
      </c>
      <c r="G1166" s="12">
        <f t="shared" si="5"/>
        <v>215.15</v>
      </c>
      <c r="H1166" s="13">
        <v>42271</v>
      </c>
      <c r="I1166" s="12" t="s">
        <v>3964</v>
      </c>
      <c r="J1166" s="12" t="s">
        <v>5839</v>
      </c>
      <c r="K1166" s="18" t="s">
        <v>141</v>
      </c>
      <c r="L1166" s="12">
        <v>25</v>
      </c>
      <c r="M1166" s="14" t="s">
        <v>5840</v>
      </c>
      <c r="N1166" s="14" t="s">
        <v>338</v>
      </c>
      <c r="O1166" s="17" t="s">
        <v>5840</v>
      </c>
    </row>
    <row r="1167" spans="1:15" x14ac:dyDescent="0.15">
      <c r="A1167" s="50" t="s">
        <v>5841</v>
      </c>
      <c r="B1167" s="42" t="s">
        <v>180</v>
      </c>
      <c r="C1167" s="43"/>
      <c r="D1167" s="44" t="s">
        <v>128</v>
      </c>
      <c r="E1167" s="41" t="s">
        <v>17</v>
      </c>
      <c r="F1167" s="43" t="s">
        <v>5842</v>
      </c>
      <c r="G1167" s="45">
        <f t="shared" si="5"/>
        <v>215.15</v>
      </c>
      <c r="H1167" s="46">
        <v>42271</v>
      </c>
      <c r="I1167" s="45" t="s">
        <v>3964</v>
      </c>
      <c r="J1167" s="45" t="s">
        <v>5843</v>
      </c>
      <c r="K1167" s="47" t="s">
        <v>141</v>
      </c>
      <c r="L1167" s="45">
        <v>25</v>
      </c>
      <c r="M1167" s="48" t="s">
        <v>5844</v>
      </c>
      <c r="N1167" s="48" t="s">
        <v>338</v>
      </c>
      <c r="O1167" s="44" t="s">
        <v>5844</v>
      </c>
    </row>
    <row r="1168" spans="1:15" x14ac:dyDescent="0.15">
      <c r="A1168" s="21" t="s">
        <v>5841</v>
      </c>
      <c r="B1168" s="19" t="s">
        <v>180</v>
      </c>
      <c r="C1168" s="11"/>
      <c r="D1168" s="17" t="s">
        <v>128</v>
      </c>
      <c r="E1168" s="10" t="s">
        <v>17</v>
      </c>
      <c r="F1168" s="11" t="s">
        <v>5845</v>
      </c>
      <c r="G1168" s="12">
        <f t="shared" si="5"/>
        <v>206.54399999999998</v>
      </c>
      <c r="H1168" s="13">
        <v>42271</v>
      </c>
      <c r="I1168" s="12" t="s">
        <v>3964</v>
      </c>
      <c r="J1168" s="12" t="s">
        <v>5846</v>
      </c>
      <c r="K1168" s="18" t="s">
        <v>141</v>
      </c>
      <c r="L1168" s="12">
        <v>24</v>
      </c>
      <c r="M1168" s="14" t="s">
        <v>5847</v>
      </c>
      <c r="N1168" s="14" t="s">
        <v>5848</v>
      </c>
      <c r="O1168" s="17" t="s">
        <v>5847</v>
      </c>
    </row>
    <row r="1169" spans="1:15" x14ac:dyDescent="0.15">
      <c r="A1169" s="21" t="s">
        <v>5849</v>
      </c>
      <c r="B1169" s="19" t="s">
        <v>180</v>
      </c>
      <c r="C1169" s="11"/>
      <c r="D1169" s="17" t="s">
        <v>128</v>
      </c>
      <c r="E1169" s="10" t="s">
        <v>17</v>
      </c>
      <c r="F1169" s="11" t="s">
        <v>5850</v>
      </c>
      <c r="G1169" s="12">
        <f t="shared" si="5"/>
        <v>215.15</v>
      </c>
      <c r="H1169" s="13">
        <v>42271</v>
      </c>
      <c r="I1169" s="12" t="s">
        <v>3964</v>
      </c>
      <c r="J1169" s="12" t="s">
        <v>5851</v>
      </c>
      <c r="K1169" s="18" t="s">
        <v>141</v>
      </c>
      <c r="L1169" s="12">
        <v>25</v>
      </c>
      <c r="M1169" s="14" t="s">
        <v>5852</v>
      </c>
      <c r="N1169" s="14" t="s">
        <v>338</v>
      </c>
      <c r="O1169" s="17" t="s">
        <v>5852</v>
      </c>
    </row>
    <row r="1170" spans="1:15" x14ac:dyDescent="0.15">
      <c r="A1170" s="21" t="s">
        <v>4423</v>
      </c>
      <c r="B1170" s="19" t="s">
        <v>180</v>
      </c>
      <c r="C1170" s="11"/>
      <c r="D1170" s="17" t="s">
        <v>128</v>
      </c>
      <c r="E1170" s="10" t="s">
        <v>17</v>
      </c>
      <c r="F1170" s="11" t="s">
        <v>5853</v>
      </c>
      <c r="G1170" s="12">
        <f t="shared" si="5"/>
        <v>215.15</v>
      </c>
      <c r="H1170" s="13">
        <v>42271</v>
      </c>
      <c r="I1170" s="12" t="s">
        <v>3964</v>
      </c>
      <c r="J1170" s="12" t="s">
        <v>5854</v>
      </c>
      <c r="K1170" s="18" t="s">
        <v>141</v>
      </c>
      <c r="L1170" s="12">
        <v>25</v>
      </c>
      <c r="M1170" s="14" t="s">
        <v>5855</v>
      </c>
      <c r="N1170" s="14" t="s">
        <v>338</v>
      </c>
      <c r="O1170" s="17" t="s">
        <v>5855</v>
      </c>
    </row>
    <row r="1171" spans="1:15" x14ac:dyDescent="0.15">
      <c r="A1171" s="21" t="s">
        <v>4679</v>
      </c>
      <c r="B1171" s="24" t="s">
        <v>3945</v>
      </c>
      <c r="C1171" s="11"/>
      <c r="D1171" s="17" t="s">
        <v>419</v>
      </c>
      <c r="E1171" s="10" t="s">
        <v>17</v>
      </c>
      <c r="F1171" s="11" t="s">
        <v>5856</v>
      </c>
      <c r="G1171" s="12">
        <f t="shared" si="5"/>
        <v>215.15</v>
      </c>
      <c r="H1171" s="13">
        <v>42271</v>
      </c>
      <c r="I1171" s="12" t="s">
        <v>3964</v>
      </c>
      <c r="J1171" s="12" t="s">
        <v>5857</v>
      </c>
      <c r="K1171" s="18" t="s">
        <v>141</v>
      </c>
      <c r="L1171" s="12">
        <v>25</v>
      </c>
      <c r="M1171" s="14" t="s">
        <v>5858</v>
      </c>
      <c r="N1171" s="14" t="s">
        <v>338</v>
      </c>
      <c r="O1171" s="17" t="s">
        <v>5858</v>
      </c>
    </row>
    <row r="1172" spans="1:15" x14ac:dyDescent="0.15">
      <c r="A1172" s="21" t="s">
        <v>4679</v>
      </c>
      <c r="B1172" s="24" t="s">
        <v>3945</v>
      </c>
      <c r="C1172" s="11"/>
      <c r="D1172" s="17" t="s">
        <v>419</v>
      </c>
      <c r="E1172" s="10" t="s">
        <v>17</v>
      </c>
      <c r="F1172" s="11" t="s">
        <v>5859</v>
      </c>
      <c r="G1172" s="12">
        <f t="shared" si="5"/>
        <v>215.15</v>
      </c>
      <c r="H1172" s="13">
        <v>42271</v>
      </c>
      <c r="I1172" s="12" t="s">
        <v>3964</v>
      </c>
      <c r="J1172" s="12" t="s">
        <v>5860</v>
      </c>
      <c r="K1172" s="18" t="s">
        <v>141</v>
      </c>
      <c r="L1172" s="12">
        <v>25</v>
      </c>
      <c r="M1172" s="14" t="s">
        <v>5861</v>
      </c>
      <c r="N1172" s="14" t="s">
        <v>338</v>
      </c>
      <c r="O1172" s="17" t="s">
        <v>5861</v>
      </c>
    </row>
    <row r="1173" spans="1:15" s="62" customFormat="1" x14ac:dyDescent="0.15">
      <c r="A1173" s="21" t="s">
        <v>3841</v>
      </c>
      <c r="B1173" s="11" t="s">
        <v>127</v>
      </c>
      <c r="C1173" s="11"/>
      <c r="D1173" s="17" t="s">
        <v>859</v>
      </c>
      <c r="E1173" s="10" t="s">
        <v>17</v>
      </c>
      <c r="F1173" s="11" t="s">
        <v>8599</v>
      </c>
      <c r="G1173" s="12">
        <f>8.823*L1173</f>
        <v>194.10599999999999</v>
      </c>
      <c r="H1173" s="13">
        <v>42271</v>
      </c>
      <c r="I1173" s="12" t="s">
        <v>3844</v>
      </c>
      <c r="J1173" s="12" t="s">
        <v>5862</v>
      </c>
      <c r="K1173" s="12" t="s">
        <v>141</v>
      </c>
      <c r="L1173" s="12">
        <v>22</v>
      </c>
      <c r="M1173" s="14" t="s">
        <v>5863</v>
      </c>
      <c r="N1173" s="14" t="s">
        <v>2838</v>
      </c>
      <c r="O1173" s="17" t="s">
        <v>8618</v>
      </c>
    </row>
    <row r="1174" spans="1:15" x14ac:dyDescent="0.15">
      <c r="A1174" s="50" t="s">
        <v>5029</v>
      </c>
      <c r="B1174" s="50" t="s">
        <v>279</v>
      </c>
      <c r="C1174" s="43"/>
      <c r="D1174" s="44" t="s">
        <v>280</v>
      </c>
      <c r="E1174" s="41" t="s">
        <v>17</v>
      </c>
      <c r="F1174" s="43" t="s">
        <v>5864</v>
      </c>
      <c r="G1174" s="45">
        <f>11.584*L1174</f>
        <v>104.256</v>
      </c>
      <c r="H1174" s="46">
        <v>42271</v>
      </c>
      <c r="I1174" s="45" t="s">
        <v>5865</v>
      </c>
      <c r="J1174" s="45" t="s">
        <v>5866</v>
      </c>
      <c r="K1174" s="45" t="s">
        <v>141</v>
      </c>
      <c r="L1174" s="45">
        <v>9</v>
      </c>
      <c r="M1174" s="48" t="s">
        <v>5032</v>
      </c>
      <c r="N1174" s="48" t="s">
        <v>1185</v>
      </c>
      <c r="O1174" s="44" t="s">
        <v>5867</v>
      </c>
    </row>
    <row r="1175" spans="1:15" x14ac:dyDescent="0.15">
      <c r="A1175" s="20" t="s">
        <v>7864</v>
      </c>
      <c r="B1175" s="19"/>
      <c r="C1175" s="11"/>
      <c r="D1175" s="17" t="s">
        <v>5868</v>
      </c>
      <c r="E1175" s="10" t="s">
        <v>17</v>
      </c>
      <c r="F1175" s="11" t="s">
        <v>7863</v>
      </c>
      <c r="G1175" s="12">
        <f>23.492*L1175</f>
        <v>46.984000000000002</v>
      </c>
      <c r="H1175" s="13">
        <v>42275</v>
      </c>
      <c r="I1175" s="12" t="s">
        <v>326</v>
      </c>
      <c r="J1175" s="12" t="s">
        <v>8626</v>
      </c>
      <c r="K1175" s="12" t="s">
        <v>141</v>
      </c>
      <c r="L1175" s="12">
        <v>2</v>
      </c>
      <c r="M1175" s="14" t="s">
        <v>5869</v>
      </c>
      <c r="N1175" s="14" t="s">
        <v>5870</v>
      </c>
      <c r="O1175" s="17" t="s">
        <v>5869</v>
      </c>
    </row>
    <row r="1176" spans="1:15" x14ac:dyDescent="0.15">
      <c r="A1176" s="21" t="s">
        <v>4610</v>
      </c>
      <c r="B1176" s="19"/>
      <c r="C1176" s="11"/>
      <c r="D1176" s="17" t="s">
        <v>1659</v>
      </c>
      <c r="E1176" s="10" t="s">
        <v>17</v>
      </c>
      <c r="F1176" s="11" t="s">
        <v>5871</v>
      </c>
      <c r="G1176" s="12">
        <f>29.101*L1176</f>
        <v>291.01</v>
      </c>
      <c r="H1176" s="13">
        <v>42276</v>
      </c>
      <c r="I1176" s="12" t="s">
        <v>4024</v>
      </c>
      <c r="J1176" s="12" t="s">
        <v>5872</v>
      </c>
      <c r="K1176" s="12" t="s">
        <v>3887</v>
      </c>
      <c r="L1176" s="12">
        <v>10</v>
      </c>
      <c r="M1176" s="14" t="s">
        <v>4613</v>
      </c>
      <c r="N1176" s="14" t="s">
        <v>4748</v>
      </c>
      <c r="O1176" s="17" t="s">
        <v>5873</v>
      </c>
    </row>
    <row r="1177" spans="1:15" x14ac:dyDescent="0.15">
      <c r="A1177" s="50" t="s">
        <v>4533</v>
      </c>
      <c r="B1177" s="42"/>
      <c r="C1177" s="43"/>
      <c r="D1177" s="44" t="s">
        <v>811</v>
      </c>
      <c r="E1177" s="41" t="s">
        <v>17</v>
      </c>
      <c r="F1177" s="43" t="s">
        <v>5874</v>
      </c>
      <c r="G1177" s="45">
        <f>18.708*L1177</f>
        <v>467.69999999999993</v>
      </c>
      <c r="H1177" s="46">
        <v>42276</v>
      </c>
      <c r="I1177" s="45" t="s">
        <v>3916</v>
      </c>
      <c r="J1177" s="45" t="s">
        <v>5875</v>
      </c>
      <c r="K1177" s="45" t="s">
        <v>141</v>
      </c>
      <c r="L1177" s="45">
        <v>25</v>
      </c>
      <c r="M1177" s="48" t="s">
        <v>5876</v>
      </c>
      <c r="N1177" s="48" t="s">
        <v>338</v>
      </c>
      <c r="O1177" s="44" t="s">
        <v>5876</v>
      </c>
    </row>
    <row r="1178" spans="1:15" x14ac:dyDescent="0.15">
      <c r="A1178" s="50" t="s">
        <v>4533</v>
      </c>
      <c r="B1178" s="42"/>
      <c r="C1178" s="43"/>
      <c r="D1178" s="44" t="s">
        <v>811</v>
      </c>
      <c r="E1178" s="41" t="s">
        <v>17</v>
      </c>
      <c r="F1178" s="43" t="s">
        <v>5877</v>
      </c>
      <c r="G1178" s="45">
        <f>18.708*L1178</f>
        <v>187.07999999999998</v>
      </c>
      <c r="H1178" s="46">
        <v>42276</v>
      </c>
      <c r="I1178" s="45" t="s">
        <v>3916</v>
      </c>
      <c r="J1178" s="45" t="s">
        <v>5878</v>
      </c>
      <c r="K1178" s="45" t="s">
        <v>141</v>
      </c>
      <c r="L1178" s="45">
        <v>10</v>
      </c>
      <c r="M1178" s="48" t="s">
        <v>3824</v>
      </c>
      <c r="N1178" s="48" t="s">
        <v>58</v>
      </c>
      <c r="O1178" s="44" t="s">
        <v>5879</v>
      </c>
    </row>
    <row r="1179" spans="1:15" x14ac:dyDescent="0.15">
      <c r="A1179" s="21" t="s">
        <v>3914</v>
      </c>
      <c r="B1179" s="19"/>
      <c r="C1179" s="11"/>
      <c r="D1179" s="17" t="s">
        <v>341</v>
      </c>
      <c r="E1179" s="10" t="s">
        <v>17</v>
      </c>
      <c r="F1179" s="11" t="s">
        <v>5880</v>
      </c>
      <c r="G1179" s="12">
        <f>18.708*L1179</f>
        <v>93.539999999999992</v>
      </c>
      <c r="H1179" s="13">
        <v>42276</v>
      </c>
      <c r="I1179" s="12" t="s">
        <v>3916</v>
      </c>
      <c r="J1179" s="12" t="s">
        <v>5881</v>
      </c>
      <c r="K1179" s="12" t="s">
        <v>21</v>
      </c>
      <c r="L1179" s="12">
        <v>5</v>
      </c>
      <c r="M1179" s="14" t="s">
        <v>5592</v>
      </c>
      <c r="N1179" s="14" t="s">
        <v>5060</v>
      </c>
      <c r="O1179" s="17" t="s">
        <v>5882</v>
      </c>
    </row>
    <row r="1180" spans="1:15" x14ac:dyDescent="0.15">
      <c r="A1180" s="21" t="s">
        <v>4969</v>
      </c>
      <c r="B1180" s="19"/>
      <c r="C1180" s="11"/>
      <c r="D1180" s="17" t="s">
        <v>341</v>
      </c>
      <c r="E1180" s="10" t="s">
        <v>17</v>
      </c>
      <c r="F1180" s="11" t="s">
        <v>5883</v>
      </c>
      <c r="G1180" s="12">
        <f>18.708*L1180</f>
        <v>261.91199999999998</v>
      </c>
      <c r="H1180" s="13">
        <v>42276</v>
      </c>
      <c r="I1180" s="12" t="s">
        <v>3916</v>
      </c>
      <c r="J1180" s="12" t="s">
        <v>5884</v>
      </c>
      <c r="K1180" s="12" t="s">
        <v>141</v>
      </c>
      <c r="L1180" s="12">
        <v>14</v>
      </c>
      <c r="M1180" s="14" t="s">
        <v>5885</v>
      </c>
      <c r="N1180" s="14" t="s">
        <v>2902</v>
      </c>
      <c r="O1180" s="17" t="s">
        <v>5885</v>
      </c>
    </row>
    <row r="1181" spans="1:15" x14ac:dyDescent="0.15">
      <c r="A1181" s="21" t="s">
        <v>4339</v>
      </c>
      <c r="B1181" s="19"/>
      <c r="C1181" s="11"/>
      <c r="D1181" s="17" t="s">
        <v>5886</v>
      </c>
      <c r="E1181" s="10" t="s">
        <v>17</v>
      </c>
      <c r="F1181" s="11" t="s">
        <v>5887</v>
      </c>
      <c r="G1181" s="18">
        <f>13.006*L1181</f>
        <v>325.14999999999998</v>
      </c>
      <c r="H1181" s="13">
        <v>42276</v>
      </c>
      <c r="I1181" s="12" t="s">
        <v>4341</v>
      </c>
      <c r="J1181" s="12" t="s">
        <v>5888</v>
      </c>
      <c r="K1181" s="18" t="s">
        <v>141</v>
      </c>
      <c r="L1181" s="12">
        <v>25</v>
      </c>
      <c r="M1181" s="14" t="s">
        <v>5889</v>
      </c>
      <c r="N1181" s="14" t="s">
        <v>338</v>
      </c>
      <c r="O1181" s="17" t="s">
        <v>5889</v>
      </c>
    </row>
    <row r="1182" spans="1:15" x14ac:dyDescent="0.15">
      <c r="A1182" s="50" t="s">
        <v>4700</v>
      </c>
      <c r="B1182" s="42"/>
      <c r="C1182" s="43"/>
      <c r="D1182" s="44" t="s">
        <v>1973</v>
      </c>
      <c r="E1182" s="41" t="s">
        <v>17</v>
      </c>
      <c r="F1182" s="43" t="s">
        <v>5890</v>
      </c>
      <c r="G1182" s="52">
        <f>12.838*L1182</f>
        <v>64.19</v>
      </c>
      <c r="H1182" s="46">
        <v>42276</v>
      </c>
      <c r="I1182" s="45" t="s">
        <v>139</v>
      </c>
      <c r="J1182" s="45" t="s">
        <v>5891</v>
      </c>
      <c r="K1182" s="45" t="s">
        <v>141</v>
      </c>
      <c r="L1182" s="45">
        <v>5</v>
      </c>
      <c r="M1182" s="48" t="s">
        <v>4703</v>
      </c>
      <c r="N1182" s="48" t="s">
        <v>500</v>
      </c>
      <c r="O1182" s="44" t="s">
        <v>5892</v>
      </c>
    </row>
    <row r="1183" spans="1:15" x14ac:dyDescent="0.15">
      <c r="A1183" s="49" t="s">
        <v>5893</v>
      </c>
      <c r="B1183" s="42"/>
      <c r="C1183" s="43"/>
      <c r="D1183" s="44" t="s">
        <v>5894</v>
      </c>
      <c r="E1183" s="41" t="s">
        <v>137</v>
      </c>
      <c r="F1183" s="43" t="s">
        <v>5895</v>
      </c>
      <c r="G1183" s="45">
        <f>5.286*L1183</f>
        <v>15.857999999999999</v>
      </c>
      <c r="H1183" s="46">
        <v>42276</v>
      </c>
      <c r="I1183" s="45" t="s">
        <v>139</v>
      </c>
      <c r="J1183" s="45" t="s">
        <v>5896</v>
      </c>
      <c r="K1183" s="45" t="s">
        <v>3887</v>
      </c>
      <c r="L1183" s="45">
        <v>3</v>
      </c>
      <c r="M1183" s="48" t="s">
        <v>5371</v>
      </c>
      <c r="N1183" s="48" t="s">
        <v>5897</v>
      </c>
      <c r="O1183" s="44" t="s">
        <v>5898</v>
      </c>
    </row>
    <row r="1184" spans="1:15" x14ac:dyDescent="0.15">
      <c r="A1184" s="20" t="s">
        <v>5899</v>
      </c>
      <c r="B1184" s="19"/>
      <c r="C1184" s="11"/>
      <c r="D1184" s="17" t="s">
        <v>46</v>
      </c>
      <c r="E1184" s="10" t="s">
        <v>137</v>
      </c>
      <c r="F1184" s="11" t="s">
        <v>5900</v>
      </c>
      <c r="G1184" s="12">
        <v>56.747999999999998</v>
      </c>
      <c r="H1184" s="13">
        <v>42276</v>
      </c>
      <c r="I1184" s="12" t="s">
        <v>3982</v>
      </c>
      <c r="J1184" s="12" t="s">
        <v>5901</v>
      </c>
      <c r="K1184" s="12" t="s">
        <v>39</v>
      </c>
      <c r="L1184" s="12" t="s">
        <v>5902</v>
      </c>
      <c r="M1184" s="14" t="s">
        <v>5903</v>
      </c>
      <c r="N1184" s="14" t="s">
        <v>5904</v>
      </c>
      <c r="O1184" s="17" t="s">
        <v>5905</v>
      </c>
    </row>
    <row r="1185" spans="1:15" x14ac:dyDescent="0.15">
      <c r="A1185" s="21" t="s">
        <v>4637</v>
      </c>
      <c r="B1185" s="19"/>
      <c r="C1185" s="11"/>
      <c r="D1185" s="17" t="s">
        <v>1511</v>
      </c>
      <c r="E1185" s="10" t="s">
        <v>137</v>
      </c>
      <c r="F1185" s="11" t="s">
        <v>5906</v>
      </c>
      <c r="G1185" s="12">
        <v>30.777999999999999</v>
      </c>
      <c r="H1185" s="13">
        <v>42276</v>
      </c>
      <c r="I1185" s="12" t="s">
        <v>3982</v>
      </c>
      <c r="J1185" s="12" t="s">
        <v>5907</v>
      </c>
      <c r="K1185" s="12" t="s">
        <v>148</v>
      </c>
      <c r="L1185" s="12" t="s">
        <v>4419</v>
      </c>
      <c r="M1185" s="14" t="s">
        <v>5908</v>
      </c>
      <c r="N1185" s="14" t="s">
        <v>5909</v>
      </c>
      <c r="O1185" s="17" t="s">
        <v>5910</v>
      </c>
    </row>
    <row r="1186" spans="1:15" x14ac:dyDescent="0.15">
      <c r="A1186" s="21" t="s">
        <v>5275</v>
      </c>
      <c r="B1186" s="19"/>
      <c r="C1186" s="11"/>
      <c r="D1186" s="17" t="s">
        <v>977</v>
      </c>
      <c r="E1186" s="10" t="s">
        <v>137</v>
      </c>
      <c r="F1186" s="11" t="s">
        <v>5911</v>
      </c>
      <c r="G1186" s="12">
        <v>107.798</v>
      </c>
      <c r="H1186" s="13">
        <v>42276</v>
      </c>
      <c r="I1186" s="12" t="s">
        <v>3982</v>
      </c>
      <c r="J1186" s="12" t="s">
        <v>5912</v>
      </c>
      <c r="K1186" s="12" t="s">
        <v>3898</v>
      </c>
      <c r="L1186" s="12" t="s">
        <v>4468</v>
      </c>
      <c r="M1186" s="14" t="s">
        <v>5913</v>
      </c>
      <c r="N1186" s="14" t="s">
        <v>5914</v>
      </c>
      <c r="O1186" s="17" t="s">
        <v>5915</v>
      </c>
    </row>
    <row r="1187" spans="1:15" x14ac:dyDescent="0.15">
      <c r="A1187" s="21" t="s">
        <v>5275</v>
      </c>
      <c r="B1187" s="19"/>
      <c r="C1187" s="11"/>
      <c r="D1187" s="17" t="s">
        <v>977</v>
      </c>
      <c r="E1187" s="10" t="s">
        <v>137</v>
      </c>
      <c r="F1187" s="11" t="s">
        <v>5916</v>
      </c>
      <c r="G1187" s="12">
        <v>107.411</v>
      </c>
      <c r="H1187" s="13">
        <v>42276</v>
      </c>
      <c r="I1187" s="12" t="s">
        <v>3982</v>
      </c>
      <c r="J1187" s="12" t="s">
        <v>5917</v>
      </c>
      <c r="K1187" s="12" t="s">
        <v>3898</v>
      </c>
      <c r="L1187" s="12" t="s">
        <v>4468</v>
      </c>
      <c r="M1187" s="14" t="s">
        <v>5918</v>
      </c>
      <c r="N1187" s="14" t="s">
        <v>5919</v>
      </c>
      <c r="O1187" s="17" t="s">
        <v>5920</v>
      </c>
    </row>
    <row r="1188" spans="1:15" x14ac:dyDescent="0.15">
      <c r="A1188" s="50" t="s">
        <v>5921</v>
      </c>
      <c r="B1188" s="42"/>
      <c r="C1188" s="43"/>
      <c r="D1188" s="44" t="s">
        <v>728</v>
      </c>
      <c r="E1188" s="41" t="s">
        <v>137</v>
      </c>
      <c r="F1188" s="43" t="s">
        <v>5922</v>
      </c>
      <c r="G1188" s="45">
        <v>261.77999999999997</v>
      </c>
      <c r="H1188" s="46">
        <v>42276</v>
      </c>
      <c r="I1188" s="47" t="s">
        <v>3851</v>
      </c>
      <c r="J1188" s="45" t="s">
        <v>5923</v>
      </c>
      <c r="K1188" s="45" t="s">
        <v>3898</v>
      </c>
      <c r="L1188" s="45" t="s">
        <v>5924</v>
      </c>
      <c r="M1188" s="48" t="s">
        <v>5925</v>
      </c>
      <c r="N1188" s="48" t="s">
        <v>5926</v>
      </c>
      <c r="O1188" s="44" t="s">
        <v>5927</v>
      </c>
    </row>
    <row r="1189" spans="1:15" x14ac:dyDescent="0.15">
      <c r="A1189" s="50" t="s">
        <v>5899</v>
      </c>
      <c r="B1189" s="42"/>
      <c r="C1189" s="43"/>
      <c r="D1189" s="44" t="s">
        <v>5928</v>
      </c>
      <c r="E1189" s="41" t="s">
        <v>137</v>
      </c>
      <c r="F1189" s="43" t="s">
        <v>5929</v>
      </c>
      <c r="G1189" s="45">
        <v>56.747999999999998</v>
      </c>
      <c r="H1189" s="46">
        <v>42276</v>
      </c>
      <c r="I1189" s="45" t="s">
        <v>3982</v>
      </c>
      <c r="J1189" s="45" t="s">
        <v>5930</v>
      </c>
      <c r="K1189" s="45" t="s">
        <v>39</v>
      </c>
      <c r="L1189" s="45" t="s">
        <v>5902</v>
      </c>
      <c r="M1189" s="48" t="s">
        <v>5931</v>
      </c>
      <c r="N1189" s="48" t="s">
        <v>5932</v>
      </c>
      <c r="O1189" s="44" t="s">
        <v>5933</v>
      </c>
    </row>
    <row r="1190" spans="1:15" x14ac:dyDescent="0.15">
      <c r="A1190" s="21" t="s">
        <v>5934</v>
      </c>
      <c r="B1190" s="22" t="s">
        <v>3842</v>
      </c>
      <c r="C1190" s="11"/>
      <c r="D1190" s="17" t="s">
        <v>5935</v>
      </c>
      <c r="E1190" s="10" t="s">
        <v>137</v>
      </c>
      <c r="F1190" s="11" t="s">
        <v>5936</v>
      </c>
      <c r="G1190" s="18">
        <f>29.101*L1190</f>
        <v>116.404</v>
      </c>
      <c r="H1190" s="13">
        <v>42276</v>
      </c>
      <c r="I1190" s="12" t="s">
        <v>4673</v>
      </c>
      <c r="J1190" s="12" t="s">
        <v>5937</v>
      </c>
      <c r="K1190" s="12" t="s">
        <v>3887</v>
      </c>
      <c r="L1190" s="12">
        <v>4</v>
      </c>
      <c r="M1190" s="14" t="s">
        <v>5108</v>
      </c>
      <c r="N1190" s="14" t="s">
        <v>5066</v>
      </c>
      <c r="O1190" s="17" t="s">
        <v>5938</v>
      </c>
    </row>
    <row r="1191" spans="1:15" x14ac:dyDescent="0.15">
      <c r="A1191" s="50" t="s">
        <v>5939</v>
      </c>
      <c r="B1191" s="51" t="s">
        <v>3842</v>
      </c>
      <c r="C1191" s="43"/>
      <c r="D1191" s="44" t="s">
        <v>5940</v>
      </c>
      <c r="E1191" s="41" t="s">
        <v>137</v>
      </c>
      <c r="F1191" s="43" t="s">
        <v>5941</v>
      </c>
      <c r="G1191" s="47">
        <f>29.101*L1191</f>
        <v>378.31299999999999</v>
      </c>
      <c r="H1191" s="46">
        <v>42276</v>
      </c>
      <c r="I1191" s="45" t="s">
        <v>4673</v>
      </c>
      <c r="J1191" s="45" t="s">
        <v>5942</v>
      </c>
      <c r="K1191" s="45" t="s">
        <v>3887</v>
      </c>
      <c r="L1191" s="45">
        <v>13</v>
      </c>
      <c r="M1191" s="48" t="s">
        <v>4139</v>
      </c>
      <c r="N1191" s="48" t="s">
        <v>473</v>
      </c>
      <c r="O1191" s="44" t="s">
        <v>5943</v>
      </c>
    </row>
    <row r="1192" spans="1:15" x14ac:dyDescent="0.15">
      <c r="A1192" s="21" t="s">
        <v>4136</v>
      </c>
      <c r="B1192" s="22" t="s">
        <v>3842</v>
      </c>
      <c r="C1192" s="11"/>
      <c r="D1192" s="17" t="s">
        <v>5940</v>
      </c>
      <c r="E1192" s="10" t="s">
        <v>137</v>
      </c>
      <c r="F1192" s="11" t="s">
        <v>5944</v>
      </c>
      <c r="G1192" s="18">
        <f>29.101*L1192</f>
        <v>145.505</v>
      </c>
      <c r="H1192" s="13">
        <v>42276</v>
      </c>
      <c r="I1192" s="12" t="s">
        <v>4673</v>
      </c>
      <c r="J1192" s="12" t="s">
        <v>5945</v>
      </c>
      <c r="K1192" s="12" t="s">
        <v>3887</v>
      </c>
      <c r="L1192" s="12">
        <v>5</v>
      </c>
      <c r="M1192" s="14" t="s">
        <v>5946</v>
      </c>
      <c r="N1192" s="14" t="s">
        <v>229</v>
      </c>
      <c r="O1192" s="17" t="s">
        <v>5947</v>
      </c>
    </row>
    <row r="1193" spans="1:15" s="62" customFormat="1" x14ac:dyDescent="0.15">
      <c r="A1193" s="21" t="s">
        <v>1369</v>
      </c>
      <c r="B1193" s="22" t="s">
        <v>3842</v>
      </c>
      <c r="C1193" s="11"/>
      <c r="D1193" s="17" t="s">
        <v>859</v>
      </c>
      <c r="E1193" s="10" t="s">
        <v>137</v>
      </c>
      <c r="F1193" s="11" t="s">
        <v>8600</v>
      </c>
      <c r="G1193" s="12">
        <f>8.823*L1193</f>
        <v>70.584000000000003</v>
      </c>
      <c r="H1193" s="13">
        <v>42276</v>
      </c>
      <c r="I1193" s="12" t="s">
        <v>3844</v>
      </c>
      <c r="J1193" s="12" t="s">
        <v>5948</v>
      </c>
      <c r="K1193" s="12" t="s">
        <v>141</v>
      </c>
      <c r="L1193" s="12">
        <v>8</v>
      </c>
      <c r="M1193" s="14" t="s">
        <v>5111</v>
      </c>
      <c r="N1193" s="14" t="s">
        <v>5949</v>
      </c>
      <c r="O1193" s="17" t="s">
        <v>8619</v>
      </c>
    </row>
    <row r="1194" spans="1:15" x14ac:dyDescent="0.15">
      <c r="A1194" s="21" t="s">
        <v>5291</v>
      </c>
      <c r="B1194" s="22" t="s">
        <v>3842</v>
      </c>
      <c r="C1194" s="11"/>
      <c r="D1194" s="17" t="s">
        <v>5727</v>
      </c>
      <c r="E1194" s="10" t="s">
        <v>137</v>
      </c>
      <c r="F1194" s="11" t="s">
        <v>5950</v>
      </c>
      <c r="G1194" s="12">
        <v>56.798000000000002</v>
      </c>
      <c r="H1194" s="13">
        <v>42276</v>
      </c>
      <c r="I1194" s="12" t="s">
        <v>5294</v>
      </c>
      <c r="J1194" s="12" t="s">
        <v>5951</v>
      </c>
      <c r="K1194" s="12" t="s">
        <v>141</v>
      </c>
      <c r="L1194" s="12">
        <v>2</v>
      </c>
      <c r="M1194" s="14" t="s">
        <v>5952</v>
      </c>
      <c r="N1194" s="14" t="s">
        <v>5953</v>
      </c>
      <c r="O1194" s="17" t="s">
        <v>5954</v>
      </c>
    </row>
    <row r="1195" spans="1:15" x14ac:dyDescent="0.15">
      <c r="A1195" s="50" t="s">
        <v>4908</v>
      </c>
      <c r="B1195" s="51"/>
      <c r="C1195" s="43"/>
      <c r="D1195" s="44" t="s">
        <v>4909</v>
      </c>
      <c r="E1195" s="41" t="s">
        <v>137</v>
      </c>
      <c r="F1195" s="43" t="s">
        <v>5955</v>
      </c>
      <c r="G1195" s="45">
        <v>332.279</v>
      </c>
      <c r="H1195" s="46">
        <v>42277</v>
      </c>
      <c r="I1195" s="45" t="s">
        <v>5956</v>
      </c>
      <c r="J1195" s="45" t="s">
        <v>5957</v>
      </c>
      <c r="K1195" s="45" t="s">
        <v>3898</v>
      </c>
      <c r="L1195" s="45" t="s">
        <v>5958</v>
      </c>
      <c r="M1195" s="48" t="s">
        <v>5959</v>
      </c>
      <c r="N1195" s="48" t="s">
        <v>5960</v>
      </c>
      <c r="O1195" s="44" t="s">
        <v>5961</v>
      </c>
    </row>
    <row r="1196" spans="1:15" x14ac:dyDescent="0.15">
      <c r="A1196" s="21" t="s">
        <v>4915</v>
      </c>
      <c r="B1196" s="22"/>
      <c r="C1196" s="11"/>
      <c r="D1196" s="17" t="s">
        <v>4916</v>
      </c>
      <c r="E1196" s="10" t="s">
        <v>137</v>
      </c>
      <c r="F1196" s="11" t="s">
        <v>5962</v>
      </c>
      <c r="G1196" s="12">
        <f>17.52*L1196</f>
        <v>52.56</v>
      </c>
      <c r="H1196" s="13">
        <v>42277</v>
      </c>
      <c r="I1196" s="18" t="s">
        <v>4169</v>
      </c>
      <c r="J1196" s="18" t="s">
        <v>5963</v>
      </c>
      <c r="K1196" s="18" t="s">
        <v>141</v>
      </c>
      <c r="L1196" s="12">
        <v>3</v>
      </c>
      <c r="M1196" s="14" t="s">
        <v>5654</v>
      </c>
      <c r="N1196" s="14" t="s">
        <v>5964</v>
      </c>
      <c r="O1196" s="17" t="s">
        <v>5965</v>
      </c>
    </row>
    <row r="1197" spans="1:15" x14ac:dyDescent="0.15">
      <c r="A1197" s="50" t="s">
        <v>4573</v>
      </c>
      <c r="B1197" s="51"/>
      <c r="C1197" s="43"/>
      <c r="D1197" s="44" t="s">
        <v>4574</v>
      </c>
      <c r="E1197" s="41" t="s">
        <v>137</v>
      </c>
      <c r="F1197" s="43" t="s">
        <v>5966</v>
      </c>
      <c r="G1197" s="45">
        <f>17.498*L1197</f>
        <v>52.494</v>
      </c>
      <c r="H1197" s="46">
        <v>42277</v>
      </c>
      <c r="I1197" s="45" t="s">
        <v>3874</v>
      </c>
      <c r="J1197" s="45" t="s">
        <v>5967</v>
      </c>
      <c r="K1197" s="45" t="s">
        <v>141</v>
      </c>
      <c r="L1197" s="45">
        <v>3</v>
      </c>
      <c r="M1197" s="48" t="s">
        <v>5680</v>
      </c>
      <c r="N1197" s="48" t="s">
        <v>5968</v>
      </c>
      <c r="O1197" s="44" t="s">
        <v>5969</v>
      </c>
    </row>
    <row r="1198" spans="1:15" x14ac:dyDescent="0.15">
      <c r="A1198" s="21" t="s">
        <v>4729</v>
      </c>
      <c r="B1198" s="22"/>
      <c r="C1198" s="11"/>
      <c r="D1198" s="17" t="s">
        <v>5682</v>
      </c>
      <c r="E1198" s="10" t="s">
        <v>137</v>
      </c>
      <c r="F1198" s="11" t="s">
        <v>5970</v>
      </c>
      <c r="G1198" s="12">
        <f>L1198*17.498</f>
        <v>437.45000000000005</v>
      </c>
      <c r="H1198" s="13">
        <v>42277</v>
      </c>
      <c r="I1198" s="12" t="s">
        <v>3874</v>
      </c>
      <c r="J1198" s="12" t="s">
        <v>5971</v>
      </c>
      <c r="K1198" s="12" t="s">
        <v>141</v>
      </c>
      <c r="L1198" s="12">
        <v>25</v>
      </c>
      <c r="M1198" s="14" t="s">
        <v>5972</v>
      </c>
      <c r="N1198" s="14" t="s">
        <v>3967</v>
      </c>
      <c r="O1198" s="17" t="s">
        <v>5973</v>
      </c>
    </row>
    <row r="1199" spans="1:15" x14ac:dyDescent="0.15">
      <c r="A1199" s="21" t="s">
        <v>4804</v>
      </c>
      <c r="B1199" s="22"/>
      <c r="C1199" s="11"/>
      <c r="D1199" s="17" t="s">
        <v>5465</v>
      </c>
      <c r="E1199" s="10" t="s">
        <v>137</v>
      </c>
      <c r="F1199" s="11" t="s">
        <v>5974</v>
      </c>
      <c r="G1199" s="18">
        <f>18.708*L1199</f>
        <v>224.49599999999998</v>
      </c>
      <c r="H1199" s="13">
        <v>42277</v>
      </c>
      <c r="I1199" s="12" t="s">
        <v>3866</v>
      </c>
      <c r="J1199" s="12" t="s">
        <v>5975</v>
      </c>
      <c r="K1199" s="12" t="s">
        <v>141</v>
      </c>
      <c r="L1199" s="12">
        <v>12</v>
      </c>
      <c r="M1199" s="14" t="s">
        <v>5976</v>
      </c>
      <c r="N1199" s="14" t="s">
        <v>5977</v>
      </c>
      <c r="O1199" s="17" t="s">
        <v>5592</v>
      </c>
    </row>
    <row r="1200" spans="1:15" x14ac:dyDescent="0.15">
      <c r="A1200" s="21" t="s">
        <v>4804</v>
      </c>
      <c r="B1200" s="22"/>
      <c r="C1200" s="11"/>
      <c r="D1200" s="17" t="s">
        <v>5465</v>
      </c>
      <c r="E1200" s="10" t="s">
        <v>137</v>
      </c>
      <c r="F1200" s="11" t="s">
        <v>5978</v>
      </c>
      <c r="G1200" s="18">
        <f>18.708*L1200</f>
        <v>205.78799999999998</v>
      </c>
      <c r="H1200" s="13">
        <v>42277</v>
      </c>
      <c r="I1200" s="12" t="s">
        <v>3866</v>
      </c>
      <c r="J1200" s="12" t="s">
        <v>5979</v>
      </c>
      <c r="K1200" s="12" t="s">
        <v>141</v>
      </c>
      <c r="L1200" s="12">
        <v>11</v>
      </c>
      <c r="M1200" s="14" t="s">
        <v>5980</v>
      </c>
      <c r="N1200" s="14" t="s">
        <v>5981</v>
      </c>
      <c r="O1200" s="17" t="s">
        <v>5885</v>
      </c>
    </row>
    <row r="1201" spans="1:15" x14ac:dyDescent="0.15">
      <c r="A1201" s="21" t="s">
        <v>4619</v>
      </c>
      <c r="B1201" s="22"/>
      <c r="C1201" s="11"/>
      <c r="D1201" s="17" t="s">
        <v>4620</v>
      </c>
      <c r="E1201" s="10" t="s">
        <v>137</v>
      </c>
      <c r="F1201" s="11" t="s">
        <v>5982</v>
      </c>
      <c r="G1201" s="12">
        <f>18.708*L1201</f>
        <v>93.539999999999992</v>
      </c>
      <c r="H1201" s="13">
        <v>42277</v>
      </c>
      <c r="I1201" s="12" t="s">
        <v>4417</v>
      </c>
      <c r="J1201" s="12" t="s">
        <v>5983</v>
      </c>
      <c r="K1201" s="12" t="s">
        <v>141</v>
      </c>
      <c r="L1201" s="12">
        <v>5</v>
      </c>
      <c r="M1201" s="14" t="s">
        <v>5984</v>
      </c>
      <c r="N1201" s="14" t="s">
        <v>4542</v>
      </c>
      <c r="O1201" s="17" t="s">
        <v>5985</v>
      </c>
    </row>
    <row r="1202" spans="1:15" x14ac:dyDescent="0.15">
      <c r="A1202" s="49" t="s">
        <v>5986</v>
      </c>
      <c r="B1202" s="51"/>
      <c r="C1202" s="43"/>
      <c r="D1202" s="44" t="s">
        <v>5987</v>
      </c>
      <c r="E1202" s="41" t="s">
        <v>137</v>
      </c>
      <c r="F1202" s="43" t="s">
        <v>5988</v>
      </c>
      <c r="G1202" s="45">
        <f>6.116*L1202</f>
        <v>18.347999999999999</v>
      </c>
      <c r="H1202" s="46">
        <v>42285</v>
      </c>
      <c r="I1202" s="45" t="s">
        <v>139</v>
      </c>
      <c r="J1202" s="45" t="s">
        <v>5989</v>
      </c>
      <c r="K1202" s="45" t="s">
        <v>141</v>
      </c>
      <c r="L1202" s="45">
        <v>3</v>
      </c>
      <c r="M1202" s="48" t="s">
        <v>5990</v>
      </c>
      <c r="N1202" s="48" t="s">
        <v>5991</v>
      </c>
      <c r="O1202" s="44" t="s">
        <v>5992</v>
      </c>
    </row>
    <row r="1203" spans="1:15" x14ac:dyDescent="0.15">
      <c r="A1203" s="20" t="s">
        <v>5993</v>
      </c>
      <c r="B1203" s="22"/>
      <c r="C1203" s="11"/>
      <c r="D1203" s="17" t="s">
        <v>5994</v>
      </c>
      <c r="E1203" s="10" t="s">
        <v>137</v>
      </c>
      <c r="F1203" s="11" t="s">
        <v>5995</v>
      </c>
      <c r="G1203" s="12">
        <f>1.71*L1203</f>
        <v>13.68</v>
      </c>
      <c r="H1203" s="13">
        <v>42285</v>
      </c>
      <c r="I1203" s="12" t="s">
        <v>5996</v>
      </c>
      <c r="J1203" s="12" t="s">
        <v>5997</v>
      </c>
      <c r="K1203" s="12" t="s">
        <v>141</v>
      </c>
      <c r="L1203" s="12">
        <v>8</v>
      </c>
      <c r="M1203" s="14" t="s">
        <v>5998</v>
      </c>
      <c r="N1203" s="14" t="s">
        <v>1893</v>
      </c>
      <c r="O1203" s="17" t="s">
        <v>5998</v>
      </c>
    </row>
    <row r="1204" spans="1:15" x14ac:dyDescent="0.15">
      <c r="A1204" s="21" t="s">
        <v>4610</v>
      </c>
      <c r="B1204" s="22"/>
      <c r="C1204" s="11"/>
      <c r="D1204" s="17" t="s">
        <v>1659</v>
      </c>
      <c r="E1204" s="10" t="s">
        <v>137</v>
      </c>
      <c r="F1204" s="11" t="s">
        <v>5999</v>
      </c>
      <c r="G1204" s="12">
        <f>29.101*L1204</f>
        <v>436.51499999999999</v>
      </c>
      <c r="H1204" s="13">
        <v>42286</v>
      </c>
      <c r="I1204" s="12" t="s">
        <v>4024</v>
      </c>
      <c r="J1204" s="12" t="s">
        <v>6000</v>
      </c>
      <c r="K1204" s="12" t="s">
        <v>3887</v>
      </c>
      <c r="L1204" s="12">
        <v>15</v>
      </c>
      <c r="M1204" s="14" t="s">
        <v>6001</v>
      </c>
      <c r="N1204" s="14" t="s">
        <v>1151</v>
      </c>
      <c r="O1204" s="17" t="s">
        <v>6001</v>
      </c>
    </row>
    <row r="1205" spans="1:15" x14ac:dyDescent="0.15">
      <c r="A1205" s="50" t="s">
        <v>5219</v>
      </c>
      <c r="B1205" s="51" t="s">
        <v>5168</v>
      </c>
      <c r="C1205" s="43"/>
      <c r="D1205" s="44" t="s">
        <v>5220</v>
      </c>
      <c r="E1205" s="41" t="s">
        <v>137</v>
      </c>
      <c r="F1205" s="43" t="s">
        <v>6002</v>
      </c>
      <c r="G1205" s="45">
        <f>2.078*L1205</f>
        <v>43.637999999999998</v>
      </c>
      <c r="H1205" s="46">
        <v>42286</v>
      </c>
      <c r="I1205" s="45" t="s">
        <v>5222</v>
      </c>
      <c r="J1205" s="45" t="s">
        <v>6003</v>
      </c>
      <c r="K1205" s="45" t="s">
        <v>141</v>
      </c>
      <c r="L1205" s="45">
        <v>21</v>
      </c>
      <c r="M1205" s="48" t="s">
        <v>6004</v>
      </c>
      <c r="N1205" s="48" t="s">
        <v>4992</v>
      </c>
      <c r="O1205" s="44" t="s">
        <v>6005</v>
      </c>
    </row>
    <row r="1206" spans="1:15" x14ac:dyDescent="0.15">
      <c r="A1206" s="50" t="s">
        <v>4085</v>
      </c>
      <c r="B1206" s="42" t="s">
        <v>180</v>
      </c>
      <c r="C1206" s="43"/>
      <c r="D1206" s="44" t="s">
        <v>6006</v>
      </c>
      <c r="E1206" s="41" t="s">
        <v>137</v>
      </c>
      <c r="F1206" s="43" t="s">
        <v>6007</v>
      </c>
      <c r="G1206" s="52">
        <f>14.87*L1206</f>
        <v>14.87</v>
      </c>
      <c r="H1206" s="46">
        <v>42286</v>
      </c>
      <c r="I1206" s="45" t="s">
        <v>3844</v>
      </c>
      <c r="J1206" s="45" t="s">
        <v>6008</v>
      </c>
      <c r="K1206" s="45" t="s">
        <v>141</v>
      </c>
      <c r="L1206" s="45">
        <v>1</v>
      </c>
      <c r="M1206" s="48" t="s">
        <v>6009</v>
      </c>
      <c r="N1206" s="48" t="s">
        <v>6010</v>
      </c>
      <c r="O1206" s="44" t="s">
        <v>6011</v>
      </c>
    </row>
    <row r="1207" spans="1:15" x14ac:dyDescent="0.15">
      <c r="A1207" s="21" t="s">
        <v>5548</v>
      </c>
      <c r="B1207" s="19" t="s">
        <v>180</v>
      </c>
      <c r="C1207" s="11"/>
      <c r="D1207" s="17" t="s">
        <v>4086</v>
      </c>
      <c r="E1207" s="10" t="s">
        <v>137</v>
      </c>
      <c r="F1207" s="11" t="s">
        <v>6012</v>
      </c>
      <c r="G1207" s="23">
        <f>14.87*L1207</f>
        <v>178.44</v>
      </c>
      <c r="H1207" s="13">
        <v>42286</v>
      </c>
      <c r="I1207" s="12" t="s">
        <v>3844</v>
      </c>
      <c r="J1207" s="12" t="s">
        <v>6013</v>
      </c>
      <c r="K1207" s="12" t="s">
        <v>141</v>
      </c>
      <c r="L1207" s="12">
        <v>12</v>
      </c>
      <c r="M1207" s="14" t="s">
        <v>6011</v>
      </c>
      <c r="N1207" s="14" t="s">
        <v>6014</v>
      </c>
      <c r="O1207" s="17" t="s">
        <v>6015</v>
      </c>
    </row>
    <row r="1208" spans="1:15" x14ac:dyDescent="0.15">
      <c r="A1208" s="50" t="s">
        <v>4043</v>
      </c>
      <c r="B1208" s="42" t="s">
        <v>180</v>
      </c>
      <c r="C1208" s="43"/>
      <c r="D1208" s="44" t="s">
        <v>4044</v>
      </c>
      <c r="E1208" s="41" t="s">
        <v>137</v>
      </c>
      <c r="F1208" s="43" t="s">
        <v>6725</v>
      </c>
      <c r="G1208" s="45">
        <f>29.101*L1208</f>
        <v>58.201999999999998</v>
      </c>
      <c r="H1208" s="46">
        <v>42286</v>
      </c>
      <c r="I1208" s="45" t="s">
        <v>4673</v>
      </c>
      <c r="J1208" s="45" t="s">
        <v>6016</v>
      </c>
      <c r="K1208" s="45" t="s">
        <v>3887</v>
      </c>
      <c r="L1208" s="45">
        <v>2</v>
      </c>
      <c r="M1208" s="48" t="s">
        <v>6017</v>
      </c>
      <c r="N1208" s="48" t="s">
        <v>94</v>
      </c>
      <c r="O1208" s="44" t="s">
        <v>6018</v>
      </c>
    </row>
    <row r="1209" spans="1:15" x14ac:dyDescent="0.15">
      <c r="A1209" s="20" t="s">
        <v>6019</v>
      </c>
      <c r="B1209" s="19" t="s">
        <v>180</v>
      </c>
      <c r="C1209" s="11"/>
      <c r="D1209" s="17" t="s">
        <v>128</v>
      </c>
      <c r="E1209" s="10" t="s">
        <v>137</v>
      </c>
      <c r="F1209" s="11" t="s">
        <v>6020</v>
      </c>
      <c r="G1209" s="12">
        <f>8.606*L1209</f>
        <v>215.15</v>
      </c>
      <c r="H1209" s="13">
        <v>42286</v>
      </c>
      <c r="I1209" s="12" t="s">
        <v>3964</v>
      </c>
      <c r="J1209" s="12" t="s">
        <v>6021</v>
      </c>
      <c r="K1209" s="18" t="s">
        <v>141</v>
      </c>
      <c r="L1209" s="12">
        <v>25</v>
      </c>
      <c r="M1209" s="14" t="s">
        <v>6022</v>
      </c>
      <c r="N1209" s="14" t="s">
        <v>338</v>
      </c>
      <c r="O1209" s="17" t="s">
        <v>6023</v>
      </c>
    </row>
    <row r="1210" spans="1:15" x14ac:dyDescent="0.15">
      <c r="A1210" s="20" t="s">
        <v>6019</v>
      </c>
      <c r="B1210" s="19" t="s">
        <v>180</v>
      </c>
      <c r="C1210" s="11"/>
      <c r="D1210" s="17" t="s">
        <v>128</v>
      </c>
      <c r="E1210" s="10" t="s">
        <v>137</v>
      </c>
      <c r="F1210" s="11" t="s">
        <v>6024</v>
      </c>
      <c r="G1210" s="12">
        <f>8.606*L1210</f>
        <v>43.03</v>
      </c>
      <c r="H1210" s="13">
        <v>42286</v>
      </c>
      <c r="I1210" s="12" t="s">
        <v>3964</v>
      </c>
      <c r="J1210" s="12" t="s">
        <v>6025</v>
      </c>
      <c r="K1210" s="18" t="s">
        <v>141</v>
      </c>
      <c r="L1210" s="12">
        <v>5</v>
      </c>
      <c r="M1210" s="14" t="s">
        <v>6026</v>
      </c>
      <c r="N1210" s="14" t="s">
        <v>229</v>
      </c>
      <c r="O1210" s="17" t="s">
        <v>6027</v>
      </c>
    </row>
    <row r="1211" spans="1:15" x14ac:dyDescent="0.15">
      <c r="A1211" s="50" t="s">
        <v>4423</v>
      </c>
      <c r="B1211" s="42" t="s">
        <v>180</v>
      </c>
      <c r="C1211" s="43"/>
      <c r="D1211" s="44" t="s">
        <v>128</v>
      </c>
      <c r="E1211" s="41" t="s">
        <v>137</v>
      </c>
      <c r="F1211" s="43" t="s">
        <v>6028</v>
      </c>
      <c r="G1211" s="45">
        <f>8.606*L1211</f>
        <v>60.241999999999997</v>
      </c>
      <c r="H1211" s="46">
        <v>42286</v>
      </c>
      <c r="I1211" s="45" t="s">
        <v>3964</v>
      </c>
      <c r="J1211" s="45" t="s">
        <v>6029</v>
      </c>
      <c r="K1211" s="47" t="s">
        <v>141</v>
      </c>
      <c r="L1211" s="45">
        <v>7</v>
      </c>
      <c r="M1211" s="48" t="s">
        <v>6026</v>
      </c>
      <c r="N1211" s="48" t="s">
        <v>6030</v>
      </c>
      <c r="O1211" s="44" t="s">
        <v>6031</v>
      </c>
    </row>
    <row r="1212" spans="1:15" x14ac:dyDescent="0.15">
      <c r="A1212" s="50" t="s">
        <v>5177</v>
      </c>
      <c r="B1212" s="51"/>
      <c r="C1212" s="43"/>
      <c r="D1212" s="44" t="s">
        <v>5504</v>
      </c>
      <c r="E1212" s="41" t="s">
        <v>137</v>
      </c>
      <c r="F1212" s="43" t="s">
        <v>6032</v>
      </c>
      <c r="G1212" s="45">
        <v>52.805</v>
      </c>
      <c r="H1212" s="46">
        <v>42286</v>
      </c>
      <c r="I1212" s="45" t="s">
        <v>3982</v>
      </c>
      <c r="J1212" s="45" t="s">
        <v>6033</v>
      </c>
      <c r="K1212" s="45" t="s">
        <v>141</v>
      </c>
      <c r="L1212" s="45" t="s">
        <v>5507</v>
      </c>
      <c r="M1212" s="48" t="s">
        <v>6034</v>
      </c>
      <c r="N1212" s="48" t="s">
        <v>6035</v>
      </c>
      <c r="O1212" s="44" t="s">
        <v>6036</v>
      </c>
    </row>
    <row r="1213" spans="1:15" x14ac:dyDescent="0.15">
      <c r="A1213" s="50" t="s">
        <v>5275</v>
      </c>
      <c r="B1213" s="51"/>
      <c r="C1213" s="43"/>
      <c r="D1213" s="44" t="s">
        <v>977</v>
      </c>
      <c r="E1213" s="41" t="s">
        <v>137</v>
      </c>
      <c r="F1213" s="43" t="s">
        <v>6037</v>
      </c>
      <c r="G1213" s="45">
        <v>135.483</v>
      </c>
      <c r="H1213" s="46">
        <v>42286</v>
      </c>
      <c r="I1213" s="45" t="s">
        <v>3982</v>
      </c>
      <c r="J1213" s="45" t="s">
        <v>6038</v>
      </c>
      <c r="K1213" s="45" t="s">
        <v>3898</v>
      </c>
      <c r="L1213" s="45" t="s">
        <v>6039</v>
      </c>
      <c r="M1213" s="48" t="s">
        <v>6040</v>
      </c>
      <c r="N1213" s="48" t="s">
        <v>6041</v>
      </c>
      <c r="O1213" s="44" t="s">
        <v>6042</v>
      </c>
    </row>
    <row r="1214" spans="1:15" x14ac:dyDescent="0.15">
      <c r="A1214" s="50" t="s">
        <v>5275</v>
      </c>
      <c r="B1214" s="51"/>
      <c r="C1214" s="43"/>
      <c r="D1214" s="44" t="s">
        <v>977</v>
      </c>
      <c r="E1214" s="41" t="s">
        <v>137</v>
      </c>
      <c r="F1214" s="43" t="s">
        <v>6043</v>
      </c>
      <c r="G1214" s="45">
        <v>51.930999999999997</v>
      </c>
      <c r="H1214" s="46">
        <v>42286</v>
      </c>
      <c r="I1214" s="45" t="s">
        <v>3982</v>
      </c>
      <c r="J1214" s="45" t="s">
        <v>6044</v>
      </c>
      <c r="K1214" s="45" t="s">
        <v>3898</v>
      </c>
      <c r="L1214" s="45" t="s">
        <v>5271</v>
      </c>
      <c r="M1214" s="48" t="s">
        <v>6045</v>
      </c>
      <c r="N1214" s="48" t="s">
        <v>6046</v>
      </c>
      <c r="O1214" s="44" t="s">
        <v>6047</v>
      </c>
    </row>
    <row r="1215" spans="1:15" x14ac:dyDescent="0.15">
      <c r="A1215" s="21" t="s">
        <v>6048</v>
      </c>
      <c r="B1215" s="22"/>
      <c r="C1215" s="11"/>
      <c r="D1215" s="17" t="s">
        <v>5161</v>
      </c>
      <c r="E1215" s="10" t="s">
        <v>137</v>
      </c>
      <c r="F1215" s="11" t="s">
        <v>6049</v>
      </c>
      <c r="G1215" s="12">
        <f>27.67*L1215</f>
        <v>83.01</v>
      </c>
      <c r="H1215" s="13">
        <v>42286</v>
      </c>
      <c r="I1215" s="12" t="s">
        <v>3874</v>
      </c>
      <c r="J1215" s="12" t="s">
        <v>6050</v>
      </c>
      <c r="K1215" s="12" t="s">
        <v>141</v>
      </c>
      <c r="L1215" s="12">
        <v>3</v>
      </c>
      <c r="M1215" s="14" t="s">
        <v>6051</v>
      </c>
      <c r="N1215" s="14" t="s">
        <v>6052</v>
      </c>
      <c r="O1215" s="17" t="s">
        <v>6051</v>
      </c>
    </row>
    <row r="1216" spans="1:15" x14ac:dyDescent="0.15">
      <c r="A1216" s="21" t="s">
        <v>467</v>
      </c>
      <c r="B1216" s="22"/>
      <c r="C1216" s="11"/>
      <c r="D1216" s="17" t="s">
        <v>5465</v>
      </c>
      <c r="E1216" s="10" t="s">
        <v>137</v>
      </c>
      <c r="F1216" s="11" t="s">
        <v>6053</v>
      </c>
      <c r="G1216" s="18">
        <f>18.708*L1216</f>
        <v>467.69999999999993</v>
      </c>
      <c r="H1216" s="13">
        <v>42286</v>
      </c>
      <c r="I1216" s="12" t="s">
        <v>3866</v>
      </c>
      <c r="J1216" s="12" t="s">
        <v>6054</v>
      </c>
      <c r="K1216" s="12" t="s">
        <v>141</v>
      </c>
      <c r="L1216" s="12">
        <v>25</v>
      </c>
      <c r="M1216" s="14" t="s">
        <v>6055</v>
      </c>
      <c r="N1216" s="14" t="s">
        <v>3967</v>
      </c>
      <c r="O1216" s="17" t="s">
        <v>6056</v>
      </c>
    </row>
    <row r="1217" spans="1:15" x14ac:dyDescent="0.15">
      <c r="A1217" s="21" t="s">
        <v>1180</v>
      </c>
      <c r="B1217" s="22"/>
      <c r="C1217" s="11"/>
      <c r="D1217" s="17" t="s">
        <v>6057</v>
      </c>
      <c r="E1217" s="10" t="s">
        <v>137</v>
      </c>
      <c r="F1217" s="11" t="s">
        <v>6058</v>
      </c>
      <c r="G1217" s="12">
        <f>17.712*L1217</f>
        <v>177.12</v>
      </c>
      <c r="H1217" s="13">
        <v>42286</v>
      </c>
      <c r="I1217" s="12" t="s">
        <v>3874</v>
      </c>
      <c r="J1217" s="12" t="s">
        <v>6059</v>
      </c>
      <c r="K1217" s="12" t="s">
        <v>141</v>
      </c>
      <c r="L1217" s="12">
        <v>10</v>
      </c>
      <c r="M1217" s="14" t="s">
        <v>6060</v>
      </c>
      <c r="N1217" s="14" t="s">
        <v>4941</v>
      </c>
      <c r="O1217" s="17" t="s">
        <v>6061</v>
      </c>
    </row>
    <row r="1218" spans="1:15" x14ac:dyDescent="0.15">
      <c r="A1218" s="20" t="s">
        <v>6062</v>
      </c>
      <c r="B1218" s="19" t="s">
        <v>180</v>
      </c>
      <c r="C1218" s="11"/>
      <c r="D1218" s="20" t="s">
        <v>6063</v>
      </c>
      <c r="E1218" s="10" t="s">
        <v>137</v>
      </c>
      <c r="F1218" s="11" t="s">
        <v>6064</v>
      </c>
      <c r="G1218" s="12">
        <f>2.382*L1218</f>
        <v>11.91</v>
      </c>
      <c r="H1218" s="13">
        <v>42286</v>
      </c>
      <c r="I1218" s="12" t="s">
        <v>6065</v>
      </c>
      <c r="J1218" s="12" t="s">
        <v>6066</v>
      </c>
      <c r="K1218" s="12" t="s">
        <v>21</v>
      </c>
      <c r="L1218" s="12">
        <v>5</v>
      </c>
      <c r="M1218" s="14" t="s">
        <v>8623</v>
      </c>
      <c r="N1218" s="14" t="s">
        <v>229</v>
      </c>
      <c r="O1218" s="17" t="s">
        <v>6067</v>
      </c>
    </row>
    <row r="1219" spans="1:15" x14ac:dyDescent="0.15">
      <c r="A1219" s="21" t="s">
        <v>6068</v>
      </c>
      <c r="B1219" s="22"/>
      <c r="C1219" s="11"/>
      <c r="D1219" s="17" t="s">
        <v>1181</v>
      </c>
      <c r="E1219" s="10" t="s">
        <v>137</v>
      </c>
      <c r="F1219" s="11" t="s">
        <v>6069</v>
      </c>
      <c r="G1219" s="12">
        <f>17.712*L1219</f>
        <v>177.12</v>
      </c>
      <c r="H1219" s="13">
        <v>42290</v>
      </c>
      <c r="I1219" s="12" t="s">
        <v>3874</v>
      </c>
      <c r="J1219" s="12" t="s">
        <v>6070</v>
      </c>
      <c r="K1219" s="12" t="s">
        <v>141</v>
      </c>
      <c r="L1219" s="12">
        <v>10</v>
      </c>
      <c r="M1219" s="14" t="s">
        <v>6061</v>
      </c>
      <c r="N1219" s="14" t="s">
        <v>1367</v>
      </c>
      <c r="O1219" s="17" t="s">
        <v>6071</v>
      </c>
    </row>
    <row r="1220" spans="1:15" x14ac:dyDescent="0.15">
      <c r="A1220" s="21" t="s">
        <v>6072</v>
      </c>
      <c r="B1220" s="22"/>
      <c r="C1220" s="11"/>
      <c r="D1220" s="17" t="s">
        <v>425</v>
      </c>
      <c r="E1220" s="10" t="s">
        <v>137</v>
      </c>
      <c r="F1220" s="11" t="s">
        <v>6073</v>
      </c>
      <c r="G1220" s="12">
        <f>18.708*L1220</f>
        <v>93.539999999999992</v>
      </c>
      <c r="H1220" s="13">
        <v>42290</v>
      </c>
      <c r="I1220" s="12" t="s">
        <v>3916</v>
      </c>
      <c r="J1220" s="12" t="s">
        <v>6074</v>
      </c>
      <c r="K1220" s="12" t="s">
        <v>132</v>
      </c>
      <c r="L1220" s="12">
        <v>5</v>
      </c>
      <c r="M1220" s="14" t="s">
        <v>3828</v>
      </c>
      <c r="N1220" s="14" t="s">
        <v>1845</v>
      </c>
      <c r="O1220" s="17" t="s">
        <v>3828</v>
      </c>
    </row>
    <row r="1221" spans="1:15" x14ac:dyDescent="0.15">
      <c r="A1221" s="50" t="s">
        <v>5275</v>
      </c>
      <c r="B1221" s="51"/>
      <c r="C1221" s="43"/>
      <c r="D1221" s="44" t="s">
        <v>977</v>
      </c>
      <c r="E1221" s="41" t="s">
        <v>137</v>
      </c>
      <c r="F1221" s="43" t="s">
        <v>6075</v>
      </c>
      <c r="G1221" s="45">
        <v>191.768</v>
      </c>
      <c r="H1221" s="46">
        <v>42290</v>
      </c>
      <c r="I1221" s="45" t="s">
        <v>3982</v>
      </c>
      <c r="J1221" s="45" t="s">
        <v>6076</v>
      </c>
      <c r="K1221" s="45" t="s">
        <v>3898</v>
      </c>
      <c r="L1221" s="45" t="s">
        <v>5265</v>
      </c>
      <c r="M1221" s="48" t="s">
        <v>6077</v>
      </c>
      <c r="N1221" s="48" t="s">
        <v>6078</v>
      </c>
      <c r="O1221" s="44" t="s">
        <v>6079</v>
      </c>
    </row>
    <row r="1222" spans="1:15" x14ac:dyDescent="0.15">
      <c r="A1222" s="50" t="s">
        <v>5275</v>
      </c>
      <c r="B1222" s="51"/>
      <c r="C1222" s="43"/>
      <c r="D1222" s="44" t="s">
        <v>977</v>
      </c>
      <c r="E1222" s="41" t="s">
        <v>137</v>
      </c>
      <c r="F1222" s="43" t="s">
        <v>6080</v>
      </c>
      <c r="G1222" s="45">
        <v>107.104</v>
      </c>
      <c r="H1222" s="46">
        <v>42290</v>
      </c>
      <c r="I1222" s="45" t="s">
        <v>3982</v>
      </c>
      <c r="J1222" s="45" t="s">
        <v>6081</v>
      </c>
      <c r="K1222" s="45" t="s">
        <v>3898</v>
      </c>
      <c r="L1222" s="45" t="s">
        <v>4468</v>
      </c>
      <c r="M1222" s="48" t="s">
        <v>6082</v>
      </c>
      <c r="N1222" s="48" t="s">
        <v>6083</v>
      </c>
      <c r="O1222" s="44" t="s">
        <v>6084</v>
      </c>
    </row>
    <row r="1223" spans="1:15" x14ac:dyDescent="0.15">
      <c r="A1223" s="21" t="s">
        <v>5262</v>
      </c>
      <c r="B1223" s="22"/>
      <c r="C1223" s="11"/>
      <c r="D1223" s="17" t="s">
        <v>1595</v>
      </c>
      <c r="E1223" s="10" t="s">
        <v>137</v>
      </c>
      <c r="F1223" s="11" t="s">
        <v>6085</v>
      </c>
      <c r="G1223" s="12">
        <v>108.36</v>
      </c>
      <c r="H1223" s="13">
        <v>42296</v>
      </c>
      <c r="I1223" s="12" t="s">
        <v>3982</v>
      </c>
      <c r="J1223" s="12" t="s">
        <v>6086</v>
      </c>
      <c r="K1223" s="12" t="s">
        <v>3898</v>
      </c>
      <c r="L1223" s="12" t="s">
        <v>4468</v>
      </c>
      <c r="M1223" s="14" t="s">
        <v>6087</v>
      </c>
      <c r="N1223" s="14" t="s">
        <v>6088</v>
      </c>
      <c r="O1223" s="17" t="s">
        <v>6089</v>
      </c>
    </row>
    <row r="1224" spans="1:15" x14ac:dyDescent="0.15">
      <c r="A1224" s="21" t="s">
        <v>5262</v>
      </c>
      <c r="B1224" s="22"/>
      <c r="C1224" s="11"/>
      <c r="D1224" s="17" t="s">
        <v>1595</v>
      </c>
      <c r="E1224" s="10" t="s">
        <v>137</v>
      </c>
      <c r="F1224" s="11" t="s">
        <v>6090</v>
      </c>
      <c r="G1224" s="12">
        <v>192.191</v>
      </c>
      <c r="H1224" s="13">
        <v>42296</v>
      </c>
      <c r="I1224" s="12" t="s">
        <v>3982</v>
      </c>
      <c r="J1224" s="12" t="s">
        <v>6091</v>
      </c>
      <c r="K1224" s="12" t="s">
        <v>3898</v>
      </c>
      <c r="L1224" s="12" t="s">
        <v>5265</v>
      </c>
      <c r="M1224" s="14" t="s">
        <v>6092</v>
      </c>
      <c r="N1224" s="14" t="s">
        <v>6093</v>
      </c>
      <c r="O1224" s="17" t="s">
        <v>6094</v>
      </c>
    </row>
    <row r="1225" spans="1:15" x14ac:dyDescent="0.15">
      <c r="A1225" s="21" t="s">
        <v>5262</v>
      </c>
      <c r="B1225" s="22"/>
      <c r="C1225" s="11"/>
      <c r="D1225" s="17" t="s">
        <v>1595</v>
      </c>
      <c r="E1225" s="10" t="s">
        <v>137</v>
      </c>
      <c r="F1225" s="11" t="s">
        <v>6095</v>
      </c>
      <c r="G1225" s="12">
        <v>192.471</v>
      </c>
      <c r="H1225" s="13">
        <v>42296</v>
      </c>
      <c r="I1225" s="12" t="s">
        <v>3982</v>
      </c>
      <c r="J1225" s="12" t="s">
        <v>6096</v>
      </c>
      <c r="K1225" s="12" t="s">
        <v>3898</v>
      </c>
      <c r="L1225" s="12" t="s">
        <v>5265</v>
      </c>
      <c r="M1225" s="14" t="s">
        <v>6097</v>
      </c>
      <c r="N1225" s="14" t="s">
        <v>6098</v>
      </c>
      <c r="O1225" s="17" t="s">
        <v>6099</v>
      </c>
    </row>
    <row r="1226" spans="1:15" x14ac:dyDescent="0.15">
      <c r="A1226" s="21" t="s">
        <v>5262</v>
      </c>
      <c r="B1226" s="22"/>
      <c r="C1226" s="11"/>
      <c r="D1226" s="17" t="s">
        <v>1595</v>
      </c>
      <c r="E1226" s="10" t="s">
        <v>137</v>
      </c>
      <c r="F1226" s="11" t="s">
        <v>6100</v>
      </c>
      <c r="G1226" s="12">
        <v>108.146</v>
      </c>
      <c r="H1226" s="13">
        <v>42296</v>
      </c>
      <c r="I1226" s="12" t="s">
        <v>3982</v>
      </c>
      <c r="J1226" s="12" t="s">
        <v>6101</v>
      </c>
      <c r="K1226" s="12" t="s">
        <v>3898</v>
      </c>
      <c r="L1226" s="12" t="s">
        <v>4468</v>
      </c>
      <c r="M1226" s="14" t="s">
        <v>6102</v>
      </c>
      <c r="N1226" s="14" t="s">
        <v>6103</v>
      </c>
      <c r="O1226" s="17" t="s">
        <v>6104</v>
      </c>
    </row>
    <row r="1227" spans="1:15" x14ac:dyDescent="0.15">
      <c r="A1227" s="50" t="s">
        <v>4156</v>
      </c>
      <c r="B1227" s="51"/>
      <c r="C1227" s="43"/>
      <c r="D1227" s="44" t="s">
        <v>6105</v>
      </c>
      <c r="E1227" s="41" t="s">
        <v>137</v>
      </c>
      <c r="F1227" s="43" t="s">
        <v>6106</v>
      </c>
      <c r="G1227" s="45">
        <f>20.816*L1227</f>
        <v>520.4</v>
      </c>
      <c r="H1227" s="46">
        <v>42298</v>
      </c>
      <c r="I1227" s="45" t="s">
        <v>3928</v>
      </c>
      <c r="J1227" s="45" t="s">
        <v>6107</v>
      </c>
      <c r="K1227" s="45" t="s">
        <v>141</v>
      </c>
      <c r="L1227" s="45">
        <v>25</v>
      </c>
      <c r="M1227" s="48" t="s">
        <v>6108</v>
      </c>
      <c r="N1227" s="48" t="s">
        <v>338</v>
      </c>
      <c r="O1227" s="44" t="s">
        <v>6108</v>
      </c>
    </row>
    <row r="1228" spans="1:15" x14ac:dyDescent="0.15">
      <c r="A1228" s="50" t="s">
        <v>4373</v>
      </c>
      <c r="B1228" s="51"/>
      <c r="C1228" s="43"/>
      <c r="D1228" s="44" t="s">
        <v>3829</v>
      </c>
      <c r="E1228" s="41" t="s">
        <v>137</v>
      </c>
      <c r="F1228" s="43" t="s">
        <v>6109</v>
      </c>
      <c r="G1228" s="45">
        <f>20.816*L1228</f>
        <v>104.08</v>
      </c>
      <c r="H1228" s="46">
        <v>42298</v>
      </c>
      <c r="I1228" s="45" t="s">
        <v>3928</v>
      </c>
      <c r="J1228" s="45" t="s">
        <v>6110</v>
      </c>
      <c r="K1228" s="45" t="s">
        <v>3887</v>
      </c>
      <c r="L1228" s="45">
        <v>5</v>
      </c>
      <c r="M1228" s="48" t="s">
        <v>6111</v>
      </c>
      <c r="N1228" s="48" t="s">
        <v>1845</v>
      </c>
      <c r="O1228" s="44" t="s">
        <v>6111</v>
      </c>
    </row>
    <row r="1229" spans="1:15" x14ac:dyDescent="0.15">
      <c r="A1229" s="21" t="s">
        <v>4610</v>
      </c>
      <c r="B1229" s="22"/>
      <c r="C1229" s="11"/>
      <c r="D1229" s="17" t="s">
        <v>1659</v>
      </c>
      <c r="E1229" s="10" t="s">
        <v>137</v>
      </c>
      <c r="F1229" s="11" t="s">
        <v>6112</v>
      </c>
      <c r="G1229" s="12">
        <f t="shared" ref="G1229:G1230" si="6">29.101*L1229</f>
        <v>291.01</v>
      </c>
      <c r="H1229" s="13">
        <v>42298</v>
      </c>
      <c r="I1229" s="12" t="s">
        <v>4024</v>
      </c>
      <c r="J1229" s="12" t="s">
        <v>6113</v>
      </c>
      <c r="K1229" s="12" t="s">
        <v>3887</v>
      </c>
      <c r="L1229" s="12">
        <v>10</v>
      </c>
      <c r="M1229" s="14" t="s">
        <v>4613</v>
      </c>
      <c r="N1229" s="14" t="s">
        <v>58</v>
      </c>
      <c r="O1229" s="17" t="s">
        <v>6114</v>
      </c>
    </row>
    <row r="1230" spans="1:15" x14ac:dyDescent="0.15">
      <c r="A1230" s="21" t="s">
        <v>6115</v>
      </c>
      <c r="B1230" s="22"/>
      <c r="C1230" s="11"/>
      <c r="D1230" s="17" t="s">
        <v>1659</v>
      </c>
      <c r="E1230" s="10" t="s">
        <v>137</v>
      </c>
      <c r="F1230" s="11" t="s">
        <v>6116</v>
      </c>
      <c r="G1230" s="12">
        <f t="shared" si="6"/>
        <v>727.52499999999998</v>
      </c>
      <c r="H1230" s="13">
        <v>42298</v>
      </c>
      <c r="I1230" s="12" t="s">
        <v>4024</v>
      </c>
      <c r="J1230" s="12" t="s">
        <v>6117</v>
      </c>
      <c r="K1230" s="12" t="s">
        <v>3887</v>
      </c>
      <c r="L1230" s="12">
        <v>25</v>
      </c>
      <c r="M1230" s="14" t="s">
        <v>6118</v>
      </c>
      <c r="N1230" s="14" t="s">
        <v>338</v>
      </c>
      <c r="O1230" s="17" t="s">
        <v>6118</v>
      </c>
    </row>
    <row r="1231" spans="1:15" x14ac:dyDescent="0.15">
      <c r="A1231" s="21" t="s">
        <v>4713</v>
      </c>
      <c r="B1231" s="22"/>
      <c r="C1231" s="11"/>
      <c r="D1231" s="17" t="s">
        <v>1181</v>
      </c>
      <c r="E1231" s="10" t="s">
        <v>137</v>
      </c>
      <c r="F1231" s="11" t="s">
        <v>6119</v>
      </c>
      <c r="G1231" s="12">
        <f>17.712*L1231</f>
        <v>265.68</v>
      </c>
      <c r="H1231" s="13">
        <v>42298</v>
      </c>
      <c r="I1231" s="12" t="s">
        <v>4024</v>
      </c>
      <c r="J1231" s="12" t="s">
        <v>6120</v>
      </c>
      <c r="K1231" s="12" t="s">
        <v>141</v>
      </c>
      <c r="L1231" s="12">
        <v>15</v>
      </c>
      <c r="M1231" s="14" t="s">
        <v>6121</v>
      </c>
      <c r="N1231" s="14" t="s">
        <v>6122</v>
      </c>
      <c r="O1231" s="17" t="s">
        <v>6121</v>
      </c>
    </row>
    <row r="1232" spans="1:15" x14ac:dyDescent="0.15">
      <c r="A1232" s="50" t="s">
        <v>3727</v>
      </c>
      <c r="B1232" s="51"/>
      <c r="C1232" s="43"/>
      <c r="D1232" s="44" t="s">
        <v>1181</v>
      </c>
      <c r="E1232" s="41" t="s">
        <v>137</v>
      </c>
      <c r="F1232" s="43" t="s">
        <v>6123</v>
      </c>
      <c r="G1232" s="45">
        <f t="shared" ref="G1232" si="7">17.712*L1232</f>
        <v>442.8</v>
      </c>
      <c r="H1232" s="46">
        <v>42298</v>
      </c>
      <c r="I1232" s="45" t="s">
        <v>4024</v>
      </c>
      <c r="J1232" s="45" t="s">
        <v>6124</v>
      </c>
      <c r="K1232" s="45" t="s">
        <v>141</v>
      </c>
      <c r="L1232" s="45">
        <v>25</v>
      </c>
      <c r="M1232" s="48" t="s">
        <v>6125</v>
      </c>
      <c r="N1232" s="48" t="s">
        <v>338</v>
      </c>
      <c r="O1232" s="44" t="s">
        <v>6125</v>
      </c>
    </row>
    <row r="1233" spans="1:15" x14ac:dyDescent="0.15">
      <c r="A1233" s="21" t="s">
        <v>4533</v>
      </c>
      <c r="B1233" s="22"/>
      <c r="C1233" s="11"/>
      <c r="D1233" s="17" t="s">
        <v>811</v>
      </c>
      <c r="E1233" s="10" t="s">
        <v>137</v>
      </c>
      <c r="F1233" s="11" t="s">
        <v>6126</v>
      </c>
      <c r="G1233" s="12">
        <f>18.708*L1233</f>
        <v>467.69999999999993</v>
      </c>
      <c r="H1233" s="13">
        <v>42298</v>
      </c>
      <c r="I1233" s="12" t="s">
        <v>3916</v>
      </c>
      <c r="J1233" s="12" t="s">
        <v>6127</v>
      </c>
      <c r="K1233" s="12" t="s">
        <v>141</v>
      </c>
      <c r="L1233" s="12">
        <v>25</v>
      </c>
      <c r="M1233" s="14" t="s">
        <v>6128</v>
      </c>
      <c r="N1233" s="14" t="s">
        <v>338</v>
      </c>
      <c r="O1233" s="17" t="s">
        <v>6128</v>
      </c>
    </row>
    <row r="1234" spans="1:15" x14ac:dyDescent="0.15">
      <c r="A1234" s="50" t="s">
        <v>3914</v>
      </c>
      <c r="B1234" s="51"/>
      <c r="C1234" s="43"/>
      <c r="D1234" s="44" t="s">
        <v>341</v>
      </c>
      <c r="E1234" s="41" t="s">
        <v>137</v>
      </c>
      <c r="F1234" s="43" t="s">
        <v>6129</v>
      </c>
      <c r="G1234" s="45">
        <f>18.708*L1234</f>
        <v>130.95599999999999</v>
      </c>
      <c r="H1234" s="46">
        <v>42298</v>
      </c>
      <c r="I1234" s="45" t="s">
        <v>3916</v>
      </c>
      <c r="J1234" s="45" t="s">
        <v>6130</v>
      </c>
      <c r="K1234" s="45" t="s">
        <v>21</v>
      </c>
      <c r="L1234" s="45">
        <v>7</v>
      </c>
      <c r="M1234" s="48" t="s">
        <v>6131</v>
      </c>
      <c r="N1234" s="48" t="s">
        <v>544</v>
      </c>
      <c r="O1234" s="44" t="s">
        <v>6131</v>
      </c>
    </row>
    <row r="1235" spans="1:15" x14ac:dyDescent="0.15">
      <c r="A1235" s="21" t="s">
        <v>4969</v>
      </c>
      <c r="B1235" s="22"/>
      <c r="C1235" s="11"/>
      <c r="D1235" s="17" t="s">
        <v>341</v>
      </c>
      <c r="E1235" s="10" t="s">
        <v>137</v>
      </c>
      <c r="F1235" s="11" t="s">
        <v>6132</v>
      </c>
      <c r="G1235" s="12">
        <f>18.708*L1235</f>
        <v>467.69999999999993</v>
      </c>
      <c r="H1235" s="13">
        <v>42298</v>
      </c>
      <c r="I1235" s="12" t="s">
        <v>3916</v>
      </c>
      <c r="J1235" s="12" t="s">
        <v>6133</v>
      </c>
      <c r="K1235" s="12" t="s">
        <v>141</v>
      </c>
      <c r="L1235" s="12">
        <v>25</v>
      </c>
      <c r="M1235" s="14" t="s">
        <v>6134</v>
      </c>
      <c r="N1235" s="14" t="s">
        <v>338</v>
      </c>
      <c r="O1235" s="17" t="s">
        <v>6134</v>
      </c>
    </row>
    <row r="1236" spans="1:15" x14ac:dyDescent="0.15">
      <c r="A1236" s="21" t="s">
        <v>6072</v>
      </c>
      <c r="B1236" s="22"/>
      <c r="C1236" s="11"/>
      <c r="D1236" s="17" t="s">
        <v>425</v>
      </c>
      <c r="E1236" s="10" t="s">
        <v>137</v>
      </c>
      <c r="F1236" s="11" t="s">
        <v>6135</v>
      </c>
      <c r="G1236" s="12">
        <f>18.708*L1236</f>
        <v>467.69999999999993</v>
      </c>
      <c r="H1236" s="13">
        <v>42298</v>
      </c>
      <c r="I1236" s="12" t="s">
        <v>3916</v>
      </c>
      <c r="J1236" s="12" t="s">
        <v>6136</v>
      </c>
      <c r="K1236" s="12" t="s">
        <v>132</v>
      </c>
      <c r="L1236" s="12">
        <v>25</v>
      </c>
      <c r="M1236" s="14" t="s">
        <v>6137</v>
      </c>
      <c r="N1236" s="14" t="s">
        <v>338</v>
      </c>
      <c r="O1236" s="17" t="s">
        <v>6137</v>
      </c>
    </row>
    <row r="1237" spans="1:15" x14ac:dyDescent="0.15">
      <c r="A1237" s="21" t="s">
        <v>4798</v>
      </c>
      <c r="B1237" s="22"/>
      <c r="C1237" s="11"/>
      <c r="D1237" s="17" t="s">
        <v>97</v>
      </c>
      <c r="E1237" s="10" t="s">
        <v>137</v>
      </c>
      <c r="F1237" s="11" t="s">
        <v>6138</v>
      </c>
      <c r="G1237" s="18">
        <f>12.838*L1237</f>
        <v>64.19</v>
      </c>
      <c r="H1237" s="13">
        <v>42298</v>
      </c>
      <c r="I1237" s="12" t="s">
        <v>4580</v>
      </c>
      <c r="J1237" s="12" t="s">
        <v>6139</v>
      </c>
      <c r="K1237" s="12" t="s">
        <v>141</v>
      </c>
      <c r="L1237" s="12">
        <v>5</v>
      </c>
      <c r="M1237" s="14" t="s">
        <v>5193</v>
      </c>
      <c r="N1237" s="14" t="s">
        <v>1845</v>
      </c>
      <c r="O1237" s="17" t="s">
        <v>6140</v>
      </c>
    </row>
    <row r="1238" spans="1:15" x14ac:dyDescent="0.15">
      <c r="A1238" s="50" t="s">
        <v>5517</v>
      </c>
      <c r="B1238" s="51"/>
      <c r="C1238" s="43"/>
      <c r="D1238" s="44" t="s">
        <v>5518</v>
      </c>
      <c r="E1238" s="41" t="s">
        <v>137</v>
      </c>
      <c r="F1238" s="43" t="s">
        <v>6141</v>
      </c>
      <c r="G1238" s="47">
        <f>12.838*L1238</f>
        <v>25.675999999999998</v>
      </c>
      <c r="H1238" s="46">
        <v>42298</v>
      </c>
      <c r="I1238" s="45" t="s">
        <v>5520</v>
      </c>
      <c r="J1238" s="45" t="s">
        <v>6142</v>
      </c>
      <c r="K1238" s="45" t="s">
        <v>141</v>
      </c>
      <c r="L1238" s="45">
        <v>2</v>
      </c>
      <c r="M1238" s="48" t="s">
        <v>6143</v>
      </c>
      <c r="N1238" s="48" t="s">
        <v>6144</v>
      </c>
      <c r="O1238" s="44" t="s">
        <v>6143</v>
      </c>
    </row>
    <row r="1239" spans="1:15" x14ac:dyDescent="0.15">
      <c r="A1239" s="21" t="s">
        <v>5048</v>
      </c>
      <c r="B1239" s="22"/>
      <c r="C1239" s="11"/>
      <c r="D1239" s="17" t="s">
        <v>425</v>
      </c>
      <c r="E1239" s="10" t="s">
        <v>137</v>
      </c>
      <c r="F1239" s="11" t="s">
        <v>6145</v>
      </c>
      <c r="G1239" s="12">
        <f t="shared" ref="G1239" si="8">18.708*L1239</f>
        <v>467.69999999999993</v>
      </c>
      <c r="H1239" s="13">
        <v>42298</v>
      </c>
      <c r="I1239" s="12" t="s">
        <v>3916</v>
      </c>
      <c r="J1239" s="12" t="s">
        <v>6146</v>
      </c>
      <c r="K1239" s="12" t="s">
        <v>141</v>
      </c>
      <c r="L1239" s="12">
        <v>25</v>
      </c>
      <c r="M1239" s="14" t="s">
        <v>6147</v>
      </c>
      <c r="N1239" s="14" t="s">
        <v>338</v>
      </c>
      <c r="O1239" s="17" t="s">
        <v>6147</v>
      </c>
    </row>
    <row r="1240" spans="1:15" x14ac:dyDescent="0.15">
      <c r="A1240" s="21" t="s">
        <v>136</v>
      </c>
      <c r="B1240" s="22"/>
      <c r="C1240" s="11"/>
      <c r="D1240" s="17" t="s">
        <v>54</v>
      </c>
      <c r="E1240" s="10" t="s">
        <v>137</v>
      </c>
      <c r="F1240" s="11" t="s">
        <v>6148</v>
      </c>
      <c r="G1240" s="18">
        <f>6.405*L1240</f>
        <v>64.05</v>
      </c>
      <c r="H1240" s="13">
        <v>42298</v>
      </c>
      <c r="I1240" s="12" t="s">
        <v>139</v>
      </c>
      <c r="J1240" s="12" t="s">
        <v>6149</v>
      </c>
      <c r="K1240" s="12" t="s">
        <v>141</v>
      </c>
      <c r="L1240" s="12">
        <v>10</v>
      </c>
      <c r="M1240" s="14" t="s">
        <v>6150</v>
      </c>
      <c r="N1240" s="14" t="s">
        <v>4935</v>
      </c>
      <c r="O1240" s="17" t="s">
        <v>6150</v>
      </c>
    </row>
    <row r="1241" spans="1:15" x14ac:dyDescent="0.15">
      <c r="A1241" s="21" t="s">
        <v>4981</v>
      </c>
      <c r="B1241" s="22"/>
      <c r="C1241" s="11"/>
      <c r="D1241" s="17" t="s">
        <v>54</v>
      </c>
      <c r="E1241" s="10" t="s">
        <v>137</v>
      </c>
      <c r="F1241" s="11" t="s">
        <v>6151</v>
      </c>
      <c r="G1241" s="18">
        <f>6.405*L1241</f>
        <v>160.125</v>
      </c>
      <c r="H1241" s="13">
        <v>42298</v>
      </c>
      <c r="I1241" s="12" t="s">
        <v>139</v>
      </c>
      <c r="J1241" s="12" t="s">
        <v>6152</v>
      </c>
      <c r="K1241" s="12" t="s">
        <v>141</v>
      </c>
      <c r="L1241" s="12">
        <v>25</v>
      </c>
      <c r="M1241" s="14" t="s">
        <v>6153</v>
      </c>
      <c r="N1241" s="14" t="s">
        <v>338</v>
      </c>
      <c r="O1241" s="17" t="s">
        <v>6153</v>
      </c>
    </row>
    <row r="1242" spans="1:15" x14ac:dyDescent="0.15">
      <c r="A1242" s="50" t="s">
        <v>4696</v>
      </c>
      <c r="B1242" s="51"/>
      <c r="C1242" s="43"/>
      <c r="D1242" s="44" t="s">
        <v>612</v>
      </c>
      <c r="E1242" s="41" t="s">
        <v>137</v>
      </c>
      <c r="F1242" s="43" t="s">
        <v>6154</v>
      </c>
      <c r="G1242" s="47">
        <f>6.405*L1242</f>
        <v>96.075000000000003</v>
      </c>
      <c r="H1242" s="46">
        <v>42298</v>
      </c>
      <c r="I1242" s="45" t="s">
        <v>139</v>
      </c>
      <c r="J1242" s="45" t="s">
        <v>6155</v>
      </c>
      <c r="K1242" s="45" t="s">
        <v>141</v>
      </c>
      <c r="L1242" s="45">
        <v>15</v>
      </c>
      <c r="M1242" s="48" t="s">
        <v>6156</v>
      </c>
      <c r="N1242" s="48" t="s">
        <v>1151</v>
      </c>
      <c r="O1242" s="44" t="s">
        <v>6156</v>
      </c>
    </row>
    <row r="1243" spans="1:15" x14ac:dyDescent="0.15">
      <c r="A1243" s="21" t="s">
        <v>4985</v>
      </c>
      <c r="B1243" s="22"/>
      <c r="C1243" s="11"/>
      <c r="D1243" s="17" t="s">
        <v>97</v>
      </c>
      <c r="E1243" s="10" t="s">
        <v>137</v>
      </c>
      <c r="F1243" s="11" t="s">
        <v>6157</v>
      </c>
      <c r="G1243" s="12">
        <f>12.838*L1243</f>
        <v>128.38</v>
      </c>
      <c r="H1243" s="13">
        <v>42298</v>
      </c>
      <c r="I1243" s="12" t="s">
        <v>139</v>
      </c>
      <c r="J1243" s="12" t="s">
        <v>6158</v>
      </c>
      <c r="K1243" s="12" t="s">
        <v>141</v>
      </c>
      <c r="L1243" s="12">
        <v>10</v>
      </c>
      <c r="M1243" s="14" t="s">
        <v>5193</v>
      </c>
      <c r="N1243" s="14" t="s">
        <v>58</v>
      </c>
      <c r="O1243" s="17" t="s">
        <v>6159</v>
      </c>
    </row>
    <row r="1244" spans="1:15" x14ac:dyDescent="0.15">
      <c r="A1244" s="50" t="s">
        <v>6160</v>
      </c>
      <c r="B1244" s="51"/>
      <c r="C1244" s="43"/>
      <c r="D1244" s="44" t="s">
        <v>1973</v>
      </c>
      <c r="E1244" s="41" t="s">
        <v>137</v>
      </c>
      <c r="F1244" s="43" t="s">
        <v>6161</v>
      </c>
      <c r="G1244" s="45">
        <f>12.838*L1244</f>
        <v>64.19</v>
      </c>
      <c r="H1244" s="46">
        <v>42298</v>
      </c>
      <c r="I1244" s="45" t="s">
        <v>139</v>
      </c>
      <c r="J1244" s="45" t="s">
        <v>6162</v>
      </c>
      <c r="K1244" s="45" t="s">
        <v>141</v>
      </c>
      <c r="L1244" s="45">
        <v>5</v>
      </c>
      <c r="M1244" s="48" t="s">
        <v>4703</v>
      </c>
      <c r="N1244" s="48" t="s">
        <v>680</v>
      </c>
      <c r="O1244" s="44" t="s">
        <v>6163</v>
      </c>
    </row>
    <row r="1245" spans="1:15" x14ac:dyDescent="0.15">
      <c r="A1245" s="50" t="s">
        <v>4700</v>
      </c>
      <c r="B1245" s="51"/>
      <c r="C1245" s="43"/>
      <c r="D1245" s="44" t="s">
        <v>1973</v>
      </c>
      <c r="E1245" s="41" t="s">
        <v>137</v>
      </c>
      <c r="F1245" s="43" t="s">
        <v>6164</v>
      </c>
      <c r="G1245" s="45">
        <f>12.838*L1245</f>
        <v>128.38</v>
      </c>
      <c r="H1245" s="46">
        <v>42298</v>
      </c>
      <c r="I1245" s="45" t="s">
        <v>139</v>
      </c>
      <c r="J1245" s="45" t="s">
        <v>6165</v>
      </c>
      <c r="K1245" s="45" t="s">
        <v>141</v>
      </c>
      <c r="L1245" s="45">
        <v>10</v>
      </c>
      <c r="M1245" s="48" t="s">
        <v>6166</v>
      </c>
      <c r="N1245" s="48" t="s">
        <v>58</v>
      </c>
      <c r="O1245" s="44" t="s">
        <v>6166</v>
      </c>
    </row>
    <row r="1246" spans="1:15" x14ac:dyDescent="0.15">
      <c r="A1246" s="50" t="s">
        <v>5219</v>
      </c>
      <c r="B1246" s="51" t="s">
        <v>5168</v>
      </c>
      <c r="C1246" s="43"/>
      <c r="D1246" s="44" t="s">
        <v>5220</v>
      </c>
      <c r="E1246" s="41" t="s">
        <v>137</v>
      </c>
      <c r="F1246" s="43" t="s">
        <v>6167</v>
      </c>
      <c r="G1246" s="45">
        <f>2.078*L1246</f>
        <v>24.936</v>
      </c>
      <c r="H1246" s="46">
        <v>42298</v>
      </c>
      <c r="I1246" s="45" t="s">
        <v>5222</v>
      </c>
      <c r="J1246" s="45" t="s">
        <v>6168</v>
      </c>
      <c r="K1246" s="45" t="s">
        <v>141</v>
      </c>
      <c r="L1246" s="45">
        <v>12</v>
      </c>
      <c r="M1246" s="48" t="s">
        <v>6169</v>
      </c>
      <c r="N1246" s="48" t="s">
        <v>242</v>
      </c>
      <c r="O1246" s="44" t="s">
        <v>6169</v>
      </c>
    </row>
    <row r="1247" spans="1:15" x14ac:dyDescent="0.15">
      <c r="A1247" s="49" t="s">
        <v>6170</v>
      </c>
      <c r="B1247" s="51"/>
      <c r="C1247" s="43"/>
      <c r="D1247" s="44" t="s">
        <v>6171</v>
      </c>
      <c r="E1247" s="41" t="s">
        <v>137</v>
      </c>
      <c r="F1247" s="43" t="s">
        <v>6172</v>
      </c>
      <c r="G1247" s="45">
        <v>32.703000000000003</v>
      </c>
      <c r="H1247" s="46">
        <v>42298</v>
      </c>
      <c r="I1247" s="45" t="s">
        <v>3982</v>
      </c>
      <c r="J1247" s="45" t="s">
        <v>6173</v>
      </c>
      <c r="K1247" s="45" t="s">
        <v>141</v>
      </c>
      <c r="L1247" s="45" t="s">
        <v>4817</v>
      </c>
      <c r="M1247" s="48" t="s">
        <v>6174</v>
      </c>
      <c r="N1247" s="48" t="s">
        <v>6175</v>
      </c>
      <c r="O1247" s="44" t="s">
        <v>6176</v>
      </c>
    </row>
    <row r="1248" spans="1:15" x14ac:dyDescent="0.15">
      <c r="A1248" s="21" t="s">
        <v>4123</v>
      </c>
      <c r="B1248" s="22"/>
      <c r="C1248" s="11"/>
      <c r="D1248" s="17" t="s">
        <v>375</v>
      </c>
      <c r="E1248" s="10" t="s">
        <v>137</v>
      </c>
      <c r="F1248" s="11" t="s">
        <v>6177</v>
      </c>
      <c r="G1248" s="12">
        <f>17.52*L1248</f>
        <v>280.32</v>
      </c>
      <c r="H1248" s="13">
        <v>42298</v>
      </c>
      <c r="I1248" s="12" t="s">
        <v>3982</v>
      </c>
      <c r="J1248" s="12" t="s">
        <v>6178</v>
      </c>
      <c r="K1248" s="12" t="s">
        <v>141</v>
      </c>
      <c r="L1248" s="12">
        <v>16</v>
      </c>
      <c r="M1248" s="14" t="s">
        <v>6179</v>
      </c>
      <c r="N1248" s="14" t="s">
        <v>4577</v>
      </c>
      <c r="O1248" s="17" t="s">
        <v>6179</v>
      </c>
    </row>
    <row r="1249" spans="1:15" x14ac:dyDescent="0.15">
      <c r="A1249" s="57" t="s">
        <v>6180</v>
      </c>
      <c r="B1249" s="51"/>
      <c r="C1249" s="43"/>
      <c r="D1249" s="44" t="s">
        <v>6181</v>
      </c>
      <c r="E1249" s="41" t="s">
        <v>137</v>
      </c>
      <c r="F1249" s="43" t="s">
        <v>6182</v>
      </c>
      <c r="G1249" s="45">
        <f>17.52*L1249</f>
        <v>70.08</v>
      </c>
      <c r="H1249" s="46">
        <v>42298</v>
      </c>
      <c r="I1249" s="47" t="s">
        <v>3851</v>
      </c>
      <c r="J1249" s="47" t="s">
        <v>6183</v>
      </c>
      <c r="K1249" s="47" t="s">
        <v>141</v>
      </c>
      <c r="L1249" s="45">
        <v>4</v>
      </c>
      <c r="M1249" s="48" t="s">
        <v>6184</v>
      </c>
      <c r="N1249" s="48" t="s">
        <v>6185</v>
      </c>
      <c r="O1249" s="44" t="s">
        <v>6184</v>
      </c>
    </row>
    <row r="1250" spans="1:15" x14ac:dyDescent="0.15">
      <c r="A1250" s="50" t="s">
        <v>6180</v>
      </c>
      <c r="B1250" s="51"/>
      <c r="C1250" s="43"/>
      <c r="D1250" s="44" t="s">
        <v>6181</v>
      </c>
      <c r="E1250" s="41" t="s">
        <v>137</v>
      </c>
      <c r="F1250" s="43" t="s">
        <v>6186</v>
      </c>
      <c r="G1250" s="45">
        <f>17.52*L1250</f>
        <v>87.6</v>
      </c>
      <c r="H1250" s="46">
        <v>42298</v>
      </c>
      <c r="I1250" s="47" t="s">
        <v>3851</v>
      </c>
      <c r="J1250" s="47" t="s">
        <v>6187</v>
      </c>
      <c r="K1250" s="47" t="s">
        <v>141</v>
      </c>
      <c r="L1250" s="45">
        <v>5</v>
      </c>
      <c r="M1250" s="48" t="s">
        <v>6188</v>
      </c>
      <c r="N1250" s="48" t="s">
        <v>500</v>
      </c>
      <c r="O1250" s="44" t="s">
        <v>6188</v>
      </c>
    </row>
    <row r="1251" spans="1:15" x14ac:dyDescent="0.15">
      <c r="A1251" s="21" t="s">
        <v>4605</v>
      </c>
      <c r="B1251" s="22"/>
      <c r="C1251" s="11"/>
      <c r="D1251" s="17" t="s">
        <v>1781</v>
      </c>
      <c r="E1251" s="10" t="s">
        <v>137</v>
      </c>
      <c r="F1251" s="11" t="s">
        <v>6189</v>
      </c>
      <c r="G1251" s="12">
        <f>17.52*L1251</f>
        <v>227.76</v>
      </c>
      <c r="H1251" s="13">
        <v>42298</v>
      </c>
      <c r="I1251" s="12" t="s">
        <v>3982</v>
      </c>
      <c r="J1251" s="12" t="s">
        <v>6190</v>
      </c>
      <c r="K1251" s="12" t="s">
        <v>132</v>
      </c>
      <c r="L1251" s="12">
        <v>13</v>
      </c>
      <c r="M1251" s="14" t="s">
        <v>4608</v>
      </c>
      <c r="N1251" s="14" t="s">
        <v>473</v>
      </c>
      <c r="O1251" s="17" t="s">
        <v>6191</v>
      </c>
    </row>
    <row r="1252" spans="1:15" x14ac:dyDescent="0.15">
      <c r="A1252" s="21" t="s">
        <v>5258</v>
      </c>
      <c r="B1252" s="22"/>
      <c r="C1252" s="11"/>
      <c r="D1252" s="17" t="s">
        <v>1644</v>
      </c>
      <c r="E1252" s="10" t="s">
        <v>137</v>
      </c>
      <c r="F1252" s="11" t="s">
        <v>6192</v>
      </c>
      <c r="G1252" s="12">
        <f>17.52*L1252</f>
        <v>262.8</v>
      </c>
      <c r="H1252" s="13">
        <v>42298</v>
      </c>
      <c r="I1252" s="12" t="s">
        <v>3982</v>
      </c>
      <c r="J1252" s="12" t="s">
        <v>6193</v>
      </c>
      <c r="K1252" s="12" t="s">
        <v>3887</v>
      </c>
      <c r="L1252" s="12">
        <v>15</v>
      </c>
      <c r="M1252" s="14" t="s">
        <v>6194</v>
      </c>
      <c r="N1252" s="14" t="s">
        <v>236</v>
      </c>
      <c r="O1252" s="17" t="s">
        <v>6194</v>
      </c>
    </row>
    <row r="1253" spans="1:15" x14ac:dyDescent="0.15">
      <c r="A1253" s="21" t="s">
        <v>5262</v>
      </c>
      <c r="B1253" s="22"/>
      <c r="C1253" s="11"/>
      <c r="D1253" s="17" t="s">
        <v>1595</v>
      </c>
      <c r="E1253" s="10" t="s">
        <v>137</v>
      </c>
      <c r="F1253" s="11" t="s">
        <v>6195</v>
      </c>
      <c r="G1253" s="12">
        <v>192.398</v>
      </c>
      <c r="H1253" s="13">
        <v>42298</v>
      </c>
      <c r="I1253" s="12" t="s">
        <v>3982</v>
      </c>
      <c r="J1253" s="12" t="s">
        <v>6196</v>
      </c>
      <c r="K1253" s="12" t="s">
        <v>3898</v>
      </c>
      <c r="L1253" s="12" t="s">
        <v>5265</v>
      </c>
      <c r="M1253" s="14" t="s">
        <v>6197</v>
      </c>
      <c r="N1253" s="14" t="s">
        <v>5426</v>
      </c>
      <c r="O1253" s="17" t="s">
        <v>6198</v>
      </c>
    </row>
    <row r="1254" spans="1:15" x14ac:dyDescent="0.15">
      <c r="A1254" s="21" t="s">
        <v>5645</v>
      </c>
      <c r="B1254" s="22"/>
      <c r="C1254" s="11"/>
      <c r="D1254" s="17" t="s">
        <v>540</v>
      </c>
      <c r="E1254" s="10" t="s">
        <v>137</v>
      </c>
      <c r="F1254" s="11" t="s">
        <v>6199</v>
      </c>
      <c r="G1254" s="12">
        <f>17.52*L1254</f>
        <v>140.16</v>
      </c>
      <c r="H1254" s="13">
        <v>42298</v>
      </c>
      <c r="I1254" s="12" t="s">
        <v>3874</v>
      </c>
      <c r="J1254" s="12" t="s">
        <v>7254</v>
      </c>
      <c r="K1254" s="12" t="s">
        <v>141</v>
      </c>
      <c r="L1254" s="12">
        <v>8</v>
      </c>
      <c r="M1254" s="14" t="s">
        <v>6200</v>
      </c>
      <c r="N1254" s="14" t="s">
        <v>1217</v>
      </c>
      <c r="O1254" s="17" t="s">
        <v>6200</v>
      </c>
    </row>
    <row r="1255" spans="1:15" x14ac:dyDescent="0.15">
      <c r="A1255" s="50" t="s">
        <v>5657</v>
      </c>
      <c r="B1255" s="51"/>
      <c r="C1255" s="43"/>
      <c r="D1255" s="44" t="s">
        <v>546</v>
      </c>
      <c r="E1255" s="41" t="s">
        <v>137</v>
      </c>
      <c r="F1255" s="43" t="s">
        <v>6201</v>
      </c>
      <c r="G1255" s="45">
        <f>17.52*L1255</f>
        <v>350.4</v>
      </c>
      <c r="H1255" s="46">
        <v>42298</v>
      </c>
      <c r="I1255" s="45" t="s">
        <v>3874</v>
      </c>
      <c r="J1255" s="45" t="s">
        <v>6202</v>
      </c>
      <c r="K1255" s="45" t="s">
        <v>21</v>
      </c>
      <c r="L1255" s="45">
        <v>20</v>
      </c>
      <c r="M1255" s="48" t="s">
        <v>6203</v>
      </c>
      <c r="N1255" s="48" t="s">
        <v>3259</v>
      </c>
      <c r="O1255" s="44" t="s">
        <v>6203</v>
      </c>
    </row>
    <row r="1256" spans="1:15" x14ac:dyDescent="0.15">
      <c r="A1256" s="50" t="s">
        <v>5160</v>
      </c>
      <c r="B1256" s="51"/>
      <c r="C1256" s="43"/>
      <c r="D1256" s="44" t="s">
        <v>3836</v>
      </c>
      <c r="E1256" s="41" t="s">
        <v>137</v>
      </c>
      <c r="F1256" s="43" t="s">
        <v>6204</v>
      </c>
      <c r="G1256" s="45">
        <f>27.67*L1256</f>
        <v>166.02</v>
      </c>
      <c r="H1256" s="46">
        <v>42298</v>
      </c>
      <c r="I1256" s="45" t="s">
        <v>3874</v>
      </c>
      <c r="J1256" s="45" t="s">
        <v>6205</v>
      </c>
      <c r="K1256" s="45" t="s">
        <v>21</v>
      </c>
      <c r="L1256" s="45">
        <v>6</v>
      </c>
      <c r="M1256" s="48" t="s">
        <v>6051</v>
      </c>
      <c r="N1256" s="48" t="s">
        <v>531</v>
      </c>
      <c r="O1256" s="44" t="s">
        <v>6206</v>
      </c>
    </row>
    <row r="1257" spans="1:15" x14ac:dyDescent="0.15">
      <c r="A1257" s="21" t="s">
        <v>5444</v>
      </c>
      <c r="B1257" s="22"/>
      <c r="C1257" s="11"/>
      <c r="D1257" s="17" t="s">
        <v>567</v>
      </c>
      <c r="E1257" s="10" t="s">
        <v>137</v>
      </c>
      <c r="F1257" s="11" t="s">
        <v>6207</v>
      </c>
      <c r="G1257" s="12">
        <f>27.688*L1257</f>
        <v>498.38399999999996</v>
      </c>
      <c r="H1257" s="13">
        <v>42298</v>
      </c>
      <c r="I1257" s="12" t="s">
        <v>3874</v>
      </c>
      <c r="J1257" s="12" t="s">
        <v>6208</v>
      </c>
      <c r="K1257" s="12" t="s">
        <v>141</v>
      </c>
      <c r="L1257" s="12">
        <v>18</v>
      </c>
      <c r="M1257" s="14" t="s">
        <v>5672</v>
      </c>
      <c r="N1257" s="14" t="s">
        <v>6209</v>
      </c>
      <c r="O1257" s="17" t="s">
        <v>6210</v>
      </c>
    </row>
    <row r="1258" spans="1:15" x14ac:dyDescent="0.15">
      <c r="A1258" s="50" t="s">
        <v>4573</v>
      </c>
      <c r="B1258" s="51"/>
      <c r="C1258" s="43"/>
      <c r="D1258" s="44" t="s">
        <v>1119</v>
      </c>
      <c r="E1258" s="41" t="s">
        <v>137</v>
      </c>
      <c r="F1258" s="43" t="s">
        <v>6211</v>
      </c>
      <c r="G1258" s="45">
        <f>17.498*L1258</f>
        <v>262.47000000000003</v>
      </c>
      <c r="H1258" s="46">
        <v>42298</v>
      </c>
      <c r="I1258" s="45" t="s">
        <v>3874</v>
      </c>
      <c r="J1258" s="45" t="s">
        <v>6212</v>
      </c>
      <c r="K1258" s="45" t="s">
        <v>141</v>
      </c>
      <c r="L1258" s="45">
        <v>15</v>
      </c>
      <c r="M1258" s="48" t="s">
        <v>6213</v>
      </c>
      <c r="N1258" s="48" t="s">
        <v>1151</v>
      </c>
      <c r="O1258" s="44" t="s">
        <v>6213</v>
      </c>
    </row>
    <row r="1259" spans="1:15" x14ac:dyDescent="0.15">
      <c r="A1259" s="21" t="s">
        <v>1355</v>
      </c>
      <c r="B1259" s="22"/>
      <c r="C1259" s="11"/>
      <c r="D1259" s="17" t="s">
        <v>633</v>
      </c>
      <c r="E1259" s="10" t="s">
        <v>137</v>
      </c>
      <c r="F1259" s="11" t="s">
        <v>6214</v>
      </c>
      <c r="G1259" s="12">
        <f>17.498*L1259</f>
        <v>437.45000000000005</v>
      </c>
      <c r="H1259" s="13">
        <v>42298</v>
      </c>
      <c r="I1259" s="12" t="s">
        <v>3874</v>
      </c>
      <c r="J1259" s="12" t="s">
        <v>6215</v>
      </c>
      <c r="K1259" s="12" t="s">
        <v>141</v>
      </c>
      <c r="L1259" s="12">
        <v>25</v>
      </c>
      <c r="M1259" s="14" t="s">
        <v>6216</v>
      </c>
      <c r="N1259" s="14" t="s">
        <v>3967</v>
      </c>
      <c r="O1259" s="17" t="s">
        <v>6216</v>
      </c>
    </row>
    <row r="1260" spans="1:15" x14ac:dyDescent="0.15">
      <c r="A1260" s="50" t="s">
        <v>4729</v>
      </c>
      <c r="B1260" s="51"/>
      <c r="C1260" s="43"/>
      <c r="D1260" s="44" t="s">
        <v>633</v>
      </c>
      <c r="E1260" s="41" t="s">
        <v>137</v>
      </c>
      <c r="F1260" s="43" t="s">
        <v>6217</v>
      </c>
      <c r="G1260" s="45">
        <f>17.498*L1260</f>
        <v>262.47000000000003</v>
      </c>
      <c r="H1260" s="46">
        <v>42298</v>
      </c>
      <c r="I1260" s="45" t="s">
        <v>3874</v>
      </c>
      <c r="J1260" s="45" t="s">
        <v>6218</v>
      </c>
      <c r="K1260" s="45" t="s">
        <v>141</v>
      </c>
      <c r="L1260" s="45">
        <v>15</v>
      </c>
      <c r="M1260" s="48" t="s">
        <v>6219</v>
      </c>
      <c r="N1260" s="48" t="s">
        <v>1151</v>
      </c>
      <c r="O1260" s="44" t="s">
        <v>6219</v>
      </c>
    </row>
    <row r="1261" spans="1:15" x14ac:dyDescent="0.15">
      <c r="A1261" s="50" t="s">
        <v>4921</v>
      </c>
      <c r="B1261" s="51"/>
      <c r="C1261" s="43"/>
      <c r="D1261" s="44" t="s">
        <v>826</v>
      </c>
      <c r="E1261" s="41" t="s">
        <v>137</v>
      </c>
      <c r="F1261" s="43" t="s">
        <v>6220</v>
      </c>
      <c r="G1261" s="47">
        <f>29.101*L1261</f>
        <v>116.404</v>
      </c>
      <c r="H1261" s="46">
        <v>42298</v>
      </c>
      <c r="I1261" s="45" t="s">
        <v>4417</v>
      </c>
      <c r="J1261" s="45" t="s">
        <v>6221</v>
      </c>
      <c r="K1261" s="45" t="s">
        <v>141</v>
      </c>
      <c r="L1261" s="45">
        <v>4</v>
      </c>
      <c r="M1261" s="48" t="s">
        <v>5144</v>
      </c>
      <c r="N1261" s="48" t="s">
        <v>3392</v>
      </c>
      <c r="O1261" s="44" t="s">
        <v>6222</v>
      </c>
    </row>
    <row r="1262" spans="1:15" x14ac:dyDescent="0.15">
      <c r="A1262" s="21" t="s">
        <v>467</v>
      </c>
      <c r="B1262" s="22"/>
      <c r="C1262" s="11"/>
      <c r="D1262" s="17" t="s">
        <v>341</v>
      </c>
      <c r="E1262" s="10" t="s">
        <v>137</v>
      </c>
      <c r="F1262" s="11" t="s">
        <v>6223</v>
      </c>
      <c r="G1262" s="18">
        <f t="shared" ref="G1262:G1263" si="9">18.708*L1262</f>
        <v>318.03599999999994</v>
      </c>
      <c r="H1262" s="13">
        <v>42298</v>
      </c>
      <c r="I1262" s="12" t="s">
        <v>3866</v>
      </c>
      <c r="J1262" s="12" t="s">
        <v>6224</v>
      </c>
      <c r="K1262" s="12" t="s">
        <v>141</v>
      </c>
      <c r="L1262" s="12">
        <v>17</v>
      </c>
      <c r="M1262" s="14" t="s">
        <v>6131</v>
      </c>
      <c r="N1262" s="14" t="s">
        <v>6225</v>
      </c>
      <c r="O1262" s="17" t="s">
        <v>6131</v>
      </c>
    </row>
    <row r="1263" spans="1:15" x14ac:dyDescent="0.15">
      <c r="A1263" s="21" t="s">
        <v>4804</v>
      </c>
      <c r="B1263" s="22"/>
      <c r="C1263" s="11"/>
      <c r="D1263" s="17" t="s">
        <v>341</v>
      </c>
      <c r="E1263" s="10" t="s">
        <v>137</v>
      </c>
      <c r="F1263" s="11" t="s">
        <v>6226</v>
      </c>
      <c r="G1263" s="18">
        <f t="shared" si="9"/>
        <v>467.69999999999993</v>
      </c>
      <c r="H1263" s="13">
        <v>42298</v>
      </c>
      <c r="I1263" s="12" t="s">
        <v>3866</v>
      </c>
      <c r="J1263" s="12" t="s">
        <v>6227</v>
      </c>
      <c r="K1263" s="12" t="s">
        <v>141</v>
      </c>
      <c r="L1263" s="12">
        <v>25</v>
      </c>
      <c r="M1263" s="14" t="s">
        <v>6228</v>
      </c>
      <c r="N1263" s="14" t="s">
        <v>338</v>
      </c>
      <c r="O1263" s="17" t="s">
        <v>6228</v>
      </c>
    </row>
    <row r="1264" spans="1:15" x14ac:dyDescent="0.15">
      <c r="A1264" s="50" t="s">
        <v>4619</v>
      </c>
      <c r="B1264" s="51"/>
      <c r="C1264" s="43"/>
      <c r="D1264" s="44" t="s">
        <v>425</v>
      </c>
      <c r="E1264" s="41" t="s">
        <v>137</v>
      </c>
      <c r="F1264" s="43" t="s">
        <v>6229</v>
      </c>
      <c r="G1264" s="45">
        <f>18.708*L1264</f>
        <v>224.49599999999998</v>
      </c>
      <c r="H1264" s="46">
        <v>42298</v>
      </c>
      <c r="I1264" s="45" t="s">
        <v>4417</v>
      </c>
      <c r="J1264" s="45" t="s">
        <v>6230</v>
      </c>
      <c r="K1264" s="45" t="s">
        <v>141</v>
      </c>
      <c r="L1264" s="45">
        <v>12</v>
      </c>
      <c r="M1264" s="48" t="s">
        <v>6231</v>
      </c>
      <c r="N1264" s="48" t="s">
        <v>242</v>
      </c>
      <c r="O1264" s="44" t="s">
        <v>6231</v>
      </c>
    </row>
    <row r="1265" spans="1:15" x14ac:dyDescent="0.15">
      <c r="A1265" s="21" t="s">
        <v>1180</v>
      </c>
      <c r="B1265" s="22"/>
      <c r="C1265" s="11"/>
      <c r="D1265" s="17" t="s">
        <v>1181</v>
      </c>
      <c r="E1265" s="10" t="s">
        <v>137</v>
      </c>
      <c r="F1265" s="11" t="s">
        <v>6232</v>
      </c>
      <c r="G1265" s="12">
        <f>17.712*L1265</f>
        <v>88.56</v>
      </c>
      <c r="H1265" s="13">
        <v>42298</v>
      </c>
      <c r="I1265" s="12" t="s">
        <v>3874</v>
      </c>
      <c r="J1265" s="12" t="s">
        <v>6233</v>
      </c>
      <c r="K1265" s="12" t="s">
        <v>141</v>
      </c>
      <c r="L1265" s="12">
        <v>5</v>
      </c>
      <c r="M1265" s="14" t="s">
        <v>6061</v>
      </c>
      <c r="N1265" s="14" t="s">
        <v>680</v>
      </c>
      <c r="O1265" s="17" t="s">
        <v>6234</v>
      </c>
    </row>
    <row r="1266" spans="1:15" x14ac:dyDescent="0.15">
      <c r="A1266" s="50" t="s">
        <v>6068</v>
      </c>
      <c r="B1266" s="51"/>
      <c r="C1266" s="43"/>
      <c r="D1266" s="44" t="s">
        <v>1181</v>
      </c>
      <c r="E1266" s="41" t="s">
        <v>137</v>
      </c>
      <c r="F1266" s="43" t="s">
        <v>6235</v>
      </c>
      <c r="G1266" s="45">
        <f>17.712*L1266</f>
        <v>106.27199999999999</v>
      </c>
      <c r="H1266" s="46">
        <v>42298</v>
      </c>
      <c r="I1266" s="45" t="s">
        <v>3874</v>
      </c>
      <c r="J1266" s="45" t="s">
        <v>6236</v>
      </c>
      <c r="K1266" s="45" t="s">
        <v>141</v>
      </c>
      <c r="L1266" s="45">
        <v>6</v>
      </c>
      <c r="M1266" s="48" t="s">
        <v>6121</v>
      </c>
      <c r="N1266" s="48" t="s">
        <v>1808</v>
      </c>
      <c r="O1266" s="44" t="s">
        <v>6121</v>
      </c>
    </row>
    <row r="1267" spans="1:15" x14ac:dyDescent="0.15">
      <c r="A1267" s="21" t="s">
        <v>3922</v>
      </c>
      <c r="B1267" s="22"/>
      <c r="C1267" s="11"/>
      <c r="D1267" s="17" t="s">
        <v>4737</v>
      </c>
      <c r="E1267" s="10" t="s">
        <v>137</v>
      </c>
      <c r="F1267" s="11" t="s">
        <v>6237</v>
      </c>
      <c r="G1267" s="12">
        <f t="shared" ref="G1267:G1268" si="10">14.405*L1267</f>
        <v>360.125</v>
      </c>
      <c r="H1267" s="13">
        <v>42298</v>
      </c>
      <c r="I1267" s="12" t="s">
        <v>3874</v>
      </c>
      <c r="J1267" s="12" t="s">
        <v>6238</v>
      </c>
      <c r="K1267" s="12" t="s">
        <v>141</v>
      </c>
      <c r="L1267" s="12">
        <v>25</v>
      </c>
      <c r="M1267" s="11" t="s">
        <v>6239</v>
      </c>
      <c r="N1267" s="14" t="s">
        <v>3967</v>
      </c>
      <c r="O1267" s="17" t="s">
        <v>6239</v>
      </c>
    </row>
    <row r="1268" spans="1:15" x14ac:dyDescent="0.15">
      <c r="A1268" s="21" t="s">
        <v>2811</v>
      </c>
      <c r="B1268" s="22"/>
      <c r="C1268" s="11"/>
      <c r="D1268" s="17" t="s">
        <v>4737</v>
      </c>
      <c r="E1268" s="10" t="s">
        <v>137</v>
      </c>
      <c r="F1268" s="11" t="s">
        <v>6240</v>
      </c>
      <c r="G1268" s="12">
        <f t="shared" si="10"/>
        <v>360.125</v>
      </c>
      <c r="H1268" s="13">
        <v>42298</v>
      </c>
      <c r="I1268" s="12" t="s">
        <v>3874</v>
      </c>
      <c r="J1268" s="12" t="s">
        <v>6241</v>
      </c>
      <c r="K1268" s="12" t="s">
        <v>141</v>
      </c>
      <c r="L1268" s="12">
        <v>25</v>
      </c>
      <c r="M1268" s="11" t="s">
        <v>6242</v>
      </c>
      <c r="N1268" s="14" t="s">
        <v>3967</v>
      </c>
      <c r="O1268" s="17" t="s">
        <v>6242</v>
      </c>
    </row>
    <row r="1269" spans="1:15" x14ac:dyDescent="0.15">
      <c r="A1269" s="21" t="s">
        <v>475</v>
      </c>
      <c r="B1269" s="22"/>
      <c r="C1269" s="11"/>
      <c r="D1269" s="17" t="s">
        <v>408</v>
      </c>
      <c r="E1269" s="10" t="s">
        <v>137</v>
      </c>
      <c r="F1269" s="11" t="s">
        <v>8399</v>
      </c>
      <c r="G1269" s="12">
        <f>29.101*L1269</f>
        <v>378.31299999999999</v>
      </c>
      <c r="H1269" s="13">
        <v>42298</v>
      </c>
      <c r="I1269" s="12" t="s">
        <v>4886</v>
      </c>
      <c r="J1269" s="12" t="s">
        <v>6243</v>
      </c>
      <c r="K1269" s="12" t="s">
        <v>141</v>
      </c>
      <c r="L1269" s="12">
        <v>13</v>
      </c>
      <c r="M1269" s="14" t="s">
        <v>6244</v>
      </c>
      <c r="N1269" s="14" t="s">
        <v>5463</v>
      </c>
      <c r="O1269" s="17" t="s">
        <v>6244</v>
      </c>
    </row>
    <row r="1270" spans="1:15" x14ac:dyDescent="0.15">
      <c r="A1270" s="21" t="s">
        <v>4898</v>
      </c>
      <c r="B1270" s="22"/>
      <c r="C1270" s="11"/>
      <c r="D1270" s="17" t="s">
        <v>408</v>
      </c>
      <c r="E1270" s="10" t="s">
        <v>137</v>
      </c>
      <c r="F1270" s="11" t="s">
        <v>6245</v>
      </c>
      <c r="G1270" s="12">
        <f>29.101*L1270</f>
        <v>174.60599999999999</v>
      </c>
      <c r="H1270" s="13">
        <v>42298</v>
      </c>
      <c r="I1270" s="12" t="s">
        <v>4886</v>
      </c>
      <c r="J1270" s="12" t="s">
        <v>6246</v>
      </c>
      <c r="K1270" s="12" t="s">
        <v>141</v>
      </c>
      <c r="L1270" s="12">
        <v>6</v>
      </c>
      <c r="M1270" s="14" t="s">
        <v>6247</v>
      </c>
      <c r="N1270" s="14" t="s">
        <v>6248</v>
      </c>
      <c r="O1270" s="17" t="s">
        <v>6247</v>
      </c>
    </row>
    <row r="1271" spans="1:15" x14ac:dyDescent="0.15">
      <c r="A1271" s="50" t="s">
        <v>3902</v>
      </c>
      <c r="B1271" s="51"/>
      <c r="C1271" s="43"/>
      <c r="D1271" s="44" t="s">
        <v>6249</v>
      </c>
      <c r="E1271" s="41" t="s">
        <v>137</v>
      </c>
      <c r="F1271" s="43" t="s">
        <v>6250</v>
      </c>
      <c r="G1271" s="47">
        <f>20.545*L1271</f>
        <v>41.09</v>
      </c>
      <c r="H1271" s="46">
        <v>42298</v>
      </c>
      <c r="I1271" s="45" t="s">
        <v>3874</v>
      </c>
      <c r="J1271" s="45" t="s">
        <v>6251</v>
      </c>
      <c r="K1271" s="45" t="s">
        <v>3887</v>
      </c>
      <c r="L1271" s="45">
        <v>2</v>
      </c>
      <c r="M1271" s="48" t="s">
        <v>6252</v>
      </c>
      <c r="N1271" s="48" t="s">
        <v>6253</v>
      </c>
      <c r="O1271" s="44" t="s">
        <v>6252</v>
      </c>
    </row>
    <row r="1272" spans="1:15" x14ac:dyDescent="0.15">
      <c r="A1272" s="49" t="s">
        <v>6254</v>
      </c>
      <c r="B1272" s="42" t="s">
        <v>8401</v>
      </c>
      <c r="C1272" s="43"/>
      <c r="D1272" s="44" t="s">
        <v>6255</v>
      </c>
      <c r="E1272" s="41" t="s">
        <v>137</v>
      </c>
      <c r="F1272" s="43" t="s">
        <v>6256</v>
      </c>
      <c r="G1272" s="47">
        <f>20.816*L1272</f>
        <v>20.815999999999999</v>
      </c>
      <c r="H1272" s="46">
        <v>42298</v>
      </c>
      <c r="I1272" s="45" t="s">
        <v>3928</v>
      </c>
      <c r="J1272" s="45" t="s">
        <v>6257</v>
      </c>
      <c r="K1272" s="45" t="s">
        <v>3887</v>
      </c>
      <c r="L1272" s="45">
        <v>1</v>
      </c>
      <c r="M1272" s="48" t="s">
        <v>6258</v>
      </c>
      <c r="N1272" s="48" t="s">
        <v>4722</v>
      </c>
      <c r="O1272" s="44" t="s">
        <v>6258</v>
      </c>
    </row>
    <row r="1273" spans="1:15" x14ac:dyDescent="0.15">
      <c r="A1273" s="49" t="s">
        <v>4073</v>
      </c>
      <c r="B1273" s="42" t="s">
        <v>4599</v>
      </c>
      <c r="C1273" s="43"/>
      <c r="D1273" s="49" t="s">
        <v>6259</v>
      </c>
      <c r="E1273" s="41" t="s">
        <v>137</v>
      </c>
      <c r="F1273" s="43" t="s">
        <v>6260</v>
      </c>
      <c r="G1273" s="47">
        <f>20.816*L1273</f>
        <v>20.815999999999999</v>
      </c>
      <c r="H1273" s="46">
        <v>42298</v>
      </c>
      <c r="I1273" s="45" t="s">
        <v>3928</v>
      </c>
      <c r="J1273" s="45" t="s">
        <v>6261</v>
      </c>
      <c r="K1273" s="45" t="s">
        <v>3887</v>
      </c>
      <c r="L1273" s="45">
        <v>1</v>
      </c>
      <c r="M1273" s="48" t="s">
        <v>6262</v>
      </c>
      <c r="N1273" s="48" t="s">
        <v>210</v>
      </c>
      <c r="O1273" s="44" t="s">
        <v>6262</v>
      </c>
    </row>
    <row r="1274" spans="1:15" x14ac:dyDescent="0.15">
      <c r="A1274" s="21" t="s">
        <v>3944</v>
      </c>
      <c r="B1274" s="19" t="s">
        <v>6263</v>
      </c>
      <c r="C1274" s="11"/>
      <c r="D1274" s="17" t="s">
        <v>4880</v>
      </c>
      <c r="E1274" s="10" t="s">
        <v>137</v>
      </c>
      <c r="F1274" s="11" t="s">
        <v>6264</v>
      </c>
      <c r="G1274" s="18">
        <f t="shared" ref="G1274:G1275" si="11">9.804*L1274</f>
        <v>245.1</v>
      </c>
      <c r="H1274" s="13">
        <v>42304</v>
      </c>
      <c r="I1274" s="12" t="s">
        <v>4105</v>
      </c>
      <c r="J1274" s="12" t="s">
        <v>6265</v>
      </c>
      <c r="K1274" s="12" t="s">
        <v>141</v>
      </c>
      <c r="L1274" s="12">
        <v>25</v>
      </c>
      <c r="M1274" s="14" t="s">
        <v>6266</v>
      </c>
      <c r="N1274" s="14" t="s">
        <v>338</v>
      </c>
      <c r="O1274" s="17" t="s">
        <v>6266</v>
      </c>
    </row>
    <row r="1275" spans="1:15" x14ac:dyDescent="0.15">
      <c r="A1275" s="21" t="s">
        <v>3944</v>
      </c>
      <c r="B1275" s="19" t="s">
        <v>6263</v>
      </c>
      <c r="C1275" s="11"/>
      <c r="D1275" s="17" t="s">
        <v>353</v>
      </c>
      <c r="E1275" s="10" t="s">
        <v>137</v>
      </c>
      <c r="F1275" s="11" t="s">
        <v>6267</v>
      </c>
      <c r="G1275" s="18">
        <f t="shared" si="11"/>
        <v>225.49200000000002</v>
      </c>
      <c r="H1275" s="13">
        <v>42304</v>
      </c>
      <c r="I1275" s="12" t="s">
        <v>4105</v>
      </c>
      <c r="J1275" s="12" t="s">
        <v>6268</v>
      </c>
      <c r="K1275" s="12" t="s">
        <v>141</v>
      </c>
      <c r="L1275" s="12">
        <v>23</v>
      </c>
      <c r="M1275" s="14" t="s">
        <v>6269</v>
      </c>
      <c r="N1275" s="14" t="s">
        <v>6270</v>
      </c>
      <c r="O1275" s="17" t="s">
        <v>6269</v>
      </c>
    </row>
    <row r="1276" spans="1:15" x14ac:dyDescent="0.15">
      <c r="A1276" s="21" t="s">
        <v>4610</v>
      </c>
      <c r="B1276" s="22"/>
      <c r="C1276" s="11"/>
      <c r="D1276" s="17" t="s">
        <v>1659</v>
      </c>
      <c r="E1276" s="10" t="s">
        <v>137</v>
      </c>
      <c r="F1276" s="11" t="s">
        <v>6271</v>
      </c>
      <c r="G1276" s="12">
        <f t="shared" ref="G1276" si="12">29.101*L1276</f>
        <v>291.01</v>
      </c>
      <c r="H1276" s="13">
        <v>42304</v>
      </c>
      <c r="I1276" s="12" t="s">
        <v>4024</v>
      </c>
      <c r="J1276" s="12" t="s">
        <v>6272</v>
      </c>
      <c r="K1276" s="12" t="s">
        <v>3887</v>
      </c>
      <c r="L1276" s="12">
        <v>10</v>
      </c>
      <c r="M1276" s="14" t="s">
        <v>6273</v>
      </c>
      <c r="N1276" s="14" t="s">
        <v>412</v>
      </c>
      <c r="O1276" s="17" t="s">
        <v>6273</v>
      </c>
    </row>
    <row r="1277" spans="1:15" x14ac:dyDescent="0.15">
      <c r="A1277" s="21" t="s">
        <v>4969</v>
      </c>
      <c r="B1277" s="22"/>
      <c r="C1277" s="11"/>
      <c r="D1277" s="17" t="s">
        <v>341</v>
      </c>
      <c r="E1277" s="10" t="s">
        <v>137</v>
      </c>
      <c r="F1277" s="11" t="s">
        <v>6274</v>
      </c>
      <c r="G1277" s="12">
        <f>18.708*L1277</f>
        <v>112.24799999999999</v>
      </c>
      <c r="H1277" s="13">
        <v>42304</v>
      </c>
      <c r="I1277" s="12" t="s">
        <v>3916</v>
      </c>
      <c r="J1277" s="12" t="s">
        <v>6275</v>
      </c>
      <c r="K1277" s="12" t="s">
        <v>141</v>
      </c>
      <c r="L1277" s="12">
        <v>6</v>
      </c>
      <c r="M1277" s="14" t="s">
        <v>6276</v>
      </c>
      <c r="N1277" s="14" t="s">
        <v>3672</v>
      </c>
      <c r="O1277" s="17" t="s">
        <v>6276</v>
      </c>
    </row>
    <row r="1278" spans="1:15" x14ac:dyDescent="0.15">
      <c r="A1278" s="21" t="s">
        <v>6072</v>
      </c>
      <c r="B1278" s="22"/>
      <c r="C1278" s="11"/>
      <c r="D1278" s="17" t="s">
        <v>425</v>
      </c>
      <c r="E1278" s="10" t="s">
        <v>137</v>
      </c>
      <c r="F1278" s="11" t="s">
        <v>6277</v>
      </c>
      <c r="G1278" s="12">
        <f>18.708*L1278</f>
        <v>243.20399999999998</v>
      </c>
      <c r="H1278" s="13">
        <v>42304</v>
      </c>
      <c r="I1278" s="12" t="s">
        <v>3916</v>
      </c>
      <c r="J1278" s="12" t="s">
        <v>6278</v>
      </c>
      <c r="K1278" s="12" t="s">
        <v>132</v>
      </c>
      <c r="L1278" s="12">
        <v>13</v>
      </c>
      <c r="M1278" s="14" t="s">
        <v>6231</v>
      </c>
      <c r="N1278" s="14" t="s">
        <v>473</v>
      </c>
      <c r="O1278" s="17" t="s">
        <v>6231</v>
      </c>
    </row>
    <row r="1279" spans="1:15" x14ac:dyDescent="0.15">
      <c r="A1279" s="21" t="s">
        <v>6279</v>
      </c>
      <c r="B1279" s="22"/>
      <c r="C1279" s="11"/>
      <c r="D1279" s="17" t="s">
        <v>5056</v>
      </c>
      <c r="E1279" s="10" t="s">
        <v>137</v>
      </c>
      <c r="F1279" s="11" t="s">
        <v>6280</v>
      </c>
      <c r="G1279" s="12">
        <f>14.405*L1279</f>
        <v>72.024999999999991</v>
      </c>
      <c r="H1279" s="13">
        <v>42304</v>
      </c>
      <c r="I1279" s="11" t="s">
        <v>4580</v>
      </c>
      <c r="J1279" s="11" t="s">
        <v>6281</v>
      </c>
      <c r="K1279" s="11" t="s">
        <v>141</v>
      </c>
      <c r="L1279" s="12">
        <v>5</v>
      </c>
      <c r="M1279" s="14" t="s">
        <v>5059</v>
      </c>
      <c r="N1279" s="14" t="s">
        <v>6282</v>
      </c>
      <c r="O1279" s="17" t="s">
        <v>6283</v>
      </c>
    </row>
    <row r="1280" spans="1:15" x14ac:dyDescent="0.15">
      <c r="A1280" s="21" t="s">
        <v>5605</v>
      </c>
      <c r="B1280" s="11" t="s">
        <v>5062</v>
      </c>
      <c r="C1280" s="11"/>
      <c r="D1280" s="17" t="s">
        <v>223</v>
      </c>
      <c r="E1280" s="10" t="s">
        <v>137</v>
      </c>
      <c r="F1280" s="11" t="s">
        <v>6284</v>
      </c>
      <c r="G1280" s="12">
        <f>29.101*L1280/2</f>
        <v>58.201999999999998</v>
      </c>
      <c r="H1280" s="13">
        <v>42304</v>
      </c>
      <c r="I1280" s="12" t="s">
        <v>5064</v>
      </c>
      <c r="J1280" s="12" t="s">
        <v>6285</v>
      </c>
      <c r="K1280" s="12" t="s">
        <v>141</v>
      </c>
      <c r="L1280" s="12">
        <v>4</v>
      </c>
      <c r="M1280" s="14" t="s">
        <v>5608</v>
      </c>
      <c r="N1280" s="14" t="s">
        <v>3392</v>
      </c>
      <c r="O1280" s="17" t="s">
        <v>6286</v>
      </c>
    </row>
    <row r="1281" spans="1:15" x14ac:dyDescent="0.15">
      <c r="A1281" s="21" t="s">
        <v>4149</v>
      </c>
      <c r="B1281" s="22"/>
      <c r="C1281" s="11"/>
      <c r="D1281" s="17" t="s">
        <v>1044</v>
      </c>
      <c r="E1281" s="10" t="s">
        <v>137</v>
      </c>
      <c r="F1281" s="11" t="s">
        <v>6287</v>
      </c>
      <c r="G1281" s="12">
        <f t="shared" ref="G1281:G1282" si="13">7.037*L1281</f>
        <v>70.37</v>
      </c>
      <c r="H1281" s="13">
        <v>42304</v>
      </c>
      <c r="I1281" s="18" t="s">
        <v>4151</v>
      </c>
      <c r="J1281" s="12" t="s">
        <v>6288</v>
      </c>
      <c r="K1281" s="12" t="s">
        <v>141</v>
      </c>
      <c r="L1281" s="12">
        <v>10</v>
      </c>
      <c r="M1281" s="14" t="s">
        <v>5327</v>
      </c>
      <c r="N1281" s="14" t="s">
        <v>58</v>
      </c>
      <c r="O1281" s="17" t="s">
        <v>6289</v>
      </c>
    </row>
    <row r="1282" spans="1:15" x14ac:dyDescent="0.15">
      <c r="A1282" s="50" t="s">
        <v>6290</v>
      </c>
      <c r="B1282" s="51"/>
      <c r="C1282" s="43"/>
      <c r="D1282" s="44" t="s">
        <v>1044</v>
      </c>
      <c r="E1282" s="41" t="s">
        <v>137</v>
      </c>
      <c r="F1282" s="43" t="s">
        <v>6291</v>
      </c>
      <c r="G1282" s="45">
        <f t="shared" si="13"/>
        <v>175.92500000000001</v>
      </c>
      <c r="H1282" s="46">
        <v>42304</v>
      </c>
      <c r="I1282" s="47" t="s">
        <v>4151</v>
      </c>
      <c r="J1282" s="45" t="s">
        <v>6292</v>
      </c>
      <c r="K1282" s="45" t="s">
        <v>141</v>
      </c>
      <c r="L1282" s="45">
        <v>25</v>
      </c>
      <c r="M1282" s="48" t="s">
        <v>6293</v>
      </c>
      <c r="N1282" s="48" t="s">
        <v>338</v>
      </c>
      <c r="O1282" s="44" t="s">
        <v>6293</v>
      </c>
    </row>
    <row r="1283" spans="1:15" x14ac:dyDescent="0.15">
      <c r="A1283" s="21" t="s">
        <v>5068</v>
      </c>
      <c r="B1283" s="22"/>
      <c r="C1283" s="11"/>
      <c r="D1283" s="17" t="s">
        <v>54</v>
      </c>
      <c r="E1283" s="10" t="s">
        <v>137</v>
      </c>
      <c r="F1283" s="11" t="s">
        <v>6294</v>
      </c>
      <c r="G1283" s="18">
        <f>6.405*L1283</f>
        <v>64.05</v>
      </c>
      <c r="H1283" s="13">
        <v>42304</v>
      </c>
      <c r="I1283" s="12" t="s">
        <v>5070</v>
      </c>
      <c r="J1283" s="12" t="s">
        <v>6295</v>
      </c>
      <c r="K1283" s="12" t="s">
        <v>141</v>
      </c>
      <c r="L1283" s="12">
        <v>10</v>
      </c>
      <c r="M1283" s="14" t="s">
        <v>6296</v>
      </c>
      <c r="N1283" s="14" t="s">
        <v>412</v>
      </c>
      <c r="O1283" s="17" t="s">
        <v>6296</v>
      </c>
    </row>
    <row r="1284" spans="1:15" x14ac:dyDescent="0.15">
      <c r="A1284" s="21" t="s">
        <v>53</v>
      </c>
      <c r="B1284" s="22"/>
      <c r="C1284" s="11"/>
      <c r="D1284" s="17" t="s">
        <v>54</v>
      </c>
      <c r="E1284" s="10" t="s">
        <v>137</v>
      </c>
      <c r="F1284" s="11" t="s">
        <v>6297</v>
      </c>
      <c r="G1284" s="18">
        <f>6.405*L1284</f>
        <v>96.075000000000003</v>
      </c>
      <c r="H1284" s="13">
        <v>42304</v>
      </c>
      <c r="I1284" s="12" t="s">
        <v>139</v>
      </c>
      <c r="J1284" s="12" t="s">
        <v>6298</v>
      </c>
      <c r="K1284" s="12" t="s">
        <v>141</v>
      </c>
      <c r="L1284" s="12">
        <v>15</v>
      </c>
      <c r="M1284" s="14" t="s">
        <v>6296</v>
      </c>
      <c r="N1284" s="14" t="s">
        <v>236</v>
      </c>
      <c r="O1284" s="17" t="s">
        <v>6299</v>
      </c>
    </row>
    <row r="1285" spans="1:15" x14ac:dyDescent="0.15">
      <c r="A1285" s="21" t="s">
        <v>136</v>
      </c>
      <c r="B1285" s="22"/>
      <c r="C1285" s="11"/>
      <c r="D1285" s="17" t="s">
        <v>54</v>
      </c>
      <c r="E1285" s="10" t="s">
        <v>137</v>
      </c>
      <c r="F1285" s="11" t="s">
        <v>6300</v>
      </c>
      <c r="G1285" s="12">
        <f>6.405*L1285</f>
        <v>160.125</v>
      </c>
      <c r="H1285" s="13">
        <v>42304</v>
      </c>
      <c r="I1285" s="12" t="s">
        <v>139</v>
      </c>
      <c r="J1285" s="12" t="s">
        <v>6301</v>
      </c>
      <c r="K1285" s="12" t="s">
        <v>141</v>
      </c>
      <c r="L1285" s="12">
        <v>25</v>
      </c>
      <c r="M1285" s="14" t="s">
        <v>6302</v>
      </c>
      <c r="N1285" s="14" t="s">
        <v>3967</v>
      </c>
      <c r="O1285" s="17" t="s">
        <v>6302</v>
      </c>
    </row>
    <row r="1286" spans="1:15" x14ac:dyDescent="0.15">
      <c r="A1286" s="50" t="s">
        <v>4981</v>
      </c>
      <c r="B1286" s="51"/>
      <c r="C1286" s="43"/>
      <c r="D1286" s="44" t="s">
        <v>54</v>
      </c>
      <c r="E1286" s="41" t="s">
        <v>137</v>
      </c>
      <c r="F1286" s="43" t="s">
        <v>6303</v>
      </c>
      <c r="G1286" s="45">
        <f>6.405*L1286</f>
        <v>160.125</v>
      </c>
      <c r="H1286" s="46">
        <v>42304</v>
      </c>
      <c r="I1286" s="45" t="s">
        <v>139</v>
      </c>
      <c r="J1286" s="45" t="s">
        <v>6304</v>
      </c>
      <c r="K1286" s="45" t="s">
        <v>141</v>
      </c>
      <c r="L1286" s="45">
        <v>25</v>
      </c>
      <c r="M1286" s="48" t="s">
        <v>6305</v>
      </c>
      <c r="N1286" s="48" t="s">
        <v>338</v>
      </c>
      <c r="O1286" s="44" t="s">
        <v>6305</v>
      </c>
    </row>
    <row r="1287" spans="1:15" x14ac:dyDescent="0.15">
      <c r="A1287" s="21" t="s">
        <v>5621</v>
      </c>
      <c r="B1287" s="22"/>
      <c r="C1287" s="11"/>
      <c r="D1287" s="17" t="s">
        <v>1525</v>
      </c>
      <c r="E1287" s="10" t="s">
        <v>137</v>
      </c>
      <c r="F1287" s="11" t="s">
        <v>6306</v>
      </c>
      <c r="G1287" s="18">
        <f>17.498*L1287</f>
        <v>87.490000000000009</v>
      </c>
      <c r="H1287" s="13">
        <v>42304</v>
      </c>
      <c r="I1287" s="12" t="s">
        <v>139</v>
      </c>
      <c r="J1287" s="12" t="s">
        <v>6307</v>
      </c>
      <c r="K1287" s="12" t="s">
        <v>141</v>
      </c>
      <c r="L1287" s="12">
        <v>5</v>
      </c>
      <c r="M1287" s="14" t="s">
        <v>2869</v>
      </c>
      <c r="N1287" s="14" t="s">
        <v>680</v>
      </c>
      <c r="O1287" s="17" t="s">
        <v>6308</v>
      </c>
    </row>
    <row r="1288" spans="1:15" x14ac:dyDescent="0.15">
      <c r="A1288" s="20" t="s">
        <v>4234</v>
      </c>
      <c r="B1288" s="22"/>
      <c r="C1288" s="11"/>
      <c r="D1288" s="17" t="s">
        <v>6309</v>
      </c>
      <c r="E1288" s="10" t="s">
        <v>137</v>
      </c>
      <c r="F1288" s="11" t="s">
        <v>6310</v>
      </c>
      <c r="G1288" s="12">
        <f>5.26*L1288</f>
        <v>110.46</v>
      </c>
      <c r="H1288" s="13">
        <v>42304</v>
      </c>
      <c r="I1288" s="23" t="s">
        <v>4237</v>
      </c>
      <c r="J1288" s="23" t="s">
        <v>6311</v>
      </c>
      <c r="K1288" s="23" t="s">
        <v>148</v>
      </c>
      <c r="L1288" s="12">
        <v>21</v>
      </c>
      <c r="M1288" s="14" t="s">
        <v>6312</v>
      </c>
      <c r="N1288" s="14" t="s">
        <v>1977</v>
      </c>
      <c r="O1288" s="17" t="s">
        <v>6312</v>
      </c>
    </row>
    <row r="1289" spans="1:15" x14ac:dyDescent="0.15">
      <c r="A1289" s="21" t="s">
        <v>4915</v>
      </c>
      <c r="B1289" s="22"/>
      <c r="C1289" s="11"/>
      <c r="D1289" s="17" t="s">
        <v>3559</v>
      </c>
      <c r="E1289" s="10" t="s">
        <v>137</v>
      </c>
      <c r="F1289" s="11" t="s">
        <v>6313</v>
      </c>
      <c r="G1289" s="12">
        <f>17.52*L1289</f>
        <v>280.32</v>
      </c>
      <c r="H1289" s="13">
        <v>42305</v>
      </c>
      <c r="I1289" s="18" t="s">
        <v>4169</v>
      </c>
      <c r="J1289" s="18" t="s">
        <v>6314</v>
      </c>
      <c r="K1289" s="18" t="s">
        <v>141</v>
      </c>
      <c r="L1289" s="12">
        <v>16</v>
      </c>
      <c r="M1289" s="14" t="s">
        <v>6315</v>
      </c>
      <c r="N1289" s="14" t="s">
        <v>6316</v>
      </c>
      <c r="O1289" s="17" t="s">
        <v>6315</v>
      </c>
    </row>
    <row r="1290" spans="1:15" x14ac:dyDescent="0.15">
      <c r="A1290" s="21" t="s">
        <v>4528</v>
      </c>
      <c r="B1290" s="22"/>
      <c r="C1290" s="11"/>
      <c r="D1290" s="17" t="s">
        <v>6317</v>
      </c>
      <c r="E1290" s="10" t="s">
        <v>137</v>
      </c>
      <c r="F1290" s="11" t="s">
        <v>6318</v>
      </c>
      <c r="G1290" s="12">
        <f>17.52*L1290</f>
        <v>87.6</v>
      </c>
      <c r="H1290" s="13">
        <v>42305</v>
      </c>
      <c r="I1290" s="18" t="s">
        <v>4169</v>
      </c>
      <c r="J1290" s="12" t="s">
        <v>6319</v>
      </c>
      <c r="K1290" s="12" t="s">
        <v>141</v>
      </c>
      <c r="L1290" s="12">
        <v>5</v>
      </c>
      <c r="M1290" s="14" t="s">
        <v>6320</v>
      </c>
      <c r="N1290" s="14" t="s">
        <v>229</v>
      </c>
      <c r="O1290" s="17" t="s">
        <v>6320</v>
      </c>
    </row>
    <row r="1291" spans="1:15" x14ac:dyDescent="0.15">
      <c r="A1291" s="21" t="s">
        <v>5444</v>
      </c>
      <c r="B1291" s="22"/>
      <c r="C1291" s="11"/>
      <c r="D1291" s="17" t="s">
        <v>567</v>
      </c>
      <c r="E1291" s="10" t="s">
        <v>137</v>
      </c>
      <c r="F1291" s="11" t="s">
        <v>6321</v>
      </c>
      <c r="G1291" s="12">
        <f>27.688*L1291</f>
        <v>138.44</v>
      </c>
      <c r="H1291" s="13">
        <v>42305</v>
      </c>
      <c r="I1291" s="12" t="s">
        <v>3874</v>
      </c>
      <c r="J1291" s="12" t="s">
        <v>6322</v>
      </c>
      <c r="K1291" s="12" t="s">
        <v>141</v>
      </c>
      <c r="L1291" s="12">
        <v>5</v>
      </c>
      <c r="M1291" s="14" t="s">
        <v>6323</v>
      </c>
      <c r="N1291" s="14" t="s">
        <v>229</v>
      </c>
      <c r="O1291" s="17" t="s">
        <v>6323</v>
      </c>
    </row>
    <row r="1292" spans="1:15" x14ac:dyDescent="0.15">
      <c r="A1292" s="21" t="s">
        <v>6068</v>
      </c>
      <c r="B1292" s="22"/>
      <c r="C1292" s="11"/>
      <c r="D1292" s="17" t="s">
        <v>1181</v>
      </c>
      <c r="E1292" s="10" t="s">
        <v>137</v>
      </c>
      <c r="F1292" s="11" t="s">
        <v>6324</v>
      </c>
      <c r="G1292" s="12">
        <f>17.712*L1292</f>
        <v>442.8</v>
      </c>
      <c r="H1292" s="13">
        <v>42305</v>
      </c>
      <c r="I1292" s="12" t="s">
        <v>3874</v>
      </c>
      <c r="J1292" s="12" t="s">
        <v>6325</v>
      </c>
      <c r="K1292" s="12" t="s">
        <v>141</v>
      </c>
      <c r="L1292" s="12">
        <v>25</v>
      </c>
      <c r="M1292" s="14" t="s">
        <v>6326</v>
      </c>
      <c r="N1292" s="14" t="s">
        <v>338</v>
      </c>
      <c r="O1292" s="17" t="s">
        <v>6326</v>
      </c>
    </row>
    <row r="1293" spans="1:15" x14ac:dyDescent="0.15">
      <c r="A1293" s="21" t="s">
        <v>1180</v>
      </c>
      <c r="B1293" s="22"/>
      <c r="C1293" s="11"/>
      <c r="D1293" s="17" t="s">
        <v>1181</v>
      </c>
      <c r="E1293" s="10" t="s">
        <v>137</v>
      </c>
      <c r="F1293" s="11" t="s">
        <v>6327</v>
      </c>
      <c r="G1293" s="12">
        <f>17.712*L1293</f>
        <v>442.8</v>
      </c>
      <c r="H1293" s="13">
        <v>42305</v>
      </c>
      <c r="I1293" s="12" t="s">
        <v>3874</v>
      </c>
      <c r="J1293" s="12" t="s">
        <v>6328</v>
      </c>
      <c r="K1293" s="12" t="s">
        <v>141</v>
      </c>
      <c r="L1293" s="12">
        <v>25</v>
      </c>
      <c r="M1293" s="14" t="s">
        <v>6329</v>
      </c>
      <c r="N1293" s="14" t="s">
        <v>3967</v>
      </c>
      <c r="O1293" s="17" t="s">
        <v>6329</v>
      </c>
    </row>
    <row r="1294" spans="1:15" x14ac:dyDescent="0.15">
      <c r="A1294" s="50" t="s">
        <v>4549</v>
      </c>
      <c r="B1294" s="51"/>
      <c r="C1294" s="43"/>
      <c r="D1294" s="44" t="s">
        <v>408</v>
      </c>
      <c r="E1294" s="41" t="s">
        <v>137</v>
      </c>
      <c r="F1294" s="43" t="s">
        <v>6330</v>
      </c>
      <c r="G1294" s="45">
        <f>29.101*L1294</f>
        <v>407.41399999999999</v>
      </c>
      <c r="H1294" s="46">
        <v>42305</v>
      </c>
      <c r="I1294" s="45" t="s">
        <v>4886</v>
      </c>
      <c r="J1294" s="45" t="s">
        <v>6331</v>
      </c>
      <c r="K1294" s="45" t="s">
        <v>141</v>
      </c>
      <c r="L1294" s="45">
        <v>14</v>
      </c>
      <c r="M1294" s="48" t="s">
        <v>6332</v>
      </c>
      <c r="N1294" s="48" t="s">
        <v>6333</v>
      </c>
      <c r="O1294" s="44" t="s">
        <v>6332</v>
      </c>
    </row>
    <row r="1295" spans="1:15" x14ac:dyDescent="0.15">
      <c r="A1295" s="50" t="s">
        <v>4898</v>
      </c>
      <c r="B1295" s="51"/>
      <c r="C1295" s="43"/>
      <c r="D1295" s="44" t="s">
        <v>408</v>
      </c>
      <c r="E1295" s="41" t="s">
        <v>137</v>
      </c>
      <c r="F1295" s="43" t="s">
        <v>6334</v>
      </c>
      <c r="G1295" s="45">
        <f>29.101*L1295</f>
        <v>291.01</v>
      </c>
      <c r="H1295" s="46">
        <v>42305</v>
      </c>
      <c r="I1295" s="45" t="s">
        <v>4886</v>
      </c>
      <c r="J1295" s="45" t="s">
        <v>6335</v>
      </c>
      <c r="K1295" s="45" t="s">
        <v>141</v>
      </c>
      <c r="L1295" s="45">
        <v>10</v>
      </c>
      <c r="M1295" s="48" t="s">
        <v>6336</v>
      </c>
      <c r="N1295" s="48" t="s">
        <v>4941</v>
      </c>
      <c r="O1295" s="44" t="s">
        <v>6336</v>
      </c>
    </row>
    <row r="1296" spans="1:15" x14ac:dyDescent="0.15">
      <c r="A1296" s="21" t="s">
        <v>4804</v>
      </c>
      <c r="B1296" s="22"/>
      <c r="C1296" s="11"/>
      <c r="D1296" s="17" t="s">
        <v>341</v>
      </c>
      <c r="E1296" s="10" t="s">
        <v>137</v>
      </c>
      <c r="F1296" s="11" t="s">
        <v>6337</v>
      </c>
      <c r="G1296" s="18">
        <f t="shared" ref="G1296" si="14">18.708*L1296</f>
        <v>112.24799999999999</v>
      </c>
      <c r="H1296" s="13">
        <v>42305</v>
      </c>
      <c r="I1296" s="12" t="s">
        <v>3866</v>
      </c>
      <c r="J1296" s="12" t="s">
        <v>6338</v>
      </c>
      <c r="K1296" s="12" t="s">
        <v>141</v>
      </c>
      <c r="L1296" s="12">
        <v>6</v>
      </c>
      <c r="M1296" s="14" t="s">
        <v>6276</v>
      </c>
      <c r="N1296" s="14" t="s">
        <v>6339</v>
      </c>
      <c r="O1296" s="17" t="s">
        <v>6276</v>
      </c>
    </row>
    <row r="1297" spans="1:15" x14ac:dyDescent="0.15">
      <c r="A1297" s="50" t="s">
        <v>4123</v>
      </c>
      <c r="B1297" s="51"/>
      <c r="C1297" s="43"/>
      <c r="D1297" s="44" t="s">
        <v>375</v>
      </c>
      <c r="E1297" s="41" t="s">
        <v>137</v>
      </c>
      <c r="F1297" s="43" t="s">
        <v>6340</v>
      </c>
      <c r="G1297" s="45">
        <f>17.52*L1297</f>
        <v>87.6</v>
      </c>
      <c r="H1297" s="46">
        <v>42305</v>
      </c>
      <c r="I1297" s="45" t="s">
        <v>3982</v>
      </c>
      <c r="J1297" s="45" t="s">
        <v>6341</v>
      </c>
      <c r="K1297" s="45" t="s">
        <v>141</v>
      </c>
      <c r="L1297" s="45">
        <v>5</v>
      </c>
      <c r="M1297" s="48" t="s">
        <v>5513</v>
      </c>
      <c r="N1297" s="48" t="s">
        <v>680</v>
      </c>
      <c r="O1297" s="44" t="s">
        <v>6342</v>
      </c>
    </row>
    <row r="1298" spans="1:15" x14ac:dyDescent="0.15">
      <c r="A1298" s="50" t="s">
        <v>6180</v>
      </c>
      <c r="B1298" s="51"/>
      <c r="C1298" s="43"/>
      <c r="D1298" s="44" t="s">
        <v>6181</v>
      </c>
      <c r="E1298" s="41" t="s">
        <v>137</v>
      </c>
      <c r="F1298" s="43" t="s">
        <v>6343</v>
      </c>
      <c r="G1298" s="45">
        <f>17.52*L1298</f>
        <v>87.6</v>
      </c>
      <c r="H1298" s="46">
        <v>42305</v>
      </c>
      <c r="I1298" s="47" t="s">
        <v>3851</v>
      </c>
      <c r="J1298" s="47" t="s">
        <v>6344</v>
      </c>
      <c r="K1298" s="47" t="s">
        <v>141</v>
      </c>
      <c r="L1298" s="45">
        <v>5</v>
      </c>
      <c r="M1298" s="48" t="s">
        <v>6345</v>
      </c>
      <c r="N1298" s="48" t="s">
        <v>229</v>
      </c>
      <c r="O1298" s="44" t="s">
        <v>6345</v>
      </c>
    </row>
    <row r="1299" spans="1:15" x14ac:dyDescent="0.15">
      <c r="A1299" s="21" t="s">
        <v>5258</v>
      </c>
      <c r="B1299" s="22"/>
      <c r="C1299" s="11"/>
      <c r="D1299" s="17" t="s">
        <v>1644</v>
      </c>
      <c r="E1299" s="10" t="s">
        <v>137</v>
      </c>
      <c r="F1299" s="11" t="s">
        <v>6346</v>
      </c>
      <c r="G1299" s="12">
        <f>17.52*L1299</f>
        <v>262.8</v>
      </c>
      <c r="H1299" s="13">
        <v>42305</v>
      </c>
      <c r="I1299" s="12" t="s">
        <v>3982</v>
      </c>
      <c r="J1299" s="12" t="s">
        <v>6347</v>
      </c>
      <c r="K1299" s="12" t="s">
        <v>3887</v>
      </c>
      <c r="L1299" s="12">
        <v>15</v>
      </c>
      <c r="M1299" s="14" t="s">
        <v>6348</v>
      </c>
      <c r="N1299" s="14" t="s">
        <v>236</v>
      </c>
      <c r="O1299" s="17" t="s">
        <v>6348</v>
      </c>
    </row>
    <row r="1300" spans="1:15" x14ac:dyDescent="0.15">
      <c r="A1300" s="50" t="s">
        <v>4174</v>
      </c>
      <c r="B1300" s="51"/>
      <c r="C1300" s="43"/>
      <c r="D1300" s="44" t="s">
        <v>846</v>
      </c>
      <c r="E1300" s="41" t="s">
        <v>137</v>
      </c>
      <c r="F1300" s="43" t="s">
        <v>6349</v>
      </c>
      <c r="G1300" s="45">
        <v>201.78100000000001</v>
      </c>
      <c r="H1300" s="46">
        <v>42305</v>
      </c>
      <c r="I1300" s="47" t="s">
        <v>3851</v>
      </c>
      <c r="J1300" s="45" t="s">
        <v>6350</v>
      </c>
      <c r="K1300" s="45" t="s">
        <v>3898</v>
      </c>
      <c r="L1300" s="45" t="s">
        <v>4177</v>
      </c>
      <c r="M1300" s="48" t="s">
        <v>6351</v>
      </c>
      <c r="N1300" s="48" t="s">
        <v>6352</v>
      </c>
      <c r="O1300" s="44" t="s">
        <v>6353</v>
      </c>
    </row>
    <row r="1301" spans="1:15" x14ac:dyDescent="0.15">
      <c r="A1301" s="50" t="s">
        <v>4174</v>
      </c>
      <c r="B1301" s="51"/>
      <c r="C1301" s="43"/>
      <c r="D1301" s="44" t="s">
        <v>846</v>
      </c>
      <c r="E1301" s="41" t="s">
        <v>137</v>
      </c>
      <c r="F1301" s="43" t="s">
        <v>6354</v>
      </c>
      <c r="G1301" s="45">
        <v>141.25200000000001</v>
      </c>
      <c r="H1301" s="46">
        <v>42305</v>
      </c>
      <c r="I1301" s="47" t="s">
        <v>3851</v>
      </c>
      <c r="J1301" s="45" t="s">
        <v>6355</v>
      </c>
      <c r="K1301" s="45" t="s">
        <v>3898</v>
      </c>
      <c r="L1301" s="45" t="s">
        <v>4384</v>
      </c>
      <c r="M1301" s="48" t="s">
        <v>6356</v>
      </c>
      <c r="N1301" s="48" t="s">
        <v>6357</v>
      </c>
      <c r="O1301" s="44" t="s">
        <v>6358</v>
      </c>
    </row>
    <row r="1302" spans="1:15" x14ac:dyDescent="0.15">
      <c r="A1302" s="50" t="s">
        <v>4174</v>
      </c>
      <c r="B1302" s="51"/>
      <c r="C1302" s="43"/>
      <c r="D1302" s="44" t="s">
        <v>846</v>
      </c>
      <c r="E1302" s="41" t="s">
        <v>137</v>
      </c>
      <c r="F1302" s="43" t="s">
        <v>6359</v>
      </c>
      <c r="G1302" s="45">
        <v>231.71899999999999</v>
      </c>
      <c r="H1302" s="46">
        <v>42305</v>
      </c>
      <c r="I1302" s="47" t="s">
        <v>3851</v>
      </c>
      <c r="J1302" s="45" t="s">
        <v>6360</v>
      </c>
      <c r="K1302" s="45" t="s">
        <v>3898</v>
      </c>
      <c r="L1302" s="45" t="s">
        <v>4183</v>
      </c>
      <c r="M1302" s="48" t="s">
        <v>6361</v>
      </c>
      <c r="N1302" s="48" t="s">
        <v>6362</v>
      </c>
      <c r="O1302" s="44" t="s">
        <v>6363</v>
      </c>
    </row>
    <row r="1303" spans="1:15" x14ac:dyDescent="0.15">
      <c r="A1303" s="21" t="s">
        <v>4281</v>
      </c>
      <c r="B1303" s="24" t="s">
        <v>6364</v>
      </c>
      <c r="C1303" s="11"/>
      <c r="D1303" s="17" t="s">
        <v>1475</v>
      </c>
      <c r="E1303" s="10" t="s">
        <v>137</v>
      </c>
      <c r="F1303" s="11" t="s">
        <v>6365</v>
      </c>
      <c r="G1303" s="12">
        <v>99.831999999999994</v>
      </c>
      <c r="H1303" s="13">
        <v>42305</v>
      </c>
      <c r="I1303" s="12" t="s">
        <v>3982</v>
      </c>
      <c r="J1303" s="12" t="s">
        <v>6366</v>
      </c>
      <c r="K1303" s="12" t="s">
        <v>3898</v>
      </c>
      <c r="L1303" s="12" t="s">
        <v>5386</v>
      </c>
      <c r="M1303" s="14" t="s">
        <v>6367</v>
      </c>
      <c r="N1303" s="14" t="s">
        <v>5388</v>
      </c>
      <c r="O1303" s="17" t="s">
        <v>6368</v>
      </c>
    </row>
    <row r="1304" spans="1:15" x14ac:dyDescent="0.15">
      <c r="A1304" s="21" t="s">
        <v>4281</v>
      </c>
      <c r="B1304" s="22"/>
      <c r="C1304" s="11"/>
      <c r="D1304" s="17" t="s">
        <v>1475</v>
      </c>
      <c r="E1304" s="10" t="s">
        <v>137</v>
      </c>
      <c r="F1304" s="11" t="s">
        <v>6369</v>
      </c>
      <c r="G1304" s="12">
        <v>203.90899999999999</v>
      </c>
      <c r="H1304" s="13">
        <v>42305</v>
      </c>
      <c r="I1304" s="12" t="s">
        <v>3982</v>
      </c>
      <c r="J1304" s="12" t="s">
        <v>6370</v>
      </c>
      <c r="K1304" s="12" t="s">
        <v>3898</v>
      </c>
      <c r="L1304" s="12" t="s">
        <v>4461</v>
      </c>
      <c r="M1304" s="14" t="s">
        <v>6371</v>
      </c>
      <c r="N1304" s="14" t="s">
        <v>4463</v>
      </c>
      <c r="O1304" s="17" t="s">
        <v>6372</v>
      </c>
    </row>
    <row r="1305" spans="1:15" x14ac:dyDescent="0.15">
      <c r="A1305" s="21" t="s">
        <v>4281</v>
      </c>
      <c r="B1305" s="22"/>
      <c r="C1305" s="11"/>
      <c r="D1305" s="17" t="s">
        <v>1475</v>
      </c>
      <c r="E1305" s="10" t="s">
        <v>137</v>
      </c>
      <c r="F1305" s="11" t="s">
        <v>6373</v>
      </c>
      <c r="G1305" s="12">
        <v>203.755</v>
      </c>
      <c r="H1305" s="13">
        <v>42305</v>
      </c>
      <c r="I1305" s="12" t="s">
        <v>3982</v>
      </c>
      <c r="J1305" s="12" t="s">
        <v>6374</v>
      </c>
      <c r="K1305" s="12" t="s">
        <v>3898</v>
      </c>
      <c r="L1305" s="12" t="s">
        <v>4461</v>
      </c>
      <c r="M1305" s="14" t="s">
        <v>6375</v>
      </c>
      <c r="N1305" s="14" t="s">
        <v>6376</v>
      </c>
      <c r="O1305" s="17" t="s">
        <v>6377</v>
      </c>
    </row>
    <row r="1306" spans="1:15" x14ac:dyDescent="0.15">
      <c r="A1306" s="21" t="s">
        <v>4281</v>
      </c>
      <c r="B1306" s="22"/>
      <c r="C1306" s="11"/>
      <c r="D1306" s="17" t="s">
        <v>1475</v>
      </c>
      <c r="E1306" s="10" t="s">
        <v>137</v>
      </c>
      <c r="F1306" s="11" t="s">
        <v>6378</v>
      </c>
      <c r="G1306" s="12">
        <v>99.948999999999998</v>
      </c>
      <c r="H1306" s="13">
        <v>42305</v>
      </c>
      <c r="I1306" s="12" t="s">
        <v>3982</v>
      </c>
      <c r="J1306" s="12" t="s">
        <v>6379</v>
      </c>
      <c r="K1306" s="12" t="s">
        <v>3898</v>
      </c>
      <c r="L1306" s="12" t="s">
        <v>5386</v>
      </c>
      <c r="M1306" s="14" t="s">
        <v>6380</v>
      </c>
      <c r="N1306" s="14" t="s">
        <v>5388</v>
      </c>
      <c r="O1306" s="17" t="s">
        <v>6381</v>
      </c>
    </row>
    <row r="1307" spans="1:15" x14ac:dyDescent="0.15">
      <c r="A1307" s="21" t="s">
        <v>4281</v>
      </c>
      <c r="B1307" s="22"/>
      <c r="C1307" s="11"/>
      <c r="D1307" s="17" t="s">
        <v>1475</v>
      </c>
      <c r="E1307" s="10" t="s">
        <v>137</v>
      </c>
      <c r="F1307" s="11" t="s">
        <v>6382</v>
      </c>
      <c r="G1307" s="12">
        <v>203.55600000000001</v>
      </c>
      <c r="H1307" s="13">
        <v>42305</v>
      </c>
      <c r="I1307" s="12" t="s">
        <v>3982</v>
      </c>
      <c r="J1307" s="12" t="s">
        <v>6383</v>
      </c>
      <c r="K1307" s="12" t="s">
        <v>3898</v>
      </c>
      <c r="L1307" s="12" t="s">
        <v>4461</v>
      </c>
      <c r="M1307" s="14" t="s">
        <v>6384</v>
      </c>
      <c r="N1307" s="14" t="s">
        <v>6385</v>
      </c>
      <c r="O1307" s="17" t="s">
        <v>6386</v>
      </c>
    </row>
    <row r="1308" spans="1:15" x14ac:dyDescent="0.15">
      <c r="A1308" s="21" t="s">
        <v>4281</v>
      </c>
      <c r="B1308" s="22"/>
      <c r="C1308" s="11"/>
      <c r="D1308" s="17" t="s">
        <v>1475</v>
      </c>
      <c r="E1308" s="10" t="s">
        <v>137</v>
      </c>
      <c r="F1308" s="11" t="s">
        <v>6387</v>
      </c>
      <c r="G1308" s="12">
        <v>199.94</v>
      </c>
      <c r="H1308" s="13">
        <v>42305</v>
      </c>
      <c r="I1308" s="12" t="s">
        <v>3982</v>
      </c>
      <c r="J1308" s="12" t="s">
        <v>6388</v>
      </c>
      <c r="K1308" s="12" t="s">
        <v>3898</v>
      </c>
      <c r="L1308" s="12" t="s">
        <v>6389</v>
      </c>
      <c r="M1308" s="14" t="s">
        <v>6390</v>
      </c>
      <c r="N1308" s="14" t="s">
        <v>6391</v>
      </c>
      <c r="O1308" s="17" t="s">
        <v>6392</v>
      </c>
    </row>
    <row r="1309" spans="1:15" x14ac:dyDescent="0.15">
      <c r="A1309" s="21" t="s">
        <v>4281</v>
      </c>
      <c r="B1309" s="22"/>
      <c r="C1309" s="11"/>
      <c r="D1309" s="17" t="s">
        <v>1475</v>
      </c>
      <c r="E1309" s="10" t="s">
        <v>137</v>
      </c>
      <c r="F1309" s="11" t="s">
        <v>6393</v>
      </c>
      <c r="G1309" s="12">
        <v>99.747</v>
      </c>
      <c r="H1309" s="13">
        <v>42305</v>
      </c>
      <c r="I1309" s="12" t="s">
        <v>3982</v>
      </c>
      <c r="J1309" s="12" t="s">
        <v>6394</v>
      </c>
      <c r="K1309" s="12" t="s">
        <v>3898</v>
      </c>
      <c r="L1309" s="12" t="s">
        <v>5386</v>
      </c>
      <c r="M1309" s="14" t="s">
        <v>6395</v>
      </c>
      <c r="N1309" s="14" t="s">
        <v>5388</v>
      </c>
      <c r="O1309" s="17" t="s">
        <v>6396</v>
      </c>
    </row>
    <row r="1310" spans="1:15" x14ac:dyDescent="0.15">
      <c r="A1310" s="21" t="s">
        <v>4281</v>
      </c>
      <c r="B1310" s="22"/>
      <c r="C1310" s="11"/>
      <c r="D1310" s="17" t="s">
        <v>1475</v>
      </c>
      <c r="E1310" s="10" t="s">
        <v>137</v>
      </c>
      <c r="F1310" s="11" t="s">
        <v>6397</v>
      </c>
      <c r="G1310" s="12">
        <v>200.04300000000001</v>
      </c>
      <c r="H1310" s="13">
        <v>42305</v>
      </c>
      <c r="I1310" s="12" t="s">
        <v>3982</v>
      </c>
      <c r="J1310" s="12" t="s">
        <v>6398</v>
      </c>
      <c r="K1310" s="12" t="s">
        <v>3898</v>
      </c>
      <c r="L1310" s="12" t="s">
        <v>6389</v>
      </c>
      <c r="M1310" s="14" t="s">
        <v>6399</v>
      </c>
      <c r="N1310" s="14" t="s">
        <v>6400</v>
      </c>
      <c r="O1310" s="17" t="s">
        <v>6401</v>
      </c>
    </row>
    <row r="1311" spans="1:15" x14ac:dyDescent="0.15">
      <c r="A1311" s="21" t="s">
        <v>4281</v>
      </c>
      <c r="B1311" s="22"/>
      <c r="C1311" s="11"/>
      <c r="D1311" s="17" t="s">
        <v>1475</v>
      </c>
      <c r="E1311" s="10" t="s">
        <v>137</v>
      </c>
      <c r="F1311" s="11" t="s">
        <v>6402</v>
      </c>
      <c r="G1311" s="12">
        <v>99.778000000000006</v>
      </c>
      <c r="H1311" s="13">
        <v>42305</v>
      </c>
      <c r="I1311" s="12" t="s">
        <v>3982</v>
      </c>
      <c r="J1311" s="12" t="s">
        <v>6403</v>
      </c>
      <c r="K1311" s="12" t="s">
        <v>3898</v>
      </c>
      <c r="L1311" s="12" t="s">
        <v>5386</v>
      </c>
      <c r="M1311" s="14" t="s">
        <v>6404</v>
      </c>
      <c r="N1311" s="14" t="s">
        <v>5750</v>
      </c>
      <c r="O1311" s="17" t="s">
        <v>6405</v>
      </c>
    </row>
    <row r="1312" spans="1:15" x14ac:dyDescent="0.15">
      <c r="A1312" s="21" t="s">
        <v>4533</v>
      </c>
      <c r="B1312" s="22"/>
      <c r="C1312" s="11"/>
      <c r="D1312" s="17" t="s">
        <v>811</v>
      </c>
      <c r="E1312" s="10" t="s">
        <v>137</v>
      </c>
      <c r="F1312" s="11" t="s">
        <v>8395</v>
      </c>
      <c r="G1312" s="12">
        <f>19.476*L1312</f>
        <v>311.61599999999999</v>
      </c>
      <c r="H1312" s="13">
        <v>42305</v>
      </c>
      <c r="I1312" s="12" t="s">
        <v>3916</v>
      </c>
      <c r="J1312" s="12" t="s">
        <v>6406</v>
      </c>
      <c r="K1312" s="12" t="s">
        <v>141</v>
      </c>
      <c r="L1312" s="12">
        <v>16</v>
      </c>
      <c r="M1312" s="14" t="s">
        <v>6407</v>
      </c>
      <c r="N1312" s="14" t="s">
        <v>6408</v>
      </c>
      <c r="O1312" s="17" t="s">
        <v>6407</v>
      </c>
    </row>
    <row r="1313" spans="1:15" x14ac:dyDescent="0.15">
      <c r="A1313" s="21" t="s">
        <v>5315</v>
      </c>
      <c r="B1313" s="22"/>
      <c r="C1313" s="11"/>
      <c r="D1313" s="17" t="s">
        <v>334</v>
      </c>
      <c r="E1313" s="10" t="s">
        <v>137</v>
      </c>
      <c r="F1313" s="11" t="s">
        <v>8396</v>
      </c>
      <c r="G1313" s="12">
        <f t="shared" ref="G1313:G1314" si="15">19.476*L1313</f>
        <v>38.951999999999998</v>
      </c>
      <c r="H1313" s="13">
        <v>42305</v>
      </c>
      <c r="I1313" s="12" t="s">
        <v>3916</v>
      </c>
      <c r="J1313" s="12" t="s">
        <v>6409</v>
      </c>
      <c r="K1313" s="12" t="s">
        <v>3887</v>
      </c>
      <c r="L1313" s="12">
        <v>2</v>
      </c>
      <c r="M1313" s="14" t="s">
        <v>6410</v>
      </c>
      <c r="N1313" s="14" t="s">
        <v>6411</v>
      </c>
      <c r="O1313" s="17" t="s">
        <v>6410</v>
      </c>
    </row>
    <row r="1314" spans="1:15" x14ac:dyDescent="0.15">
      <c r="A1314" s="21" t="s">
        <v>5048</v>
      </c>
      <c r="B1314" s="22"/>
      <c r="C1314" s="11"/>
      <c r="D1314" s="17" t="s">
        <v>425</v>
      </c>
      <c r="E1314" s="10" t="s">
        <v>137</v>
      </c>
      <c r="F1314" s="11" t="s">
        <v>6412</v>
      </c>
      <c r="G1314" s="12">
        <f t="shared" si="15"/>
        <v>38.951999999999998</v>
      </c>
      <c r="H1314" s="13">
        <v>42305</v>
      </c>
      <c r="I1314" s="12" t="s">
        <v>3916</v>
      </c>
      <c r="J1314" s="12" t="s">
        <v>6413</v>
      </c>
      <c r="K1314" s="12" t="s">
        <v>141</v>
      </c>
      <c r="L1314" s="12">
        <v>2</v>
      </c>
      <c r="M1314" s="14" t="s">
        <v>6414</v>
      </c>
      <c r="N1314" s="14" t="s">
        <v>6415</v>
      </c>
      <c r="O1314" s="17" t="s">
        <v>6414</v>
      </c>
    </row>
    <row r="1315" spans="1:15" x14ac:dyDescent="0.15">
      <c r="A1315" s="20" t="s">
        <v>6416</v>
      </c>
      <c r="B1315" s="22"/>
      <c r="C1315" s="11"/>
      <c r="D1315" s="17" t="s">
        <v>6417</v>
      </c>
      <c r="E1315" s="10" t="s">
        <v>137</v>
      </c>
      <c r="F1315" s="11" t="s">
        <v>6418</v>
      </c>
      <c r="G1315" s="12">
        <f>6.405*L1315</f>
        <v>32.024999999999999</v>
      </c>
      <c r="H1315" s="13">
        <v>42305</v>
      </c>
      <c r="I1315" s="18" t="s">
        <v>6419</v>
      </c>
      <c r="J1315" s="18" t="s">
        <v>6420</v>
      </c>
      <c r="K1315" s="18" t="s">
        <v>141</v>
      </c>
      <c r="L1315" s="12">
        <v>5</v>
      </c>
      <c r="M1315" s="14" t="s">
        <v>6421</v>
      </c>
      <c r="N1315" s="14" t="s">
        <v>6422</v>
      </c>
      <c r="O1315" s="17" t="s">
        <v>6423</v>
      </c>
    </row>
    <row r="1316" spans="1:15" x14ac:dyDescent="0.15">
      <c r="A1316" s="49" t="s">
        <v>6424</v>
      </c>
      <c r="B1316" s="42" t="s">
        <v>6263</v>
      </c>
      <c r="C1316" s="43"/>
      <c r="D1316" s="44" t="s">
        <v>6425</v>
      </c>
      <c r="E1316" s="41" t="s">
        <v>137</v>
      </c>
      <c r="F1316" s="43" t="s">
        <v>6426</v>
      </c>
      <c r="G1316" s="45">
        <f>11.584*L1316</f>
        <v>23.167999999999999</v>
      </c>
      <c r="H1316" s="46">
        <v>42310</v>
      </c>
      <c r="I1316" s="45" t="s">
        <v>6427</v>
      </c>
      <c r="J1316" s="45" t="s">
        <v>6503</v>
      </c>
      <c r="K1316" s="45" t="s">
        <v>141</v>
      </c>
      <c r="L1316" s="45">
        <v>2</v>
      </c>
      <c r="M1316" s="48" t="s">
        <v>6642</v>
      </c>
      <c r="N1316" s="48" t="s">
        <v>6428</v>
      </c>
      <c r="O1316" s="44" t="s">
        <v>6817</v>
      </c>
    </row>
    <row r="1317" spans="1:15" x14ac:dyDescent="0.15">
      <c r="A1317" s="50" t="s">
        <v>6429</v>
      </c>
      <c r="B1317" s="51" t="s">
        <v>5168</v>
      </c>
      <c r="C1317" s="43"/>
      <c r="D1317" s="44" t="s">
        <v>5220</v>
      </c>
      <c r="E1317" s="41" t="s">
        <v>137</v>
      </c>
      <c r="F1317" s="43" t="s">
        <v>6430</v>
      </c>
      <c r="G1317" s="45">
        <f t="shared" ref="G1317:G1319" si="16">2.078*L1317</f>
        <v>27.013999999999999</v>
      </c>
      <c r="H1317" s="46">
        <v>42310</v>
      </c>
      <c r="I1317" s="45" t="s">
        <v>5222</v>
      </c>
      <c r="J1317" s="45" t="s">
        <v>6431</v>
      </c>
      <c r="K1317" s="45" t="s">
        <v>141</v>
      </c>
      <c r="L1317" s="45">
        <v>13</v>
      </c>
      <c r="M1317" s="48" t="s">
        <v>6611</v>
      </c>
      <c r="N1317" s="48" t="s">
        <v>473</v>
      </c>
      <c r="O1317" s="44" t="s">
        <v>6938</v>
      </c>
    </row>
    <row r="1318" spans="1:15" x14ac:dyDescent="0.15">
      <c r="A1318" s="50" t="s">
        <v>6429</v>
      </c>
      <c r="B1318" s="51" t="s">
        <v>5168</v>
      </c>
      <c r="C1318" s="43"/>
      <c r="D1318" s="44" t="s">
        <v>5220</v>
      </c>
      <c r="E1318" s="41" t="s">
        <v>137</v>
      </c>
      <c r="F1318" s="43" t="s">
        <v>6432</v>
      </c>
      <c r="G1318" s="45">
        <f t="shared" si="16"/>
        <v>51.949999999999996</v>
      </c>
      <c r="H1318" s="46">
        <v>42310</v>
      </c>
      <c r="I1318" s="45" t="s">
        <v>5222</v>
      </c>
      <c r="J1318" s="45" t="s">
        <v>6434</v>
      </c>
      <c r="K1318" s="45" t="s">
        <v>141</v>
      </c>
      <c r="L1318" s="45">
        <v>25</v>
      </c>
      <c r="M1318" s="48" t="s">
        <v>6612</v>
      </c>
      <c r="N1318" s="48" t="s">
        <v>338</v>
      </c>
      <c r="O1318" s="44" t="s">
        <v>6939</v>
      </c>
    </row>
    <row r="1319" spans="1:15" x14ac:dyDescent="0.15">
      <c r="A1319" s="50" t="s">
        <v>6429</v>
      </c>
      <c r="B1319" s="51" t="s">
        <v>5168</v>
      </c>
      <c r="C1319" s="43"/>
      <c r="D1319" s="44" t="s">
        <v>5220</v>
      </c>
      <c r="E1319" s="41" t="s">
        <v>137</v>
      </c>
      <c r="F1319" s="43" t="s">
        <v>6433</v>
      </c>
      <c r="G1319" s="45">
        <f t="shared" si="16"/>
        <v>51.949999999999996</v>
      </c>
      <c r="H1319" s="46">
        <v>42310</v>
      </c>
      <c r="I1319" s="45" t="s">
        <v>5222</v>
      </c>
      <c r="J1319" s="45" t="s">
        <v>6435</v>
      </c>
      <c r="K1319" s="45" t="s">
        <v>141</v>
      </c>
      <c r="L1319" s="45">
        <v>25</v>
      </c>
      <c r="M1319" s="48" t="s">
        <v>6436</v>
      </c>
      <c r="N1319" s="48" t="s">
        <v>338</v>
      </c>
      <c r="O1319" s="44" t="s">
        <v>6436</v>
      </c>
    </row>
    <row r="1320" spans="1:15" x14ac:dyDescent="0.15">
      <c r="A1320" s="50" t="s">
        <v>5373</v>
      </c>
      <c r="B1320" s="58" t="s">
        <v>3945</v>
      </c>
      <c r="C1320" s="43"/>
      <c r="D1320" s="44" t="s">
        <v>419</v>
      </c>
      <c r="E1320" s="41" t="s">
        <v>137</v>
      </c>
      <c r="F1320" s="43" t="s">
        <v>6437</v>
      </c>
      <c r="G1320" s="45">
        <f t="shared" ref="G1320:G1321" si="17">8.606*L1320</f>
        <v>215.15</v>
      </c>
      <c r="H1320" s="46">
        <v>42310</v>
      </c>
      <c r="I1320" s="45" t="s">
        <v>3964</v>
      </c>
      <c r="J1320" s="45" t="s">
        <v>6438</v>
      </c>
      <c r="K1320" s="47" t="s">
        <v>141</v>
      </c>
      <c r="L1320" s="45">
        <v>25</v>
      </c>
      <c r="M1320" s="48" t="s">
        <v>6613</v>
      </c>
      <c r="N1320" s="48" t="s">
        <v>338</v>
      </c>
      <c r="O1320" s="44" t="s">
        <v>6940</v>
      </c>
    </row>
    <row r="1321" spans="1:15" x14ac:dyDescent="0.15">
      <c r="A1321" s="50" t="s">
        <v>5373</v>
      </c>
      <c r="B1321" s="58" t="s">
        <v>3945</v>
      </c>
      <c r="C1321" s="43"/>
      <c r="D1321" s="44" t="s">
        <v>419</v>
      </c>
      <c r="E1321" s="41" t="s">
        <v>137</v>
      </c>
      <c r="F1321" s="43" t="s">
        <v>6439</v>
      </c>
      <c r="G1321" s="45">
        <f t="shared" si="17"/>
        <v>215.15</v>
      </c>
      <c r="H1321" s="46">
        <v>42310</v>
      </c>
      <c r="I1321" s="45" t="s">
        <v>3964</v>
      </c>
      <c r="J1321" s="45" t="s">
        <v>6440</v>
      </c>
      <c r="K1321" s="47" t="s">
        <v>141</v>
      </c>
      <c r="L1321" s="45">
        <v>25</v>
      </c>
      <c r="M1321" s="48" t="s">
        <v>6614</v>
      </c>
      <c r="N1321" s="48" t="s">
        <v>338</v>
      </c>
      <c r="O1321" s="44" t="s">
        <v>6941</v>
      </c>
    </row>
    <row r="1322" spans="1:15" s="62" customFormat="1" x14ac:dyDescent="0.15">
      <c r="A1322" s="21" t="s">
        <v>1369</v>
      </c>
      <c r="B1322" s="22" t="s">
        <v>3842</v>
      </c>
      <c r="C1322" s="11"/>
      <c r="D1322" s="17" t="s">
        <v>6442</v>
      </c>
      <c r="E1322" s="10" t="s">
        <v>137</v>
      </c>
      <c r="F1322" s="11" t="s">
        <v>8601</v>
      </c>
      <c r="G1322" s="12">
        <f t="shared" ref="G1322:G1323" si="18">8.823*L1322</f>
        <v>220.57500000000002</v>
      </c>
      <c r="H1322" s="13">
        <v>42310</v>
      </c>
      <c r="I1322" s="12" t="s">
        <v>3844</v>
      </c>
      <c r="J1322" s="12" t="s">
        <v>6441</v>
      </c>
      <c r="K1322" s="12" t="s">
        <v>141</v>
      </c>
      <c r="L1322" s="12">
        <v>25</v>
      </c>
      <c r="M1322" s="14" t="s">
        <v>6615</v>
      </c>
      <c r="N1322" s="14" t="s">
        <v>338</v>
      </c>
      <c r="O1322" s="17" t="s">
        <v>8620</v>
      </c>
    </row>
    <row r="1323" spans="1:15" x14ac:dyDescent="0.15">
      <c r="A1323" s="50" t="s">
        <v>6444</v>
      </c>
      <c r="B1323" s="51" t="s">
        <v>3842</v>
      </c>
      <c r="C1323" s="43"/>
      <c r="D1323" s="44" t="s">
        <v>6442</v>
      </c>
      <c r="E1323" s="41" t="s">
        <v>137</v>
      </c>
      <c r="F1323" s="43" t="s">
        <v>6443</v>
      </c>
      <c r="G1323" s="45">
        <f t="shared" si="18"/>
        <v>220.57500000000002</v>
      </c>
      <c r="H1323" s="46">
        <v>42310</v>
      </c>
      <c r="I1323" s="45" t="s">
        <v>6445</v>
      </c>
      <c r="J1323" s="45" t="s">
        <v>6504</v>
      </c>
      <c r="K1323" s="45" t="s">
        <v>141</v>
      </c>
      <c r="L1323" s="45">
        <v>25</v>
      </c>
      <c r="M1323" s="48" t="s">
        <v>6616</v>
      </c>
      <c r="N1323" s="48" t="s">
        <v>338</v>
      </c>
      <c r="O1323" s="44" t="s">
        <v>7774</v>
      </c>
    </row>
    <row r="1324" spans="1:15" x14ac:dyDescent="0.15">
      <c r="A1324" s="50" t="s">
        <v>6446</v>
      </c>
      <c r="B1324" s="42" t="s">
        <v>180</v>
      </c>
      <c r="C1324" s="43"/>
      <c r="D1324" s="44" t="s">
        <v>128</v>
      </c>
      <c r="E1324" s="41" t="s">
        <v>137</v>
      </c>
      <c r="F1324" s="43" t="s">
        <v>6451</v>
      </c>
      <c r="G1324" s="45">
        <f t="shared" ref="G1324:G1326" si="19">8.606*L1324</f>
        <v>111.878</v>
      </c>
      <c r="H1324" s="46">
        <v>42310</v>
      </c>
      <c r="I1324" s="45" t="s">
        <v>3964</v>
      </c>
      <c r="J1324" s="45" t="s">
        <v>6447</v>
      </c>
      <c r="K1324" s="47" t="s">
        <v>141</v>
      </c>
      <c r="L1324" s="45">
        <v>13</v>
      </c>
      <c r="M1324" s="48" t="s">
        <v>6617</v>
      </c>
      <c r="N1324" s="48" t="s">
        <v>473</v>
      </c>
      <c r="O1324" s="44" t="s">
        <v>7176</v>
      </c>
    </row>
    <row r="1325" spans="1:15" x14ac:dyDescent="0.15">
      <c r="A1325" s="21" t="s">
        <v>6446</v>
      </c>
      <c r="B1325" s="19" t="s">
        <v>180</v>
      </c>
      <c r="C1325" s="11"/>
      <c r="D1325" s="17" t="s">
        <v>128</v>
      </c>
      <c r="E1325" s="10" t="s">
        <v>137</v>
      </c>
      <c r="F1325" s="11" t="s">
        <v>6452</v>
      </c>
      <c r="G1325" s="12">
        <f t="shared" si="19"/>
        <v>215.15</v>
      </c>
      <c r="H1325" s="13">
        <v>42310</v>
      </c>
      <c r="I1325" s="12" t="s">
        <v>3964</v>
      </c>
      <c r="J1325" s="12" t="s">
        <v>6448</v>
      </c>
      <c r="K1325" s="18" t="s">
        <v>141</v>
      </c>
      <c r="L1325" s="12">
        <v>25</v>
      </c>
      <c r="M1325" s="14" t="s">
        <v>6450</v>
      </c>
      <c r="N1325" s="14" t="s">
        <v>338</v>
      </c>
      <c r="O1325" s="17" t="s">
        <v>6450</v>
      </c>
    </row>
    <row r="1326" spans="1:15" x14ac:dyDescent="0.15">
      <c r="A1326" s="50" t="s">
        <v>7670</v>
      </c>
      <c r="B1326" s="42" t="s">
        <v>180</v>
      </c>
      <c r="C1326" s="43"/>
      <c r="D1326" s="44" t="s">
        <v>128</v>
      </c>
      <c r="E1326" s="41" t="s">
        <v>137</v>
      </c>
      <c r="F1326" s="43" t="s">
        <v>7669</v>
      </c>
      <c r="G1326" s="45">
        <f t="shared" si="19"/>
        <v>215.15</v>
      </c>
      <c r="H1326" s="46">
        <v>42310</v>
      </c>
      <c r="I1326" s="45" t="s">
        <v>6453</v>
      </c>
      <c r="J1326" s="45" t="s">
        <v>6449</v>
      </c>
      <c r="K1326" s="47" t="s">
        <v>141</v>
      </c>
      <c r="L1326" s="45">
        <v>25</v>
      </c>
      <c r="M1326" s="48" t="s">
        <v>7671</v>
      </c>
      <c r="N1326" s="48" t="s">
        <v>338</v>
      </c>
      <c r="O1326" s="44" t="s">
        <v>7674</v>
      </c>
    </row>
    <row r="1327" spans="1:15" x14ac:dyDescent="0.15">
      <c r="A1327" s="49" t="s">
        <v>6454</v>
      </c>
      <c r="B1327" s="51"/>
      <c r="C1327" s="43"/>
      <c r="D1327" s="44" t="s">
        <v>6505</v>
      </c>
      <c r="E1327" s="41" t="s">
        <v>17</v>
      </c>
      <c r="F1327" s="43" t="s">
        <v>6462</v>
      </c>
      <c r="G1327" s="45">
        <v>40.887</v>
      </c>
      <c r="H1327" s="46">
        <v>42311</v>
      </c>
      <c r="I1327" s="45" t="s">
        <v>6456</v>
      </c>
      <c r="J1327" s="45" t="s">
        <v>6459</v>
      </c>
      <c r="K1327" s="45" t="s">
        <v>148</v>
      </c>
      <c r="L1327" s="45" t="s">
        <v>6457</v>
      </c>
      <c r="M1327" s="48" t="s">
        <v>6461</v>
      </c>
      <c r="N1327" s="48" t="s">
        <v>6464</v>
      </c>
      <c r="O1327" s="44" t="s">
        <v>6639</v>
      </c>
    </row>
    <row r="1328" spans="1:15" x14ac:dyDescent="0.15">
      <c r="A1328" s="49" t="s">
        <v>6458</v>
      </c>
      <c r="B1328" s="51"/>
      <c r="C1328" s="43"/>
      <c r="D1328" s="44" t="s">
        <v>6455</v>
      </c>
      <c r="E1328" s="41" t="s">
        <v>17</v>
      </c>
      <c r="F1328" s="43" t="s">
        <v>6466</v>
      </c>
      <c r="G1328" s="45">
        <v>40.982999999999997</v>
      </c>
      <c r="H1328" s="46">
        <v>42311</v>
      </c>
      <c r="I1328" s="45" t="s">
        <v>6467</v>
      </c>
      <c r="J1328" s="45" t="s">
        <v>6460</v>
      </c>
      <c r="K1328" s="45" t="s">
        <v>148</v>
      </c>
      <c r="L1328" s="45" t="s">
        <v>6457</v>
      </c>
      <c r="M1328" s="48" t="s">
        <v>6463</v>
      </c>
      <c r="N1328" s="48" t="s">
        <v>6465</v>
      </c>
      <c r="O1328" s="44" t="s">
        <v>6640</v>
      </c>
    </row>
    <row r="1329" spans="1:15" x14ac:dyDescent="0.15">
      <c r="A1329" s="21" t="s">
        <v>6474</v>
      </c>
      <c r="B1329" s="22"/>
      <c r="C1329" s="11"/>
      <c r="D1329" s="17" t="s">
        <v>846</v>
      </c>
      <c r="E1329" s="10" t="s">
        <v>17</v>
      </c>
      <c r="F1329" s="11" t="s">
        <v>6473</v>
      </c>
      <c r="G1329" s="64">
        <v>231.36500000000001</v>
      </c>
      <c r="H1329" s="13">
        <v>42311</v>
      </c>
      <c r="I1329" s="18" t="s">
        <v>6475</v>
      </c>
      <c r="J1329" s="12" t="s">
        <v>6468</v>
      </c>
      <c r="K1329" s="12" t="s">
        <v>3898</v>
      </c>
      <c r="L1329" s="12" t="s">
        <v>4183</v>
      </c>
      <c r="M1329" s="14" t="s">
        <v>6471</v>
      </c>
      <c r="N1329" s="14" t="s">
        <v>6472</v>
      </c>
      <c r="O1329" s="17" t="s">
        <v>6605</v>
      </c>
    </row>
    <row r="1330" spans="1:15" x14ac:dyDescent="0.15">
      <c r="A1330" s="50" t="s">
        <v>6474</v>
      </c>
      <c r="B1330" s="51"/>
      <c r="C1330" s="43"/>
      <c r="D1330" s="44" t="s">
        <v>846</v>
      </c>
      <c r="E1330" s="41" t="s">
        <v>17</v>
      </c>
      <c r="F1330" s="43" t="s">
        <v>6477</v>
      </c>
      <c r="G1330" s="45">
        <v>231.93299999999999</v>
      </c>
      <c r="H1330" s="46">
        <v>42311</v>
      </c>
      <c r="I1330" s="47" t="s">
        <v>6478</v>
      </c>
      <c r="J1330" s="45" t="s">
        <v>6469</v>
      </c>
      <c r="K1330" s="45" t="s">
        <v>3898</v>
      </c>
      <c r="L1330" s="45" t="s">
        <v>4183</v>
      </c>
      <c r="M1330" s="48" t="s">
        <v>6476</v>
      </c>
      <c r="N1330" s="48" t="s">
        <v>6479</v>
      </c>
      <c r="O1330" s="44" t="s">
        <v>6606</v>
      </c>
    </row>
    <row r="1331" spans="1:15" x14ac:dyDescent="0.15">
      <c r="A1331" s="21" t="s">
        <v>6474</v>
      </c>
      <c r="B1331" s="22"/>
      <c r="C1331" s="11"/>
      <c r="D1331" s="17" t="s">
        <v>846</v>
      </c>
      <c r="E1331" s="10" t="s">
        <v>17</v>
      </c>
      <c r="F1331" s="11" t="s">
        <v>6481</v>
      </c>
      <c r="G1331" s="12">
        <v>262.36500000000001</v>
      </c>
      <c r="H1331" s="13">
        <v>42311</v>
      </c>
      <c r="I1331" s="18" t="s">
        <v>6478</v>
      </c>
      <c r="J1331" s="12" t="s">
        <v>6470</v>
      </c>
      <c r="K1331" s="12" t="s">
        <v>3898</v>
      </c>
      <c r="L1331" s="12" t="s">
        <v>5802</v>
      </c>
      <c r="M1331" s="14" t="s">
        <v>6480</v>
      </c>
      <c r="N1331" s="14" t="s">
        <v>5809</v>
      </c>
      <c r="O1331" s="17" t="s">
        <v>6607</v>
      </c>
    </row>
    <row r="1332" spans="1:15" x14ac:dyDescent="0.15">
      <c r="A1332" s="50" t="s">
        <v>6474</v>
      </c>
      <c r="B1332" s="51"/>
      <c r="C1332" s="43"/>
      <c r="D1332" s="44" t="s">
        <v>846</v>
      </c>
      <c r="E1332" s="41" t="s">
        <v>17</v>
      </c>
      <c r="F1332" s="43" t="s">
        <v>6489</v>
      </c>
      <c r="G1332" s="45">
        <v>262.44099999999997</v>
      </c>
      <c r="H1332" s="46">
        <v>42311</v>
      </c>
      <c r="I1332" s="47" t="s">
        <v>6490</v>
      </c>
      <c r="J1332" s="45" t="s">
        <v>6483</v>
      </c>
      <c r="K1332" s="45" t="s">
        <v>3898</v>
      </c>
      <c r="L1332" s="45" t="s">
        <v>5802</v>
      </c>
      <c r="M1332" s="48" t="s">
        <v>6486</v>
      </c>
      <c r="N1332" s="48" t="s">
        <v>6487</v>
      </c>
      <c r="O1332" s="44" t="s">
        <v>6608</v>
      </c>
    </row>
    <row r="1333" spans="1:15" x14ac:dyDescent="0.15">
      <c r="A1333" s="21" t="s">
        <v>6474</v>
      </c>
      <c r="B1333" s="22"/>
      <c r="C1333" s="11"/>
      <c r="D1333" s="17" t="s">
        <v>846</v>
      </c>
      <c r="E1333" s="10" t="s">
        <v>17</v>
      </c>
      <c r="F1333" s="11" t="s">
        <v>6482</v>
      </c>
      <c r="G1333" s="12">
        <v>262.36500000000001</v>
      </c>
      <c r="H1333" s="13">
        <v>42311</v>
      </c>
      <c r="I1333" s="18" t="s">
        <v>6478</v>
      </c>
      <c r="J1333" s="12" t="s">
        <v>6484</v>
      </c>
      <c r="K1333" s="12" t="s">
        <v>3898</v>
      </c>
      <c r="L1333" s="12" t="s">
        <v>5802</v>
      </c>
      <c r="M1333" s="14" t="s">
        <v>6598</v>
      </c>
      <c r="N1333" s="14" t="s">
        <v>6488</v>
      </c>
      <c r="O1333" s="17" t="s">
        <v>6609</v>
      </c>
    </row>
    <row r="1334" spans="1:15" x14ac:dyDescent="0.15">
      <c r="A1334" s="21" t="s">
        <v>6474</v>
      </c>
      <c r="B1334" s="22"/>
      <c r="C1334" s="11"/>
      <c r="D1334" s="17" t="s">
        <v>846</v>
      </c>
      <c r="E1334" s="10" t="s">
        <v>17</v>
      </c>
      <c r="F1334" s="11" t="s">
        <v>6492</v>
      </c>
      <c r="G1334" s="12">
        <v>201.84</v>
      </c>
      <c r="H1334" s="13">
        <v>42311</v>
      </c>
      <c r="I1334" s="18" t="s">
        <v>6478</v>
      </c>
      <c r="J1334" s="12" t="s">
        <v>6485</v>
      </c>
      <c r="K1334" s="12" t="s">
        <v>3898</v>
      </c>
      <c r="L1334" s="12" t="s">
        <v>4177</v>
      </c>
      <c r="M1334" s="14" t="s">
        <v>6491</v>
      </c>
      <c r="N1334" s="14" t="s">
        <v>4179</v>
      </c>
      <c r="O1334" s="17" t="s">
        <v>6610</v>
      </c>
    </row>
    <row r="1335" spans="1:15" x14ac:dyDescent="0.15">
      <c r="A1335" s="32" t="s">
        <v>6498</v>
      </c>
      <c r="B1335" s="22"/>
      <c r="C1335" s="11"/>
      <c r="D1335" s="17" t="s">
        <v>6494</v>
      </c>
      <c r="E1335" s="10" t="s">
        <v>17</v>
      </c>
      <c r="F1335" s="11" t="s">
        <v>6497</v>
      </c>
      <c r="G1335" s="23">
        <f>27.621*L1335</f>
        <v>82.863</v>
      </c>
      <c r="H1335" s="13">
        <v>42311</v>
      </c>
      <c r="I1335" s="23" t="s">
        <v>6499</v>
      </c>
      <c r="J1335" s="23" t="s">
        <v>6493</v>
      </c>
      <c r="K1335" s="23" t="s">
        <v>227</v>
      </c>
      <c r="L1335" s="12">
        <v>3</v>
      </c>
      <c r="M1335" s="14" t="s">
        <v>6495</v>
      </c>
      <c r="N1335" s="14" t="s">
        <v>6496</v>
      </c>
      <c r="O1335" s="17" t="s">
        <v>6495</v>
      </c>
    </row>
    <row r="1336" spans="1:15" x14ac:dyDescent="0.15">
      <c r="A1336" s="21" t="s">
        <v>6501</v>
      </c>
      <c r="B1336" s="22"/>
      <c r="C1336" s="11"/>
      <c r="D1336" s="17" t="s">
        <v>1685</v>
      </c>
      <c r="E1336" s="10" t="s">
        <v>17</v>
      </c>
      <c r="F1336" s="11" t="s">
        <v>6500</v>
      </c>
      <c r="G1336" s="12">
        <f>12.838*L1336</f>
        <v>38.513999999999996</v>
      </c>
      <c r="H1336" s="13">
        <v>42311</v>
      </c>
      <c r="I1336" s="12" t="s">
        <v>6502</v>
      </c>
      <c r="J1336" s="12" t="s">
        <v>6506</v>
      </c>
      <c r="K1336" s="12" t="s">
        <v>141</v>
      </c>
      <c r="L1336" s="12">
        <v>3</v>
      </c>
      <c r="M1336" s="14" t="s">
        <v>5205</v>
      </c>
      <c r="N1336" s="14" t="s">
        <v>1078</v>
      </c>
      <c r="O1336" s="17" t="s">
        <v>6641</v>
      </c>
    </row>
    <row r="1337" spans="1:15" x14ac:dyDescent="0.15">
      <c r="A1337" s="21" t="s">
        <v>6507</v>
      </c>
      <c r="B1337" s="19" t="s">
        <v>6263</v>
      </c>
      <c r="C1337" s="11"/>
      <c r="D1337" s="17" t="s">
        <v>6508</v>
      </c>
      <c r="E1337" s="10" t="s">
        <v>17</v>
      </c>
      <c r="F1337" s="11" t="s">
        <v>6509</v>
      </c>
      <c r="G1337" s="18">
        <f t="shared" ref="G1337" si="20">9.804*L1337</f>
        <v>245.1</v>
      </c>
      <c r="H1337" s="13">
        <v>42311</v>
      </c>
      <c r="I1337" s="12" t="s">
        <v>489</v>
      </c>
      <c r="J1337" s="12" t="s">
        <v>6510</v>
      </c>
      <c r="K1337" s="12" t="s">
        <v>141</v>
      </c>
      <c r="L1337" s="12">
        <v>25</v>
      </c>
      <c r="M1337" s="14" t="s">
        <v>6618</v>
      </c>
      <c r="N1337" s="14" t="s">
        <v>338</v>
      </c>
      <c r="O1337" s="17" t="s">
        <v>6888</v>
      </c>
    </row>
    <row r="1338" spans="1:15" x14ac:dyDescent="0.15">
      <c r="A1338" s="21" t="s">
        <v>6507</v>
      </c>
      <c r="B1338" s="19" t="s">
        <v>6263</v>
      </c>
      <c r="C1338" s="11"/>
      <c r="D1338" s="17" t="s">
        <v>6508</v>
      </c>
      <c r="E1338" s="10" t="s">
        <v>17</v>
      </c>
      <c r="F1338" s="11" t="s">
        <v>6511</v>
      </c>
      <c r="G1338" s="18">
        <f t="shared" ref="G1338:G1341" si="21">9.804*L1338</f>
        <v>245.1</v>
      </c>
      <c r="H1338" s="13">
        <v>42311</v>
      </c>
      <c r="I1338" s="12" t="s">
        <v>489</v>
      </c>
      <c r="J1338" s="12" t="s">
        <v>6515</v>
      </c>
      <c r="K1338" s="12" t="s">
        <v>141</v>
      </c>
      <c r="L1338" s="12">
        <v>25</v>
      </c>
      <c r="M1338" s="14" t="s">
        <v>6519</v>
      </c>
      <c r="N1338" s="14" t="s">
        <v>338</v>
      </c>
      <c r="O1338" s="17" t="s">
        <v>6519</v>
      </c>
    </row>
    <row r="1339" spans="1:15" x14ac:dyDescent="0.15">
      <c r="A1339" s="21" t="s">
        <v>6507</v>
      </c>
      <c r="B1339" s="19" t="s">
        <v>6263</v>
      </c>
      <c r="C1339" s="11"/>
      <c r="D1339" s="17" t="s">
        <v>6508</v>
      </c>
      <c r="E1339" s="10" t="s">
        <v>17</v>
      </c>
      <c r="F1339" s="11" t="s">
        <v>6512</v>
      </c>
      <c r="G1339" s="18">
        <f t="shared" si="21"/>
        <v>245.1</v>
      </c>
      <c r="H1339" s="13">
        <v>42311</v>
      </c>
      <c r="I1339" s="12" t="s">
        <v>489</v>
      </c>
      <c r="J1339" s="12" t="s">
        <v>6516</v>
      </c>
      <c r="K1339" s="12" t="s">
        <v>141</v>
      </c>
      <c r="L1339" s="12">
        <v>25</v>
      </c>
      <c r="M1339" s="14" t="s">
        <v>6520</v>
      </c>
      <c r="N1339" s="14" t="s">
        <v>338</v>
      </c>
      <c r="O1339" s="17" t="s">
        <v>6520</v>
      </c>
    </row>
    <row r="1340" spans="1:15" x14ac:dyDescent="0.15">
      <c r="A1340" s="21" t="s">
        <v>6507</v>
      </c>
      <c r="B1340" s="19" t="s">
        <v>6263</v>
      </c>
      <c r="C1340" s="11"/>
      <c r="D1340" s="17" t="s">
        <v>6508</v>
      </c>
      <c r="E1340" s="10" t="s">
        <v>17</v>
      </c>
      <c r="F1340" s="11" t="s">
        <v>6513</v>
      </c>
      <c r="G1340" s="18">
        <f t="shared" si="21"/>
        <v>245.1</v>
      </c>
      <c r="H1340" s="13">
        <v>42311</v>
      </c>
      <c r="I1340" s="12" t="s">
        <v>489</v>
      </c>
      <c r="J1340" s="12" t="s">
        <v>6517</v>
      </c>
      <c r="K1340" s="12" t="s">
        <v>141</v>
      </c>
      <c r="L1340" s="12">
        <v>25</v>
      </c>
      <c r="M1340" s="14" t="s">
        <v>6521</v>
      </c>
      <c r="N1340" s="14" t="s">
        <v>338</v>
      </c>
      <c r="O1340" s="17" t="s">
        <v>6521</v>
      </c>
    </row>
    <row r="1341" spans="1:15" x14ac:dyDescent="0.15">
      <c r="A1341" s="21" t="s">
        <v>6507</v>
      </c>
      <c r="B1341" s="19" t="s">
        <v>6263</v>
      </c>
      <c r="C1341" s="11"/>
      <c r="D1341" s="17" t="s">
        <v>6508</v>
      </c>
      <c r="E1341" s="10" t="s">
        <v>17</v>
      </c>
      <c r="F1341" s="11" t="s">
        <v>6514</v>
      </c>
      <c r="G1341" s="18">
        <f t="shared" si="21"/>
        <v>235.29599999999999</v>
      </c>
      <c r="H1341" s="13">
        <v>42311</v>
      </c>
      <c r="I1341" s="12" t="s">
        <v>489</v>
      </c>
      <c r="J1341" s="12" t="s">
        <v>6518</v>
      </c>
      <c r="K1341" s="12" t="s">
        <v>141</v>
      </c>
      <c r="L1341" s="12">
        <v>24</v>
      </c>
      <c r="M1341" s="14" t="s">
        <v>6522</v>
      </c>
      <c r="N1341" s="14" t="s">
        <v>6523</v>
      </c>
      <c r="O1341" s="17" t="s">
        <v>6522</v>
      </c>
    </row>
    <row r="1342" spans="1:15" x14ac:dyDescent="0.15">
      <c r="A1342" s="21" t="s">
        <v>6527</v>
      </c>
      <c r="B1342" s="22"/>
      <c r="C1342" s="11"/>
      <c r="D1342" s="17" t="s">
        <v>334</v>
      </c>
      <c r="E1342" s="10" t="s">
        <v>17</v>
      </c>
      <c r="F1342" s="11" t="s">
        <v>6526</v>
      </c>
      <c r="G1342" s="12">
        <f>18.708*L1342</f>
        <v>224.49599999999998</v>
      </c>
      <c r="H1342" s="13">
        <v>42312</v>
      </c>
      <c r="I1342" s="12" t="s">
        <v>6528</v>
      </c>
      <c r="J1342" s="12" t="s">
        <v>6524</v>
      </c>
      <c r="K1342" s="12" t="s">
        <v>311</v>
      </c>
      <c r="L1342" s="12">
        <v>12</v>
      </c>
      <c r="M1342" s="14" t="s">
        <v>6525</v>
      </c>
      <c r="N1342" s="14" t="s">
        <v>242</v>
      </c>
      <c r="O1342" s="17" t="s">
        <v>6525</v>
      </c>
    </row>
    <row r="1343" spans="1:15" x14ac:dyDescent="0.15">
      <c r="A1343" s="21" t="s">
        <v>6531</v>
      </c>
      <c r="B1343" s="22"/>
      <c r="C1343" s="11"/>
      <c r="D1343" s="17" t="s">
        <v>334</v>
      </c>
      <c r="E1343" s="10" t="s">
        <v>17</v>
      </c>
      <c r="F1343" s="11" t="s">
        <v>6530</v>
      </c>
      <c r="G1343" s="12">
        <f>18.708*L1343</f>
        <v>93.539999999999992</v>
      </c>
      <c r="H1343" s="13">
        <v>42312</v>
      </c>
      <c r="I1343" s="12" t="s">
        <v>6528</v>
      </c>
      <c r="J1343" s="12" t="s">
        <v>6529</v>
      </c>
      <c r="K1343" s="12" t="s">
        <v>21</v>
      </c>
      <c r="L1343" s="12">
        <v>5</v>
      </c>
      <c r="M1343" s="14" t="s">
        <v>6525</v>
      </c>
      <c r="N1343" s="14" t="s">
        <v>5372</v>
      </c>
      <c r="O1343" s="17" t="s">
        <v>6637</v>
      </c>
    </row>
    <row r="1344" spans="1:15" x14ac:dyDescent="0.15">
      <c r="A1344" s="21" t="s">
        <v>6534</v>
      </c>
      <c r="B1344" s="22"/>
      <c r="C1344" s="11"/>
      <c r="D1344" s="17" t="s">
        <v>425</v>
      </c>
      <c r="E1344" s="10" t="s">
        <v>17</v>
      </c>
      <c r="F1344" s="11" t="s">
        <v>6533</v>
      </c>
      <c r="G1344" s="12">
        <f>18.708*L1344</f>
        <v>187.07999999999998</v>
      </c>
      <c r="H1344" s="13">
        <v>42312</v>
      </c>
      <c r="I1344" s="12" t="s">
        <v>6528</v>
      </c>
      <c r="J1344" s="12" t="s">
        <v>6532</v>
      </c>
      <c r="K1344" s="12" t="s">
        <v>132</v>
      </c>
      <c r="L1344" s="12">
        <v>10</v>
      </c>
      <c r="M1344" s="14" t="s">
        <v>3828</v>
      </c>
      <c r="N1344" s="14" t="s">
        <v>58</v>
      </c>
      <c r="O1344" s="17" t="s">
        <v>6638</v>
      </c>
    </row>
    <row r="1345" spans="1:15" x14ac:dyDescent="0.15">
      <c r="A1345" s="21" t="s">
        <v>6538</v>
      </c>
      <c r="B1345" s="22"/>
      <c r="C1345" s="11"/>
      <c r="D1345" s="17" t="s">
        <v>54</v>
      </c>
      <c r="E1345" s="10" t="s">
        <v>17</v>
      </c>
      <c r="F1345" s="11" t="s">
        <v>6537</v>
      </c>
      <c r="G1345" s="12">
        <f>6.405*L1345</f>
        <v>96.075000000000003</v>
      </c>
      <c r="H1345" s="13">
        <v>42312</v>
      </c>
      <c r="I1345" s="12" t="s">
        <v>6539</v>
      </c>
      <c r="J1345" s="12" t="s">
        <v>6535</v>
      </c>
      <c r="K1345" s="12" t="s">
        <v>141</v>
      </c>
      <c r="L1345" s="12">
        <v>15</v>
      </c>
      <c r="M1345" s="14" t="s">
        <v>6536</v>
      </c>
      <c r="N1345" s="14" t="s">
        <v>1151</v>
      </c>
      <c r="O1345" s="17" t="s">
        <v>6536</v>
      </c>
    </row>
    <row r="1346" spans="1:15" x14ac:dyDescent="0.15">
      <c r="A1346" s="50" t="s">
        <v>6540</v>
      </c>
      <c r="B1346" s="51"/>
      <c r="C1346" s="43"/>
      <c r="D1346" s="44" t="s">
        <v>533</v>
      </c>
      <c r="E1346" s="41" t="s">
        <v>17</v>
      </c>
      <c r="F1346" s="43" t="s">
        <v>6547</v>
      </c>
      <c r="G1346" s="45">
        <v>359.97699999999998</v>
      </c>
      <c r="H1346" s="46">
        <v>42312</v>
      </c>
      <c r="I1346" s="45" t="s">
        <v>5956</v>
      </c>
      <c r="J1346" s="45" t="s">
        <v>6541</v>
      </c>
      <c r="K1346" s="45" t="s">
        <v>328</v>
      </c>
      <c r="L1346" s="45" t="s">
        <v>6542</v>
      </c>
      <c r="M1346" s="48" t="s">
        <v>6545</v>
      </c>
      <c r="N1346" s="48" t="s">
        <v>6546</v>
      </c>
      <c r="O1346" s="44" t="s">
        <v>6621</v>
      </c>
    </row>
    <row r="1347" spans="1:15" x14ac:dyDescent="0.15">
      <c r="A1347" s="21" t="s">
        <v>6552</v>
      </c>
      <c r="B1347" s="22"/>
      <c r="C1347" s="11"/>
      <c r="D1347" s="17" t="s">
        <v>533</v>
      </c>
      <c r="E1347" s="10" t="s">
        <v>17</v>
      </c>
      <c r="F1347" s="11" t="s">
        <v>6551</v>
      </c>
      <c r="G1347" s="12">
        <v>139.33000000000001</v>
      </c>
      <c r="H1347" s="13">
        <v>42312</v>
      </c>
      <c r="I1347" s="12" t="s">
        <v>6548</v>
      </c>
      <c r="J1347" s="12" t="s">
        <v>6544</v>
      </c>
      <c r="K1347" s="12" t="s">
        <v>328</v>
      </c>
      <c r="L1347" s="12" t="s">
        <v>6543</v>
      </c>
      <c r="M1347" s="14" t="s">
        <v>6549</v>
      </c>
      <c r="N1347" s="14" t="s">
        <v>6550</v>
      </c>
      <c r="O1347" s="17" t="s">
        <v>6622</v>
      </c>
    </row>
    <row r="1348" spans="1:15" x14ac:dyDescent="0.15">
      <c r="A1348" s="21" t="s">
        <v>6555</v>
      </c>
      <c r="B1348" s="22"/>
      <c r="C1348" s="11"/>
      <c r="D1348" s="17" t="s">
        <v>567</v>
      </c>
      <c r="E1348" s="10" t="s">
        <v>17</v>
      </c>
      <c r="F1348" s="11" t="s">
        <v>6554</v>
      </c>
      <c r="G1348" s="12">
        <f>27.688*L1348</f>
        <v>138.44</v>
      </c>
      <c r="H1348" s="13">
        <v>42312</v>
      </c>
      <c r="I1348" s="12" t="s">
        <v>6556</v>
      </c>
      <c r="J1348" s="12" t="s">
        <v>6553</v>
      </c>
      <c r="K1348" s="12" t="s">
        <v>141</v>
      </c>
      <c r="L1348" s="12">
        <v>5</v>
      </c>
      <c r="M1348" s="14" t="s">
        <v>6323</v>
      </c>
      <c r="N1348" s="14" t="s">
        <v>1689</v>
      </c>
      <c r="O1348" s="17" t="s">
        <v>6623</v>
      </c>
    </row>
    <row r="1349" spans="1:15" x14ac:dyDescent="0.15">
      <c r="A1349" s="21" t="s">
        <v>6557</v>
      </c>
      <c r="B1349" s="22"/>
      <c r="C1349" s="11"/>
      <c r="D1349" s="17" t="s">
        <v>1181</v>
      </c>
      <c r="E1349" s="10" t="s">
        <v>17</v>
      </c>
      <c r="F1349" s="11" t="s">
        <v>6560</v>
      </c>
      <c r="G1349" s="12">
        <f>17.712*L1349</f>
        <v>212.54399999999998</v>
      </c>
      <c r="H1349" s="13">
        <v>42312</v>
      </c>
      <c r="I1349" s="12" t="s">
        <v>309</v>
      </c>
      <c r="J1349" s="12" t="s">
        <v>6558</v>
      </c>
      <c r="K1349" s="12" t="s">
        <v>141</v>
      </c>
      <c r="L1349" s="12">
        <v>12</v>
      </c>
      <c r="M1349" s="14" t="s">
        <v>6559</v>
      </c>
      <c r="N1349" s="14" t="s">
        <v>242</v>
      </c>
      <c r="O1349" s="17" t="s">
        <v>6559</v>
      </c>
    </row>
    <row r="1350" spans="1:15" x14ac:dyDescent="0.15">
      <c r="A1350" s="50" t="s">
        <v>6563</v>
      </c>
      <c r="B1350" s="51"/>
      <c r="C1350" s="43"/>
      <c r="D1350" s="44" t="s">
        <v>408</v>
      </c>
      <c r="E1350" s="41" t="s">
        <v>17</v>
      </c>
      <c r="F1350" s="43" t="s">
        <v>8602</v>
      </c>
      <c r="G1350" s="45">
        <f>29.101*L1350</f>
        <v>174.60599999999999</v>
      </c>
      <c r="H1350" s="46">
        <v>42312</v>
      </c>
      <c r="I1350" s="45" t="s">
        <v>6564</v>
      </c>
      <c r="J1350" s="45" t="s">
        <v>6561</v>
      </c>
      <c r="K1350" s="45" t="s">
        <v>141</v>
      </c>
      <c r="L1350" s="45">
        <v>6</v>
      </c>
      <c r="M1350" s="48" t="s">
        <v>8398</v>
      </c>
      <c r="N1350" s="48" t="s">
        <v>6562</v>
      </c>
      <c r="O1350" s="44" t="s">
        <v>8603</v>
      </c>
    </row>
    <row r="1351" spans="1:15" x14ac:dyDescent="0.15">
      <c r="A1351" s="50" t="s">
        <v>6568</v>
      </c>
      <c r="B1351" s="51"/>
      <c r="C1351" s="43"/>
      <c r="D1351" s="44" t="s">
        <v>408</v>
      </c>
      <c r="E1351" s="41" t="s">
        <v>17</v>
      </c>
      <c r="F1351" s="43" t="s">
        <v>6567</v>
      </c>
      <c r="G1351" s="45">
        <f>29.101*L1351</f>
        <v>378.31299999999999</v>
      </c>
      <c r="H1351" s="46">
        <v>42312</v>
      </c>
      <c r="I1351" s="45" t="s">
        <v>6569</v>
      </c>
      <c r="J1351" s="45" t="s">
        <v>6565</v>
      </c>
      <c r="K1351" s="45" t="s">
        <v>141</v>
      </c>
      <c r="L1351" s="45">
        <v>13</v>
      </c>
      <c r="M1351" s="48" t="s">
        <v>6566</v>
      </c>
      <c r="N1351" s="48" t="s">
        <v>5458</v>
      </c>
      <c r="O1351" s="44" t="s">
        <v>6566</v>
      </c>
    </row>
    <row r="1352" spans="1:15" x14ac:dyDescent="0.15">
      <c r="A1352" s="50" t="s">
        <v>6573</v>
      </c>
      <c r="B1352" s="51"/>
      <c r="C1352" s="43"/>
      <c r="D1352" s="44" t="s">
        <v>375</v>
      </c>
      <c r="E1352" s="41" t="s">
        <v>17</v>
      </c>
      <c r="F1352" s="43" t="s">
        <v>6572</v>
      </c>
      <c r="G1352" s="45">
        <f>17.52*L1352</f>
        <v>262.8</v>
      </c>
      <c r="H1352" s="46">
        <v>42312</v>
      </c>
      <c r="I1352" s="45" t="s">
        <v>6574</v>
      </c>
      <c r="J1352" s="45" t="s">
        <v>6570</v>
      </c>
      <c r="K1352" s="45" t="s">
        <v>141</v>
      </c>
      <c r="L1352" s="45">
        <v>15</v>
      </c>
      <c r="M1352" s="48" t="s">
        <v>6571</v>
      </c>
      <c r="N1352" s="48" t="s">
        <v>1151</v>
      </c>
      <c r="O1352" s="44" t="s">
        <v>6571</v>
      </c>
    </row>
    <row r="1353" spans="1:15" x14ac:dyDescent="0.15">
      <c r="A1353" s="21" t="s">
        <v>6575</v>
      </c>
      <c r="B1353" s="22"/>
      <c r="C1353" s="11"/>
      <c r="D1353" s="17" t="s">
        <v>6181</v>
      </c>
      <c r="E1353" s="10" t="s">
        <v>17</v>
      </c>
      <c r="F1353" s="11" t="s">
        <v>6577</v>
      </c>
      <c r="G1353" s="12">
        <f>17.52*L1353</f>
        <v>87.6</v>
      </c>
      <c r="H1353" s="13">
        <v>42312</v>
      </c>
      <c r="I1353" s="18" t="s">
        <v>6578</v>
      </c>
      <c r="J1353" s="18" t="s">
        <v>6576</v>
      </c>
      <c r="K1353" s="18" t="s">
        <v>141</v>
      </c>
      <c r="L1353" s="12">
        <v>5</v>
      </c>
      <c r="M1353" s="14" t="s">
        <v>6345</v>
      </c>
      <c r="N1353" s="14" t="s">
        <v>1689</v>
      </c>
      <c r="O1353" s="17" t="s">
        <v>6619</v>
      </c>
    </row>
    <row r="1354" spans="1:15" x14ac:dyDescent="0.15">
      <c r="A1354" s="21" t="s">
        <v>6582</v>
      </c>
      <c r="B1354" s="22"/>
      <c r="C1354" s="11"/>
      <c r="D1354" s="17" t="s">
        <v>2503</v>
      </c>
      <c r="E1354" s="10" t="s">
        <v>137</v>
      </c>
      <c r="F1354" s="11" t="s">
        <v>6579</v>
      </c>
      <c r="G1354" s="12">
        <v>59.636000000000003</v>
      </c>
      <c r="H1354" s="13">
        <v>42312</v>
      </c>
      <c r="I1354" s="12" t="s">
        <v>6583</v>
      </c>
      <c r="J1354" s="12" t="s">
        <v>6580</v>
      </c>
      <c r="K1354" s="12" t="s">
        <v>328</v>
      </c>
      <c r="L1354" s="12" t="s">
        <v>6581</v>
      </c>
      <c r="M1354" s="14" t="s">
        <v>6584</v>
      </c>
      <c r="N1354" s="14" t="s">
        <v>6585</v>
      </c>
      <c r="O1354" s="17" t="s">
        <v>6620</v>
      </c>
    </row>
    <row r="1355" spans="1:15" x14ac:dyDescent="0.15">
      <c r="A1355" s="21" t="s">
        <v>6588</v>
      </c>
      <c r="B1355" s="22"/>
      <c r="C1355" s="11"/>
      <c r="D1355" s="17" t="s">
        <v>833</v>
      </c>
      <c r="E1355" s="10" t="s">
        <v>137</v>
      </c>
      <c r="F1355" s="11" t="s">
        <v>6601</v>
      </c>
      <c r="G1355" s="12">
        <v>199.65299999999999</v>
      </c>
      <c r="H1355" s="13">
        <v>42312</v>
      </c>
      <c r="I1355" s="18" t="s">
        <v>6589</v>
      </c>
      <c r="J1355" s="18" t="s">
        <v>6586</v>
      </c>
      <c r="K1355" s="18" t="s">
        <v>255</v>
      </c>
      <c r="L1355" s="12" t="s">
        <v>6587</v>
      </c>
      <c r="M1355" s="14" t="s">
        <v>6599</v>
      </c>
      <c r="N1355" s="14" t="s">
        <v>6600</v>
      </c>
      <c r="O1355" s="17" t="s">
        <v>6643</v>
      </c>
    </row>
    <row r="1356" spans="1:15" x14ac:dyDescent="0.15">
      <c r="A1356" s="50" t="s">
        <v>6592</v>
      </c>
      <c r="B1356" s="42" t="s">
        <v>180</v>
      </c>
      <c r="C1356" s="43"/>
      <c r="D1356" s="44" t="s">
        <v>128</v>
      </c>
      <c r="E1356" s="41" t="s">
        <v>137</v>
      </c>
      <c r="F1356" s="43" t="s">
        <v>6602</v>
      </c>
      <c r="G1356" s="45">
        <f t="shared" ref="G1356" si="22">8.606*L1356</f>
        <v>215.15</v>
      </c>
      <c r="H1356" s="46">
        <v>42312</v>
      </c>
      <c r="I1356" s="45" t="s">
        <v>6593</v>
      </c>
      <c r="J1356" s="45" t="s">
        <v>6590</v>
      </c>
      <c r="K1356" s="47" t="s">
        <v>141</v>
      </c>
      <c r="L1356" s="45">
        <v>25</v>
      </c>
      <c r="M1356" s="48" t="s">
        <v>6591</v>
      </c>
      <c r="N1356" s="48" t="s">
        <v>338</v>
      </c>
      <c r="O1356" s="44" t="s">
        <v>6591</v>
      </c>
    </row>
    <row r="1357" spans="1:15" x14ac:dyDescent="0.15">
      <c r="A1357" s="50" t="s">
        <v>6597</v>
      </c>
      <c r="B1357" s="42" t="s">
        <v>180</v>
      </c>
      <c r="C1357" s="43"/>
      <c r="D1357" s="44" t="s">
        <v>4086</v>
      </c>
      <c r="E1357" s="41" t="s">
        <v>137</v>
      </c>
      <c r="F1357" s="43" t="s">
        <v>6603</v>
      </c>
      <c r="G1357" s="52">
        <f>14.87*L1357</f>
        <v>74.349999999999994</v>
      </c>
      <c r="H1357" s="46">
        <v>42312</v>
      </c>
      <c r="I1357" s="45" t="s">
        <v>8458</v>
      </c>
      <c r="J1357" s="45" t="s">
        <v>6594</v>
      </c>
      <c r="K1357" s="45" t="s">
        <v>141</v>
      </c>
      <c r="L1357" s="45">
        <v>5</v>
      </c>
      <c r="M1357" s="48" t="s">
        <v>6595</v>
      </c>
      <c r="N1357" s="48" t="s">
        <v>6596</v>
      </c>
      <c r="O1357" s="44" t="s">
        <v>6595</v>
      </c>
    </row>
    <row r="1358" spans="1:15" s="62" customFormat="1" x14ac:dyDescent="0.15">
      <c r="A1358" s="21" t="s">
        <v>6624</v>
      </c>
      <c r="B1358" s="22"/>
      <c r="C1358" s="11"/>
      <c r="D1358" s="17" t="s">
        <v>5733</v>
      </c>
      <c r="E1358" s="10" t="s">
        <v>3584</v>
      </c>
      <c r="F1358" s="11" t="s">
        <v>6627</v>
      </c>
      <c r="G1358" s="12">
        <f>35.474*L1358</f>
        <v>886.84999999999991</v>
      </c>
      <c r="H1358" s="13">
        <v>42313</v>
      </c>
      <c r="I1358" s="12" t="s">
        <v>3586</v>
      </c>
      <c r="J1358" s="12" t="s">
        <v>6626</v>
      </c>
      <c r="K1358" s="12" t="s">
        <v>141</v>
      </c>
      <c r="L1358" s="12">
        <v>25</v>
      </c>
      <c r="M1358" s="14" t="s">
        <v>6629</v>
      </c>
      <c r="N1358" s="14" t="s">
        <v>2367</v>
      </c>
      <c r="O1358" s="17" t="s">
        <v>6644</v>
      </c>
    </row>
    <row r="1359" spans="1:15" s="62" customFormat="1" x14ac:dyDescent="0.15">
      <c r="A1359" s="21" t="s">
        <v>6624</v>
      </c>
      <c r="B1359" s="22"/>
      <c r="C1359" s="11"/>
      <c r="D1359" s="17" t="s">
        <v>5733</v>
      </c>
      <c r="E1359" s="10" t="s">
        <v>3584</v>
      </c>
      <c r="F1359" s="11" t="s">
        <v>6631</v>
      </c>
      <c r="G1359" s="12">
        <f>35.474*L1359</f>
        <v>886.84999999999991</v>
      </c>
      <c r="H1359" s="13">
        <v>42313</v>
      </c>
      <c r="I1359" s="12" t="s">
        <v>3586</v>
      </c>
      <c r="J1359" s="12" t="s">
        <v>6628</v>
      </c>
      <c r="K1359" s="12" t="s">
        <v>141</v>
      </c>
      <c r="L1359" s="12">
        <v>25</v>
      </c>
      <c r="M1359" s="14" t="s">
        <v>6630</v>
      </c>
      <c r="N1359" s="14" t="s">
        <v>2367</v>
      </c>
      <c r="O1359" s="17" t="s">
        <v>3593</v>
      </c>
    </row>
    <row r="1360" spans="1:15" s="62" customFormat="1" x14ac:dyDescent="0.15">
      <c r="A1360" s="21" t="s">
        <v>6634</v>
      </c>
      <c r="B1360" s="22"/>
      <c r="C1360" s="11"/>
      <c r="D1360" s="17" t="s">
        <v>5733</v>
      </c>
      <c r="E1360" s="10" t="s">
        <v>3584</v>
      </c>
      <c r="F1360" s="11" t="s">
        <v>6636</v>
      </c>
      <c r="G1360" s="12">
        <f>35.474*L1360</f>
        <v>886.84999999999991</v>
      </c>
      <c r="H1360" s="13">
        <v>42313</v>
      </c>
      <c r="I1360" s="12" t="s">
        <v>6635</v>
      </c>
      <c r="J1360" s="12" t="s">
        <v>6632</v>
      </c>
      <c r="K1360" s="12" t="s">
        <v>141</v>
      </c>
      <c r="L1360" s="12">
        <v>25</v>
      </c>
      <c r="M1360" s="14" t="s">
        <v>6633</v>
      </c>
      <c r="N1360" s="14" t="s">
        <v>338</v>
      </c>
      <c r="O1360" s="17" t="s">
        <v>3593</v>
      </c>
    </row>
    <row r="1361" spans="1:15" x14ac:dyDescent="0.15">
      <c r="A1361" s="50" t="s">
        <v>6653</v>
      </c>
      <c r="B1361" s="51"/>
      <c r="C1361" s="43"/>
      <c r="D1361" s="44" t="s">
        <v>432</v>
      </c>
      <c r="E1361" s="41" t="s">
        <v>137</v>
      </c>
      <c r="F1361" s="43" t="s">
        <v>6652</v>
      </c>
      <c r="G1361" s="52">
        <v>266.68900000000002</v>
      </c>
      <c r="H1361" s="46">
        <v>42317</v>
      </c>
      <c r="I1361" s="45" t="s">
        <v>6654</v>
      </c>
      <c r="J1361" s="45" t="s">
        <v>6646</v>
      </c>
      <c r="K1361" s="45" t="s">
        <v>301</v>
      </c>
      <c r="L1361" s="45" t="s">
        <v>6647</v>
      </c>
      <c r="M1361" s="48" t="s">
        <v>6650</v>
      </c>
      <c r="N1361" s="48" t="s">
        <v>6651</v>
      </c>
      <c r="O1361" s="44" t="s">
        <v>6895</v>
      </c>
    </row>
    <row r="1362" spans="1:15" x14ac:dyDescent="0.15">
      <c r="A1362" s="21" t="s">
        <v>6653</v>
      </c>
      <c r="B1362" s="22"/>
      <c r="C1362" s="11"/>
      <c r="D1362" s="17" t="s">
        <v>432</v>
      </c>
      <c r="E1362" s="10" t="s">
        <v>137</v>
      </c>
      <c r="F1362" s="11" t="s">
        <v>6657</v>
      </c>
      <c r="G1362" s="23">
        <v>303.29399999999998</v>
      </c>
      <c r="H1362" s="13">
        <v>42317</v>
      </c>
      <c r="I1362" s="12" t="s">
        <v>6658</v>
      </c>
      <c r="J1362" s="12" t="s">
        <v>6649</v>
      </c>
      <c r="K1362" s="12" t="s">
        <v>301</v>
      </c>
      <c r="L1362" s="12" t="s">
        <v>6648</v>
      </c>
      <c r="M1362" s="14" t="s">
        <v>6655</v>
      </c>
      <c r="N1362" s="14" t="s">
        <v>6656</v>
      </c>
      <c r="O1362" s="17" t="s">
        <v>6896</v>
      </c>
    </row>
    <row r="1363" spans="1:15" x14ac:dyDescent="0.15">
      <c r="A1363" s="50" t="s">
        <v>6909</v>
      </c>
      <c r="B1363" s="51"/>
      <c r="C1363" s="43"/>
      <c r="D1363" s="44" t="s">
        <v>432</v>
      </c>
      <c r="E1363" s="41" t="s">
        <v>137</v>
      </c>
      <c r="F1363" s="43" t="s">
        <v>6664</v>
      </c>
      <c r="G1363" s="52">
        <v>267.77699999999999</v>
      </c>
      <c r="H1363" s="46">
        <v>42317</v>
      </c>
      <c r="I1363" s="45" t="s">
        <v>6910</v>
      </c>
      <c r="J1363" s="45" t="s">
        <v>6659</v>
      </c>
      <c r="K1363" s="45" t="s">
        <v>301</v>
      </c>
      <c r="L1363" s="45" t="s">
        <v>6647</v>
      </c>
      <c r="M1363" s="48" t="s">
        <v>7062</v>
      </c>
      <c r="N1363" s="48" t="s">
        <v>6663</v>
      </c>
      <c r="O1363" s="44" t="s">
        <v>6930</v>
      </c>
    </row>
    <row r="1364" spans="1:15" x14ac:dyDescent="0.15">
      <c r="A1364" s="21" t="s">
        <v>6653</v>
      </c>
      <c r="B1364" s="22"/>
      <c r="C1364" s="11"/>
      <c r="D1364" s="17" t="s">
        <v>432</v>
      </c>
      <c r="E1364" s="10" t="s">
        <v>137</v>
      </c>
      <c r="F1364" s="11" t="s">
        <v>6667</v>
      </c>
      <c r="G1364" s="23">
        <v>303.541</v>
      </c>
      <c r="H1364" s="13">
        <v>42317</v>
      </c>
      <c r="I1364" s="12" t="s">
        <v>6668</v>
      </c>
      <c r="J1364" s="12" t="s">
        <v>6660</v>
      </c>
      <c r="K1364" s="12" t="s">
        <v>301</v>
      </c>
      <c r="L1364" s="12" t="s">
        <v>6648</v>
      </c>
      <c r="M1364" s="14" t="s">
        <v>6665</v>
      </c>
      <c r="N1364" s="14" t="s">
        <v>6666</v>
      </c>
      <c r="O1364" s="17" t="s">
        <v>6897</v>
      </c>
    </row>
    <row r="1365" spans="1:15" x14ac:dyDescent="0.15">
      <c r="A1365" s="21" t="s">
        <v>6653</v>
      </c>
      <c r="B1365" s="22"/>
      <c r="C1365" s="11"/>
      <c r="D1365" s="17" t="s">
        <v>432</v>
      </c>
      <c r="E1365" s="10" t="s">
        <v>137</v>
      </c>
      <c r="F1365" s="11" t="s">
        <v>6671</v>
      </c>
      <c r="G1365" s="23">
        <v>385.06599999999997</v>
      </c>
      <c r="H1365" s="13">
        <v>42317</v>
      </c>
      <c r="I1365" s="12" t="s">
        <v>6668</v>
      </c>
      <c r="J1365" s="12" t="s">
        <v>6661</v>
      </c>
      <c r="K1365" s="12" t="s">
        <v>301</v>
      </c>
      <c r="L1365" s="12" t="s">
        <v>6662</v>
      </c>
      <c r="M1365" s="14" t="s">
        <v>6669</v>
      </c>
      <c r="N1365" s="14" t="s">
        <v>6670</v>
      </c>
      <c r="O1365" s="17" t="s">
        <v>6898</v>
      </c>
    </row>
    <row r="1366" spans="1:15" x14ac:dyDescent="0.15">
      <c r="A1366" s="50" t="s">
        <v>6653</v>
      </c>
      <c r="B1366" s="51"/>
      <c r="C1366" s="43"/>
      <c r="D1366" s="44" t="s">
        <v>432</v>
      </c>
      <c r="E1366" s="41" t="s">
        <v>137</v>
      </c>
      <c r="F1366" s="43" t="s">
        <v>6677</v>
      </c>
      <c r="G1366" s="52">
        <v>268.52499999999998</v>
      </c>
      <c r="H1366" s="46">
        <v>42317</v>
      </c>
      <c r="I1366" s="45" t="s">
        <v>6678</v>
      </c>
      <c r="J1366" s="45" t="s">
        <v>6672</v>
      </c>
      <c r="K1366" s="45" t="s">
        <v>301</v>
      </c>
      <c r="L1366" s="45" t="s">
        <v>6647</v>
      </c>
      <c r="M1366" s="48" t="s">
        <v>6676</v>
      </c>
      <c r="N1366" s="48" t="s">
        <v>6675</v>
      </c>
      <c r="O1366" s="44" t="s">
        <v>6899</v>
      </c>
    </row>
    <row r="1367" spans="1:15" x14ac:dyDescent="0.15">
      <c r="A1367" s="50" t="s">
        <v>6645</v>
      </c>
      <c r="B1367" s="51"/>
      <c r="C1367" s="43"/>
      <c r="D1367" s="44" t="s">
        <v>432</v>
      </c>
      <c r="E1367" s="41" t="s">
        <v>137</v>
      </c>
      <c r="F1367" s="43" t="s">
        <v>6681</v>
      </c>
      <c r="G1367" s="52">
        <v>303.65300000000002</v>
      </c>
      <c r="H1367" s="46">
        <v>42317</v>
      </c>
      <c r="I1367" s="45" t="s">
        <v>6668</v>
      </c>
      <c r="J1367" s="45" t="s">
        <v>6673</v>
      </c>
      <c r="K1367" s="45" t="s">
        <v>301</v>
      </c>
      <c r="L1367" s="45" t="s">
        <v>6648</v>
      </c>
      <c r="M1367" s="48" t="s">
        <v>6680</v>
      </c>
      <c r="N1367" s="48" t="s">
        <v>6679</v>
      </c>
      <c r="O1367" s="44" t="s">
        <v>6900</v>
      </c>
    </row>
    <row r="1368" spans="1:15" x14ac:dyDescent="0.15">
      <c r="A1368" s="21" t="s">
        <v>6653</v>
      </c>
      <c r="B1368" s="22"/>
      <c r="C1368" s="11"/>
      <c r="D1368" s="17" t="s">
        <v>432</v>
      </c>
      <c r="E1368" s="10" t="s">
        <v>137</v>
      </c>
      <c r="F1368" s="11" t="s">
        <v>6682</v>
      </c>
      <c r="G1368" s="23">
        <v>385.31200000000001</v>
      </c>
      <c r="H1368" s="13">
        <v>42317</v>
      </c>
      <c r="I1368" s="12" t="s">
        <v>6668</v>
      </c>
      <c r="J1368" s="12" t="s">
        <v>6674</v>
      </c>
      <c r="K1368" s="12" t="s">
        <v>301</v>
      </c>
      <c r="L1368" s="12" t="s">
        <v>6662</v>
      </c>
      <c r="M1368" s="14" t="s">
        <v>7153</v>
      </c>
      <c r="N1368" s="14" t="s">
        <v>7154</v>
      </c>
      <c r="O1368" s="17" t="s">
        <v>7195</v>
      </c>
    </row>
    <row r="1369" spans="1:15" x14ac:dyDescent="0.15">
      <c r="A1369" s="50" t="s">
        <v>6653</v>
      </c>
      <c r="B1369" s="51"/>
      <c r="C1369" s="43"/>
      <c r="D1369" s="44" t="s">
        <v>432</v>
      </c>
      <c r="E1369" s="41" t="s">
        <v>137</v>
      </c>
      <c r="F1369" s="43" t="s">
        <v>6688</v>
      </c>
      <c r="G1369" s="52">
        <v>385.17200000000003</v>
      </c>
      <c r="H1369" s="46">
        <v>42317</v>
      </c>
      <c r="I1369" s="45" t="s">
        <v>6654</v>
      </c>
      <c r="J1369" s="45" t="s">
        <v>6683</v>
      </c>
      <c r="K1369" s="45" t="s">
        <v>301</v>
      </c>
      <c r="L1369" s="45" t="s">
        <v>6662</v>
      </c>
      <c r="M1369" s="48" t="s">
        <v>6686</v>
      </c>
      <c r="N1369" s="48" t="s">
        <v>6687</v>
      </c>
      <c r="O1369" s="44" t="s">
        <v>6901</v>
      </c>
    </row>
    <row r="1370" spans="1:15" x14ac:dyDescent="0.15">
      <c r="A1370" s="21" t="s">
        <v>6653</v>
      </c>
      <c r="B1370" s="22"/>
      <c r="C1370" s="11"/>
      <c r="D1370" s="17" t="s">
        <v>432</v>
      </c>
      <c r="E1370" s="10" t="s">
        <v>137</v>
      </c>
      <c r="F1370" s="11" t="s">
        <v>6692</v>
      </c>
      <c r="G1370" s="23">
        <v>383.40699999999998</v>
      </c>
      <c r="H1370" s="13">
        <v>42317</v>
      </c>
      <c r="I1370" s="12" t="s">
        <v>6654</v>
      </c>
      <c r="J1370" s="12" t="s">
        <v>6684</v>
      </c>
      <c r="K1370" s="12" t="s">
        <v>301</v>
      </c>
      <c r="L1370" s="12" t="s">
        <v>6662</v>
      </c>
      <c r="M1370" s="14" t="s">
        <v>6690</v>
      </c>
      <c r="N1370" s="14" t="s">
        <v>6691</v>
      </c>
      <c r="O1370" s="17" t="s">
        <v>6902</v>
      </c>
    </row>
    <row r="1371" spans="1:15" x14ac:dyDescent="0.15">
      <c r="A1371" s="21" t="s">
        <v>6653</v>
      </c>
      <c r="B1371" s="22"/>
      <c r="C1371" s="11"/>
      <c r="D1371" s="17" t="s">
        <v>432</v>
      </c>
      <c r="E1371" s="10" t="s">
        <v>137</v>
      </c>
      <c r="F1371" s="11" t="s">
        <v>7736</v>
      </c>
      <c r="G1371" s="23">
        <v>186.03899999999999</v>
      </c>
      <c r="H1371" s="13">
        <v>42317</v>
      </c>
      <c r="I1371" s="12" t="s">
        <v>6693</v>
      </c>
      <c r="J1371" s="12" t="s">
        <v>6685</v>
      </c>
      <c r="K1371" s="12" t="s">
        <v>301</v>
      </c>
      <c r="L1371" s="12" t="s">
        <v>6689</v>
      </c>
      <c r="M1371" s="14" t="s">
        <v>7737</v>
      </c>
      <c r="N1371" s="14" t="s">
        <v>7738</v>
      </c>
      <c r="O1371" s="17" t="s">
        <v>6903</v>
      </c>
    </row>
    <row r="1372" spans="1:15" x14ac:dyDescent="0.15">
      <c r="A1372" s="21" t="s">
        <v>6653</v>
      </c>
      <c r="B1372" s="22"/>
      <c r="C1372" s="11"/>
      <c r="D1372" s="17" t="s">
        <v>432</v>
      </c>
      <c r="E1372" s="10" t="s">
        <v>137</v>
      </c>
      <c r="F1372" s="11" t="s">
        <v>6699</v>
      </c>
      <c r="G1372" s="23">
        <v>383.64100000000002</v>
      </c>
      <c r="H1372" s="13">
        <v>42317</v>
      </c>
      <c r="I1372" s="12" t="s">
        <v>6700</v>
      </c>
      <c r="J1372" s="12" t="s">
        <v>6694</v>
      </c>
      <c r="K1372" s="12" t="s">
        <v>301</v>
      </c>
      <c r="L1372" s="12" t="s">
        <v>6696</v>
      </c>
      <c r="M1372" s="14" t="s">
        <v>6698</v>
      </c>
      <c r="N1372" s="14" t="s">
        <v>6697</v>
      </c>
      <c r="O1372" s="17" t="s">
        <v>6904</v>
      </c>
    </row>
    <row r="1373" spans="1:15" x14ac:dyDescent="0.15">
      <c r="A1373" s="21" t="s">
        <v>6653</v>
      </c>
      <c r="B1373" s="22"/>
      <c r="C1373" s="11"/>
      <c r="D1373" s="17" t="s">
        <v>432</v>
      </c>
      <c r="E1373" s="10" t="s">
        <v>137</v>
      </c>
      <c r="F1373" s="11" t="s">
        <v>6702</v>
      </c>
      <c r="G1373" s="23">
        <v>302.45999999999998</v>
      </c>
      <c r="H1373" s="13">
        <v>42317</v>
      </c>
      <c r="I1373" s="12" t="s">
        <v>6700</v>
      </c>
      <c r="J1373" s="12" t="s">
        <v>6695</v>
      </c>
      <c r="K1373" s="12" t="s">
        <v>301</v>
      </c>
      <c r="L1373" s="12" t="s">
        <v>6648</v>
      </c>
      <c r="M1373" s="14" t="s">
        <v>6701</v>
      </c>
      <c r="N1373" s="14" t="s">
        <v>8094</v>
      </c>
      <c r="O1373" s="17" t="s">
        <v>6905</v>
      </c>
    </row>
    <row r="1374" spans="1:15" x14ac:dyDescent="0.15">
      <c r="A1374" s="21" t="s">
        <v>6712</v>
      </c>
      <c r="B1374" s="22"/>
      <c r="C1374" s="11"/>
      <c r="D1374" s="17" t="s">
        <v>1595</v>
      </c>
      <c r="E1374" s="10" t="s">
        <v>137</v>
      </c>
      <c r="F1374" s="11" t="s">
        <v>6711</v>
      </c>
      <c r="G1374" s="23">
        <v>108.22799999999999</v>
      </c>
      <c r="H1374" s="13">
        <v>42317</v>
      </c>
      <c r="I1374" s="12" t="s">
        <v>6713</v>
      </c>
      <c r="J1374" s="12" t="s">
        <v>6703</v>
      </c>
      <c r="K1374" s="12" t="s">
        <v>301</v>
      </c>
      <c r="L1374" s="12" t="s">
        <v>6706</v>
      </c>
      <c r="M1374" s="14" t="s">
        <v>6709</v>
      </c>
      <c r="N1374" s="14" t="s">
        <v>6710</v>
      </c>
      <c r="O1374" s="17" t="s">
        <v>6818</v>
      </c>
    </row>
    <row r="1375" spans="1:15" x14ac:dyDescent="0.15">
      <c r="A1375" s="21" t="s">
        <v>6712</v>
      </c>
      <c r="B1375" s="22"/>
      <c r="C1375" s="11"/>
      <c r="D1375" s="17" t="s">
        <v>1595</v>
      </c>
      <c r="E1375" s="10" t="s">
        <v>137</v>
      </c>
      <c r="F1375" s="11" t="s">
        <v>6716</v>
      </c>
      <c r="G1375" s="23">
        <v>108.33799999999999</v>
      </c>
      <c r="H1375" s="13">
        <v>42317</v>
      </c>
      <c r="I1375" s="12" t="s">
        <v>6717</v>
      </c>
      <c r="J1375" s="12" t="s">
        <v>6704</v>
      </c>
      <c r="K1375" s="12" t="s">
        <v>301</v>
      </c>
      <c r="L1375" s="12" t="s">
        <v>6707</v>
      </c>
      <c r="M1375" s="14" t="s">
        <v>6714</v>
      </c>
      <c r="N1375" s="14" t="s">
        <v>6715</v>
      </c>
      <c r="O1375" s="17" t="s">
        <v>6819</v>
      </c>
    </row>
    <row r="1376" spans="1:15" x14ac:dyDescent="0.15">
      <c r="A1376" s="50" t="s">
        <v>6712</v>
      </c>
      <c r="B1376" s="51"/>
      <c r="C1376" s="43"/>
      <c r="D1376" s="44" t="s">
        <v>1595</v>
      </c>
      <c r="E1376" s="41" t="s">
        <v>137</v>
      </c>
      <c r="F1376" s="43" t="s">
        <v>6720</v>
      </c>
      <c r="G1376" s="52">
        <v>191.941</v>
      </c>
      <c r="H1376" s="46">
        <v>42317</v>
      </c>
      <c r="I1376" s="45" t="s">
        <v>6700</v>
      </c>
      <c r="J1376" s="45" t="s">
        <v>6705</v>
      </c>
      <c r="K1376" s="45" t="s">
        <v>301</v>
      </c>
      <c r="L1376" s="45" t="s">
        <v>6708</v>
      </c>
      <c r="M1376" s="48" t="s">
        <v>6718</v>
      </c>
      <c r="N1376" s="48" t="s">
        <v>6719</v>
      </c>
      <c r="O1376" s="44" t="s">
        <v>6820</v>
      </c>
    </row>
    <row r="1377" spans="1:15" x14ac:dyDescent="0.15">
      <c r="A1377" s="21" t="s">
        <v>6712</v>
      </c>
      <c r="B1377" s="22"/>
      <c r="C1377" s="11"/>
      <c r="D1377" s="17" t="s">
        <v>1595</v>
      </c>
      <c r="E1377" s="10" t="s">
        <v>137</v>
      </c>
      <c r="F1377" s="11" t="s">
        <v>6722</v>
      </c>
      <c r="G1377" s="23">
        <v>192.02199999999999</v>
      </c>
      <c r="H1377" s="13">
        <v>42317</v>
      </c>
      <c r="I1377" s="12" t="s">
        <v>6723</v>
      </c>
      <c r="J1377" s="12" t="s">
        <v>6721</v>
      </c>
      <c r="K1377" s="12" t="s">
        <v>301</v>
      </c>
      <c r="L1377" s="12" t="s">
        <v>6708</v>
      </c>
      <c r="M1377" s="14" t="s">
        <v>6724</v>
      </c>
      <c r="N1377" s="14" t="s">
        <v>7706</v>
      </c>
      <c r="O1377" s="17" t="s">
        <v>6821</v>
      </c>
    </row>
    <row r="1378" spans="1:15" x14ac:dyDescent="0.15">
      <c r="A1378" s="20" t="s">
        <v>7504</v>
      </c>
      <c r="B1378" s="22"/>
      <c r="C1378" s="11"/>
      <c r="D1378" s="17" t="s">
        <v>6730</v>
      </c>
      <c r="E1378" s="10" t="s">
        <v>137</v>
      </c>
      <c r="F1378" s="11" t="s">
        <v>7503</v>
      </c>
      <c r="G1378" s="12">
        <v>12.564</v>
      </c>
      <c r="H1378" s="13">
        <v>42318</v>
      </c>
      <c r="I1378" s="12" t="s">
        <v>7505</v>
      </c>
      <c r="J1378" s="12" t="s">
        <v>6726</v>
      </c>
      <c r="K1378" s="12" t="s">
        <v>141</v>
      </c>
      <c r="L1378" s="12" t="s">
        <v>6727</v>
      </c>
      <c r="M1378" s="14" t="s">
        <v>6728</v>
      </c>
      <c r="N1378" s="14" t="s">
        <v>6729</v>
      </c>
      <c r="O1378" s="17" t="s">
        <v>6906</v>
      </c>
    </row>
    <row r="1379" spans="1:15" x14ac:dyDescent="0.15">
      <c r="A1379" s="50" t="s">
        <v>6736</v>
      </c>
      <c r="B1379" s="51"/>
      <c r="C1379" s="43"/>
      <c r="D1379" s="44" t="s">
        <v>334</v>
      </c>
      <c r="E1379" s="41" t="s">
        <v>137</v>
      </c>
      <c r="F1379" s="43" t="s">
        <v>6734</v>
      </c>
      <c r="G1379" s="45">
        <f>18.708*L1379</f>
        <v>149.66399999999999</v>
      </c>
      <c r="H1379" s="46">
        <v>42318</v>
      </c>
      <c r="I1379" s="45" t="s">
        <v>1098</v>
      </c>
      <c r="J1379" s="45" t="s">
        <v>6731</v>
      </c>
      <c r="K1379" s="45" t="s">
        <v>184</v>
      </c>
      <c r="L1379" s="45">
        <v>8</v>
      </c>
      <c r="M1379" s="48" t="s">
        <v>6525</v>
      </c>
      <c r="N1379" s="48" t="s">
        <v>1041</v>
      </c>
      <c r="O1379" s="44" t="s">
        <v>6889</v>
      </c>
    </row>
    <row r="1380" spans="1:15" x14ac:dyDescent="0.15">
      <c r="A1380" s="21" t="s">
        <v>1243</v>
      </c>
      <c r="B1380" s="22"/>
      <c r="C1380" s="11"/>
      <c r="D1380" s="17" t="s">
        <v>334</v>
      </c>
      <c r="E1380" s="10" t="s">
        <v>137</v>
      </c>
      <c r="F1380" s="11" t="s">
        <v>6735</v>
      </c>
      <c r="G1380" s="12">
        <f>18.708*L1380</f>
        <v>467.69999999999993</v>
      </c>
      <c r="H1380" s="13">
        <v>42318</v>
      </c>
      <c r="I1380" s="12" t="s">
        <v>6737</v>
      </c>
      <c r="J1380" s="12" t="s">
        <v>6732</v>
      </c>
      <c r="K1380" s="12" t="s">
        <v>184</v>
      </c>
      <c r="L1380" s="12">
        <v>25</v>
      </c>
      <c r="M1380" s="14" t="s">
        <v>6733</v>
      </c>
      <c r="N1380" s="14" t="s">
        <v>338</v>
      </c>
      <c r="O1380" s="17" t="s">
        <v>6733</v>
      </c>
    </row>
    <row r="1381" spans="1:15" x14ac:dyDescent="0.15">
      <c r="A1381" s="50" t="s">
        <v>6741</v>
      </c>
      <c r="B1381" s="51"/>
      <c r="C1381" s="43"/>
      <c r="D1381" s="44" t="s">
        <v>425</v>
      </c>
      <c r="E1381" s="41" t="s">
        <v>137</v>
      </c>
      <c r="F1381" s="43" t="s">
        <v>6740</v>
      </c>
      <c r="G1381" s="45">
        <f>18.708*L1381</f>
        <v>467.69999999999993</v>
      </c>
      <c r="H1381" s="46">
        <v>42318</v>
      </c>
      <c r="I1381" s="45" t="s">
        <v>6737</v>
      </c>
      <c r="J1381" s="45" t="s">
        <v>6738</v>
      </c>
      <c r="K1381" s="45" t="s">
        <v>141</v>
      </c>
      <c r="L1381" s="45">
        <v>25</v>
      </c>
      <c r="M1381" s="48" t="s">
        <v>6739</v>
      </c>
      <c r="N1381" s="48" t="s">
        <v>338</v>
      </c>
      <c r="O1381" s="44" t="s">
        <v>6739</v>
      </c>
    </row>
    <row r="1382" spans="1:15" x14ac:dyDescent="0.15">
      <c r="A1382" s="50" t="s">
        <v>6745</v>
      </c>
      <c r="B1382" s="51"/>
      <c r="C1382" s="43"/>
      <c r="D1382" s="44" t="s">
        <v>425</v>
      </c>
      <c r="E1382" s="41" t="s">
        <v>137</v>
      </c>
      <c r="F1382" s="43" t="s">
        <v>6744</v>
      </c>
      <c r="G1382" s="45">
        <f>18.708*L1382</f>
        <v>467.69999999999993</v>
      </c>
      <c r="H1382" s="46">
        <v>42318</v>
      </c>
      <c r="I1382" s="45" t="s">
        <v>6737</v>
      </c>
      <c r="J1382" s="45" t="s">
        <v>6742</v>
      </c>
      <c r="K1382" s="45" t="s">
        <v>132</v>
      </c>
      <c r="L1382" s="45">
        <v>25</v>
      </c>
      <c r="M1382" s="48" t="s">
        <v>6743</v>
      </c>
      <c r="N1382" s="48" t="s">
        <v>338</v>
      </c>
      <c r="O1382" s="44" t="s">
        <v>6743</v>
      </c>
    </row>
    <row r="1383" spans="1:15" x14ac:dyDescent="0.15">
      <c r="A1383" s="49" t="s">
        <v>6907</v>
      </c>
      <c r="B1383" s="51"/>
      <c r="C1383" s="43"/>
      <c r="D1383" s="44" t="s">
        <v>6746</v>
      </c>
      <c r="E1383" s="41" t="s">
        <v>137</v>
      </c>
      <c r="F1383" s="43" t="s">
        <v>6908</v>
      </c>
      <c r="G1383" s="45">
        <f>11.414*L1383</f>
        <v>45.655999999999999</v>
      </c>
      <c r="H1383" s="46">
        <v>42318</v>
      </c>
      <c r="I1383" s="45" t="s">
        <v>6749</v>
      </c>
      <c r="J1383" s="45" t="s">
        <v>6747</v>
      </c>
      <c r="K1383" s="45" t="s">
        <v>132</v>
      </c>
      <c r="L1383" s="45">
        <v>4</v>
      </c>
      <c r="M1383" s="48" t="s">
        <v>6748</v>
      </c>
      <c r="N1383" s="48" t="s">
        <v>571</v>
      </c>
      <c r="O1383" s="44" t="s">
        <v>6748</v>
      </c>
    </row>
    <row r="1384" spans="1:15" x14ac:dyDescent="0.15">
      <c r="A1384" s="21" t="s">
        <v>6753</v>
      </c>
      <c r="B1384" s="11" t="s">
        <v>222</v>
      </c>
      <c r="C1384" s="11"/>
      <c r="D1384" s="17" t="s">
        <v>223</v>
      </c>
      <c r="E1384" s="10" t="s">
        <v>137</v>
      </c>
      <c r="F1384" s="11" t="s">
        <v>6752</v>
      </c>
      <c r="G1384" s="12">
        <f>29.101*L1384/2</f>
        <v>145.505</v>
      </c>
      <c r="H1384" s="13">
        <v>42318</v>
      </c>
      <c r="I1384" s="12" t="s">
        <v>6754</v>
      </c>
      <c r="J1384" s="12" t="s">
        <v>6750</v>
      </c>
      <c r="K1384" s="12" t="s">
        <v>141</v>
      </c>
      <c r="L1384" s="12">
        <v>10</v>
      </c>
      <c r="M1384" s="14" t="s">
        <v>6751</v>
      </c>
      <c r="N1384" s="14" t="s">
        <v>58</v>
      </c>
      <c r="O1384" s="17" t="s">
        <v>6751</v>
      </c>
    </row>
    <row r="1385" spans="1:15" x14ac:dyDescent="0.15">
      <c r="A1385" s="50" t="s">
        <v>6758</v>
      </c>
      <c r="B1385" s="51"/>
      <c r="C1385" s="43"/>
      <c r="D1385" s="44" t="s">
        <v>54</v>
      </c>
      <c r="E1385" s="41" t="s">
        <v>137</v>
      </c>
      <c r="F1385" s="43" t="s">
        <v>6757</v>
      </c>
      <c r="G1385" s="47">
        <f>6.405*L1385</f>
        <v>64.05</v>
      </c>
      <c r="H1385" s="46">
        <v>42318</v>
      </c>
      <c r="I1385" s="45" t="s">
        <v>6759</v>
      </c>
      <c r="J1385" s="45" t="s">
        <v>6755</v>
      </c>
      <c r="K1385" s="45" t="s">
        <v>141</v>
      </c>
      <c r="L1385" s="45">
        <v>10</v>
      </c>
      <c r="M1385" s="48" t="s">
        <v>6756</v>
      </c>
      <c r="N1385" s="48" t="s">
        <v>412</v>
      </c>
      <c r="O1385" s="44" t="s">
        <v>6756</v>
      </c>
    </row>
    <row r="1386" spans="1:15" x14ac:dyDescent="0.15">
      <c r="A1386" s="50" t="s">
        <v>6768</v>
      </c>
      <c r="B1386" s="51"/>
      <c r="C1386" s="43"/>
      <c r="D1386" s="44" t="s">
        <v>298</v>
      </c>
      <c r="E1386" s="41" t="s">
        <v>137</v>
      </c>
      <c r="F1386" s="43" t="s">
        <v>6767</v>
      </c>
      <c r="G1386" s="47">
        <v>282.24900000000002</v>
      </c>
      <c r="H1386" s="46">
        <v>42318</v>
      </c>
      <c r="I1386" s="45" t="s">
        <v>6769</v>
      </c>
      <c r="J1386" s="45" t="s">
        <v>6760</v>
      </c>
      <c r="K1386" s="45" t="s">
        <v>175</v>
      </c>
      <c r="L1386" s="45" t="s">
        <v>6761</v>
      </c>
      <c r="M1386" s="48" t="s">
        <v>6765</v>
      </c>
      <c r="N1386" s="48" t="s">
        <v>6766</v>
      </c>
      <c r="O1386" s="44" t="s">
        <v>6890</v>
      </c>
    </row>
    <row r="1387" spans="1:15" x14ac:dyDescent="0.15">
      <c r="A1387" s="50" t="s">
        <v>6768</v>
      </c>
      <c r="B1387" s="51"/>
      <c r="C1387" s="43"/>
      <c r="D1387" s="44" t="s">
        <v>298</v>
      </c>
      <c r="E1387" s="41" t="s">
        <v>137</v>
      </c>
      <c r="F1387" s="43" t="s">
        <v>6772</v>
      </c>
      <c r="G1387" s="47">
        <v>283.459</v>
      </c>
      <c r="H1387" s="46">
        <v>42318</v>
      </c>
      <c r="I1387" s="45" t="s">
        <v>6769</v>
      </c>
      <c r="J1387" s="45" t="s">
        <v>6763</v>
      </c>
      <c r="K1387" s="45" t="s">
        <v>175</v>
      </c>
      <c r="L1387" s="45" t="s">
        <v>6761</v>
      </c>
      <c r="M1387" s="48" t="s">
        <v>6770</v>
      </c>
      <c r="N1387" s="48" t="s">
        <v>6771</v>
      </c>
      <c r="O1387" s="44" t="s">
        <v>6891</v>
      </c>
    </row>
    <row r="1388" spans="1:15" x14ac:dyDescent="0.15">
      <c r="A1388" s="50" t="s">
        <v>6768</v>
      </c>
      <c r="B1388" s="51"/>
      <c r="C1388" s="43"/>
      <c r="D1388" s="44" t="s">
        <v>298</v>
      </c>
      <c r="E1388" s="41" t="s">
        <v>137</v>
      </c>
      <c r="F1388" s="43" t="s">
        <v>6773</v>
      </c>
      <c r="G1388" s="47">
        <v>140.785</v>
      </c>
      <c r="H1388" s="46">
        <v>42318</v>
      </c>
      <c r="I1388" s="45" t="s">
        <v>6769</v>
      </c>
      <c r="J1388" s="45" t="s">
        <v>6764</v>
      </c>
      <c r="K1388" s="45" t="s">
        <v>175</v>
      </c>
      <c r="L1388" s="45" t="s">
        <v>6762</v>
      </c>
      <c r="M1388" s="48" t="s">
        <v>6774</v>
      </c>
      <c r="N1388" s="48" t="s">
        <v>6775</v>
      </c>
      <c r="O1388" s="44" t="s">
        <v>6892</v>
      </c>
    </row>
    <row r="1389" spans="1:15" x14ac:dyDescent="0.15">
      <c r="A1389" s="50" t="s">
        <v>6778</v>
      </c>
      <c r="B1389" s="51"/>
      <c r="C1389" s="43"/>
      <c r="D1389" s="44" t="s">
        <v>552</v>
      </c>
      <c r="E1389" s="41" t="s">
        <v>137</v>
      </c>
      <c r="F1389" s="43" t="s">
        <v>6777</v>
      </c>
      <c r="G1389" s="45">
        <f>17.52*L1389</f>
        <v>175.2</v>
      </c>
      <c r="H1389" s="46">
        <v>42318</v>
      </c>
      <c r="I1389" s="47" t="s">
        <v>6779</v>
      </c>
      <c r="J1389" s="45" t="s">
        <v>6776</v>
      </c>
      <c r="K1389" s="45" t="s">
        <v>141</v>
      </c>
      <c r="L1389" s="45">
        <v>10</v>
      </c>
      <c r="M1389" s="48" t="s">
        <v>6320</v>
      </c>
      <c r="N1389" s="48" t="s">
        <v>4748</v>
      </c>
      <c r="O1389" s="44" t="s">
        <v>6893</v>
      </c>
    </row>
    <row r="1390" spans="1:15" x14ac:dyDescent="0.15">
      <c r="A1390" s="50" t="s">
        <v>6783</v>
      </c>
      <c r="B1390" s="51"/>
      <c r="C1390" s="43"/>
      <c r="D1390" s="44" t="s">
        <v>4080</v>
      </c>
      <c r="E1390" s="41" t="s">
        <v>137</v>
      </c>
      <c r="F1390" s="43" t="s">
        <v>6782</v>
      </c>
      <c r="G1390" s="45">
        <f>20.558*L1390</f>
        <v>308.37</v>
      </c>
      <c r="H1390" s="46">
        <v>42318</v>
      </c>
      <c r="I1390" s="45" t="s">
        <v>6784</v>
      </c>
      <c r="J1390" s="45" t="s">
        <v>6780</v>
      </c>
      <c r="K1390" s="45" t="s">
        <v>141</v>
      </c>
      <c r="L1390" s="45">
        <v>15</v>
      </c>
      <c r="M1390" s="48" t="s">
        <v>6781</v>
      </c>
      <c r="N1390" s="48" t="s">
        <v>1151</v>
      </c>
      <c r="O1390" s="44" t="s">
        <v>6781</v>
      </c>
    </row>
    <row r="1391" spans="1:15" x14ac:dyDescent="0.15">
      <c r="A1391" s="21" t="s">
        <v>6787</v>
      </c>
      <c r="B1391" s="22"/>
      <c r="C1391" s="11"/>
      <c r="D1391" s="17" t="s">
        <v>4857</v>
      </c>
      <c r="E1391" s="10" t="s">
        <v>137</v>
      </c>
      <c r="F1391" s="11" t="s">
        <v>6786</v>
      </c>
      <c r="G1391" s="12">
        <f>17.498*L1391</f>
        <v>174.98000000000002</v>
      </c>
      <c r="H1391" s="13">
        <v>42318</v>
      </c>
      <c r="I1391" s="12" t="s">
        <v>6784</v>
      </c>
      <c r="J1391" s="12" t="s">
        <v>6785</v>
      </c>
      <c r="K1391" s="12" t="s">
        <v>141</v>
      </c>
      <c r="L1391" s="12">
        <v>10</v>
      </c>
      <c r="M1391" s="14" t="s">
        <v>5713</v>
      </c>
      <c r="N1391" s="14" t="s">
        <v>4748</v>
      </c>
      <c r="O1391" s="17" t="s">
        <v>6894</v>
      </c>
    </row>
    <row r="1392" spans="1:15" x14ac:dyDescent="0.15">
      <c r="A1392" s="21" t="s">
        <v>6791</v>
      </c>
      <c r="B1392" s="22" t="s">
        <v>3776</v>
      </c>
      <c r="C1392" s="11"/>
      <c r="D1392" s="17" t="s">
        <v>5220</v>
      </c>
      <c r="E1392" s="10" t="s">
        <v>137</v>
      </c>
      <c r="F1392" s="11" t="s">
        <v>6790</v>
      </c>
      <c r="G1392" s="12">
        <f t="shared" ref="G1392" si="23">2.078*L1392</f>
        <v>51.949999999999996</v>
      </c>
      <c r="H1392" s="13">
        <v>42318</v>
      </c>
      <c r="I1392" s="12" t="s">
        <v>6792</v>
      </c>
      <c r="J1392" s="12" t="s">
        <v>6788</v>
      </c>
      <c r="K1392" s="12" t="s">
        <v>141</v>
      </c>
      <c r="L1392" s="12">
        <v>25</v>
      </c>
      <c r="M1392" s="14" t="s">
        <v>6789</v>
      </c>
      <c r="N1392" s="14" t="s">
        <v>338</v>
      </c>
      <c r="O1392" s="17" t="s">
        <v>6789</v>
      </c>
    </row>
    <row r="1393" spans="1:15" x14ac:dyDescent="0.15">
      <c r="A1393" s="50" t="s">
        <v>6793</v>
      </c>
      <c r="B1393" s="51" t="s">
        <v>3776</v>
      </c>
      <c r="C1393" s="43"/>
      <c r="D1393" s="44" t="s">
        <v>128</v>
      </c>
      <c r="E1393" s="41" t="s">
        <v>137</v>
      </c>
      <c r="F1393" s="43" t="s">
        <v>6794</v>
      </c>
      <c r="G1393" s="45">
        <f t="shared" ref="G1393:G1399" si="24">8.606*L1393</f>
        <v>215.15</v>
      </c>
      <c r="H1393" s="46">
        <v>42318</v>
      </c>
      <c r="I1393" s="45" t="s">
        <v>182</v>
      </c>
      <c r="J1393" s="45" t="s">
        <v>6800</v>
      </c>
      <c r="K1393" s="47" t="s">
        <v>141</v>
      </c>
      <c r="L1393" s="45">
        <v>25</v>
      </c>
      <c r="M1393" s="48" t="s">
        <v>6807</v>
      </c>
      <c r="N1393" s="48" t="s">
        <v>338</v>
      </c>
      <c r="O1393" s="44" t="s">
        <v>6807</v>
      </c>
    </row>
    <row r="1394" spans="1:15" x14ac:dyDescent="0.15">
      <c r="A1394" s="50" t="s">
        <v>6793</v>
      </c>
      <c r="B1394" s="51" t="s">
        <v>3776</v>
      </c>
      <c r="C1394" s="43"/>
      <c r="D1394" s="44" t="s">
        <v>128</v>
      </c>
      <c r="E1394" s="41" t="s">
        <v>137</v>
      </c>
      <c r="F1394" s="43" t="s">
        <v>6795</v>
      </c>
      <c r="G1394" s="45">
        <f t="shared" si="24"/>
        <v>215.15</v>
      </c>
      <c r="H1394" s="46">
        <v>42318</v>
      </c>
      <c r="I1394" s="45" t="s">
        <v>182</v>
      </c>
      <c r="J1394" s="45" t="s">
        <v>6801</v>
      </c>
      <c r="K1394" s="47" t="s">
        <v>141</v>
      </c>
      <c r="L1394" s="45">
        <v>25</v>
      </c>
      <c r="M1394" s="48" t="s">
        <v>7196</v>
      </c>
      <c r="N1394" s="48" t="s">
        <v>338</v>
      </c>
      <c r="O1394" s="44" t="s">
        <v>7448</v>
      </c>
    </row>
    <row r="1395" spans="1:15" x14ac:dyDescent="0.15">
      <c r="A1395" s="50" t="s">
        <v>6793</v>
      </c>
      <c r="B1395" s="51" t="s">
        <v>3776</v>
      </c>
      <c r="C1395" s="43"/>
      <c r="D1395" s="44" t="s">
        <v>128</v>
      </c>
      <c r="E1395" s="41" t="s">
        <v>137</v>
      </c>
      <c r="F1395" s="43" t="s">
        <v>6796</v>
      </c>
      <c r="G1395" s="45">
        <f t="shared" si="24"/>
        <v>215.15</v>
      </c>
      <c r="H1395" s="46">
        <v>42318</v>
      </c>
      <c r="I1395" s="45" t="s">
        <v>182</v>
      </c>
      <c r="J1395" s="45" t="s">
        <v>6802</v>
      </c>
      <c r="K1395" s="47" t="s">
        <v>141</v>
      </c>
      <c r="L1395" s="45">
        <v>25</v>
      </c>
      <c r="M1395" s="48" t="s">
        <v>7197</v>
      </c>
      <c r="N1395" s="48" t="s">
        <v>338</v>
      </c>
      <c r="O1395" s="44" t="s">
        <v>7449</v>
      </c>
    </row>
    <row r="1396" spans="1:15" x14ac:dyDescent="0.15">
      <c r="A1396" s="50" t="s">
        <v>6793</v>
      </c>
      <c r="B1396" s="51" t="s">
        <v>3776</v>
      </c>
      <c r="C1396" s="43"/>
      <c r="D1396" s="44" t="s">
        <v>128</v>
      </c>
      <c r="E1396" s="41" t="s">
        <v>137</v>
      </c>
      <c r="F1396" s="43" t="s">
        <v>6797</v>
      </c>
      <c r="G1396" s="45">
        <f t="shared" si="24"/>
        <v>215.15</v>
      </c>
      <c r="H1396" s="46">
        <v>42318</v>
      </c>
      <c r="I1396" s="45" t="s">
        <v>182</v>
      </c>
      <c r="J1396" s="45" t="s">
        <v>6803</v>
      </c>
      <c r="K1396" s="47" t="s">
        <v>141</v>
      </c>
      <c r="L1396" s="45">
        <v>25</v>
      </c>
      <c r="M1396" s="48" t="s">
        <v>6808</v>
      </c>
      <c r="N1396" s="48" t="s">
        <v>338</v>
      </c>
      <c r="O1396" s="44" t="s">
        <v>6808</v>
      </c>
    </row>
    <row r="1397" spans="1:15" x14ac:dyDescent="0.15">
      <c r="A1397" s="50" t="s">
        <v>6793</v>
      </c>
      <c r="B1397" s="51" t="s">
        <v>3776</v>
      </c>
      <c r="C1397" s="43"/>
      <c r="D1397" s="44" t="s">
        <v>128</v>
      </c>
      <c r="E1397" s="41" t="s">
        <v>137</v>
      </c>
      <c r="F1397" s="43" t="s">
        <v>6798</v>
      </c>
      <c r="G1397" s="45">
        <f t="shared" si="24"/>
        <v>215.15</v>
      </c>
      <c r="H1397" s="46">
        <v>42318</v>
      </c>
      <c r="I1397" s="45" t="s">
        <v>182</v>
      </c>
      <c r="J1397" s="45" t="s">
        <v>6804</v>
      </c>
      <c r="K1397" s="47" t="s">
        <v>141</v>
      </c>
      <c r="L1397" s="45">
        <v>25</v>
      </c>
      <c r="M1397" s="48" t="s">
        <v>7198</v>
      </c>
      <c r="N1397" s="48" t="s">
        <v>338</v>
      </c>
      <c r="O1397" s="44" t="s">
        <v>7635</v>
      </c>
    </row>
    <row r="1398" spans="1:15" x14ac:dyDescent="0.15">
      <c r="A1398" s="50" t="s">
        <v>6793</v>
      </c>
      <c r="B1398" s="51" t="s">
        <v>3776</v>
      </c>
      <c r="C1398" s="43"/>
      <c r="D1398" s="44" t="s">
        <v>128</v>
      </c>
      <c r="E1398" s="41" t="s">
        <v>137</v>
      </c>
      <c r="F1398" s="43" t="s">
        <v>6799</v>
      </c>
      <c r="G1398" s="45">
        <f t="shared" si="24"/>
        <v>215.15</v>
      </c>
      <c r="H1398" s="46">
        <v>42318</v>
      </c>
      <c r="I1398" s="45" t="s">
        <v>182</v>
      </c>
      <c r="J1398" s="45" t="s">
        <v>6805</v>
      </c>
      <c r="K1398" s="47" t="s">
        <v>141</v>
      </c>
      <c r="L1398" s="45">
        <v>25</v>
      </c>
      <c r="M1398" s="48" t="s">
        <v>7199</v>
      </c>
      <c r="N1398" s="48" t="s">
        <v>338</v>
      </c>
      <c r="O1398" s="44" t="s">
        <v>7507</v>
      </c>
    </row>
    <row r="1399" spans="1:15" x14ac:dyDescent="0.15">
      <c r="A1399" s="50" t="s">
        <v>6809</v>
      </c>
      <c r="B1399" s="51" t="s">
        <v>3776</v>
      </c>
      <c r="C1399" s="43"/>
      <c r="D1399" s="44" t="s">
        <v>128</v>
      </c>
      <c r="E1399" s="41" t="s">
        <v>137</v>
      </c>
      <c r="F1399" s="43" t="s">
        <v>8605</v>
      </c>
      <c r="G1399" s="45">
        <f t="shared" si="24"/>
        <v>215.15</v>
      </c>
      <c r="H1399" s="46">
        <v>42318</v>
      </c>
      <c r="I1399" s="45" t="s">
        <v>6810</v>
      </c>
      <c r="J1399" s="45" t="s">
        <v>6806</v>
      </c>
      <c r="K1399" s="47" t="s">
        <v>141</v>
      </c>
      <c r="L1399" s="45">
        <v>25</v>
      </c>
      <c r="M1399" s="48" t="s">
        <v>7200</v>
      </c>
      <c r="N1399" s="48" t="s">
        <v>338</v>
      </c>
      <c r="O1399" s="44" t="s">
        <v>8604</v>
      </c>
    </row>
    <row r="1400" spans="1:15" x14ac:dyDescent="0.15">
      <c r="A1400" s="20" t="s">
        <v>6815</v>
      </c>
      <c r="B1400" s="19" t="s">
        <v>180</v>
      </c>
      <c r="C1400" s="11"/>
      <c r="D1400" s="17" t="s">
        <v>6811</v>
      </c>
      <c r="E1400" s="10" t="s">
        <v>6812</v>
      </c>
      <c r="F1400" s="11" t="s">
        <v>6814</v>
      </c>
      <c r="G1400" s="12">
        <f>2.382*L1400</f>
        <v>11.91</v>
      </c>
      <c r="H1400" s="13">
        <v>42318</v>
      </c>
      <c r="I1400" s="12" t="s">
        <v>6816</v>
      </c>
      <c r="J1400" s="12" t="s">
        <v>6813</v>
      </c>
      <c r="K1400" s="12" t="s">
        <v>21</v>
      </c>
      <c r="L1400" s="12">
        <v>5</v>
      </c>
      <c r="M1400" s="14" t="s">
        <v>7201</v>
      </c>
      <c r="N1400" s="14" t="s">
        <v>229</v>
      </c>
      <c r="O1400" s="17" t="s">
        <v>8622</v>
      </c>
    </row>
    <row r="1401" spans="1:15" x14ac:dyDescent="0.15">
      <c r="A1401" s="21" t="s">
        <v>6822</v>
      </c>
      <c r="B1401" s="22"/>
      <c r="C1401" s="11"/>
      <c r="D1401" s="17" t="s">
        <v>341</v>
      </c>
      <c r="E1401" s="10" t="s">
        <v>137</v>
      </c>
      <c r="F1401" s="11" t="s">
        <v>6826</v>
      </c>
      <c r="G1401" s="18">
        <f t="shared" ref="G1401:G1402" si="25">18.708*L1401</f>
        <v>243.20399999999998</v>
      </c>
      <c r="H1401" s="13">
        <v>42319</v>
      </c>
      <c r="I1401" s="12" t="s">
        <v>326</v>
      </c>
      <c r="J1401" s="12" t="s">
        <v>6823</v>
      </c>
      <c r="K1401" s="12" t="s">
        <v>141</v>
      </c>
      <c r="L1401" s="12">
        <v>13</v>
      </c>
      <c r="M1401" s="14" t="s">
        <v>6276</v>
      </c>
      <c r="N1401" s="14" t="s">
        <v>473</v>
      </c>
      <c r="O1401" s="17" t="s">
        <v>6931</v>
      </c>
    </row>
    <row r="1402" spans="1:15" x14ac:dyDescent="0.15">
      <c r="A1402" s="21" t="s">
        <v>6828</v>
      </c>
      <c r="B1402" s="22"/>
      <c r="C1402" s="11"/>
      <c r="D1402" s="17" t="s">
        <v>341</v>
      </c>
      <c r="E1402" s="10" t="s">
        <v>137</v>
      </c>
      <c r="F1402" s="11" t="s">
        <v>6827</v>
      </c>
      <c r="G1402" s="18">
        <f t="shared" si="25"/>
        <v>467.69999999999993</v>
      </c>
      <c r="H1402" s="13">
        <v>42319</v>
      </c>
      <c r="I1402" s="12" t="s">
        <v>6829</v>
      </c>
      <c r="J1402" s="12" t="s">
        <v>6824</v>
      </c>
      <c r="K1402" s="12" t="s">
        <v>141</v>
      </c>
      <c r="L1402" s="12">
        <v>25</v>
      </c>
      <c r="M1402" s="14" t="s">
        <v>6825</v>
      </c>
      <c r="N1402" s="14" t="s">
        <v>338</v>
      </c>
      <c r="O1402" s="17" t="s">
        <v>6825</v>
      </c>
    </row>
    <row r="1403" spans="1:15" x14ac:dyDescent="0.15">
      <c r="A1403" s="50" t="s">
        <v>6832</v>
      </c>
      <c r="B1403" s="51"/>
      <c r="C1403" s="43"/>
      <c r="D1403" s="44" t="s">
        <v>1181</v>
      </c>
      <c r="E1403" s="41" t="s">
        <v>137</v>
      </c>
      <c r="F1403" s="43" t="s">
        <v>6831</v>
      </c>
      <c r="G1403" s="45">
        <f>17.712*L1403</f>
        <v>230.256</v>
      </c>
      <c r="H1403" s="46">
        <v>42319</v>
      </c>
      <c r="I1403" s="45" t="s">
        <v>6833</v>
      </c>
      <c r="J1403" s="45" t="s">
        <v>6830</v>
      </c>
      <c r="K1403" s="45" t="s">
        <v>141</v>
      </c>
      <c r="L1403" s="45">
        <v>13</v>
      </c>
      <c r="M1403" s="48" t="s">
        <v>6559</v>
      </c>
      <c r="N1403" s="48" t="s">
        <v>473</v>
      </c>
      <c r="O1403" s="44" t="s">
        <v>6932</v>
      </c>
    </row>
    <row r="1404" spans="1:15" x14ac:dyDescent="0.15">
      <c r="A1404" s="49" t="s">
        <v>6921</v>
      </c>
      <c r="B1404" s="51"/>
      <c r="C1404" s="43"/>
      <c r="D1404" s="49" t="s">
        <v>6922</v>
      </c>
      <c r="E1404" s="41" t="s">
        <v>137</v>
      </c>
      <c r="F1404" s="43" t="s">
        <v>6835</v>
      </c>
      <c r="G1404" s="45">
        <f t="shared" ref="G1404:G1407" si="26">14.405*L1404</f>
        <v>360.125</v>
      </c>
      <c r="H1404" s="46">
        <v>42319</v>
      </c>
      <c r="I1404" s="45" t="s">
        <v>309</v>
      </c>
      <c r="J1404" s="45" t="s">
        <v>6836</v>
      </c>
      <c r="K1404" s="45" t="s">
        <v>141</v>
      </c>
      <c r="L1404" s="45">
        <v>25</v>
      </c>
      <c r="M1404" s="48" t="s">
        <v>6842</v>
      </c>
      <c r="N1404" s="48" t="s">
        <v>2367</v>
      </c>
      <c r="O1404" s="44" t="s">
        <v>6842</v>
      </c>
    </row>
    <row r="1405" spans="1:15" x14ac:dyDescent="0.15">
      <c r="A1405" s="50" t="s">
        <v>2811</v>
      </c>
      <c r="B1405" s="51"/>
      <c r="C1405" s="43"/>
      <c r="D1405" s="44" t="s">
        <v>6834</v>
      </c>
      <c r="E1405" s="41" t="s">
        <v>137</v>
      </c>
      <c r="F1405" s="43" t="s">
        <v>6837</v>
      </c>
      <c r="G1405" s="45">
        <f t="shared" si="26"/>
        <v>360.125</v>
      </c>
      <c r="H1405" s="46">
        <v>42319</v>
      </c>
      <c r="I1405" s="45" t="s">
        <v>309</v>
      </c>
      <c r="J1405" s="45" t="s">
        <v>6839</v>
      </c>
      <c r="K1405" s="45" t="s">
        <v>141</v>
      </c>
      <c r="L1405" s="45">
        <v>25</v>
      </c>
      <c r="M1405" s="48" t="s">
        <v>6843</v>
      </c>
      <c r="N1405" s="48" t="s">
        <v>2367</v>
      </c>
      <c r="O1405" s="44" t="s">
        <v>6843</v>
      </c>
    </row>
    <row r="1406" spans="1:15" x14ac:dyDescent="0.15">
      <c r="A1406" s="50" t="s">
        <v>2811</v>
      </c>
      <c r="B1406" s="51"/>
      <c r="C1406" s="43"/>
      <c r="D1406" s="44" t="s">
        <v>6834</v>
      </c>
      <c r="E1406" s="41" t="s">
        <v>137</v>
      </c>
      <c r="F1406" s="43" t="s">
        <v>8606</v>
      </c>
      <c r="G1406" s="45">
        <f t="shared" si="26"/>
        <v>360.125</v>
      </c>
      <c r="H1406" s="46">
        <v>42319</v>
      </c>
      <c r="I1406" s="45" t="s">
        <v>309</v>
      </c>
      <c r="J1406" s="45" t="s">
        <v>6840</v>
      </c>
      <c r="K1406" s="45" t="s">
        <v>141</v>
      </c>
      <c r="L1406" s="45">
        <v>25</v>
      </c>
      <c r="M1406" s="48" t="s">
        <v>6844</v>
      </c>
      <c r="N1406" s="48" t="s">
        <v>2367</v>
      </c>
      <c r="O1406" s="44" t="s">
        <v>6844</v>
      </c>
    </row>
    <row r="1407" spans="1:15" x14ac:dyDescent="0.15">
      <c r="A1407" s="50" t="s">
        <v>2811</v>
      </c>
      <c r="B1407" s="51"/>
      <c r="C1407" s="43"/>
      <c r="D1407" s="44" t="s">
        <v>6834</v>
      </c>
      <c r="E1407" s="41" t="s">
        <v>137</v>
      </c>
      <c r="F1407" s="43" t="s">
        <v>6838</v>
      </c>
      <c r="G1407" s="45">
        <f t="shared" si="26"/>
        <v>360.125</v>
      </c>
      <c r="H1407" s="46">
        <v>42319</v>
      </c>
      <c r="I1407" s="45" t="s">
        <v>309</v>
      </c>
      <c r="J1407" s="45" t="s">
        <v>6841</v>
      </c>
      <c r="K1407" s="45" t="s">
        <v>141</v>
      </c>
      <c r="L1407" s="45">
        <v>25</v>
      </c>
      <c r="M1407" s="48" t="s">
        <v>6845</v>
      </c>
      <c r="N1407" s="48" t="s">
        <v>2367</v>
      </c>
      <c r="O1407" s="44" t="s">
        <v>6845</v>
      </c>
    </row>
    <row r="1408" spans="1:15" x14ac:dyDescent="0.15">
      <c r="A1408" s="50" t="s">
        <v>6850</v>
      </c>
      <c r="B1408" s="51"/>
      <c r="C1408" s="43"/>
      <c r="D1408" s="44" t="s">
        <v>1475</v>
      </c>
      <c r="E1408" s="41" t="s">
        <v>137</v>
      </c>
      <c r="F1408" s="43" t="s">
        <v>6855</v>
      </c>
      <c r="G1408" s="45">
        <v>197.78800000000001</v>
      </c>
      <c r="H1408" s="46">
        <v>42319</v>
      </c>
      <c r="I1408" s="45" t="s">
        <v>6851</v>
      </c>
      <c r="J1408" s="45" t="s">
        <v>6848</v>
      </c>
      <c r="K1408" s="45" t="s">
        <v>175</v>
      </c>
      <c r="L1408" s="45" t="s">
        <v>6846</v>
      </c>
      <c r="M1408" s="48" t="s">
        <v>6854</v>
      </c>
      <c r="N1408" s="48" t="s">
        <v>6852</v>
      </c>
      <c r="O1408" s="44" t="s">
        <v>6933</v>
      </c>
    </row>
    <row r="1409" spans="1:15" x14ac:dyDescent="0.15">
      <c r="A1409" s="50" t="s">
        <v>6850</v>
      </c>
      <c r="B1409" s="51"/>
      <c r="C1409" s="43"/>
      <c r="D1409" s="44" t="s">
        <v>1475</v>
      </c>
      <c r="E1409" s="41" t="s">
        <v>137</v>
      </c>
      <c r="F1409" s="43" t="s">
        <v>6849</v>
      </c>
      <c r="G1409" s="45">
        <v>197.80099999999999</v>
      </c>
      <c r="H1409" s="46">
        <v>42319</v>
      </c>
      <c r="I1409" s="45" t="s">
        <v>6856</v>
      </c>
      <c r="J1409" s="45" t="s">
        <v>6887</v>
      </c>
      <c r="K1409" s="45" t="s">
        <v>175</v>
      </c>
      <c r="L1409" s="45" t="s">
        <v>6847</v>
      </c>
      <c r="M1409" s="48" t="s">
        <v>6853</v>
      </c>
      <c r="N1409" s="48" t="s">
        <v>7095</v>
      </c>
      <c r="O1409" s="44" t="s">
        <v>6934</v>
      </c>
    </row>
    <row r="1410" spans="1:15" x14ac:dyDescent="0.15">
      <c r="A1410" s="50" t="s">
        <v>6859</v>
      </c>
      <c r="B1410" s="51"/>
      <c r="C1410" s="43"/>
      <c r="D1410" s="44" t="s">
        <v>893</v>
      </c>
      <c r="E1410" s="41" t="s">
        <v>137</v>
      </c>
      <c r="F1410" s="43" t="s">
        <v>6862</v>
      </c>
      <c r="G1410" s="45">
        <v>253.08</v>
      </c>
      <c r="H1410" s="46">
        <v>42319</v>
      </c>
      <c r="I1410" s="45" t="s">
        <v>6863</v>
      </c>
      <c r="J1410" s="45" t="s">
        <v>6857</v>
      </c>
      <c r="K1410" s="45" t="s">
        <v>148</v>
      </c>
      <c r="L1410" s="45" t="s">
        <v>6858</v>
      </c>
      <c r="M1410" s="48" t="s">
        <v>6860</v>
      </c>
      <c r="N1410" s="48" t="s">
        <v>6861</v>
      </c>
      <c r="O1410" s="44" t="s">
        <v>6935</v>
      </c>
    </row>
    <row r="1411" spans="1:15" x14ac:dyDescent="0.15">
      <c r="A1411" s="50" t="s">
        <v>6864</v>
      </c>
      <c r="B1411" s="51"/>
      <c r="C1411" s="43"/>
      <c r="D1411" s="44" t="s">
        <v>1644</v>
      </c>
      <c r="E1411" s="41" t="s">
        <v>137</v>
      </c>
      <c r="F1411" s="43" t="s">
        <v>6870</v>
      </c>
      <c r="G1411" s="45">
        <f>17.52*L1411</f>
        <v>175.2</v>
      </c>
      <c r="H1411" s="46">
        <v>42319</v>
      </c>
      <c r="I1411" s="45" t="s">
        <v>215</v>
      </c>
      <c r="J1411" s="45" t="s">
        <v>6867</v>
      </c>
      <c r="K1411" s="45" t="s">
        <v>184</v>
      </c>
      <c r="L1411" s="45">
        <v>10</v>
      </c>
      <c r="M1411" s="48" t="s">
        <v>6865</v>
      </c>
      <c r="N1411" s="48" t="s">
        <v>412</v>
      </c>
      <c r="O1411" s="44" t="s">
        <v>6865</v>
      </c>
    </row>
    <row r="1412" spans="1:15" x14ac:dyDescent="0.15">
      <c r="A1412" s="50" t="s">
        <v>6872</v>
      </c>
      <c r="B1412" s="51"/>
      <c r="C1412" s="43"/>
      <c r="D1412" s="44" t="s">
        <v>6869</v>
      </c>
      <c r="E1412" s="41" t="s">
        <v>137</v>
      </c>
      <c r="F1412" s="43" t="s">
        <v>6871</v>
      </c>
      <c r="G1412" s="45">
        <f>17.52*L1412</f>
        <v>70.08</v>
      </c>
      <c r="H1412" s="46">
        <v>42319</v>
      </c>
      <c r="I1412" s="45" t="s">
        <v>6873</v>
      </c>
      <c r="J1412" s="45" t="s">
        <v>6868</v>
      </c>
      <c r="K1412" s="45" t="s">
        <v>184</v>
      </c>
      <c r="L1412" s="45">
        <v>4</v>
      </c>
      <c r="M1412" s="48" t="s">
        <v>6866</v>
      </c>
      <c r="N1412" s="48" t="s">
        <v>571</v>
      </c>
      <c r="O1412" s="44" t="s">
        <v>6866</v>
      </c>
    </row>
    <row r="1413" spans="1:15" x14ac:dyDescent="0.15">
      <c r="A1413" s="21" t="s">
        <v>6877</v>
      </c>
      <c r="B1413" s="22"/>
      <c r="C1413" s="11"/>
      <c r="D1413" s="17" t="s">
        <v>6874</v>
      </c>
      <c r="E1413" s="10" t="s">
        <v>137</v>
      </c>
      <c r="F1413" s="11" t="s">
        <v>6876</v>
      </c>
      <c r="G1413" s="23">
        <f>27.621*L1413</f>
        <v>110.48399999999999</v>
      </c>
      <c r="H1413" s="13">
        <v>42319</v>
      </c>
      <c r="I1413" s="23" t="s">
        <v>6878</v>
      </c>
      <c r="J1413" s="23" t="s">
        <v>6875</v>
      </c>
      <c r="K1413" s="23" t="s">
        <v>141</v>
      </c>
      <c r="L1413" s="12">
        <v>4</v>
      </c>
      <c r="M1413" s="14" t="s">
        <v>6495</v>
      </c>
      <c r="N1413" s="14" t="s">
        <v>5628</v>
      </c>
      <c r="O1413" s="17" t="s">
        <v>6936</v>
      </c>
    </row>
    <row r="1414" spans="1:15" x14ac:dyDescent="0.15">
      <c r="A1414" s="50" t="s">
        <v>6881</v>
      </c>
      <c r="B1414" s="51"/>
      <c r="C1414" s="43"/>
      <c r="D1414" s="44" t="s">
        <v>4600</v>
      </c>
      <c r="E1414" s="41" t="s">
        <v>137</v>
      </c>
      <c r="F1414" s="43" t="s">
        <v>6880</v>
      </c>
      <c r="G1414" s="56">
        <f>15.873*L1414</f>
        <v>111.11099999999999</v>
      </c>
      <c r="H1414" s="46">
        <v>42319</v>
      </c>
      <c r="I1414" s="45" t="s">
        <v>6882</v>
      </c>
      <c r="J1414" s="45" t="s">
        <v>6879</v>
      </c>
      <c r="K1414" s="45" t="s">
        <v>141</v>
      </c>
      <c r="L1414" s="45">
        <v>7</v>
      </c>
      <c r="M1414" s="48" t="s">
        <v>5290</v>
      </c>
      <c r="N1414" s="48" t="s">
        <v>3603</v>
      </c>
      <c r="O1414" s="44" t="s">
        <v>6937</v>
      </c>
    </row>
    <row r="1415" spans="1:15" x14ac:dyDescent="0.15">
      <c r="A1415" s="21" t="s">
        <v>6914</v>
      </c>
      <c r="B1415" s="22"/>
      <c r="C1415" s="11"/>
      <c r="D1415" s="17" t="s">
        <v>811</v>
      </c>
      <c r="E1415" s="10" t="s">
        <v>137</v>
      </c>
      <c r="F1415" s="11" t="s">
        <v>6916</v>
      </c>
      <c r="G1415" s="12">
        <f>19.476*L1415</f>
        <v>77.903999999999996</v>
      </c>
      <c r="H1415" s="13">
        <v>42320</v>
      </c>
      <c r="I1415" s="12" t="s">
        <v>6915</v>
      </c>
      <c r="J1415" s="12" t="s">
        <v>6911</v>
      </c>
      <c r="K1415" s="12" t="s">
        <v>141</v>
      </c>
      <c r="L1415" s="12">
        <v>4</v>
      </c>
      <c r="M1415" s="14" t="s">
        <v>7152</v>
      </c>
      <c r="N1415" s="14" t="s">
        <v>6913</v>
      </c>
      <c r="O1415" s="17" t="s">
        <v>6912</v>
      </c>
    </row>
    <row r="1416" spans="1:15" x14ac:dyDescent="0.15">
      <c r="A1416" s="49" t="s">
        <v>6919</v>
      </c>
      <c r="B1416" s="42" t="s">
        <v>6918</v>
      </c>
      <c r="C1416" s="43"/>
      <c r="D1416" s="49" t="s">
        <v>6920</v>
      </c>
      <c r="E1416" s="41" t="s">
        <v>137</v>
      </c>
      <c r="F1416" s="43" t="s">
        <v>6923</v>
      </c>
      <c r="G1416" s="45">
        <f t="shared" ref="G1416:G1417" si="27">3.586*L1416</f>
        <v>7.1719999999999997</v>
      </c>
      <c r="H1416" s="46">
        <v>42320</v>
      </c>
      <c r="I1416" s="45" t="s">
        <v>4322</v>
      </c>
      <c r="J1416" s="45" t="s">
        <v>6917</v>
      </c>
      <c r="K1416" s="45" t="s">
        <v>141</v>
      </c>
      <c r="L1416" s="45">
        <v>2</v>
      </c>
      <c r="M1416" s="48" t="s">
        <v>6924</v>
      </c>
      <c r="N1416" s="48" t="s">
        <v>4873</v>
      </c>
      <c r="O1416" s="44" t="s">
        <v>6924</v>
      </c>
    </row>
    <row r="1417" spans="1:15" x14ac:dyDescent="0.15">
      <c r="A1417" s="49" t="s">
        <v>6926</v>
      </c>
      <c r="B1417" s="42" t="s">
        <v>6918</v>
      </c>
      <c r="C1417" s="43"/>
      <c r="D1417" s="49" t="s">
        <v>6920</v>
      </c>
      <c r="E1417" s="41" t="s">
        <v>137</v>
      </c>
      <c r="F1417" s="43" t="s">
        <v>6929</v>
      </c>
      <c r="G1417" s="45">
        <f t="shared" si="27"/>
        <v>53.79</v>
      </c>
      <c r="H1417" s="46">
        <v>42320</v>
      </c>
      <c r="I1417" s="45" t="s">
        <v>6927</v>
      </c>
      <c r="J1417" s="45" t="s">
        <v>6928</v>
      </c>
      <c r="K1417" s="45" t="s">
        <v>141</v>
      </c>
      <c r="L1417" s="45">
        <v>15</v>
      </c>
      <c r="M1417" s="48" t="s">
        <v>6925</v>
      </c>
      <c r="N1417" s="48" t="s">
        <v>236</v>
      </c>
      <c r="O1417" s="44" t="s">
        <v>6925</v>
      </c>
    </row>
    <row r="1418" spans="1:15" x14ac:dyDescent="0.15">
      <c r="A1418" s="50" t="s">
        <v>6944</v>
      </c>
      <c r="B1418" s="51"/>
      <c r="C1418" s="43"/>
      <c r="D1418" s="44" t="s">
        <v>1659</v>
      </c>
      <c r="E1418" s="41" t="s">
        <v>137</v>
      </c>
      <c r="F1418" s="43" t="s">
        <v>6943</v>
      </c>
      <c r="G1418" s="45">
        <f t="shared" ref="G1418" si="28">29.101*L1418</f>
        <v>436.51499999999999</v>
      </c>
      <c r="H1418" s="46">
        <v>42325</v>
      </c>
      <c r="I1418" s="45" t="s">
        <v>7945</v>
      </c>
      <c r="J1418" s="45" t="s">
        <v>6942</v>
      </c>
      <c r="K1418" s="45" t="s">
        <v>3887</v>
      </c>
      <c r="L1418" s="45">
        <v>15</v>
      </c>
      <c r="M1418" s="48" t="s">
        <v>6273</v>
      </c>
      <c r="N1418" s="48" t="s">
        <v>236</v>
      </c>
      <c r="O1418" s="44" t="s">
        <v>7155</v>
      </c>
    </row>
    <row r="1419" spans="1:15" x14ac:dyDescent="0.15">
      <c r="A1419" s="50" t="s">
        <v>6949</v>
      </c>
      <c r="B1419" s="51"/>
      <c r="C1419" s="43"/>
      <c r="D1419" s="44" t="s">
        <v>334</v>
      </c>
      <c r="E1419" s="41" t="s">
        <v>137</v>
      </c>
      <c r="F1419" s="43" t="s">
        <v>6948</v>
      </c>
      <c r="G1419" s="45">
        <f>18.708*L1419</f>
        <v>467.69999999999993</v>
      </c>
      <c r="H1419" s="46">
        <v>42325</v>
      </c>
      <c r="I1419" s="45" t="s">
        <v>6950</v>
      </c>
      <c r="J1419" s="45" t="s">
        <v>6946</v>
      </c>
      <c r="K1419" s="45" t="s">
        <v>184</v>
      </c>
      <c r="L1419" s="45">
        <v>25</v>
      </c>
      <c r="M1419" s="48" t="s">
        <v>6947</v>
      </c>
      <c r="N1419" s="48" t="s">
        <v>338</v>
      </c>
      <c r="O1419" s="44" t="s">
        <v>6947</v>
      </c>
    </row>
    <row r="1420" spans="1:15" x14ac:dyDescent="0.15">
      <c r="A1420" s="50" t="s">
        <v>6954</v>
      </c>
      <c r="B1420" s="51"/>
      <c r="C1420" s="43"/>
      <c r="D1420" s="44" t="s">
        <v>425</v>
      </c>
      <c r="E1420" s="41" t="s">
        <v>137</v>
      </c>
      <c r="F1420" s="43" t="s">
        <v>6953</v>
      </c>
      <c r="G1420" s="45">
        <f>18.708*L1420</f>
        <v>467.69999999999993</v>
      </c>
      <c r="H1420" s="46">
        <v>42325</v>
      </c>
      <c r="I1420" s="45" t="s">
        <v>6950</v>
      </c>
      <c r="J1420" s="45" t="s">
        <v>6951</v>
      </c>
      <c r="K1420" s="45" t="s">
        <v>141</v>
      </c>
      <c r="L1420" s="45">
        <v>25</v>
      </c>
      <c r="M1420" s="48" t="s">
        <v>6952</v>
      </c>
      <c r="N1420" s="48" t="s">
        <v>338</v>
      </c>
      <c r="O1420" s="44" t="s">
        <v>6952</v>
      </c>
    </row>
    <row r="1421" spans="1:15" x14ac:dyDescent="0.15">
      <c r="A1421" s="50" t="s">
        <v>6958</v>
      </c>
      <c r="B1421" s="51"/>
      <c r="C1421" s="43"/>
      <c r="D1421" s="44" t="s">
        <v>341</v>
      </c>
      <c r="E1421" s="41" t="s">
        <v>137</v>
      </c>
      <c r="F1421" s="43" t="s">
        <v>6957</v>
      </c>
      <c r="G1421" s="45">
        <f>18.708*L1421</f>
        <v>467.69999999999993</v>
      </c>
      <c r="H1421" s="46">
        <v>42325</v>
      </c>
      <c r="I1421" s="45" t="s">
        <v>6950</v>
      </c>
      <c r="J1421" s="45" t="s">
        <v>6955</v>
      </c>
      <c r="K1421" s="45" t="s">
        <v>141</v>
      </c>
      <c r="L1421" s="45">
        <v>25</v>
      </c>
      <c r="M1421" s="48" t="s">
        <v>6956</v>
      </c>
      <c r="N1421" s="48" t="s">
        <v>338</v>
      </c>
      <c r="O1421" s="44" t="s">
        <v>6956</v>
      </c>
    </row>
    <row r="1422" spans="1:15" x14ac:dyDescent="0.15">
      <c r="A1422" s="50" t="s">
        <v>6962</v>
      </c>
      <c r="B1422" s="51"/>
      <c r="C1422" s="43"/>
      <c r="D1422" s="44" t="s">
        <v>425</v>
      </c>
      <c r="E1422" s="41" t="s">
        <v>137</v>
      </c>
      <c r="F1422" s="43" t="s">
        <v>6961</v>
      </c>
      <c r="G1422" s="45">
        <f>18.708*L1422</f>
        <v>467.69999999999993</v>
      </c>
      <c r="H1422" s="46">
        <v>42325</v>
      </c>
      <c r="I1422" s="45" t="s">
        <v>6950</v>
      </c>
      <c r="J1422" s="45" t="s">
        <v>6959</v>
      </c>
      <c r="K1422" s="45" t="s">
        <v>132</v>
      </c>
      <c r="L1422" s="45">
        <v>25</v>
      </c>
      <c r="M1422" s="48" t="s">
        <v>6960</v>
      </c>
      <c r="N1422" s="48" t="s">
        <v>338</v>
      </c>
      <c r="O1422" s="44" t="s">
        <v>6960</v>
      </c>
    </row>
    <row r="1423" spans="1:15" x14ac:dyDescent="0.15">
      <c r="A1423" s="50" t="s">
        <v>6965</v>
      </c>
      <c r="B1423" s="51"/>
      <c r="C1423" s="43"/>
      <c r="D1423" s="44" t="s">
        <v>5056</v>
      </c>
      <c r="E1423" s="41" t="s">
        <v>137</v>
      </c>
      <c r="F1423" s="43" t="s">
        <v>6964</v>
      </c>
      <c r="G1423" s="45">
        <f>14.405*L1423</f>
        <v>100.83499999999999</v>
      </c>
      <c r="H1423" s="46">
        <v>42325</v>
      </c>
      <c r="I1423" s="43" t="s">
        <v>6966</v>
      </c>
      <c r="J1423" s="43" t="s">
        <v>6963</v>
      </c>
      <c r="K1423" s="43" t="s">
        <v>141</v>
      </c>
      <c r="L1423" s="45">
        <v>7</v>
      </c>
      <c r="M1423" s="48" t="s">
        <v>5059</v>
      </c>
      <c r="N1423" s="48" t="s">
        <v>3603</v>
      </c>
      <c r="O1423" s="44" t="s">
        <v>7156</v>
      </c>
    </row>
    <row r="1424" spans="1:15" x14ac:dyDescent="0.15">
      <c r="A1424" s="50" t="s">
        <v>6970</v>
      </c>
      <c r="B1424" s="51"/>
      <c r="C1424" s="43"/>
      <c r="D1424" s="44" t="s">
        <v>1044</v>
      </c>
      <c r="E1424" s="41" t="s">
        <v>137</v>
      </c>
      <c r="F1424" s="43" t="s">
        <v>6969</v>
      </c>
      <c r="G1424" s="45">
        <f t="shared" ref="G1424" si="29">7.037*L1424</f>
        <v>175.92500000000001</v>
      </c>
      <c r="H1424" s="46">
        <v>42325</v>
      </c>
      <c r="I1424" s="47" t="s">
        <v>6971</v>
      </c>
      <c r="J1424" s="45" t="s">
        <v>6967</v>
      </c>
      <c r="K1424" s="45" t="s">
        <v>141</v>
      </c>
      <c r="L1424" s="45">
        <v>25</v>
      </c>
      <c r="M1424" s="48" t="s">
        <v>6968</v>
      </c>
      <c r="N1424" s="48" t="s">
        <v>338</v>
      </c>
      <c r="O1424" s="44" t="s">
        <v>6968</v>
      </c>
    </row>
    <row r="1425" spans="1:15" x14ac:dyDescent="0.15">
      <c r="A1425" s="21" t="s">
        <v>6975</v>
      </c>
      <c r="B1425" s="22"/>
      <c r="C1425" s="11"/>
      <c r="D1425" s="17" t="s">
        <v>1525</v>
      </c>
      <c r="E1425" s="10" t="s">
        <v>137</v>
      </c>
      <c r="F1425" s="11" t="s">
        <v>6974</v>
      </c>
      <c r="G1425" s="18">
        <f>17.498*L1425</f>
        <v>209.976</v>
      </c>
      <c r="H1425" s="13">
        <v>42325</v>
      </c>
      <c r="I1425" s="12" t="s">
        <v>6976</v>
      </c>
      <c r="J1425" s="12" t="s">
        <v>6972</v>
      </c>
      <c r="K1425" s="12" t="s">
        <v>141</v>
      </c>
      <c r="L1425" s="12">
        <v>12</v>
      </c>
      <c r="M1425" s="14" t="s">
        <v>6973</v>
      </c>
      <c r="N1425" s="14" t="s">
        <v>597</v>
      </c>
      <c r="O1425" s="17" t="s">
        <v>6973</v>
      </c>
    </row>
    <row r="1426" spans="1:15" x14ac:dyDescent="0.15">
      <c r="A1426" s="21" t="s">
        <v>6983</v>
      </c>
      <c r="B1426" s="22"/>
      <c r="C1426" s="11"/>
      <c r="D1426" s="17" t="s">
        <v>54</v>
      </c>
      <c r="E1426" s="10" t="s">
        <v>137</v>
      </c>
      <c r="F1426" s="11" t="s">
        <v>6981</v>
      </c>
      <c r="G1426" s="12">
        <f t="shared" ref="G1426:G1427" si="30">6.405*L1426</f>
        <v>160.125</v>
      </c>
      <c r="H1426" s="13">
        <v>42325</v>
      </c>
      <c r="I1426" s="12" t="s">
        <v>6976</v>
      </c>
      <c r="J1426" s="12" t="s">
        <v>6977</v>
      </c>
      <c r="K1426" s="12" t="s">
        <v>141</v>
      </c>
      <c r="L1426" s="12">
        <v>25</v>
      </c>
      <c r="M1426" s="14" t="s">
        <v>6979</v>
      </c>
      <c r="N1426" s="14" t="s">
        <v>2367</v>
      </c>
      <c r="O1426" s="17" t="s">
        <v>6979</v>
      </c>
    </row>
    <row r="1427" spans="1:15" x14ac:dyDescent="0.15">
      <c r="A1427" s="50" t="s">
        <v>53</v>
      </c>
      <c r="B1427" s="51"/>
      <c r="C1427" s="43"/>
      <c r="D1427" s="44" t="s">
        <v>54</v>
      </c>
      <c r="E1427" s="41" t="s">
        <v>137</v>
      </c>
      <c r="F1427" s="43" t="s">
        <v>6982</v>
      </c>
      <c r="G1427" s="45">
        <f t="shared" si="30"/>
        <v>160.125</v>
      </c>
      <c r="H1427" s="46">
        <v>42325</v>
      </c>
      <c r="I1427" s="45" t="s">
        <v>139</v>
      </c>
      <c r="J1427" s="45" t="s">
        <v>6978</v>
      </c>
      <c r="K1427" s="45" t="s">
        <v>141</v>
      </c>
      <c r="L1427" s="45">
        <v>25</v>
      </c>
      <c r="M1427" s="48" t="s">
        <v>6980</v>
      </c>
      <c r="N1427" s="48" t="s">
        <v>2367</v>
      </c>
      <c r="O1427" s="44" t="s">
        <v>6980</v>
      </c>
    </row>
    <row r="1428" spans="1:15" x14ac:dyDescent="0.15">
      <c r="A1428" s="50" t="s">
        <v>6990</v>
      </c>
      <c r="B1428" s="51"/>
      <c r="C1428" s="43"/>
      <c r="D1428" s="44" t="s">
        <v>54</v>
      </c>
      <c r="E1428" s="41" t="s">
        <v>137</v>
      </c>
      <c r="F1428" s="43" t="s">
        <v>6988</v>
      </c>
      <c r="G1428" s="45">
        <f t="shared" ref="G1428" si="31">6.405*L1428</f>
        <v>160.125</v>
      </c>
      <c r="H1428" s="46">
        <v>42325</v>
      </c>
      <c r="I1428" s="45" t="s">
        <v>139</v>
      </c>
      <c r="J1428" s="45" t="s">
        <v>6984</v>
      </c>
      <c r="K1428" s="45" t="s">
        <v>141</v>
      </c>
      <c r="L1428" s="45">
        <v>25</v>
      </c>
      <c r="M1428" s="48" t="s">
        <v>6986</v>
      </c>
      <c r="N1428" s="48" t="s">
        <v>338</v>
      </c>
      <c r="O1428" s="44" t="s">
        <v>6986</v>
      </c>
    </row>
    <row r="1429" spans="1:15" x14ac:dyDescent="0.15">
      <c r="A1429" s="50" t="s">
        <v>2378</v>
      </c>
      <c r="B1429" s="51"/>
      <c r="C1429" s="43"/>
      <c r="D1429" s="44" t="s">
        <v>54</v>
      </c>
      <c r="E1429" s="41" t="s">
        <v>137</v>
      </c>
      <c r="F1429" s="43" t="s">
        <v>6989</v>
      </c>
      <c r="G1429" s="45">
        <f t="shared" ref="G1429" si="32">6.405*L1429</f>
        <v>160.125</v>
      </c>
      <c r="H1429" s="46">
        <v>42325</v>
      </c>
      <c r="I1429" s="45" t="s">
        <v>6976</v>
      </c>
      <c r="J1429" s="45" t="s">
        <v>6985</v>
      </c>
      <c r="K1429" s="45" t="s">
        <v>141</v>
      </c>
      <c r="L1429" s="45">
        <v>25</v>
      </c>
      <c r="M1429" s="48" t="s">
        <v>6987</v>
      </c>
      <c r="N1429" s="48" t="s">
        <v>338</v>
      </c>
      <c r="O1429" s="44" t="s">
        <v>6987</v>
      </c>
    </row>
    <row r="1430" spans="1:15" x14ac:dyDescent="0.15">
      <c r="A1430" s="21" t="s">
        <v>6993</v>
      </c>
      <c r="B1430" s="22"/>
      <c r="C1430" s="11"/>
      <c r="D1430" s="17" t="s">
        <v>612</v>
      </c>
      <c r="E1430" s="10" t="s">
        <v>137</v>
      </c>
      <c r="F1430" s="11" t="s">
        <v>6992</v>
      </c>
      <c r="G1430" s="18">
        <f>6.405*L1430</f>
        <v>64.05</v>
      </c>
      <c r="H1430" s="13">
        <v>42325</v>
      </c>
      <c r="I1430" s="12" t="s">
        <v>6976</v>
      </c>
      <c r="J1430" s="12" t="s">
        <v>6991</v>
      </c>
      <c r="K1430" s="12" t="s">
        <v>141</v>
      </c>
      <c r="L1430" s="12">
        <v>10</v>
      </c>
      <c r="M1430" s="14" t="s">
        <v>6156</v>
      </c>
      <c r="N1430" s="14" t="s">
        <v>58</v>
      </c>
      <c r="O1430" s="17" t="s">
        <v>7157</v>
      </c>
    </row>
    <row r="1431" spans="1:15" x14ac:dyDescent="0.15">
      <c r="A1431" s="50" t="s">
        <v>6993</v>
      </c>
      <c r="B1431" s="51"/>
      <c r="C1431" s="43"/>
      <c r="D1431" s="44" t="s">
        <v>612</v>
      </c>
      <c r="E1431" s="41" t="s">
        <v>137</v>
      </c>
      <c r="F1431" s="43" t="s">
        <v>6995</v>
      </c>
      <c r="G1431" s="47">
        <f>6.405*L1431</f>
        <v>6.4050000000000002</v>
      </c>
      <c r="H1431" s="46">
        <v>42325</v>
      </c>
      <c r="I1431" s="45" t="s">
        <v>6976</v>
      </c>
      <c r="J1431" s="45" t="s">
        <v>7060</v>
      </c>
      <c r="K1431" s="45" t="s">
        <v>141</v>
      </c>
      <c r="L1431" s="45">
        <v>1</v>
      </c>
      <c r="M1431" s="48" t="s">
        <v>6994</v>
      </c>
      <c r="N1431" s="48" t="s">
        <v>3563</v>
      </c>
      <c r="O1431" s="44" t="s">
        <v>7158</v>
      </c>
    </row>
    <row r="1432" spans="1:15" x14ac:dyDescent="0.15">
      <c r="A1432" s="50" t="s">
        <v>6999</v>
      </c>
      <c r="B1432" s="51"/>
      <c r="C1432" s="43"/>
      <c r="D1432" s="44" t="s">
        <v>1230</v>
      </c>
      <c r="E1432" s="41" t="s">
        <v>137</v>
      </c>
      <c r="F1432" s="43" t="s">
        <v>6998</v>
      </c>
      <c r="G1432" s="45">
        <f>29.101*L1432</f>
        <v>727.52499999999998</v>
      </c>
      <c r="H1432" s="46">
        <v>42325</v>
      </c>
      <c r="I1432" s="45" t="s">
        <v>7000</v>
      </c>
      <c r="J1432" s="45" t="s">
        <v>6996</v>
      </c>
      <c r="K1432" s="45" t="s">
        <v>175</v>
      </c>
      <c r="L1432" s="45">
        <v>25</v>
      </c>
      <c r="M1432" s="48" t="s">
        <v>6997</v>
      </c>
      <c r="N1432" s="48" t="s">
        <v>338</v>
      </c>
      <c r="O1432" s="44" t="s">
        <v>6997</v>
      </c>
    </row>
    <row r="1433" spans="1:15" x14ac:dyDescent="0.15">
      <c r="A1433" s="21" t="s">
        <v>7001</v>
      </c>
      <c r="B1433" s="19" t="s">
        <v>6263</v>
      </c>
      <c r="C1433" s="11"/>
      <c r="D1433" s="17" t="s">
        <v>353</v>
      </c>
      <c r="E1433" s="10" t="s">
        <v>137</v>
      </c>
      <c r="F1433" s="11" t="s">
        <v>7002</v>
      </c>
      <c r="G1433" s="18">
        <f t="shared" ref="G1433:G1435" si="33">9.804*L1433</f>
        <v>245.1</v>
      </c>
      <c r="H1433" s="13">
        <v>42325</v>
      </c>
      <c r="I1433" s="12" t="s">
        <v>489</v>
      </c>
      <c r="J1433" s="12" t="s">
        <v>7003</v>
      </c>
      <c r="K1433" s="12" t="s">
        <v>141</v>
      </c>
      <c r="L1433" s="12">
        <v>25</v>
      </c>
      <c r="M1433" s="14" t="s">
        <v>7008</v>
      </c>
      <c r="N1433" s="14" t="s">
        <v>338</v>
      </c>
      <c r="O1433" s="17" t="s">
        <v>7008</v>
      </c>
    </row>
    <row r="1434" spans="1:15" x14ac:dyDescent="0.15">
      <c r="A1434" s="50" t="s">
        <v>7001</v>
      </c>
      <c r="B1434" s="42" t="s">
        <v>6263</v>
      </c>
      <c r="C1434" s="43"/>
      <c r="D1434" s="44" t="s">
        <v>353</v>
      </c>
      <c r="E1434" s="41" t="s">
        <v>137</v>
      </c>
      <c r="F1434" s="43" t="s">
        <v>7004</v>
      </c>
      <c r="G1434" s="47">
        <f t="shared" si="33"/>
        <v>245.1</v>
      </c>
      <c r="H1434" s="46">
        <v>42325</v>
      </c>
      <c r="I1434" s="45" t="s">
        <v>7011</v>
      </c>
      <c r="J1434" s="45" t="s">
        <v>7006</v>
      </c>
      <c r="K1434" s="45" t="s">
        <v>141</v>
      </c>
      <c r="L1434" s="45">
        <v>25</v>
      </c>
      <c r="M1434" s="48" t="s">
        <v>7009</v>
      </c>
      <c r="N1434" s="48" t="s">
        <v>338</v>
      </c>
      <c r="O1434" s="44" t="s">
        <v>7009</v>
      </c>
    </row>
    <row r="1435" spans="1:15" x14ac:dyDescent="0.15">
      <c r="A1435" s="50" t="s">
        <v>7001</v>
      </c>
      <c r="B1435" s="42" t="s">
        <v>6263</v>
      </c>
      <c r="C1435" s="43"/>
      <c r="D1435" s="44" t="s">
        <v>353</v>
      </c>
      <c r="E1435" s="41" t="s">
        <v>137</v>
      </c>
      <c r="F1435" s="43" t="s">
        <v>7005</v>
      </c>
      <c r="G1435" s="45">
        <f t="shared" si="33"/>
        <v>245.1</v>
      </c>
      <c r="H1435" s="46">
        <v>42325</v>
      </c>
      <c r="I1435" s="45" t="s">
        <v>489</v>
      </c>
      <c r="J1435" s="45" t="s">
        <v>7007</v>
      </c>
      <c r="K1435" s="45" t="s">
        <v>141</v>
      </c>
      <c r="L1435" s="45">
        <v>25</v>
      </c>
      <c r="M1435" s="48" t="s">
        <v>7010</v>
      </c>
      <c r="N1435" s="48" t="s">
        <v>338</v>
      </c>
      <c r="O1435" s="44" t="s">
        <v>7010</v>
      </c>
    </row>
    <row r="1436" spans="1:15" x14ac:dyDescent="0.15">
      <c r="A1436" s="21" t="s">
        <v>7014</v>
      </c>
      <c r="B1436" s="19" t="s">
        <v>6263</v>
      </c>
      <c r="C1436" s="11"/>
      <c r="D1436" s="17" t="s">
        <v>592</v>
      </c>
      <c r="E1436" s="10" t="s">
        <v>137</v>
      </c>
      <c r="F1436" s="11" t="s">
        <v>7013</v>
      </c>
      <c r="G1436" s="18">
        <f>29.101*L1436</f>
        <v>291.01</v>
      </c>
      <c r="H1436" s="13">
        <v>42325</v>
      </c>
      <c r="I1436" s="12" t="s">
        <v>7015</v>
      </c>
      <c r="J1436" s="12" t="s">
        <v>7012</v>
      </c>
      <c r="K1436" s="12" t="s">
        <v>3887</v>
      </c>
      <c r="L1436" s="12">
        <v>10</v>
      </c>
      <c r="M1436" s="14" t="s">
        <v>5947</v>
      </c>
      <c r="N1436" s="14" t="s">
        <v>4748</v>
      </c>
      <c r="O1436" s="17" t="s">
        <v>7636</v>
      </c>
    </row>
    <row r="1437" spans="1:15" x14ac:dyDescent="0.15">
      <c r="A1437" s="21" t="s">
        <v>7020</v>
      </c>
      <c r="B1437" s="22" t="s">
        <v>7016</v>
      </c>
      <c r="C1437" s="11"/>
      <c r="D1437" s="17" t="s">
        <v>419</v>
      </c>
      <c r="E1437" s="10" t="s">
        <v>137</v>
      </c>
      <c r="F1437" s="11" t="s">
        <v>7019</v>
      </c>
      <c r="G1437" s="18">
        <f>8.606*L1437</f>
        <v>215.15</v>
      </c>
      <c r="H1437" s="13">
        <v>42325</v>
      </c>
      <c r="I1437" s="12" t="s">
        <v>7021</v>
      </c>
      <c r="J1437" s="12" t="s">
        <v>7018</v>
      </c>
      <c r="K1437" s="18" t="s">
        <v>141</v>
      </c>
      <c r="L1437" s="12">
        <v>25</v>
      </c>
      <c r="M1437" s="14" t="s">
        <v>7202</v>
      </c>
      <c r="N1437" s="14" t="s">
        <v>338</v>
      </c>
      <c r="O1437" s="17" t="s">
        <v>7508</v>
      </c>
    </row>
    <row r="1438" spans="1:15" x14ac:dyDescent="0.15">
      <c r="A1438" s="50" t="s">
        <v>7025</v>
      </c>
      <c r="B1438" s="51"/>
      <c r="C1438" s="43"/>
      <c r="D1438" s="44" t="s">
        <v>833</v>
      </c>
      <c r="E1438" s="41" t="s">
        <v>137</v>
      </c>
      <c r="F1438" s="43" t="s">
        <v>7024</v>
      </c>
      <c r="G1438" s="47">
        <v>261.61599999999999</v>
      </c>
      <c r="H1438" s="46">
        <v>42325</v>
      </c>
      <c r="I1438" s="47" t="s">
        <v>215</v>
      </c>
      <c r="J1438" s="47" t="s">
        <v>7022</v>
      </c>
      <c r="K1438" s="47" t="s">
        <v>255</v>
      </c>
      <c r="L1438" s="45" t="s">
        <v>7023</v>
      </c>
      <c r="M1438" s="48" t="s">
        <v>7027</v>
      </c>
      <c r="N1438" s="48" t="s">
        <v>7028</v>
      </c>
      <c r="O1438" s="44" t="s">
        <v>7159</v>
      </c>
    </row>
    <row r="1439" spans="1:15" x14ac:dyDescent="0.15">
      <c r="A1439" s="50" t="s">
        <v>7025</v>
      </c>
      <c r="B1439" s="51"/>
      <c r="C1439" s="43"/>
      <c r="D1439" s="44" t="s">
        <v>833</v>
      </c>
      <c r="E1439" s="41" t="s">
        <v>137</v>
      </c>
      <c r="F1439" s="43" t="s">
        <v>7029</v>
      </c>
      <c r="G1439" s="47">
        <v>259.56900000000002</v>
      </c>
      <c r="H1439" s="46">
        <v>42325</v>
      </c>
      <c r="I1439" s="47" t="s">
        <v>7026</v>
      </c>
      <c r="J1439" s="47" t="s">
        <v>7030</v>
      </c>
      <c r="K1439" s="47" t="s">
        <v>255</v>
      </c>
      <c r="L1439" s="45" t="s">
        <v>7023</v>
      </c>
      <c r="M1439" s="48" t="s">
        <v>7031</v>
      </c>
      <c r="N1439" s="48" t="s">
        <v>7032</v>
      </c>
      <c r="O1439" s="44" t="s">
        <v>7160</v>
      </c>
    </row>
    <row r="1440" spans="1:15" x14ac:dyDescent="0.15">
      <c r="A1440" s="50" t="s">
        <v>1691</v>
      </c>
      <c r="B1440" s="51"/>
      <c r="C1440" s="43"/>
      <c r="D1440" s="44" t="s">
        <v>1692</v>
      </c>
      <c r="E1440" s="41" t="s">
        <v>137</v>
      </c>
      <c r="F1440" s="43" t="s">
        <v>7033</v>
      </c>
      <c r="G1440" s="47">
        <v>269.82400000000001</v>
      </c>
      <c r="H1440" s="46">
        <v>42325</v>
      </c>
      <c r="I1440" s="45" t="s">
        <v>215</v>
      </c>
      <c r="J1440" s="45" t="s">
        <v>7034</v>
      </c>
      <c r="K1440" s="45" t="s">
        <v>148</v>
      </c>
      <c r="L1440" s="45" t="s">
        <v>7037</v>
      </c>
      <c r="M1440" s="48" t="s">
        <v>7040</v>
      </c>
      <c r="N1440" s="48" t="s">
        <v>7041</v>
      </c>
      <c r="O1440" s="44" t="s">
        <v>7161</v>
      </c>
    </row>
    <row r="1441" spans="1:15" x14ac:dyDescent="0.15">
      <c r="A1441" s="21" t="s">
        <v>1691</v>
      </c>
      <c r="B1441" s="22"/>
      <c r="C1441" s="11"/>
      <c r="D1441" s="17" t="s">
        <v>1692</v>
      </c>
      <c r="E1441" s="10" t="s">
        <v>137</v>
      </c>
      <c r="F1441" s="11" t="s">
        <v>7039</v>
      </c>
      <c r="G1441" s="18">
        <v>304.11200000000002</v>
      </c>
      <c r="H1441" s="13">
        <v>42325</v>
      </c>
      <c r="I1441" s="12" t="s">
        <v>215</v>
      </c>
      <c r="J1441" s="12" t="s">
        <v>7061</v>
      </c>
      <c r="K1441" s="12" t="s">
        <v>148</v>
      </c>
      <c r="L1441" s="12" t="s">
        <v>7038</v>
      </c>
      <c r="M1441" s="14" t="s">
        <v>7042</v>
      </c>
      <c r="N1441" s="14" t="s">
        <v>7044</v>
      </c>
      <c r="O1441" s="17" t="s">
        <v>7162</v>
      </c>
    </row>
    <row r="1442" spans="1:15" x14ac:dyDescent="0.15">
      <c r="A1442" s="21" t="s">
        <v>7045</v>
      </c>
      <c r="B1442" s="22"/>
      <c r="C1442" s="11"/>
      <c r="D1442" s="17" t="s">
        <v>4194</v>
      </c>
      <c r="E1442" s="10" t="s">
        <v>137</v>
      </c>
      <c r="F1442" s="11" t="s">
        <v>7047</v>
      </c>
      <c r="G1442" s="18">
        <f>22.211*L1442</f>
        <v>111.05499999999999</v>
      </c>
      <c r="H1442" s="13">
        <v>42325</v>
      </c>
      <c r="I1442" s="18" t="s">
        <v>191</v>
      </c>
      <c r="J1442" s="12" t="s">
        <v>7046</v>
      </c>
      <c r="K1442" s="12" t="s">
        <v>3887</v>
      </c>
      <c r="L1442" s="12">
        <v>5</v>
      </c>
      <c r="M1442" s="14" t="s">
        <v>2143</v>
      </c>
      <c r="N1442" s="14" t="s">
        <v>6282</v>
      </c>
      <c r="O1442" s="17" t="s">
        <v>2143</v>
      </c>
    </row>
    <row r="1443" spans="1:15" x14ac:dyDescent="0.15">
      <c r="A1443" s="49" t="s">
        <v>7059</v>
      </c>
      <c r="B1443" s="51"/>
      <c r="C1443" s="43"/>
      <c r="D1443" s="44" t="s">
        <v>7048</v>
      </c>
      <c r="E1443" s="41" t="s">
        <v>137</v>
      </c>
      <c r="F1443" s="43" t="s">
        <v>7055</v>
      </c>
      <c r="G1443" s="47">
        <f>7.034*L1443</f>
        <v>7.0339999999999998</v>
      </c>
      <c r="H1443" s="46">
        <v>42325</v>
      </c>
      <c r="I1443" s="45" t="s">
        <v>7058</v>
      </c>
      <c r="J1443" s="45" t="s">
        <v>7050</v>
      </c>
      <c r="K1443" s="45" t="s">
        <v>3887</v>
      </c>
      <c r="L1443" s="45">
        <v>1</v>
      </c>
      <c r="M1443" s="48" t="s">
        <v>7063</v>
      </c>
      <c r="N1443" s="48" t="s">
        <v>7053</v>
      </c>
      <c r="O1443" s="44" t="s">
        <v>7177</v>
      </c>
    </row>
    <row r="1444" spans="1:15" x14ac:dyDescent="0.15">
      <c r="A1444" s="49" t="s">
        <v>7057</v>
      </c>
      <c r="B1444" s="51"/>
      <c r="C1444" s="43"/>
      <c r="D1444" s="44" t="s">
        <v>7048</v>
      </c>
      <c r="E1444" s="41" t="s">
        <v>137</v>
      </c>
      <c r="F1444" s="43" t="s">
        <v>7056</v>
      </c>
      <c r="G1444" s="47">
        <f>7.034*L1444</f>
        <v>14.068</v>
      </c>
      <c r="H1444" s="46">
        <v>42325</v>
      </c>
      <c r="I1444" s="45" t="s">
        <v>7049</v>
      </c>
      <c r="J1444" s="45" t="s">
        <v>7051</v>
      </c>
      <c r="K1444" s="45" t="s">
        <v>3887</v>
      </c>
      <c r="L1444" s="45">
        <v>2</v>
      </c>
      <c r="M1444" s="48" t="s">
        <v>7052</v>
      </c>
      <c r="N1444" s="48" t="s">
        <v>7054</v>
      </c>
      <c r="O1444" s="44" t="s">
        <v>7052</v>
      </c>
    </row>
    <row r="1445" spans="1:15" x14ac:dyDescent="0.15">
      <c r="A1445" s="50" t="s">
        <v>7067</v>
      </c>
      <c r="B1445" s="51"/>
      <c r="C1445" s="43"/>
      <c r="D1445" s="44" t="s">
        <v>1583</v>
      </c>
      <c r="E1445" s="41" t="s">
        <v>137</v>
      </c>
      <c r="F1445" s="43" t="s">
        <v>7066</v>
      </c>
      <c r="G1445" s="45">
        <f>17.52*L1445</f>
        <v>140.16</v>
      </c>
      <c r="H1445" s="46">
        <v>42326</v>
      </c>
      <c r="I1445" s="45" t="s">
        <v>7068</v>
      </c>
      <c r="J1445" s="45" t="s">
        <v>7064</v>
      </c>
      <c r="K1445" s="45" t="s">
        <v>141</v>
      </c>
      <c r="L1445" s="45">
        <v>8</v>
      </c>
      <c r="M1445" s="48" t="s">
        <v>7065</v>
      </c>
      <c r="N1445" s="48" t="s">
        <v>1217</v>
      </c>
      <c r="O1445" s="44" t="s">
        <v>7065</v>
      </c>
    </row>
    <row r="1446" spans="1:15" x14ac:dyDescent="0.15">
      <c r="A1446" s="50" t="s">
        <v>7069</v>
      </c>
      <c r="B1446" s="51"/>
      <c r="C1446" s="43"/>
      <c r="D1446" s="44" t="s">
        <v>3351</v>
      </c>
      <c r="E1446" s="41" t="s">
        <v>137</v>
      </c>
      <c r="F1446" s="43" t="s">
        <v>7076</v>
      </c>
      <c r="G1446" s="45">
        <v>77.504999999999995</v>
      </c>
      <c r="H1446" s="46">
        <v>42326</v>
      </c>
      <c r="I1446" s="45" t="s">
        <v>7083</v>
      </c>
      <c r="J1446" s="45" t="s">
        <v>7070</v>
      </c>
      <c r="K1446" s="45" t="s">
        <v>328</v>
      </c>
      <c r="L1446" s="45" t="s">
        <v>7071</v>
      </c>
      <c r="M1446" s="48" t="s">
        <v>7078</v>
      </c>
      <c r="N1446" s="48" t="s">
        <v>7080</v>
      </c>
      <c r="O1446" s="44" t="s">
        <v>7178</v>
      </c>
    </row>
    <row r="1447" spans="1:15" x14ac:dyDescent="0.15">
      <c r="A1447" s="21" t="s">
        <v>7077</v>
      </c>
      <c r="B1447" s="22"/>
      <c r="C1447" s="11"/>
      <c r="D1447" s="17" t="s">
        <v>3351</v>
      </c>
      <c r="E1447" s="10" t="s">
        <v>137</v>
      </c>
      <c r="F1447" s="11" t="s">
        <v>7082</v>
      </c>
      <c r="G1447" s="12">
        <v>98.581000000000003</v>
      </c>
      <c r="H1447" s="13">
        <v>42326</v>
      </c>
      <c r="I1447" s="12" t="s">
        <v>215</v>
      </c>
      <c r="J1447" s="12" t="s">
        <v>7074</v>
      </c>
      <c r="K1447" s="12" t="s">
        <v>328</v>
      </c>
      <c r="L1447" s="12" t="s">
        <v>7072</v>
      </c>
      <c r="M1447" s="14" t="s">
        <v>7079</v>
      </c>
      <c r="N1447" s="14" t="s">
        <v>7081</v>
      </c>
      <c r="O1447" s="17" t="s">
        <v>7179</v>
      </c>
    </row>
    <row r="1448" spans="1:15" x14ac:dyDescent="0.15">
      <c r="A1448" s="21" t="s">
        <v>7077</v>
      </c>
      <c r="B1448" s="22"/>
      <c r="C1448" s="11"/>
      <c r="D1448" s="17" t="s">
        <v>3351</v>
      </c>
      <c r="E1448" s="10" t="s">
        <v>137</v>
      </c>
      <c r="F1448" s="11" t="s">
        <v>7086</v>
      </c>
      <c r="G1448" s="12">
        <v>162.16999999999999</v>
      </c>
      <c r="H1448" s="13">
        <v>42326</v>
      </c>
      <c r="I1448" s="12" t="s">
        <v>7083</v>
      </c>
      <c r="J1448" s="12" t="s">
        <v>7075</v>
      </c>
      <c r="K1448" s="12" t="s">
        <v>328</v>
      </c>
      <c r="L1448" s="12" t="s">
        <v>7073</v>
      </c>
      <c r="M1448" s="14" t="s">
        <v>7084</v>
      </c>
      <c r="N1448" s="14" t="s">
        <v>7085</v>
      </c>
      <c r="O1448" s="17" t="s">
        <v>7180</v>
      </c>
    </row>
    <row r="1449" spans="1:15" x14ac:dyDescent="0.15">
      <c r="A1449" s="21" t="s">
        <v>1984</v>
      </c>
      <c r="B1449" s="22"/>
      <c r="C1449" s="11"/>
      <c r="D1449" s="17" t="s">
        <v>1475</v>
      </c>
      <c r="E1449" s="10" t="s">
        <v>137</v>
      </c>
      <c r="F1449" s="11" t="s">
        <v>7098</v>
      </c>
      <c r="G1449" s="12">
        <v>198.10400000000001</v>
      </c>
      <c r="H1449" s="13">
        <v>42326</v>
      </c>
      <c r="I1449" s="12" t="s">
        <v>215</v>
      </c>
      <c r="J1449" s="12" t="s">
        <v>7087</v>
      </c>
      <c r="K1449" s="12" t="s">
        <v>175</v>
      </c>
      <c r="L1449" s="12" t="s">
        <v>7088</v>
      </c>
      <c r="M1449" s="14" t="s">
        <v>7097</v>
      </c>
      <c r="N1449" s="14" t="s">
        <v>7105</v>
      </c>
      <c r="O1449" s="17" t="s">
        <v>7181</v>
      </c>
    </row>
    <row r="1450" spans="1:15" x14ac:dyDescent="0.15">
      <c r="A1450" s="21" t="s">
        <v>7103</v>
      </c>
      <c r="B1450" s="22"/>
      <c r="C1450" s="11"/>
      <c r="D1450" s="17" t="s">
        <v>1475</v>
      </c>
      <c r="E1450" s="10" t="s">
        <v>137</v>
      </c>
      <c r="F1450" s="11" t="s">
        <v>7102</v>
      </c>
      <c r="G1450" s="12">
        <v>98.941999999999993</v>
      </c>
      <c r="H1450" s="13">
        <v>42326</v>
      </c>
      <c r="I1450" s="12" t="s">
        <v>215</v>
      </c>
      <c r="J1450" s="12" t="s">
        <v>7090</v>
      </c>
      <c r="K1450" s="12" t="s">
        <v>175</v>
      </c>
      <c r="L1450" s="12" t="s">
        <v>7089</v>
      </c>
      <c r="M1450" s="14" t="s">
        <v>7100</v>
      </c>
      <c r="N1450" s="14" t="s">
        <v>7101</v>
      </c>
      <c r="O1450" s="17" t="s">
        <v>7182</v>
      </c>
    </row>
    <row r="1451" spans="1:15" x14ac:dyDescent="0.15">
      <c r="A1451" s="21" t="s">
        <v>7099</v>
      </c>
      <c r="B1451" s="22"/>
      <c r="C1451" s="11"/>
      <c r="D1451" s="17" t="s">
        <v>1475</v>
      </c>
      <c r="E1451" s="10" t="s">
        <v>137</v>
      </c>
      <c r="F1451" s="11" t="s">
        <v>7106</v>
      </c>
      <c r="G1451" s="12">
        <v>196.14699999999999</v>
      </c>
      <c r="H1451" s="13">
        <v>42326</v>
      </c>
      <c r="I1451" s="12" t="s">
        <v>7083</v>
      </c>
      <c r="J1451" s="12" t="s">
        <v>7091</v>
      </c>
      <c r="K1451" s="12" t="s">
        <v>175</v>
      </c>
      <c r="L1451" s="12" t="s">
        <v>7088</v>
      </c>
      <c r="M1451" s="14" t="s">
        <v>7104</v>
      </c>
      <c r="N1451" s="14" t="s">
        <v>7108</v>
      </c>
      <c r="O1451" s="17" t="s">
        <v>7183</v>
      </c>
    </row>
    <row r="1452" spans="1:15" x14ac:dyDescent="0.15">
      <c r="A1452" s="21" t="s">
        <v>7099</v>
      </c>
      <c r="B1452" s="22"/>
      <c r="C1452" s="11"/>
      <c r="D1452" s="17" t="s">
        <v>1475</v>
      </c>
      <c r="E1452" s="10" t="s">
        <v>137</v>
      </c>
      <c r="F1452" s="11" t="s">
        <v>7109</v>
      </c>
      <c r="G1452" s="12">
        <v>196.755</v>
      </c>
      <c r="H1452" s="13">
        <v>42326</v>
      </c>
      <c r="I1452" s="12" t="s">
        <v>7083</v>
      </c>
      <c r="J1452" s="12" t="s">
        <v>7092</v>
      </c>
      <c r="K1452" s="12" t="s">
        <v>175</v>
      </c>
      <c r="L1452" s="12" t="s">
        <v>7088</v>
      </c>
      <c r="M1452" s="14" t="s">
        <v>7107</v>
      </c>
      <c r="N1452" s="14" t="s">
        <v>7096</v>
      </c>
      <c r="O1452" s="17" t="s">
        <v>7184</v>
      </c>
    </row>
    <row r="1453" spans="1:15" x14ac:dyDescent="0.15">
      <c r="A1453" s="50" t="s">
        <v>7099</v>
      </c>
      <c r="B1453" s="51"/>
      <c r="C1453" s="43"/>
      <c r="D1453" s="44" t="s">
        <v>1475</v>
      </c>
      <c r="E1453" s="41" t="s">
        <v>137</v>
      </c>
      <c r="F1453" s="43" t="s">
        <v>7111</v>
      </c>
      <c r="G1453" s="45">
        <v>98.878</v>
      </c>
      <c r="H1453" s="46">
        <v>42326</v>
      </c>
      <c r="I1453" s="45" t="s">
        <v>7094</v>
      </c>
      <c r="J1453" s="45" t="s">
        <v>7093</v>
      </c>
      <c r="K1453" s="45" t="s">
        <v>175</v>
      </c>
      <c r="L1453" s="45" t="s">
        <v>7089</v>
      </c>
      <c r="M1453" s="48" t="s">
        <v>7110</v>
      </c>
      <c r="N1453" s="48" t="s">
        <v>7101</v>
      </c>
      <c r="O1453" s="44" t="s">
        <v>7185</v>
      </c>
    </row>
    <row r="1454" spans="1:15" x14ac:dyDescent="0.15">
      <c r="A1454" s="21" t="s">
        <v>7117</v>
      </c>
      <c r="B1454" s="22"/>
      <c r="C1454" s="11"/>
      <c r="D1454" s="17" t="s">
        <v>1742</v>
      </c>
      <c r="E1454" s="10" t="s">
        <v>137</v>
      </c>
      <c r="F1454" s="11" t="s">
        <v>7121</v>
      </c>
      <c r="G1454" s="12">
        <v>120.669</v>
      </c>
      <c r="H1454" s="13">
        <v>42326</v>
      </c>
      <c r="I1454" s="18" t="s">
        <v>7118</v>
      </c>
      <c r="J1454" s="12" t="s">
        <v>7113</v>
      </c>
      <c r="K1454" s="12" t="s">
        <v>7112</v>
      </c>
      <c r="L1454" s="12" t="s">
        <v>7114</v>
      </c>
      <c r="M1454" s="14" t="s">
        <v>7119</v>
      </c>
      <c r="N1454" s="14" t="s">
        <v>7120</v>
      </c>
      <c r="O1454" s="17" t="s">
        <v>7186</v>
      </c>
    </row>
    <row r="1455" spans="1:15" x14ac:dyDescent="0.15">
      <c r="A1455" s="50" t="s">
        <v>7117</v>
      </c>
      <c r="B1455" s="51"/>
      <c r="C1455" s="43"/>
      <c r="D1455" s="44" t="s">
        <v>1742</v>
      </c>
      <c r="E1455" s="41" t="s">
        <v>137</v>
      </c>
      <c r="F1455" s="43" t="s">
        <v>7124</v>
      </c>
      <c r="G1455" s="45">
        <v>141.19499999999999</v>
      </c>
      <c r="H1455" s="46">
        <v>42326</v>
      </c>
      <c r="I1455" s="47" t="s">
        <v>7125</v>
      </c>
      <c r="J1455" s="45" t="s">
        <v>7116</v>
      </c>
      <c r="K1455" s="45" t="s">
        <v>7112</v>
      </c>
      <c r="L1455" s="45" t="s">
        <v>7115</v>
      </c>
      <c r="M1455" s="48" t="s">
        <v>7122</v>
      </c>
      <c r="N1455" s="48" t="s">
        <v>7123</v>
      </c>
      <c r="O1455" s="44" t="s">
        <v>7187</v>
      </c>
    </row>
    <row r="1456" spans="1:15" x14ac:dyDescent="0.15">
      <c r="A1456" s="21" t="s">
        <v>7129</v>
      </c>
      <c r="B1456" s="22"/>
      <c r="C1456" s="11"/>
      <c r="D1456" s="17" t="s">
        <v>2503</v>
      </c>
      <c r="E1456" s="10" t="s">
        <v>137</v>
      </c>
      <c r="F1456" s="11" t="s">
        <v>7128</v>
      </c>
      <c r="G1456" s="12">
        <v>81.222999999999999</v>
      </c>
      <c r="H1456" s="13">
        <v>42326</v>
      </c>
      <c r="I1456" s="12" t="s">
        <v>7094</v>
      </c>
      <c r="J1456" s="12" t="s">
        <v>7126</v>
      </c>
      <c r="K1456" s="12" t="s">
        <v>328</v>
      </c>
      <c r="L1456" s="12" t="s">
        <v>7127</v>
      </c>
      <c r="M1456" s="14" t="s">
        <v>8548</v>
      </c>
      <c r="N1456" s="14" t="s">
        <v>7130</v>
      </c>
      <c r="O1456" s="17" t="s">
        <v>7188</v>
      </c>
    </row>
    <row r="1457" spans="1:15" x14ac:dyDescent="0.15">
      <c r="A1457" s="50" t="s">
        <v>7134</v>
      </c>
      <c r="B1457" s="51"/>
      <c r="C1457" s="43"/>
      <c r="D1457" s="44" t="s">
        <v>1511</v>
      </c>
      <c r="E1457" s="41" t="s">
        <v>137</v>
      </c>
      <c r="F1457" s="43" t="s">
        <v>7133</v>
      </c>
      <c r="G1457" s="45">
        <v>87.432000000000002</v>
      </c>
      <c r="H1457" s="46">
        <v>42326</v>
      </c>
      <c r="I1457" s="45" t="s">
        <v>7094</v>
      </c>
      <c r="J1457" s="45" t="s">
        <v>7131</v>
      </c>
      <c r="K1457" s="45" t="s">
        <v>148</v>
      </c>
      <c r="L1457" s="45" t="s">
        <v>7132</v>
      </c>
      <c r="M1457" s="48" t="s">
        <v>7135</v>
      </c>
      <c r="N1457" s="48" t="s">
        <v>7136</v>
      </c>
      <c r="O1457" s="44" t="s">
        <v>7189</v>
      </c>
    </row>
    <row r="1458" spans="1:15" x14ac:dyDescent="0.15">
      <c r="A1458" s="50" t="s">
        <v>7139</v>
      </c>
      <c r="B1458" s="51"/>
      <c r="C1458" s="43"/>
      <c r="D1458" s="44" t="s">
        <v>4996</v>
      </c>
      <c r="E1458" s="41" t="s">
        <v>137</v>
      </c>
      <c r="F1458" s="43" t="s">
        <v>7138</v>
      </c>
      <c r="G1458" s="52">
        <f>20.824*L1458</f>
        <v>104.12</v>
      </c>
      <c r="H1458" s="46">
        <v>42326</v>
      </c>
      <c r="I1458" s="45" t="s">
        <v>7140</v>
      </c>
      <c r="J1458" s="45" t="s">
        <v>7137</v>
      </c>
      <c r="K1458" s="45" t="s">
        <v>21</v>
      </c>
      <c r="L1458" s="45">
        <v>5</v>
      </c>
      <c r="M1458" s="48" t="s">
        <v>5353</v>
      </c>
      <c r="N1458" s="48" t="s">
        <v>5060</v>
      </c>
      <c r="O1458" s="44" t="s">
        <v>7190</v>
      </c>
    </row>
    <row r="1459" spans="1:15" x14ac:dyDescent="0.15">
      <c r="A1459" s="50" t="s">
        <v>7144</v>
      </c>
      <c r="B1459" s="51"/>
      <c r="C1459" s="43"/>
      <c r="D1459" s="44" t="s">
        <v>375</v>
      </c>
      <c r="E1459" s="41" t="s">
        <v>137</v>
      </c>
      <c r="F1459" s="43" t="s">
        <v>7143</v>
      </c>
      <c r="G1459" s="45">
        <f t="shared" ref="G1459:G1460" si="34">17.52*L1459</f>
        <v>157.68</v>
      </c>
      <c r="H1459" s="46">
        <v>42326</v>
      </c>
      <c r="I1459" s="45" t="s">
        <v>7094</v>
      </c>
      <c r="J1459" s="45" t="s">
        <v>7141</v>
      </c>
      <c r="K1459" s="45" t="s">
        <v>141</v>
      </c>
      <c r="L1459" s="45">
        <v>9</v>
      </c>
      <c r="M1459" s="48" t="s">
        <v>6179</v>
      </c>
      <c r="N1459" s="48" t="s">
        <v>1185</v>
      </c>
      <c r="O1459" s="44" t="s">
        <v>7191</v>
      </c>
    </row>
    <row r="1460" spans="1:15" x14ac:dyDescent="0.15">
      <c r="A1460" s="50" t="s">
        <v>7144</v>
      </c>
      <c r="B1460" s="51"/>
      <c r="C1460" s="43"/>
      <c r="D1460" s="44" t="s">
        <v>375</v>
      </c>
      <c r="E1460" s="41" t="s">
        <v>137</v>
      </c>
      <c r="F1460" s="43" t="s">
        <v>7145</v>
      </c>
      <c r="G1460" s="45">
        <f t="shared" si="34"/>
        <v>175.2</v>
      </c>
      <c r="H1460" s="46">
        <v>42326</v>
      </c>
      <c r="I1460" s="45" t="s">
        <v>7146</v>
      </c>
      <c r="J1460" s="45" t="s">
        <v>7142</v>
      </c>
      <c r="K1460" s="45" t="s">
        <v>141</v>
      </c>
      <c r="L1460" s="45">
        <v>10</v>
      </c>
      <c r="M1460" s="48" t="s">
        <v>6571</v>
      </c>
      <c r="N1460" s="48" t="s">
        <v>58</v>
      </c>
      <c r="O1460" s="44" t="s">
        <v>7192</v>
      </c>
    </row>
    <row r="1461" spans="1:15" x14ac:dyDescent="0.15">
      <c r="A1461" s="50" t="s">
        <v>7150</v>
      </c>
      <c r="B1461" s="51"/>
      <c r="C1461" s="43"/>
      <c r="D1461" s="44" t="s">
        <v>1781</v>
      </c>
      <c r="E1461" s="41" t="s">
        <v>137</v>
      </c>
      <c r="F1461" s="43" t="s">
        <v>7149</v>
      </c>
      <c r="G1461" s="45">
        <f>17.52*L1461</f>
        <v>87.6</v>
      </c>
      <c r="H1461" s="46">
        <v>42326</v>
      </c>
      <c r="I1461" s="45" t="s">
        <v>7151</v>
      </c>
      <c r="J1461" s="45" t="s">
        <v>7147</v>
      </c>
      <c r="K1461" s="45" t="s">
        <v>132</v>
      </c>
      <c r="L1461" s="45">
        <v>5</v>
      </c>
      <c r="M1461" s="48" t="s">
        <v>7148</v>
      </c>
      <c r="N1461" s="48" t="s">
        <v>229</v>
      </c>
      <c r="O1461" s="44" t="s">
        <v>7148</v>
      </c>
    </row>
    <row r="1462" spans="1:15" x14ac:dyDescent="0.15">
      <c r="A1462" s="50" t="s">
        <v>7167</v>
      </c>
      <c r="B1462" s="51" t="s">
        <v>7175</v>
      </c>
      <c r="C1462" s="43"/>
      <c r="D1462" s="44" t="s">
        <v>4110</v>
      </c>
      <c r="E1462" s="41" t="s">
        <v>137</v>
      </c>
      <c r="F1462" s="43" t="s">
        <v>7174</v>
      </c>
      <c r="G1462" s="45">
        <f>29.101*L1462</f>
        <v>116.404</v>
      </c>
      <c r="H1462" s="46">
        <v>42328</v>
      </c>
      <c r="I1462" s="45" t="s">
        <v>7165</v>
      </c>
      <c r="J1462" s="45" t="s">
        <v>7163</v>
      </c>
      <c r="K1462" s="45" t="s">
        <v>141</v>
      </c>
      <c r="L1462" s="45">
        <v>4</v>
      </c>
      <c r="M1462" s="48" t="s">
        <v>7166</v>
      </c>
      <c r="N1462" s="48" t="s">
        <v>7164</v>
      </c>
      <c r="O1462" s="44" t="s">
        <v>7193</v>
      </c>
    </row>
    <row r="1463" spans="1:15" x14ac:dyDescent="0.15">
      <c r="A1463" s="50" t="s">
        <v>7173</v>
      </c>
      <c r="B1463" s="51" t="s">
        <v>591</v>
      </c>
      <c r="C1463" s="43"/>
      <c r="D1463" s="44" t="s">
        <v>5727</v>
      </c>
      <c r="E1463" s="41" t="s">
        <v>137</v>
      </c>
      <c r="F1463" s="43" t="s">
        <v>7172</v>
      </c>
      <c r="G1463" s="45">
        <v>50</v>
      </c>
      <c r="H1463" s="46">
        <v>42328</v>
      </c>
      <c r="I1463" s="45" t="s">
        <v>7170</v>
      </c>
      <c r="J1463" s="45" t="s">
        <v>7168</v>
      </c>
      <c r="K1463" s="45" t="s">
        <v>141</v>
      </c>
      <c r="L1463" s="45">
        <v>2</v>
      </c>
      <c r="M1463" s="48" t="s">
        <v>7171</v>
      </c>
      <c r="N1463" s="48" t="s">
        <v>7169</v>
      </c>
      <c r="O1463" s="44" t="s">
        <v>7194</v>
      </c>
    </row>
    <row r="1464" spans="1:15" x14ac:dyDescent="0.15">
      <c r="A1464" s="50" t="s">
        <v>7207</v>
      </c>
      <c r="B1464" s="51"/>
      <c r="C1464" s="43"/>
      <c r="D1464" s="44" t="s">
        <v>7203</v>
      </c>
      <c r="E1464" s="41" t="s">
        <v>137</v>
      </c>
      <c r="F1464" s="43" t="s">
        <v>7206</v>
      </c>
      <c r="G1464" s="45">
        <f>18.708*L1464</f>
        <v>224.49599999999998</v>
      </c>
      <c r="H1464" s="46">
        <v>42332</v>
      </c>
      <c r="I1464" s="45" t="s">
        <v>7955</v>
      </c>
      <c r="J1464" s="45" t="s">
        <v>7204</v>
      </c>
      <c r="K1464" s="45" t="s">
        <v>21</v>
      </c>
      <c r="L1464" s="45">
        <v>12</v>
      </c>
      <c r="M1464" s="48" t="s">
        <v>7205</v>
      </c>
      <c r="N1464" s="48" t="s">
        <v>242</v>
      </c>
      <c r="O1464" s="44" t="s">
        <v>7205</v>
      </c>
    </row>
    <row r="1465" spans="1:15" x14ac:dyDescent="0.15">
      <c r="A1465" s="50" t="s">
        <v>7211</v>
      </c>
      <c r="B1465" s="51"/>
      <c r="C1465" s="43"/>
      <c r="D1465" s="44" t="s">
        <v>811</v>
      </c>
      <c r="E1465" s="41" t="s">
        <v>137</v>
      </c>
      <c r="F1465" s="43" t="s">
        <v>7210</v>
      </c>
      <c r="G1465" s="45">
        <f>18.708*L1465</f>
        <v>467.69999999999993</v>
      </c>
      <c r="H1465" s="46">
        <v>42332</v>
      </c>
      <c r="I1465" s="45" t="s">
        <v>7212</v>
      </c>
      <c r="J1465" s="45" t="s">
        <v>7208</v>
      </c>
      <c r="K1465" s="45" t="s">
        <v>141</v>
      </c>
      <c r="L1465" s="45">
        <v>25</v>
      </c>
      <c r="M1465" s="48" t="s">
        <v>7209</v>
      </c>
      <c r="N1465" s="48" t="s">
        <v>338</v>
      </c>
      <c r="O1465" s="44" t="s">
        <v>7209</v>
      </c>
    </row>
    <row r="1466" spans="1:15" x14ac:dyDescent="0.15">
      <c r="A1466" s="50" t="s">
        <v>7216</v>
      </c>
      <c r="B1466" s="51"/>
      <c r="C1466" s="43"/>
      <c r="D1466" s="44" t="s">
        <v>1044</v>
      </c>
      <c r="E1466" s="41" t="s">
        <v>137</v>
      </c>
      <c r="F1466" s="43" t="s">
        <v>7215</v>
      </c>
      <c r="G1466" s="45">
        <f t="shared" ref="G1466" si="35">7.037*L1466</f>
        <v>175.92500000000001</v>
      </c>
      <c r="H1466" s="46">
        <v>42332</v>
      </c>
      <c r="I1466" s="47" t="s">
        <v>7217</v>
      </c>
      <c r="J1466" s="45" t="s">
        <v>7213</v>
      </c>
      <c r="K1466" s="45" t="s">
        <v>141</v>
      </c>
      <c r="L1466" s="45">
        <v>25</v>
      </c>
      <c r="M1466" s="48" t="s">
        <v>7214</v>
      </c>
      <c r="N1466" s="48" t="s">
        <v>338</v>
      </c>
      <c r="O1466" s="44" t="s">
        <v>7214</v>
      </c>
    </row>
    <row r="1467" spans="1:15" x14ac:dyDescent="0.15">
      <c r="A1467" s="50" t="s">
        <v>7221</v>
      </c>
      <c r="B1467" s="51"/>
      <c r="C1467" s="43"/>
      <c r="D1467" s="44" t="s">
        <v>54</v>
      </c>
      <c r="E1467" s="41" t="s">
        <v>137</v>
      </c>
      <c r="F1467" s="43" t="s">
        <v>7220</v>
      </c>
      <c r="G1467" s="45">
        <f t="shared" ref="G1467:G1468" si="36">6.405*L1467</f>
        <v>160.125</v>
      </c>
      <c r="H1467" s="46">
        <v>42332</v>
      </c>
      <c r="I1467" s="45" t="s">
        <v>7222</v>
      </c>
      <c r="J1467" s="45" t="s">
        <v>7218</v>
      </c>
      <c r="K1467" s="45" t="s">
        <v>141</v>
      </c>
      <c r="L1467" s="45">
        <v>25</v>
      </c>
      <c r="M1467" s="48" t="s">
        <v>7219</v>
      </c>
      <c r="N1467" s="48" t="s">
        <v>2367</v>
      </c>
      <c r="O1467" s="44" t="s">
        <v>7219</v>
      </c>
    </row>
    <row r="1468" spans="1:15" x14ac:dyDescent="0.15">
      <c r="A1468" s="50" t="s">
        <v>7225</v>
      </c>
      <c r="B1468" s="51"/>
      <c r="C1468" s="43"/>
      <c r="D1468" s="44" t="s">
        <v>54</v>
      </c>
      <c r="E1468" s="41" t="s">
        <v>137</v>
      </c>
      <c r="F1468" s="43" t="s">
        <v>7224</v>
      </c>
      <c r="G1468" s="45">
        <f t="shared" si="36"/>
        <v>96.075000000000003</v>
      </c>
      <c r="H1468" s="46">
        <v>42332</v>
      </c>
      <c r="I1468" s="45" t="s">
        <v>7222</v>
      </c>
      <c r="J1468" s="45" t="s">
        <v>7223</v>
      </c>
      <c r="K1468" s="45" t="s">
        <v>141</v>
      </c>
      <c r="L1468" s="45">
        <v>15</v>
      </c>
      <c r="M1468" s="48" t="s">
        <v>6756</v>
      </c>
      <c r="N1468" s="48" t="s">
        <v>236</v>
      </c>
      <c r="O1468" s="44" t="s">
        <v>7506</v>
      </c>
    </row>
    <row r="1469" spans="1:15" x14ac:dyDescent="0.15">
      <c r="A1469" s="50" t="s">
        <v>7229</v>
      </c>
      <c r="B1469" s="51"/>
      <c r="C1469" s="43"/>
      <c r="D1469" s="44" t="s">
        <v>612</v>
      </c>
      <c r="E1469" s="41" t="s">
        <v>137</v>
      </c>
      <c r="F1469" s="43" t="s">
        <v>7228</v>
      </c>
      <c r="G1469" s="45">
        <f t="shared" ref="G1469" si="37">6.405*L1469</f>
        <v>64.05</v>
      </c>
      <c r="H1469" s="46">
        <v>42332</v>
      </c>
      <c r="I1469" s="45" t="s">
        <v>7222</v>
      </c>
      <c r="J1469" s="45" t="s">
        <v>7226</v>
      </c>
      <c r="K1469" s="45" t="s">
        <v>141</v>
      </c>
      <c r="L1469" s="45">
        <v>10</v>
      </c>
      <c r="M1469" s="48" t="s">
        <v>7227</v>
      </c>
      <c r="N1469" s="48" t="s">
        <v>412</v>
      </c>
      <c r="O1469" s="44" t="s">
        <v>7227</v>
      </c>
    </row>
    <row r="1470" spans="1:15" x14ac:dyDescent="0.15">
      <c r="A1470" s="50" t="s">
        <v>7233</v>
      </c>
      <c r="B1470" s="51"/>
      <c r="C1470" s="43"/>
      <c r="D1470" s="44" t="s">
        <v>97</v>
      </c>
      <c r="E1470" s="41" t="s">
        <v>137</v>
      </c>
      <c r="F1470" s="43" t="s">
        <v>7232</v>
      </c>
      <c r="G1470" s="52">
        <f>12.838*L1470</f>
        <v>154.05599999999998</v>
      </c>
      <c r="H1470" s="46">
        <v>42332</v>
      </c>
      <c r="I1470" s="45" t="s">
        <v>7222</v>
      </c>
      <c r="J1470" s="45" t="s">
        <v>7230</v>
      </c>
      <c r="K1470" s="45" t="s">
        <v>141</v>
      </c>
      <c r="L1470" s="45">
        <v>12</v>
      </c>
      <c r="M1470" s="48" t="s">
        <v>7231</v>
      </c>
      <c r="N1470" s="48" t="s">
        <v>242</v>
      </c>
      <c r="O1470" s="44" t="s">
        <v>7231</v>
      </c>
    </row>
    <row r="1471" spans="1:15" x14ac:dyDescent="0.15">
      <c r="A1471" s="50" t="s">
        <v>7236</v>
      </c>
      <c r="B1471" s="51"/>
      <c r="C1471" s="43"/>
      <c r="D1471" s="44" t="s">
        <v>4068</v>
      </c>
      <c r="E1471" s="41" t="s">
        <v>137</v>
      </c>
      <c r="F1471" s="43" t="s">
        <v>7235</v>
      </c>
      <c r="G1471" s="45">
        <f>5.286*L1471</f>
        <v>26.43</v>
      </c>
      <c r="H1471" s="46">
        <v>42332</v>
      </c>
      <c r="I1471" s="45" t="s">
        <v>7237</v>
      </c>
      <c r="J1471" s="45" t="s">
        <v>7234</v>
      </c>
      <c r="K1471" s="45" t="s">
        <v>184</v>
      </c>
      <c r="L1471" s="45">
        <v>5</v>
      </c>
      <c r="M1471" s="48" t="s">
        <v>5371</v>
      </c>
      <c r="N1471" s="48" t="s">
        <v>680</v>
      </c>
      <c r="O1471" s="44" t="s">
        <v>7450</v>
      </c>
    </row>
    <row r="1472" spans="1:15" x14ac:dyDescent="0.15">
      <c r="A1472" s="50" t="s">
        <v>7239</v>
      </c>
      <c r="B1472" s="51"/>
      <c r="C1472" s="43"/>
      <c r="D1472" s="44" t="s">
        <v>1230</v>
      </c>
      <c r="E1472" s="41" t="s">
        <v>137</v>
      </c>
      <c r="F1472" s="43" t="s">
        <v>8001</v>
      </c>
      <c r="G1472" s="45">
        <f>29.911*L1472</f>
        <v>269.19900000000001</v>
      </c>
      <c r="H1472" s="46">
        <v>42332</v>
      </c>
      <c r="I1472" s="45" t="s">
        <v>7240</v>
      </c>
      <c r="J1472" s="45" t="s">
        <v>7238</v>
      </c>
      <c r="K1472" s="45" t="s">
        <v>175</v>
      </c>
      <c r="L1472" s="45">
        <v>9</v>
      </c>
      <c r="M1472" s="48" t="s">
        <v>5620</v>
      </c>
      <c r="N1472" s="48" t="s">
        <v>1185</v>
      </c>
      <c r="O1472" s="44" t="s">
        <v>7451</v>
      </c>
    </row>
    <row r="1473" spans="1:15" x14ac:dyDescent="0.15">
      <c r="A1473" s="49" t="s">
        <v>7519</v>
      </c>
      <c r="B1473" s="51"/>
      <c r="C1473" s="43"/>
      <c r="D1473" s="44" t="s">
        <v>7241</v>
      </c>
      <c r="E1473" s="41" t="s">
        <v>137</v>
      </c>
      <c r="F1473" s="43" t="s">
        <v>8402</v>
      </c>
      <c r="G1473" s="45">
        <f>7.656*L1473</f>
        <v>22.968</v>
      </c>
      <c r="H1473" s="46">
        <v>42332</v>
      </c>
      <c r="I1473" s="45" t="s">
        <v>7244</v>
      </c>
      <c r="J1473" s="45" t="s">
        <v>7242</v>
      </c>
      <c r="K1473" s="45" t="s">
        <v>184</v>
      </c>
      <c r="L1473" s="45">
        <v>3</v>
      </c>
      <c r="M1473" s="48" t="s">
        <v>7243</v>
      </c>
      <c r="N1473" s="48" t="s">
        <v>479</v>
      </c>
      <c r="O1473" s="44" t="s">
        <v>7243</v>
      </c>
    </row>
    <row r="1474" spans="1:15" x14ac:dyDescent="0.15">
      <c r="A1474" s="49" t="s">
        <v>7246</v>
      </c>
      <c r="B1474" s="51" t="s">
        <v>591</v>
      </c>
      <c r="C1474" s="43"/>
      <c r="D1474" s="44" t="s">
        <v>7520</v>
      </c>
      <c r="E1474" s="41" t="s">
        <v>137</v>
      </c>
      <c r="F1474" s="43" t="s">
        <v>7247</v>
      </c>
      <c r="G1474" s="45">
        <f>32.431*L1474</f>
        <v>129.72399999999999</v>
      </c>
      <c r="H1474" s="46">
        <v>42332</v>
      </c>
      <c r="I1474" s="45" t="s">
        <v>7248</v>
      </c>
      <c r="J1474" s="45" t="s">
        <v>7245</v>
      </c>
      <c r="K1474" s="45" t="s">
        <v>184</v>
      </c>
      <c r="L1474" s="45">
        <v>4</v>
      </c>
      <c r="M1474" s="48" t="s">
        <v>7521</v>
      </c>
      <c r="N1474" s="48" t="s">
        <v>1875</v>
      </c>
      <c r="O1474" s="44" t="s">
        <v>7657</v>
      </c>
    </row>
    <row r="1475" spans="1:15" x14ac:dyDescent="0.15">
      <c r="A1475" s="50" t="s">
        <v>7251</v>
      </c>
      <c r="B1475" s="51"/>
      <c r="C1475" s="43"/>
      <c r="D1475" s="44" t="s">
        <v>573</v>
      </c>
      <c r="E1475" s="41" t="s">
        <v>137</v>
      </c>
      <c r="F1475" s="43" t="s">
        <v>7250</v>
      </c>
      <c r="G1475" s="45">
        <f>17.52*L1475</f>
        <v>52.56</v>
      </c>
      <c r="H1475" s="46">
        <v>42332</v>
      </c>
      <c r="I1475" s="52" t="s">
        <v>7252</v>
      </c>
      <c r="J1475" s="52" t="s">
        <v>7249</v>
      </c>
      <c r="K1475" s="45" t="s">
        <v>141</v>
      </c>
      <c r="L1475" s="45">
        <v>3</v>
      </c>
      <c r="M1475" s="48" t="s">
        <v>4728</v>
      </c>
      <c r="N1475" s="48" t="s">
        <v>1830</v>
      </c>
      <c r="O1475" s="44" t="s">
        <v>7452</v>
      </c>
    </row>
    <row r="1476" spans="1:15" x14ac:dyDescent="0.15">
      <c r="A1476" s="21" t="s">
        <v>5645</v>
      </c>
      <c r="B1476" s="22"/>
      <c r="C1476" s="11"/>
      <c r="D1476" s="17" t="s">
        <v>540</v>
      </c>
      <c r="E1476" s="10" t="s">
        <v>137</v>
      </c>
      <c r="F1476" s="11" t="s">
        <v>7253</v>
      </c>
      <c r="G1476" s="12">
        <f>17.52*L1476</f>
        <v>140.16</v>
      </c>
      <c r="H1476" s="13">
        <v>42332</v>
      </c>
      <c r="I1476" s="23" t="s">
        <v>7252</v>
      </c>
      <c r="J1476" s="23" t="s">
        <v>7255</v>
      </c>
      <c r="K1476" s="12" t="s">
        <v>141</v>
      </c>
      <c r="L1476" s="12">
        <v>8</v>
      </c>
      <c r="M1476" s="14" t="s">
        <v>6200</v>
      </c>
      <c r="N1476" s="14" t="s">
        <v>1235</v>
      </c>
      <c r="O1476" s="17" t="s">
        <v>7453</v>
      </c>
    </row>
    <row r="1477" spans="1:15" x14ac:dyDescent="0.15">
      <c r="A1477" s="50" t="s">
        <v>7259</v>
      </c>
      <c r="B1477" s="51"/>
      <c r="C1477" s="43"/>
      <c r="D1477" s="44" t="s">
        <v>3559</v>
      </c>
      <c r="E1477" s="41" t="s">
        <v>137</v>
      </c>
      <c r="F1477" s="43" t="s">
        <v>7258</v>
      </c>
      <c r="G1477" s="45">
        <f>17.52*L1477</f>
        <v>122.64</v>
      </c>
      <c r="H1477" s="46">
        <v>42332</v>
      </c>
      <c r="I1477" s="47" t="s">
        <v>7260</v>
      </c>
      <c r="J1477" s="47" t="s">
        <v>7256</v>
      </c>
      <c r="K1477" s="47" t="s">
        <v>141</v>
      </c>
      <c r="L1477" s="45">
        <v>7</v>
      </c>
      <c r="M1477" s="48" t="s">
        <v>6315</v>
      </c>
      <c r="N1477" s="48" t="s">
        <v>7257</v>
      </c>
      <c r="O1477" s="44" t="s">
        <v>7509</v>
      </c>
    </row>
    <row r="1478" spans="1:15" x14ac:dyDescent="0.15">
      <c r="A1478" s="21" t="s">
        <v>7264</v>
      </c>
      <c r="B1478" s="22"/>
      <c r="C1478" s="11"/>
      <c r="D1478" s="17" t="s">
        <v>7261</v>
      </c>
      <c r="E1478" s="10" t="s">
        <v>137</v>
      </c>
      <c r="F1478" s="11" t="s">
        <v>7263</v>
      </c>
      <c r="G1478" s="12">
        <f>17.52*L1478</f>
        <v>210.24</v>
      </c>
      <c r="H1478" s="13">
        <v>42332</v>
      </c>
      <c r="I1478" s="12" t="s">
        <v>7265</v>
      </c>
      <c r="J1478" s="12" t="s">
        <v>7262</v>
      </c>
      <c r="K1478" s="12" t="s">
        <v>21</v>
      </c>
      <c r="L1478" s="12">
        <v>12</v>
      </c>
      <c r="M1478" s="14" t="s">
        <v>1657</v>
      </c>
      <c r="N1478" s="14" t="s">
        <v>597</v>
      </c>
      <c r="O1478" s="17" t="s">
        <v>7454</v>
      </c>
    </row>
    <row r="1479" spans="1:15" x14ac:dyDescent="0.15">
      <c r="A1479" s="50" t="s">
        <v>1207</v>
      </c>
      <c r="B1479" s="51"/>
      <c r="C1479" s="43"/>
      <c r="D1479" s="44" t="s">
        <v>567</v>
      </c>
      <c r="E1479" s="41" t="s">
        <v>137</v>
      </c>
      <c r="F1479" s="43" t="s">
        <v>7269</v>
      </c>
      <c r="G1479" s="45">
        <f t="shared" ref="G1479:G1480" si="38">27.688*L1479</f>
        <v>415.32</v>
      </c>
      <c r="H1479" s="46">
        <v>42332</v>
      </c>
      <c r="I1479" s="45" t="s">
        <v>309</v>
      </c>
      <c r="J1479" s="45" t="s">
        <v>7266</v>
      </c>
      <c r="K1479" s="45" t="s">
        <v>141</v>
      </c>
      <c r="L1479" s="45">
        <v>15</v>
      </c>
      <c r="M1479" s="48" t="s">
        <v>6323</v>
      </c>
      <c r="N1479" s="48" t="s">
        <v>236</v>
      </c>
      <c r="O1479" s="44" t="s">
        <v>7455</v>
      </c>
    </row>
    <row r="1480" spans="1:15" x14ac:dyDescent="0.15">
      <c r="A1480" s="21" t="s">
        <v>7271</v>
      </c>
      <c r="B1480" s="22"/>
      <c r="C1480" s="11"/>
      <c r="D1480" s="17" t="s">
        <v>567</v>
      </c>
      <c r="E1480" s="10" t="s">
        <v>137</v>
      </c>
      <c r="F1480" s="11" t="s">
        <v>7270</v>
      </c>
      <c r="G1480" s="12">
        <f t="shared" si="38"/>
        <v>415.32</v>
      </c>
      <c r="H1480" s="13">
        <v>42332</v>
      </c>
      <c r="I1480" s="12" t="s">
        <v>7272</v>
      </c>
      <c r="J1480" s="12" t="s">
        <v>7267</v>
      </c>
      <c r="K1480" s="12" t="s">
        <v>141</v>
      </c>
      <c r="L1480" s="12">
        <v>15</v>
      </c>
      <c r="M1480" s="14" t="s">
        <v>7268</v>
      </c>
      <c r="N1480" s="14" t="s">
        <v>1151</v>
      </c>
      <c r="O1480" s="17" t="s">
        <v>7268</v>
      </c>
    </row>
    <row r="1481" spans="1:15" x14ac:dyDescent="0.15">
      <c r="A1481" s="21" t="s">
        <v>7273</v>
      </c>
      <c r="B1481" s="22"/>
      <c r="C1481" s="11"/>
      <c r="D1481" s="17" t="s">
        <v>7275</v>
      </c>
      <c r="E1481" s="10" t="s">
        <v>137</v>
      </c>
      <c r="F1481" s="11" t="s">
        <v>7278</v>
      </c>
      <c r="G1481" s="12">
        <f t="shared" ref="G1481" si="39">17.498*L1481</f>
        <v>69.992000000000004</v>
      </c>
      <c r="H1481" s="13">
        <v>42332</v>
      </c>
      <c r="I1481" s="12" t="s">
        <v>309</v>
      </c>
      <c r="J1481" s="12" t="s">
        <v>7274</v>
      </c>
      <c r="K1481" s="12" t="s">
        <v>141</v>
      </c>
      <c r="L1481" s="12">
        <v>4</v>
      </c>
      <c r="M1481" s="14" t="s">
        <v>5681</v>
      </c>
      <c r="N1481" s="14" t="s">
        <v>7281</v>
      </c>
      <c r="O1481" s="17" t="s">
        <v>7456</v>
      </c>
    </row>
    <row r="1482" spans="1:15" x14ac:dyDescent="0.15">
      <c r="A1482" s="50" t="s">
        <v>7279</v>
      </c>
      <c r="B1482" s="51"/>
      <c r="C1482" s="43"/>
      <c r="D1482" s="44" t="s">
        <v>7275</v>
      </c>
      <c r="E1482" s="41" t="s">
        <v>137</v>
      </c>
      <c r="F1482" s="43" t="s">
        <v>7277</v>
      </c>
      <c r="G1482" s="45">
        <f t="shared" ref="G1482" si="40">17.498*L1482</f>
        <v>174.98000000000002</v>
      </c>
      <c r="H1482" s="46">
        <v>42332</v>
      </c>
      <c r="I1482" s="45" t="s">
        <v>7280</v>
      </c>
      <c r="J1482" s="45" t="s">
        <v>7276</v>
      </c>
      <c r="K1482" s="45" t="s">
        <v>141</v>
      </c>
      <c r="L1482" s="45">
        <v>10</v>
      </c>
      <c r="M1482" s="48" t="s">
        <v>6213</v>
      </c>
      <c r="N1482" s="48" t="s">
        <v>58</v>
      </c>
      <c r="O1482" s="44" t="s">
        <v>7457</v>
      </c>
    </row>
    <row r="1483" spans="1:15" x14ac:dyDescent="0.15">
      <c r="A1483" s="50" t="s">
        <v>1355</v>
      </c>
      <c r="B1483" s="51"/>
      <c r="C1483" s="43"/>
      <c r="D1483" s="44" t="s">
        <v>633</v>
      </c>
      <c r="E1483" s="41" t="s">
        <v>137</v>
      </c>
      <c r="F1483" s="43" t="s">
        <v>7284</v>
      </c>
      <c r="G1483" s="45">
        <f t="shared" ref="G1483" si="41">17.498*L1483</f>
        <v>174.98000000000002</v>
      </c>
      <c r="H1483" s="46">
        <v>42332</v>
      </c>
      <c r="I1483" s="45" t="s">
        <v>309</v>
      </c>
      <c r="J1483" s="45" t="s">
        <v>7282</v>
      </c>
      <c r="K1483" s="45" t="s">
        <v>141</v>
      </c>
      <c r="L1483" s="45">
        <v>10</v>
      </c>
      <c r="M1483" s="48" t="s">
        <v>6219</v>
      </c>
      <c r="N1483" s="48" t="s">
        <v>58</v>
      </c>
      <c r="O1483" s="44" t="s">
        <v>7458</v>
      </c>
    </row>
    <row r="1484" spans="1:15" x14ac:dyDescent="0.15">
      <c r="A1484" s="50" t="s">
        <v>7287</v>
      </c>
      <c r="B1484" s="51"/>
      <c r="C1484" s="43"/>
      <c r="D1484" s="44" t="s">
        <v>633</v>
      </c>
      <c r="E1484" s="41" t="s">
        <v>137</v>
      </c>
      <c r="F1484" s="43" t="s">
        <v>7286</v>
      </c>
      <c r="G1484" s="45">
        <f t="shared" ref="G1484" si="42">17.498*L1484</f>
        <v>174.98000000000002</v>
      </c>
      <c r="H1484" s="46">
        <v>42332</v>
      </c>
      <c r="I1484" s="45" t="s">
        <v>7265</v>
      </c>
      <c r="J1484" s="45" t="s">
        <v>7283</v>
      </c>
      <c r="K1484" s="45" t="s">
        <v>141</v>
      </c>
      <c r="L1484" s="45">
        <v>10</v>
      </c>
      <c r="M1484" s="48" t="s">
        <v>7285</v>
      </c>
      <c r="N1484" s="48" t="s">
        <v>412</v>
      </c>
      <c r="O1484" s="44" t="s">
        <v>7285</v>
      </c>
    </row>
    <row r="1485" spans="1:15" x14ac:dyDescent="0.15">
      <c r="A1485" s="50" t="s">
        <v>7292</v>
      </c>
      <c r="B1485" s="51"/>
      <c r="C1485" s="43"/>
      <c r="D1485" s="44" t="s">
        <v>7289</v>
      </c>
      <c r="E1485" s="41" t="s">
        <v>137</v>
      </c>
      <c r="F1485" s="43" t="s">
        <v>7291</v>
      </c>
      <c r="G1485" s="45">
        <f t="shared" ref="G1485" si="43">17.498*L1485</f>
        <v>104.988</v>
      </c>
      <c r="H1485" s="46">
        <v>42332</v>
      </c>
      <c r="I1485" s="45" t="s">
        <v>7293</v>
      </c>
      <c r="J1485" s="45" t="s">
        <v>7288</v>
      </c>
      <c r="K1485" s="45" t="s">
        <v>21</v>
      </c>
      <c r="L1485" s="45">
        <v>6</v>
      </c>
      <c r="M1485" s="48" t="s">
        <v>7290</v>
      </c>
      <c r="N1485" s="48" t="s">
        <v>1808</v>
      </c>
      <c r="O1485" s="44" t="s">
        <v>7290</v>
      </c>
    </row>
    <row r="1486" spans="1:15" x14ac:dyDescent="0.15">
      <c r="A1486" s="50" t="s">
        <v>7298</v>
      </c>
      <c r="B1486" s="51"/>
      <c r="C1486" s="43"/>
      <c r="D1486" s="44" t="s">
        <v>7294</v>
      </c>
      <c r="E1486" s="41" t="s">
        <v>137</v>
      </c>
      <c r="F1486" s="43" t="s">
        <v>7297</v>
      </c>
      <c r="G1486" s="45">
        <f>17.712*L1486</f>
        <v>177.12</v>
      </c>
      <c r="H1486" s="46">
        <v>42332</v>
      </c>
      <c r="I1486" s="45" t="s">
        <v>7265</v>
      </c>
      <c r="J1486" s="45" t="s">
        <v>7295</v>
      </c>
      <c r="K1486" s="45" t="s">
        <v>141</v>
      </c>
      <c r="L1486" s="45">
        <v>10</v>
      </c>
      <c r="M1486" s="48" t="s">
        <v>7296</v>
      </c>
      <c r="N1486" s="48" t="s">
        <v>412</v>
      </c>
      <c r="O1486" s="44" t="s">
        <v>7296</v>
      </c>
    </row>
    <row r="1487" spans="1:15" x14ac:dyDescent="0.15">
      <c r="A1487" s="50" t="s">
        <v>7302</v>
      </c>
      <c r="B1487" s="51"/>
      <c r="C1487" s="43"/>
      <c r="D1487" s="44" t="s">
        <v>1181</v>
      </c>
      <c r="E1487" s="41" t="s">
        <v>137</v>
      </c>
      <c r="F1487" s="43" t="s">
        <v>7301</v>
      </c>
      <c r="G1487" s="45">
        <f>17.712*L1487</f>
        <v>442.8</v>
      </c>
      <c r="H1487" s="46">
        <v>42332</v>
      </c>
      <c r="I1487" s="45" t="s">
        <v>7265</v>
      </c>
      <c r="J1487" s="45" t="s">
        <v>7299</v>
      </c>
      <c r="K1487" s="45" t="s">
        <v>141</v>
      </c>
      <c r="L1487" s="45">
        <v>25</v>
      </c>
      <c r="M1487" s="48" t="s">
        <v>7300</v>
      </c>
      <c r="N1487" s="48" t="s">
        <v>338</v>
      </c>
      <c r="O1487" s="44" t="s">
        <v>7300</v>
      </c>
    </row>
    <row r="1488" spans="1:15" x14ac:dyDescent="0.15">
      <c r="A1488" s="50" t="s">
        <v>7305</v>
      </c>
      <c r="B1488" s="51"/>
      <c r="C1488" s="43"/>
      <c r="D1488" s="44" t="s">
        <v>6834</v>
      </c>
      <c r="E1488" s="41" t="s">
        <v>137</v>
      </c>
      <c r="F1488" s="43" t="s">
        <v>7306</v>
      </c>
      <c r="G1488" s="45">
        <f t="shared" ref="G1488" si="44">14.405*L1488</f>
        <v>360.125</v>
      </c>
      <c r="H1488" s="46">
        <v>42332</v>
      </c>
      <c r="I1488" s="45" t="s">
        <v>7265</v>
      </c>
      <c r="J1488" s="45" t="s">
        <v>7303</v>
      </c>
      <c r="K1488" s="45" t="s">
        <v>141</v>
      </c>
      <c r="L1488" s="45">
        <v>25</v>
      </c>
      <c r="M1488" s="48" t="s">
        <v>7304</v>
      </c>
      <c r="N1488" s="48" t="s">
        <v>338</v>
      </c>
      <c r="O1488" s="44" t="s">
        <v>7304</v>
      </c>
    </row>
    <row r="1489" spans="1:15" x14ac:dyDescent="0.15">
      <c r="A1489" s="50" t="s">
        <v>7310</v>
      </c>
      <c r="B1489" s="51"/>
      <c r="C1489" s="43"/>
      <c r="D1489" s="44" t="s">
        <v>7308</v>
      </c>
      <c r="E1489" s="41" t="s">
        <v>137</v>
      </c>
      <c r="F1489" s="43" t="s">
        <v>7311</v>
      </c>
      <c r="G1489" s="45">
        <f>17.52*L1489</f>
        <v>262.8</v>
      </c>
      <c r="H1489" s="46">
        <v>42332</v>
      </c>
      <c r="I1489" s="45" t="s">
        <v>7265</v>
      </c>
      <c r="J1489" s="45" t="s">
        <v>7307</v>
      </c>
      <c r="K1489" s="45" t="s">
        <v>141</v>
      </c>
      <c r="L1489" s="45">
        <v>15</v>
      </c>
      <c r="M1489" s="48" t="s">
        <v>7309</v>
      </c>
      <c r="N1489" s="48" t="s">
        <v>236</v>
      </c>
      <c r="O1489" s="44" t="s">
        <v>7309</v>
      </c>
    </row>
    <row r="1490" spans="1:15" x14ac:dyDescent="0.15">
      <c r="A1490" s="50" t="s">
        <v>7315</v>
      </c>
      <c r="B1490" s="51"/>
      <c r="C1490" s="43"/>
      <c r="D1490" s="44" t="s">
        <v>7313</v>
      </c>
      <c r="E1490" s="41" t="s">
        <v>137</v>
      </c>
      <c r="F1490" s="43" t="s">
        <v>7317</v>
      </c>
      <c r="G1490" s="47">
        <f>29.101*L1490</f>
        <v>203.70699999999999</v>
      </c>
      <c r="H1490" s="46">
        <v>42332</v>
      </c>
      <c r="I1490" s="45" t="s">
        <v>7316</v>
      </c>
      <c r="J1490" s="45" t="s">
        <v>7312</v>
      </c>
      <c r="K1490" s="45" t="s">
        <v>141</v>
      </c>
      <c r="L1490" s="45">
        <v>7</v>
      </c>
      <c r="M1490" s="48" t="s">
        <v>7314</v>
      </c>
      <c r="N1490" s="48" t="s">
        <v>3603</v>
      </c>
      <c r="O1490" s="44" t="s">
        <v>7314</v>
      </c>
    </row>
    <row r="1491" spans="1:15" x14ac:dyDescent="0.15">
      <c r="A1491" s="50" t="s">
        <v>7320</v>
      </c>
      <c r="B1491" s="51"/>
      <c r="C1491" s="43"/>
      <c r="D1491" s="44" t="s">
        <v>341</v>
      </c>
      <c r="E1491" s="41" t="s">
        <v>137</v>
      </c>
      <c r="F1491" s="43" t="s">
        <v>7322</v>
      </c>
      <c r="G1491" s="47">
        <f t="shared" ref="G1491" si="45">18.708*L1491</f>
        <v>224.49599999999998</v>
      </c>
      <c r="H1491" s="46">
        <v>42332</v>
      </c>
      <c r="I1491" s="45" t="s">
        <v>7321</v>
      </c>
      <c r="J1491" s="45" t="s">
        <v>7318</v>
      </c>
      <c r="K1491" s="45" t="s">
        <v>141</v>
      </c>
      <c r="L1491" s="45">
        <v>12</v>
      </c>
      <c r="M1491" s="48" t="s">
        <v>7319</v>
      </c>
      <c r="N1491" s="48" t="s">
        <v>242</v>
      </c>
      <c r="O1491" s="44" t="s">
        <v>7319</v>
      </c>
    </row>
    <row r="1492" spans="1:15" x14ac:dyDescent="0.15">
      <c r="A1492" s="50" t="s">
        <v>7333</v>
      </c>
      <c r="B1492" s="51"/>
      <c r="C1492" s="43"/>
      <c r="D1492" s="44" t="s">
        <v>7324</v>
      </c>
      <c r="E1492" s="41" t="s">
        <v>137</v>
      </c>
      <c r="F1492" s="43" t="s">
        <v>7325</v>
      </c>
      <c r="G1492" s="45">
        <f t="shared" ref="G1492:G1494" si="46">29.101*L1492</f>
        <v>349.21199999999999</v>
      </c>
      <c r="H1492" s="46">
        <v>42332</v>
      </c>
      <c r="I1492" s="45" t="s">
        <v>3574</v>
      </c>
      <c r="J1492" s="45" t="s">
        <v>7323</v>
      </c>
      <c r="K1492" s="45" t="s">
        <v>141</v>
      </c>
      <c r="L1492" s="45">
        <v>12</v>
      </c>
      <c r="M1492" s="48" t="s">
        <v>7329</v>
      </c>
      <c r="N1492" s="48" t="s">
        <v>7331</v>
      </c>
      <c r="O1492" s="44" t="s">
        <v>7329</v>
      </c>
    </row>
    <row r="1493" spans="1:15" x14ac:dyDescent="0.15">
      <c r="A1493" s="50" t="s">
        <v>475</v>
      </c>
      <c r="B1493" s="51"/>
      <c r="C1493" s="43"/>
      <c r="D1493" s="44" t="s">
        <v>7324</v>
      </c>
      <c r="E1493" s="41" t="s">
        <v>137</v>
      </c>
      <c r="F1493" s="43" t="s">
        <v>7326</v>
      </c>
      <c r="G1493" s="45">
        <f t="shared" si="46"/>
        <v>727.52499999999998</v>
      </c>
      <c r="H1493" s="46">
        <v>42332</v>
      </c>
      <c r="I1493" s="45" t="s">
        <v>3574</v>
      </c>
      <c r="J1493" s="45" t="s">
        <v>7327</v>
      </c>
      <c r="K1493" s="45" t="s">
        <v>141</v>
      </c>
      <c r="L1493" s="45">
        <v>25</v>
      </c>
      <c r="M1493" s="48" t="s">
        <v>7330</v>
      </c>
      <c r="N1493" s="48" t="s">
        <v>338</v>
      </c>
      <c r="O1493" s="44" t="s">
        <v>7330</v>
      </c>
    </row>
    <row r="1494" spans="1:15" x14ac:dyDescent="0.15">
      <c r="A1494" s="50" t="s">
        <v>475</v>
      </c>
      <c r="B1494" s="51"/>
      <c r="C1494" s="43"/>
      <c r="D1494" s="44" t="s">
        <v>7324</v>
      </c>
      <c r="E1494" s="41" t="s">
        <v>137</v>
      </c>
      <c r="F1494" s="43" t="s">
        <v>7335</v>
      </c>
      <c r="G1494" s="45">
        <f t="shared" si="46"/>
        <v>436.51499999999999</v>
      </c>
      <c r="H1494" s="46">
        <v>42332</v>
      </c>
      <c r="I1494" s="45" t="s">
        <v>7334</v>
      </c>
      <c r="J1494" s="45" t="s">
        <v>7328</v>
      </c>
      <c r="K1494" s="45" t="s">
        <v>141</v>
      </c>
      <c r="L1494" s="45">
        <v>15</v>
      </c>
      <c r="M1494" s="48" t="s">
        <v>6336</v>
      </c>
      <c r="N1494" s="48" t="s">
        <v>7332</v>
      </c>
      <c r="O1494" s="44" t="s">
        <v>7459</v>
      </c>
    </row>
    <row r="1495" spans="1:15" x14ac:dyDescent="0.15">
      <c r="A1495" s="50" t="s">
        <v>7338</v>
      </c>
      <c r="B1495" s="51"/>
      <c r="C1495" s="43"/>
      <c r="D1495" s="44" t="s">
        <v>533</v>
      </c>
      <c r="E1495" s="41" t="s">
        <v>137</v>
      </c>
      <c r="F1495" s="43" t="s">
        <v>7341</v>
      </c>
      <c r="G1495" s="45">
        <v>359.62900000000002</v>
      </c>
      <c r="H1495" s="46">
        <v>42332</v>
      </c>
      <c r="I1495" s="45" t="s">
        <v>7316</v>
      </c>
      <c r="J1495" s="45" t="s">
        <v>7336</v>
      </c>
      <c r="K1495" s="45" t="s">
        <v>328</v>
      </c>
      <c r="L1495" s="45" t="s">
        <v>7337</v>
      </c>
      <c r="M1495" s="48" t="s">
        <v>7339</v>
      </c>
      <c r="N1495" s="48" t="s">
        <v>7340</v>
      </c>
      <c r="O1495" s="44" t="s">
        <v>7460</v>
      </c>
    </row>
    <row r="1496" spans="1:15" x14ac:dyDescent="0.15">
      <c r="A1496" s="49" t="s">
        <v>7346</v>
      </c>
      <c r="B1496" s="51"/>
      <c r="C1496" s="43"/>
      <c r="D1496" s="44" t="s">
        <v>7342</v>
      </c>
      <c r="E1496" s="41" t="s">
        <v>137</v>
      </c>
      <c r="F1496" s="43" t="s">
        <v>7343</v>
      </c>
      <c r="G1496" s="45">
        <f>25.722*L1496</f>
        <v>128.61000000000001</v>
      </c>
      <c r="H1496" s="46">
        <v>42333</v>
      </c>
      <c r="I1496" s="45" t="s">
        <v>7351</v>
      </c>
      <c r="J1496" s="45" t="s">
        <v>7344</v>
      </c>
      <c r="K1496" s="45" t="s">
        <v>141</v>
      </c>
      <c r="L1496" s="45">
        <v>5</v>
      </c>
      <c r="M1496" s="48" t="s">
        <v>7345</v>
      </c>
      <c r="N1496" s="48" t="s">
        <v>229</v>
      </c>
      <c r="O1496" s="44" t="s">
        <v>7345</v>
      </c>
    </row>
    <row r="1497" spans="1:15" x14ac:dyDescent="0.15">
      <c r="A1497" s="50" t="s">
        <v>7350</v>
      </c>
      <c r="B1497" s="51"/>
      <c r="C1497" s="43"/>
      <c r="D1497" s="44" t="s">
        <v>6105</v>
      </c>
      <c r="E1497" s="41" t="s">
        <v>137</v>
      </c>
      <c r="F1497" s="43" t="s">
        <v>7349</v>
      </c>
      <c r="G1497" s="45">
        <f>20.816*L1497</f>
        <v>124.89599999999999</v>
      </c>
      <c r="H1497" s="46">
        <v>42333</v>
      </c>
      <c r="I1497" s="45" t="s">
        <v>7351</v>
      </c>
      <c r="J1497" s="45" t="s">
        <v>7347</v>
      </c>
      <c r="K1497" s="45" t="s">
        <v>141</v>
      </c>
      <c r="L1497" s="45">
        <v>6</v>
      </c>
      <c r="M1497" s="48" t="s">
        <v>7348</v>
      </c>
      <c r="N1497" s="48" t="s">
        <v>3672</v>
      </c>
      <c r="O1497" s="44" t="s">
        <v>7348</v>
      </c>
    </row>
    <row r="1498" spans="1:15" x14ac:dyDescent="0.15">
      <c r="A1498" s="50" t="s">
        <v>7356</v>
      </c>
      <c r="B1498" s="51"/>
      <c r="C1498" s="43"/>
      <c r="D1498" s="44" t="s">
        <v>7353</v>
      </c>
      <c r="E1498" s="41" t="s">
        <v>137</v>
      </c>
      <c r="F1498" s="43" t="s">
        <v>7355</v>
      </c>
      <c r="G1498" s="45">
        <f>17.52*L1498</f>
        <v>262.8</v>
      </c>
      <c r="H1498" s="46">
        <v>42333</v>
      </c>
      <c r="I1498" s="47" t="s">
        <v>7357</v>
      </c>
      <c r="J1498" s="47" t="s">
        <v>7352</v>
      </c>
      <c r="K1498" s="47" t="s">
        <v>141</v>
      </c>
      <c r="L1498" s="45">
        <v>15</v>
      </c>
      <c r="M1498" s="48" t="s">
        <v>7354</v>
      </c>
      <c r="N1498" s="48" t="s">
        <v>1151</v>
      </c>
      <c r="O1498" s="44" t="s">
        <v>7354</v>
      </c>
    </row>
    <row r="1499" spans="1:15" x14ac:dyDescent="0.15">
      <c r="A1499" s="50" t="s">
        <v>7362</v>
      </c>
      <c r="B1499" s="51"/>
      <c r="C1499" s="43"/>
      <c r="D1499" s="44" t="s">
        <v>7359</v>
      </c>
      <c r="E1499" s="41" t="s">
        <v>137</v>
      </c>
      <c r="F1499" s="43" t="s">
        <v>7361</v>
      </c>
      <c r="G1499" s="45">
        <f>17.52*L1499</f>
        <v>87.6</v>
      </c>
      <c r="H1499" s="46">
        <v>42333</v>
      </c>
      <c r="I1499" s="45" t="s">
        <v>7363</v>
      </c>
      <c r="J1499" s="45" t="s">
        <v>7358</v>
      </c>
      <c r="K1499" s="45" t="s">
        <v>21</v>
      </c>
      <c r="L1499" s="45">
        <v>5</v>
      </c>
      <c r="M1499" s="48" t="s">
        <v>7360</v>
      </c>
      <c r="N1499" s="48" t="s">
        <v>1689</v>
      </c>
      <c r="O1499" s="44" t="s">
        <v>7360</v>
      </c>
    </row>
    <row r="1500" spans="1:15" x14ac:dyDescent="0.15">
      <c r="A1500" s="50" t="s">
        <v>7370</v>
      </c>
      <c r="B1500" s="51"/>
      <c r="C1500" s="43"/>
      <c r="D1500" s="44" t="s">
        <v>1644</v>
      </c>
      <c r="E1500" s="41" t="s">
        <v>137</v>
      </c>
      <c r="F1500" s="43" t="s">
        <v>7368</v>
      </c>
      <c r="G1500" s="45">
        <f>17.52*L1500</f>
        <v>175.2</v>
      </c>
      <c r="H1500" s="46">
        <v>42333</v>
      </c>
      <c r="I1500" s="45" t="s">
        <v>215</v>
      </c>
      <c r="J1500" s="45" t="s">
        <v>7364</v>
      </c>
      <c r="K1500" s="45" t="s">
        <v>184</v>
      </c>
      <c r="L1500" s="45">
        <v>10</v>
      </c>
      <c r="M1500" s="48" t="s">
        <v>7366</v>
      </c>
      <c r="N1500" s="48" t="s">
        <v>58</v>
      </c>
      <c r="O1500" s="44" t="s">
        <v>7366</v>
      </c>
    </row>
    <row r="1501" spans="1:15" x14ac:dyDescent="0.15">
      <c r="A1501" s="50" t="s">
        <v>6864</v>
      </c>
      <c r="B1501" s="51"/>
      <c r="C1501" s="43"/>
      <c r="D1501" s="44" t="s">
        <v>1644</v>
      </c>
      <c r="E1501" s="41" t="s">
        <v>137</v>
      </c>
      <c r="F1501" s="43" t="s">
        <v>7369</v>
      </c>
      <c r="G1501" s="45">
        <f>17.52*L1501</f>
        <v>438</v>
      </c>
      <c r="H1501" s="46">
        <v>42333</v>
      </c>
      <c r="I1501" s="45" t="s">
        <v>7371</v>
      </c>
      <c r="J1501" s="45" t="s">
        <v>7365</v>
      </c>
      <c r="K1501" s="45" t="s">
        <v>184</v>
      </c>
      <c r="L1501" s="45">
        <v>25</v>
      </c>
      <c r="M1501" s="48" t="s">
        <v>7367</v>
      </c>
      <c r="N1501" s="48" t="s">
        <v>338</v>
      </c>
      <c r="O1501" s="44" t="s">
        <v>7367</v>
      </c>
    </row>
    <row r="1502" spans="1:15" x14ac:dyDescent="0.15">
      <c r="A1502" s="21" t="s">
        <v>7374</v>
      </c>
      <c r="B1502" s="22"/>
      <c r="C1502" s="11"/>
      <c r="D1502" s="17" t="s">
        <v>1103</v>
      </c>
      <c r="E1502" s="10" t="s">
        <v>137</v>
      </c>
      <c r="F1502" s="11" t="s">
        <v>7373</v>
      </c>
      <c r="G1502" s="12">
        <f>18.708*L1502</f>
        <v>74.831999999999994</v>
      </c>
      <c r="H1502" s="13">
        <v>42333</v>
      </c>
      <c r="I1502" s="12" t="s">
        <v>7371</v>
      </c>
      <c r="J1502" s="12" t="s">
        <v>7372</v>
      </c>
      <c r="K1502" s="12" t="s">
        <v>21</v>
      </c>
      <c r="L1502" s="12">
        <v>4</v>
      </c>
      <c r="M1502" s="14" t="s">
        <v>5346</v>
      </c>
      <c r="N1502" s="14" t="s">
        <v>3392</v>
      </c>
      <c r="O1502" s="17" t="s">
        <v>1108</v>
      </c>
    </row>
    <row r="1503" spans="1:15" x14ac:dyDescent="0.15">
      <c r="A1503" s="21" t="s">
        <v>7378</v>
      </c>
      <c r="B1503" s="22"/>
      <c r="C1503" s="11"/>
      <c r="D1503" s="17" t="s">
        <v>1685</v>
      </c>
      <c r="E1503" s="10" t="s">
        <v>137</v>
      </c>
      <c r="F1503" s="11" t="s">
        <v>7377</v>
      </c>
      <c r="G1503" s="12">
        <f>12.838*L1503</f>
        <v>166.89399999999998</v>
      </c>
      <c r="H1503" s="13">
        <v>42333</v>
      </c>
      <c r="I1503" s="12" t="s">
        <v>7371</v>
      </c>
      <c r="J1503" s="12" t="s">
        <v>7375</v>
      </c>
      <c r="K1503" s="12" t="s">
        <v>141</v>
      </c>
      <c r="L1503" s="12">
        <v>13</v>
      </c>
      <c r="M1503" s="14" t="s">
        <v>7376</v>
      </c>
      <c r="N1503" s="14" t="s">
        <v>7379</v>
      </c>
      <c r="O1503" s="17" t="s">
        <v>7376</v>
      </c>
    </row>
    <row r="1504" spans="1:15" x14ac:dyDescent="0.15">
      <c r="A1504" s="21" t="s">
        <v>7389</v>
      </c>
      <c r="B1504" s="22"/>
      <c r="C1504" s="11"/>
      <c r="D1504" s="17" t="s">
        <v>1475</v>
      </c>
      <c r="E1504" s="10" t="s">
        <v>137</v>
      </c>
      <c r="F1504" s="11" t="s">
        <v>7388</v>
      </c>
      <c r="G1504" s="12">
        <v>197.024</v>
      </c>
      <c r="H1504" s="13">
        <v>42333</v>
      </c>
      <c r="I1504" s="12" t="s">
        <v>215</v>
      </c>
      <c r="J1504" s="12" t="s">
        <v>7380</v>
      </c>
      <c r="K1504" s="12" t="s">
        <v>175</v>
      </c>
      <c r="L1504" s="12" t="s">
        <v>7381</v>
      </c>
      <c r="M1504" s="14" t="s">
        <v>7387</v>
      </c>
      <c r="N1504" s="14" t="s">
        <v>7394</v>
      </c>
      <c r="O1504" s="17" t="s">
        <v>7510</v>
      </c>
    </row>
    <row r="1505" spans="1:15" x14ac:dyDescent="0.15">
      <c r="A1505" s="21" t="s">
        <v>7389</v>
      </c>
      <c r="B1505" s="22"/>
      <c r="C1505" s="11"/>
      <c r="D1505" s="17" t="s">
        <v>1475</v>
      </c>
      <c r="E1505" s="10" t="s">
        <v>137</v>
      </c>
      <c r="F1505" s="11" t="s">
        <v>7391</v>
      </c>
      <c r="G1505" s="12">
        <v>98.623999999999995</v>
      </c>
      <c r="H1505" s="13">
        <v>42333</v>
      </c>
      <c r="I1505" s="12" t="s">
        <v>7392</v>
      </c>
      <c r="J1505" s="12" t="s">
        <v>7383</v>
      </c>
      <c r="K1505" s="12" t="s">
        <v>175</v>
      </c>
      <c r="L1505" s="12" t="s">
        <v>7382</v>
      </c>
      <c r="M1505" s="14" t="s">
        <v>7390</v>
      </c>
      <c r="N1505" s="14" t="s">
        <v>7398</v>
      </c>
      <c r="O1505" s="17" t="s">
        <v>7511</v>
      </c>
    </row>
    <row r="1506" spans="1:15" x14ac:dyDescent="0.15">
      <c r="A1506" s="21" t="s">
        <v>7386</v>
      </c>
      <c r="B1506" s="22"/>
      <c r="C1506" s="11"/>
      <c r="D1506" s="17" t="s">
        <v>1475</v>
      </c>
      <c r="E1506" s="10" t="s">
        <v>137</v>
      </c>
      <c r="F1506" s="11" t="s">
        <v>7395</v>
      </c>
      <c r="G1506" s="12">
        <v>197.423</v>
      </c>
      <c r="H1506" s="13">
        <v>42333</v>
      </c>
      <c r="I1506" s="12" t="s">
        <v>7396</v>
      </c>
      <c r="J1506" s="12" t="s">
        <v>7384</v>
      </c>
      <c r="K1506" s="12" t="s">
        <v>175</v>
      </c>
      <c r="L1506" s="12" t="s">
        <v>7381</v>
      </c>
      <c r="M1506" s="14" t="s">
        <v>7393</v>
      </c>
      <c r="N1506" s="14" t="s">
        <v>8064</v>
      </c>
      <c r="O1506" s="17" t="s">
        <v>7512</v>
      </c>
    </row>
    <row r="1507" spans="1:15" x14ac:dyDescent="0.15">
      <c r="A1507" s="50" t="s">
        <v>7389</v>
      </c>
      <c r="B1507" s="51"/>
      <c r="C1507" s="43"/>
      <c r="D1507" s="44" t="s">
        <v>7401</v>
      </c>
      <c r="E1507" s="41" t="s">
        <v>137</v>
      </c>
      <c r="F1507" s="43" t="s">
        <v>7400</v>
      </c>
      <c r="G1507" s="45">
        <v>98.515000000000001</v>
      </c>
      <c r="H1507" s="46">
        <v>42333</v>
      </c>
      <c r="I1507" s="45" t="s">
        <v>7392</v>
      </c>
      <c r="J1507" s="45" t="s">
        <v>7385</v>
      </c>
      <c r="K1507" s="45" t="s">
        <v>175</v>
      </c>
      <c r="L1507" s="45" t="s">
        <v>7382</v>
      </c>
      <c r="M1507" s="48" t="s">
        <v>7397</v>
      </c>
      <c r="N1507" s="48" t="s">
        <v>7399</v>
      </c>
      <c r="O1507" s="44" t="s">
        <v>7513</v>
      </c>
    </row>
    <row r="1508" spans="1:15" x14ac:dyDescent="0.15">
      <c r="A1508" s="50" t="s">
        <v>7404</v>
      </c>
      <c r="B1508" s="51"/>
      <c r="C1508" s="43"/>
      <c r="D1508" s="44" t="s">
        <v>2503</v>
      </c>
      <c r="E1508" s="41" t="s">
        <v>137</v>
      </c>
      <c r="F1508" s="43" t="s">
        <v>7407</v>
      </c>
      <c r="G1508" s="45">
        <v>59.521000000000001</v>
      </c>
      <c r="H1508" s="46">
        <v>42333</v>
      </c>
      <c r="I1508" s="45" t="s">
        <v>7392</v>
      </c>
      <c r="J1508" s="45" t="s">
        <v>7402</v>
      </c>
      <c r="K1508" s="45" t="s">
        <v>328</v>
      </c>
      <c r="L1508" s="45" t="s">
        <v>7403</v>
      </c>
      <c r="M1508" s="48" t="s">
        <v>7405</v>
      </c>
      <c r="N1508" s="48" t="s">
        <v>7406</v>
      </c>
      <c r="O1508" s="44" t="s">
        <v>7514</v>
      </c>
    </row>
    <row r="1509" spans="1:15" x14ac:dyDescent="0.15">
      <c r="A1509" s="50" t="s">
        <v>7404</v>
      </c>
      <c r="B1509" s="51"/>
      <c r="C1509" s="43"/>
      <c r="D1509" s="44" t="s">
        <v>2503</v>
      </c>
      <c r="E1509" s="41" t="s">
        <v>137</v>
      </c>
      <c r="F1509" s="43" t="s">
        <v>7411</v>
      </c>
      <c r="G1509" s="45">
        <v>102.22199999999999</v>
      </c>
      <c r="H1509" s="46">
        <v>42333</v>
      </c>
      <c r="I1509" s="45" t="s">
        <v>7392</v>
      </c>
      <c r="J1509" s="45" t="s">
        <v>7440</v>
      </c>
      <c r="K1509" s="45" t="s">
        <v>328</v>
      </c>
      <c r="L1509" s="45" t="s">
        <v>7408</v>
      </c>
      <c r="M1509" s="48" t="s">
        <v>7409</v>
      </c>
      <c r="N1509" s="48" t="s">
        <v>7410</v>
      </c>
      <c r="O1509" s="44" t="s">
        <v>7515</v>
      </c>
    </row>
    <row r="1510" spans="1:15" x14ac:dyDescent="0.15">
      <c r="A1510" s="50" t="s">
        <v>616</v>
      </c>
      <c r="B1510" s="51"/>
      <c r="C1510" s="43"/>
      <c r="D1510" s="44" t="s">
        <v>833</v>
      </c>
      <c r="E1510" s="41" t="s">
        <v>137</v>
      </c>
      <c r="F1510" s="43" t="s">
        <v>7661</v>
      </c>
      <c r="G1510" s="45">
        <v>231.63399999999999</v>
      </c>
      <c r="H1510" s="46">
        <v>42333</v>
      </c>
      <c r="I1510" s="47" t="s">
        <v>7660</v>
      </c>
      <c r="J1510" s="47" t="s">
        <v>7412</v>
      </c>
      <c r="K1510" s="47" t="s">
        <v>148</v>
      </c>
      <c r="L1510" s="45" t="s">
        <v>7413</v>
      </c>
      <c r="M1510" s="48" t="s">
        <v>7659</v>
      </c>
      <c r="N1510" s="48" t="s">
        <v>7415</v>
      </c>
      <c r="O1510" s="44" t="s">
        <v>7662</v>
      </c>
    </row>
    <row r="1511" spans="1:15" x14ac:dyDescent="0.15">
      <c r="A1511" s="50" t="s">
        <v>7417</v>
      </c>
      <c r="B1511" s="51"/>
      <c r="C1511" s="43"/>
      <c r="D1511" s="44" t="s">
        <v>833</v>
      </c>
      <c r="E1511" s="41" t="s">
        <v>137</v>
      </c>
      <c r="F1511" s="43" t="s">
        <v>7416</v>
      </c>
      <c r="G1511" s="45">
        <v>198.98099999999999</v>
      </c>
      <c r="H1511" s="46">
        <v>42333</v>
      </c>
      <c r="I1511" s="47" t="s">
        <v>215</v>
      </c>
      <c r="J1511" s="47" t="s">
        <v>7441</v>
      </c>
      <c r="K1511" s="47" t="s">
        <v>148</v>
      </c>
      <c r="L1511" s="45" t="s">
        <v>7414</v>
      </c>
      <c r="M1511" s="48" t="s">
        <v>7418</v>
      </c>
      <c r="N1511" s="48" t="s">
        <v>7419</v>
      </c>
      <c r="O1511" s="44" t="s">
        <v>7516</v>
      </c>
    </row>
    <row r="1512" spans="1:15" x14ac:dyDescent="0.15">
      <c r="A1512" s="50" t="s">
        <v>7422</v>
      </c>
      <c r="B1512" s="51"/>
      <c r="C1512" s="43"/>
      <c r="D1512" s="44" t="s">
        <v>1692</v>
      </c>
      <c r="E1512" s="41" t="s">
        <v>137</v>
      </c>
      <c r="F1512" s="43" t="s">
        <v>7425</v>
      </c>
      <c r="G1512" s="45">
        <v>189.029</v>
      </c>
      <c r="H1512" s="46">
        <v>42333</v>
      </c>
      <c r="I1512" s="45" t="s">
        <v>7392</v>
      </c>
      <c r="J1512" s="45" t="s">
        <v>7420</v>
      </c>
      <c r="K1512" s="45" t="s">
        <v>148</v>
      </c>
      <c r="L1512" s="45" t="s">
        <v>7421</v>
      </c>
      <c r="M1512" s="48" t="s">
        <v>7423</v>
      </c>
      <c r="N1512" s="48" t="s">
        <v>7424</v>
      </c>
      <c r="O1512" s="44" t="s">
        <v>7517</v>
      </c>
    </row>
    <row r="1513" spans="1:15" x14ac:dyDescent="0.15">
      <c r="A1513" s="21" t="s">
        <v>7428</v>
      </c>
      <c r="B1513" s="22"/>
      <c r="C1513" s="11"/>
      <c r="D1513" s="17" t="s">
        <v>893</v>
      </c>
      <c r="E1513" s="10" t="s">
        <v>137</v>
      </c>
      <c r="F1513" s="11" t="s">
        <v>7431</v>
      </c>
      <c r="G1513" s="12">
        <v>135.25700000000001</v>
      </c>
      <c r="H1513" s="13">
        <v>42333</v>
      </c>
      <c r="I1513" s="12" t="s">
        <v>7432</v>
      </c>
      <c r="J1513" s="12" t="s">
        <v>7426</v>
      </c>
      <c r="K1513" s="12" t="s">
        <v>148</v>
      </c>
      <c r="L1513" s="12" t="s">
        <v>7427</v>
      </c>
      <c r="M1513" s="14" t="s">
        <v>7429</v>
      </c>
      <c r="N1513" s="14" t="s">
        <v>7430</v>
      </c>
      <c r="O1513" s="17" t="s">
        <v>7518</v>
      </c>
    </row>
    <row r="1514" spans="1:15" x14ac:dyDescent="0.15">
      <c r="A1514" s="50" t="s">
        <v>7434</v>
      </c>
      <c r="B1514" s="51"/>
      <c r="C1514" s="43"/>
      <c r="D1514" s="44" t="s">
        <v>2156</v>
      </c>
      <c r="E1514" s="41" t="s">
        <v>137</v>
      </c>
      <c r="F1514" s="43" t="s">
        <v>7439</v>
      </c>
      <c r="G1514" s="45">
        <v>110.523</v>
      </c>
      <c r="H1514" s="46">
        <v>42333</v>
      </c>
      <c r="I1514" s="45" t="s">
        <v>7392</v>
      </c>
      <c r="J1514" s="45" t="s">
        <v>7433</v>
      </c>
      <c r="K1514" s="45" t="s">
        <v>148</v>
      </c>
      <c r="L1514" s="45" t="s">
        <v>7436</v>
      </c>
      <c r="M1514" s="48" t="s">
        <v>7437</v>
      </c>
      <c r="N1514" s="48" t="s">
        <v>7438</v>
      </c>
      <c r="O1514" s="44" t="s">
        <v>7637</v>
      </c>
    </row>
    <row r="1515" spans="1:15" x14ac:dyDescent="0.15">
      <c r="A1515" s="50" t="s">
        <v>7445</v>
      </c>
      <c r="B1515" s="51"/>
      <c r="C1515" s="43"/>
      <c r="D1515" s="44" t="s">
        <v>1307</v>
      </c>
      <c r="E1515" s="41" t="s">
        <v>137</v>
      </c>
      <c r="F1515" s="43" t="s">
        <v>7444</v>
      </c>
      <c r="G1515" s="45">
        <v>311.39999999999998</v>
      </c>
      <c r="H1515" s="46">
        <v>42333</v>
      </c>
      <c r="I1515" s="45" t="s">
        <v>7432</v>
      </c>
      <c r="J1515" s="45" t="s">
        <v>7443</v>
      </c>
      <c r="K1515" s="45" t="s">
        <v>39</v>
      </c>
      <c r="L1515" s="45" t="s">
        <v>7442</v>
      </c>
      <c r="M1515" s="48" t="s">
        <v>7446</v>
      </c>
      <c r="N1515" s="48" t="s">
        <v>7447</v>
      </c>
      <c r="O1515" s="44" t="s">
        <v>7638</v>
      </c>
    </row>
    <row r="1516" spans="1:15" x14ac:dyDescent="0.15">
      <c r="A1516" s="50" t="s">
        <v>126</v>
      </c>
      <c r="B1516" s="51" t="s">
        <v>591</v>
      </c>
      <c r="C1516" s="43"/>
      <c r="D1516" s="44" t="s">
        <v>128</v>
      </c>
      <c r="E1516" s="41" t="s">
        <v>137</v>
      </c>
      <c r="F1516" s="43" t="s">
        <v>7475</v>
      </c>
      <c r="G1516" s="45">
        <f t="shared" ref="G1516:G1519" si="47">8.606*L1516</f>
        <v>215.15</v>
      </c>
      <c r="H1516" s="46">
        <v>42334</v>
      </c>
      <c r="I1516" s="45" t="s">
        <v>182</v>
      </c>
      <c r="J1516" s="45" t="s">
        <v>7467</v>
      </c>
      <c r="K1516" s="47" t="s">
        <v>141</v>
      </c>
      <c r="L1516" s="45">
        <v>25</v>
      </c>
      <c r="M1516" s="48" t="s">
        <v>7471</v>
      </c>
      <c r="N1516" s="48" t="s">
        <v>338</v>
      </c>
      <c r="O1516" s="44" t="s">
        <v>7471</v>
      </c>
    </row>
    <row r="1517" spans="1:15" x14ac:dyDescent="0.15">
      <c r="A1517" s="50" t="s">
        <v>126</v>
      </c>
      <c r="B1517" s="51" t="s">
        <v>591</v>
      </c>
      <c r="C1517" s="43"/>
      <c r="D1517" s="44" t="s">
        <v>128</v>
      </c>
      <c r="E1517" s="41" t="s">
        <v>137</v>
      </c>
      <c r="F1517" s="43" t="s">
        <v>7476</v>
      </c>
      <c r="G1517" s="45">
        <f t="shared" si="47"/>
        <v>215.15</v>
      </c>
      <c r="H1517" s="46">
        <v>42334</v>
      </c>
      <c r="I1517" s="45" t="s">
        <v>182</v>
      </c>
      <c r="J1517" s="45" t="s">
        <v>7468</v>
      </c>
      <c r="K1517" s="47" t="s">
        <v>141</v>
      </c>
      <c r="L1517" s="45">
        <v>25</v>
      </c>
      <c r="M1517" s="48" t="s">
        <v>7472</v>
      </c>
      <c r="N1517" s="48" t="s">
        <v>338</v>
      </c>
      <c r="O1517" s="44" t="s">
        <v>7472</v>
      </c>
    </row>
    <row r="1518" spans="1:15" x14ac:dyDescent="0.15">
      <c r="A1518" s="50" t="s">
        <v>126</v>
      </c>
      <c r="B1518" s="51" t="s">
        <v>591</v>
      </c>
      <c r="C1518" s="43"/>
      <c r="D1518" s="44" t="s">
        <v>128</v>
      </c>
      <c r="E1518" s="41" t="s">
        <v>137</v>
      </c>
      <c r="F1518" s="43" t="s">
        <v>7477</v>
      </c>
      <c r="G1518" s="45">
        <f t="shared" si="47"/>
        <v>215.15</v>
      </c>
      <c r="H1518" s="46">
        <v>42334</v>
      </c>
      <c r="I1518" s="45" t="s">
        <v>182</v>
      </c>
      <c r="J1518" s="45" t="s">
        <v>7469</v>
      </c>
      <c r="K1518" s="47" t="s">
        <v>141</v>
      </c>
      <c r="L1518" s="45">
        <v>25</v>
      </c>
      <c r="M1518" s="48" t="s">
        <v>7473</v>
      </c>
      <c r="N1518" s="48" t="s">
        <v>338</v>
      </c>
      <c r="O1518" s="44" t="s">
        <v>7473</v>
      </c>
    </row>
    <row r="1519" spans="1:15" x14ac:dyDescent="0.15">
      <c r="A1519" s="50" t="s">
        <v>7479</v>
      </c>
      <c r="B1519" s="51" t="s">
        <v>591</v>
      </c>
      <c r="C1519" s="43"/>
      <c r="D1519" s="44" t="s">
        <v>128</v>
      </c>
      <c r="E1519" s="41" t="s">
        <v>137</v>
      </c>
      <c r="F1519" s="43" t="s">
        <v>7478</v>
      </c>
      <c r="G1519" s="45">
        <f t="shared" si="47"/>
        <v>215.15</v>
      </c>
      <c r="H1519" s="46">
        <v>42334</v>
      </c>
      <c r="I1519" s="45" t="s">
        <v>7480</v>
      </c>
      <c r="J1519" s="45" t="s">
        <v>7470</v>
      </c>
      <c r="K1519" s="47" t="s">
        <v>141</v>
      </c>
      <c r="L1519" s="45">
        <v>25</v>
      </c>
      <c r="M1519" s="48" t="s">
        <v>7474</v>
      </c>
      <c r="N1519" s="48" t="s">
        <v>338</v>
      </c>
      <c r="O1519" s="44" t="s">
        <v>7474</v>
      </c>
    </row>
    <row r="1520" spans="1:15" x14ac:dyDescent="0.15">
      <c r="A1520" s="50" t="s">
        <v>7484</v>
      </c>
      <c r="B1520" s="51" t="s">
        <v>591</v>
      </c>
      <c r="C1520" s="43"/>
      <c r="D1520" s="44" t="s">
        <v>128</v>
      </c>
      <c r="E1520" s="41" t="s">
        <v>137</v>
      </c>
      <c r="F1520" s="43" t="s">
        <v>7483</v>
      </c>
      <c r="G1520" s="45">
        <f t="shared" ref="G1520" si="48">8.606*L1520</f>
        <v>215.15</v>
      </c>
      <c r="H1520" s="46">
        <v>42334</v>
      </c>
      <c r="I1520" s="45" t="s">
        <v>7480</v>
      </c>
      <c r="J1520" s="45" t="s">
        <v>7481</v>
      </c>
      <c r="K1520" s="47" t="s">
        <v>141</v>
      </c>
      <c r="L1520" s="45">
        <v>25</v>
      </c>
      <c r="M1520" s="48" t="s">
        <v>7482</v>
      </c>
      <c r="N1520" s="48" t="s">
        <v>338</v>
      </c>
      <c r="O1520" s="44" t="s">
        <v>7482</v>
      </c>
    </row>
    <row r="1521" spans="1:15" x14ac:dyDescent="0.15">
      <c r="A1521" s="50" t="s">
        <v>5849</v>
      </c>
      <c r="B1521" s="51" t="s">
        <v>591</v>
      </c>
      <c r="C1521" s="43"/>
      <c r="D1521" s="44" t="s">
        <v>128</v>
      </c>
      <c r="E1521" s="41" t="s">
        <v>137</v>
      </c>
      <c r="F1521" s="43" t="s">
        <v>7490</v>
      </c>
      <c r="G1521" s="45">
        <f t="shared" ref="G1521" si="49">8.606*L1521</f>
        <v>197.93799999999999</v>
      </c>
      <c r="H1521" s="46">
        <v>42334</v>
      </c>
      <c r="I1521" s="45" t="s">
        <v>7480</v>
      </c>
      <c r="J1521" s="45" t="s">
        <v>7485</v>
      </c>
      <c r="K1521" s="47" t="s">
        <v>141</v>
      </c>
      <c r="L1521" s="45">
        <v>23</v>
      </c>
      <c r="M1521" s="48" t="s">
        <v>7487</v>
      </c>
      <c r="N1521" s="48" t="s">
        <v>7489</v>
      </c>
      <c r="O1521" s="44" t="s">
        <v>7817</v>
      </c>
    </row>
    <row r="1522" spans="1:15" x14ac:dyDescent="0.15">
      <c r="A1522" s="50" t="s">
        <v>7492</v>
      </c>
      <c r="B1522" s="51" t="s">
        <v>591</v>
      </c>
      <c r="C1522" s="43"/>
      <c r="D1522" s="44" t="s">
        <v>128</v>
      </c>
      <c r="E1522" s="41" t="s">
        <v>137</v>
      </c>
      <c r="F1522" s="43" t="s">
        <v>7491</v>
      </c>
      <c r="G1522" s="45">
        <f t="shared" ref="G1522" si="50">8.606*L1522</f>
        <v>215.15</v>
      </c>
      <c r="H1522" s="46">
        <v>42334</v>
      </c>
      <c r="I1522" s="45" t="s">
        <v>7480</v>
      </c>
      <c r="J1522" s="45" t="s">
        <v>7486</v>
      </c>
      <c r="K1522" s="47" t="s">
        <v>141</v>
      </c>
      <c r="L1522" s="45">
        <v>25</v>
      </c>
      <c r="M1522" s="48" t="s">
        <v>7488</v>
      </c>
      <c r="N1522" s="48" t="s">
        <v>338</v>
      </c>
      <c r="O1522" s="44" t="s">
        <v>7488</v>
      </c>
    </row>
    <row r="1523" spans="1:15" x14ac:dyDescent="0.15">
      <c r="A1523" s="50" t="s">
        <v>7462</v>
      </c>
      <c r="B1523" s="51" t="s">
        <v>591</v>
      </c>
      <c r="C1523" s="43"/>
      <c r="D1523" s="44" t="s">
        <v>396</v>
      </c>
      <c r="E1523" s="41" t="s">
        <v>137</v>
      </c>
      <c r="F1523" s="43" t="s">
        <v>7493</v>
      </c>
      <c r="G1523" s="47">
        <f>29.101*L1523</f>
        <v>232.80799999999999</v>
      </c>
      <c r="H1523" s="46">
        <v>42334</v>
      </c>
      <c r="I1523" s="45" t="s">
        <v>7463</v>
      </c>
      <c r="J1523" s="45" t="s">
        <v>7461</v>
      </c>
      <c r="K1523" s="45" t="s">
        <v>184</v>
      </c>
      <c r="L1523" s="45">
        <v>8</v>
      </c>
      <c r="M1523" s="48" t="s">
        <v>5109</v>
      </c>
      <c r="N1523" s="48" t="s">
        <v>5306</v>
      </c>
      <c r="O1523" s="44" t="s">
        <v>7866</v>
      </c>
    </row>
    <row r="1524" spans="1:15" x14ac:dyDescent="0.15">
      <c r="A1524" s="50" t="s">
        <v>7464</v>
      </c>
      <c r="B1524" s="51" t="s">
        <v>591</v>
      </c>
      <c r="C1524" s="43"/>
      <c r="D1524" s="44" t="s">
        <v>859</v>
      </c>
      <c r="E1524" s="41" t="s">
        <v>137</v>
      </c>
      <c r="F1524" s="43" t="s">
        <v>7494</v>
      </c>
      <c r="G1524" s="45">
        <f t="shared" ref="G1524" si="51">8.823*L1524</f>
        <v>220.57500000000002</v>
      </c>
      <c r="H1524" s="46">
        <v>42334</v>
      </c>
      <c r="I1524" s="45" t="s">
        <v>861</v>
      </c>
      <c r="J1524" s="45" t="s">
        <v>7465</v>
      </c>
      <c r="K1524" s="45" t="s">
        <v>141</v>
      </c>
      <c r="L1524" s="45">
        <v>25</v>
      </c>
      <c r="M1524" s="48" t="s">
        <v>7466</v>
      </c>
      <c r="N1524" s="48" t="s">
        <v>338</v>
      </c>
      <c r="O1524" s="44" t="s">
        <v>7466</v>
      </c>
    </row>
    <row r="1525" spans="1:15" x14ac:dyDescent="0.15">
      <c r="A1525" s="50" t="s">
        <v>7500</v>
      </c>
      <c r="B1525" s="51" t="s">
        <v>591</v>
      </c>
      <c r="C1525" s="43"/>
      <c r="D1525" s="44" t="s">
        <v>419</v>
      </c>
      <c r="E1525" s="41" t="s">
        <v>137</v>
      </c>
      <c r="F1525" s="43" t="s">
        <v>7497</v>
      </c>
      <c r="G1525" s="45">
        <f t="shared" ref="G1525" si="52">8.606*L1525</f>
        <v>215.15</v>
      </c>
      <c r="H1525" s="46">
        <v>42334</v>
      </c>
      <c r="I1525" s="45" t="s">
        <v>182</v>
      </c>
      <c r="J1525" s="45" t="s">
        <v>7496</v>
      </c>
      <c r="K1525" s="47" t="s">
        <v>141</v>
      </c>
      <c r="L1525" s="45">
        <v>25</v>
      </c>
      <c r="M1525" s="48" t="s">
        <v>7495</v>
      </c>
      <c r="N1525" s="48" t="s">
        <v>338</v>
      </c>
      <c r="O1525" s="44" t="s">
        <v>7495</v>
      </c>
    </row>
    <row r="1526" spans="1:15" x14ac:dyDescent="0.15">
      <c r="A1526" s="50" t="s">
        <v>7501</v>
      </c>
      <c r="B1526" s="51" t="s">
        <v>591</v>
      </c>
      <c r="C1526" s="43"/>
      <c r="D1526" s="44" t="s">
        <v>419</v>
      </c>
      <c r="E1526" s="41" t="s">
        <v>137</v>
      </c>
      <c r="F1526" s="43" t="s">
        <v>7498</v>
      </c>
      <c r="G1526" s="45">
        <f t="shared" ref="G1526" si="53">8.606*L1526</f>
        <v>215.15</v>
      </c>
      <c r="H1526" s="46">
        <v>42334</v>
      </c>
      <c r="I1526" s="45" t="s">
        <v>7480</v>
      </c>
      <c r="J1526" s="45" t="s">
        <v>7502</v>
      </c>
      <c r="K1526" s="47" t="s">
        <v>141</v>
      </c>
      <c r="L1526" s="45">
        <v>25</v>
      </c>
      <c r="M1526" s="48" t="s">
        <v>7499</v>
      </c>
      <c r="N1526" s="48" t="s">
        <v>338</v>
      </c>
      <c r="O1526" s="44" t="s">
        <v>7499</v>
      </c>
    </row>
    <row r="1527" spans="1:15" x14ac:dyDescent="0.15">
      <c r="A1527" s="50" t="s">
        <v>7525</v>
      </c>
      <c r="B1527" s="51"/>
      <c r="C1527" s="43"/>
      <c r="D1527" s="44" t="s">
        <v>334</v>
      </c>
      <c r="E1527" s="41" t="s">
        <v>137</v>
      </c>
      <c r="F1527" s="43" t="s">
        <v>7524</v>
      </c>
      <c r="G1527" s="45">
        <f>18.708*L1527</f>
        <v>187.07999999999998</v>
      </c>
      <c r="H1527" s="46">
        <v>42339</v>
      </c>
      <c r="I1527" s="45" t="s">
        <v>7526</v>
      </c>
      <c r="J1527" s="45" t="s">
        <v>7522</v>
      </c>
      <c r="K1527" s="45" t="s">
        <v>21</v>
      </c>
      <c r="L1527" s="45">
        <v>10</v>
      </c>
      <c r="M1527" s="48" t="s">
        <v>7523</v>
      </c>
      <c r="N1527" s="48" t="s">
        <v>7527</v>
      </c>
      <c r="O1527" s="44" t="s">
        <v>7523</v>
      </c>
    </row>
    <row r="1528" spans="1:15" x14ac:dyDescent="0.15">
      <c r="A1528" s="50" t="s">
        <v>7530</v>
      </c>
      <c r="B1528" s="51"/>
      <c r="C1528" s="43"/>
      <c r="D1528" s="44" t="s">
        <v>97</v>
      </c>
      <c r="E1528" s="41" t="s">
        <v>137</v>
      </c>
      <c r="F1528" s="43" t="s">
        <v>7529</v>
      </c>
      <c r="G1528" s="47">
        <f>12.838*L1528</f>
        <v>166.89399999999998</v>
      </c>
      <c r="H1528" s="46">
        <v>42339</v>
      </c>
      <c r="I1528" s="45" t="s">
        <v>7651</v>
      </c>
      <c r="J1528" s="45" t="s">
        <v>7528</v>
      </c>
      <c r="K1528" s="45" t="s">
        <v>141</v>
      </c>
      <c r="L1528" s="45">
        <v>13</v>
      </c>
      <c r="M1528" s="48" t="s">
        <v>7231</v>
      </c>
      <c r="N1528" s="48" t="s">
        <v>473</v>
      </c>
      <c r="O1528" s="44" t="s">
        <v>7658</v>
      </c>
    </row>
    <row r="1529" spans="1:15" x14ac:dyDescent="0.15">
      <c r="A1529" s="50" t="s">
        <v>7653</v>
      </c>
      <c r="B1529" s="51"/>
      <c r="C1529" s="43"/>
      <c r="D1529" s="44" t="s">
        <v>600</v>
      </c>
      <c r="E1529" s="41" t="s">
        <v>137</v>
      </c>
      <c r="F1529" s="43" t="s">
        <v>7535</v>
      </c>
      <c r="G1529" s="45">
        <f>14.405*10</f>
        <v>144.04999999999998</v>
      </c>
      <c r="H1529" s="46">
        <v>42339</v>
      </c>
      <c r="I1529" s="45" t="s">
        <v>7652</v>
      </c>
      <c r="J1529" s="45" t="s">
        <v>7531</v>
      </c>
      <c r="K1529" s="45" t="s">
        <v>141</v>
      </c>
      <c r="L1529" s="45" t="s">
        <v>7532</v>
      </c>
      <c r="M1529" s="48" t="s">
        <v>7533</v>
      </c>
      <c r="N1529" s="48" t="s">
        <v>7534</v>
      </c>
      <c r="O1529" s="44" t="s">
        <v>7663</v>
      </c>
    </row>
    <row r="1530" spans="1:15" x14ac:dyDescent="0.15">
      <c r="A1530" s="50" t="s">
        <v>7539</v>
      </c>
      <c r="B1530" s="51"/>
      <c r="C1530" s="43"/>
      <c r="D1530" s="44" t="s">
        <v>396</v>
      </c>
      <c r="E1530" s="41" t="s">
        <v>137</v>
      </c>
      <c r="F1530" s="43" t="s">
        <v>7538</v>
      </c>
      <c r="G1530" s="45">
        <f>29.101*L1530</f>
        <v>58.201999999999998</v>
      </c>
      <c r="H1530" s="46">
        <v>42339</v>
      </c>
      <c r="I1530" s="45" t="s">
        <v>7540</v>
      </c>
      <c r="J1530" s="45" t="s">
        <v>7536</v>
      </c>
      <c r="K1530" s="45" t="s">
        <v>21</v>
      </c>
      <c r="L1530" s="45">
        <v>2</v>
      </c>
      <c r="M1530" s="48" t="s">
        <v>7537</v>
      </c>
      <c r="N1530" s="48" t="s">
        <v>393</v>
      </c>
      <c r="O1530" s="44" t="s">
        <v>7537</v>
      </c>
    </row>
    <row r="1531" spans="1:15" x14ac:dyDescent="0.15">
      <c r="A1531" s="50" t="s">
        <v>7547</v>
      </c>
      <c r="B1531" s="51" t="s">
        <v>3776</v>
      </c>
      <c r="C1531" s="43"/>
      <c r="D1531" s="44" t="s">
        <v>5220</v>
      </c>
      <c r="E1531" s="41" t="s">
        <v>137</v>
      </c>
      <c r="F1531" s="43" t="s">
        <v>7545</v>
      </c>
      <c r="G1531" s="45">
        <f t="shared" ref="G1531:G1532" si="54">2.078*L1531</f>
        <v>51.949999999999996</v>
      </c>
      <c r="H1531" s="46">
        <v>42339</v>
      </c>
      <c r="I1531" s="45" t="s">
        <v>2740</v>
      </c>
      <c r="J1531" s="45" t="s">
        <v>7541</v>
      </c>
      <c r="K1531" s="45" t="s">
        <v>141</v>
      </c>
      <c r="L1531" s="45">
        <v>25</v>
      </c>
      <c r="M1531" s="48" t="s">
        <v>7543</v>
      </c>
      <c r="N1531" s="48" t="s">
        <v>338</v>
      </c>
      <c r="O1531" s="44" t="s">
        <v>7543</v>
      </c>
    </row>
    <row r="1532" spans="1:15" x14ac:dyDescent="0.15">
      <c r="A1532" s="50" t="s">
        <v>6429</v>
      </c>
      <c r="B1532" s="51" t="s">
        <v>3776</v>
      </c>
      <c r="C1532" s="43"/>
      <c r="D1532" s="44" t="s">
        <v>5220</v>
      </c>
      <c r="E1532" s="41" t="s">
        <v>137</v>
      </c>
      <c r="F1532" s="43" t="s">
        <v>7546</v>
      </c>
      <c r="G1532" s="45">
        <f t="shared" si="54"/>
        <v>43.637999999999998</v>
      </c>
      <c r="H1532" s="46">
        <v>42339</v>
      </c>
      <c r="I1532" s="45" t="s">
        <v>7548</v>
      </c>
      <c r="J1532" s="45" t="s">
        <v>7542</v>
      </c>
      <c r="K1532" s="45" t="s">
        <v>141</v>
      </c>
      <c r="L1532" s="45">
        <v>21</v>
      </c>
      <c r="M1532" s="48" t="s">
        <v>7544</v>
      </c>
      <c r="N1532" s="48" t="s">
        <v>1977</v>
      </c>
      <c r="O1532" s="44" t="s">
        <v>7544</v>
      </c>
    </row>
    <row r="1533" spans="1:15" x14ac:dyDescent="0.15">
      <c r="A1533" s="50" t="s">
        <v>7552</v>
      </c>
      <c r="B1533" s="51" t="s">
        <v>3776</v>
      </c>
      <c r="C1533" s="43"/>
      <c r="D1533" s="44" t="s">
        <v>3783</v>
      </c>
      <c r="E1533" s="41" t="s">
        <v>137</v>
      </c>
      <c r="F1533" s="43" t="s">
        <v>7551</v>
      </c>
      <c r="G1533" s="47">
        <f>4.701*L1533</f>
        <v>108.12299999999999</v>
      </c>
      <c r="H1533" s="46">
        <v>42339</v>
      </c>
      <c r="I1533" s="45" t="s">
        <v>7553</v>
      </c>
      <c r="J1533" s="45" t="s">
        <v>7549</v>
      </c>
      <c r="K1533" s="45" t="s">
        <v>141</v>
      </c>
      <c r="L1533" s="45">
        <v>23</v>
      </c>
      <c r="M1533" s="48" t="s">
        <v>7550</v>
      </c>
      <c r="N1533" s="48" t="s">
        <v>2815</v>
      </c>
      <c r="O1533" s="44" t="s">
        <v>7550</v>
      </c>
    </row>
    <row r="1534" spans="1:15" x14ac:dyDescent="0.15">
      <c r="A1534" s="50" t="s">
        <v>6793</v>
      </c>
      <c r="B1534" s="51" t="s">
        <v>3776</v>
      </c>
      <c r="C1534" s="43"/>
      <c r="D1534" s="44" t="s">
        <v>128</v>
      </c>
      <c r="E1534" s="41" t="s">
        <v>137</v>
      </c>
      <c r="F1534" s="43" t="s">
        <v>7558</v>
      </c>
      <c r="G1534" s="45">
        <f t="shared" ref="G1534:G1535" si="55">8.606*L1534</f>
        <v>215.15</v>
      </c>
      <c r="H1534" s="46">
        <v>42339</v>
      </c>
      <c r="I1534" s="45" t="s">
        <v>7480</v>
      </c>
      <c r="J1534" s="45" t="s">
        <v>7554</v>
      </c>
      <c r="K1534" s="47" t="s">
        <v>141</v>
      </c>
      <c r="L1534" s="45">
        <v>25</v>
      </c>
      <c r="M1534" s="48" t="s">
        <v>7556</v>
      </c>
      <c r="N1534" s="48" t="s">
        <v>338</v>
      </c>
      <c r="O1534" s="44" t="s">
        <v>7556</v>
      </c>
    </row>
    <row r="1535" spans="1:15" x14ac:dyDescent="0.15">
      <c r="A1535" s="50" t="s">
        <v>7560</v>
      </c>
      <c r="B1535" s="51" t="s">
        <v>3776</v>
      </c>
      <c r="C1535" s="43"/>
      <c r="D1535" s="44" t="s">
        <v>128</v>
      </c>
      <c r="E1535" s="41" t="s">
        <v>137</v>
      </c>
      <c r="F1535" s="43" t="s">
        <v>7559</v>
      </c>
      <c r="G1535" s="45">
        <f t="shared" si="55"/>
        <v>215.15</v>
      </c>
      <c r="H1535" s="46">
        <v>42339</v>
      </c>
      <c r="I1535" s="45" t="s">
        <v>7561</v>
      </c>
      <c r="J1535" s="45" t="s">
        <v>7555</v>
      </c>
      <c r="K1535" s="47" t="s">
        <v>141</v>
      </c>
      <c r="L1535" s="45">
        <v>25</v>
      </c>
      <c r="M1535" s="48" t="s">
        <v>7557</v>
      </c>
      <c r="N1535" s="48" t="s">
        <v>338</v>
      </c>
      <c r="O1535" s="44" t="s">
        <v>7557</v>
      </c>
    </row>
    <row r="1536" spans="1:15" x14ac:dyDescent="0.15">
      <c r="A1536" s="50" t="s">
        <v>7562</v>
      </c>
      <c r="B1536" s="51"/>
      <c r="C1536" s="43"/>
      <c r="D1536" s="44" t="s">
        <v>6249</v>
      </c>
      <c r="E1536" s="41" t="s">
        <v>137</v>
      </c>
      <c r="F1536" s="43" t="s">
        <v>7564</v>
      </c>
      <c r="G1536" s="47">
        <f>20.545*L1536</f>
        <v>61.635000000000005</v>
      </c>
      <c r="H1536" s="46">
        <v>42339</v>
      </c>
      <c r="I1536" s="45" t="s">
        <v>7565</v>
      </c>
      <c r="J1536" s="45" t="s">
        <v>7563</v>
      </c>
      <c r="K1536" s="45" t="s">
        <v>184</v>
      </c>
      <c r="L1536" s="45">
        <v>3</v>
      </c>
      <c r="M1536" s="48" t="s">
        <v>6252</v>
      </c>
      <c r="N1536" s="48" t="s">
        <v>479</v>
      </c>
      <c r="O1536" s="44" t="s">
        <v>7664</v>
      </c>
    </row>
    <row r="1537" spans="1:15" x14ac:dyDescent="0.15">
      <c r="A1537" s="50" t="s">
        <v>7568</v>
      </c>
      <c r="B1537" s="51"/>
      <c r="C1537" s="43"/>
      <c r="D1537" s="44" t="s">
        <v>546</v>
      </c>
      <c r="E1537" s="41" t="s">
        <v>137</v>
      </c>
      <c r="F1537" s="43" t="s">
        <v>7567</v>
      </c>
      <c r="G1537" s="45">
        <f>17.52*L1537</f>
        <v>87.6</v>
      </c>
      <c r="H1537" s="46">
        <v>42339</v>
      </c>
      <c r="I1537" s="45" t="s">
        <v>7565</v>
      </c>
      <c r="J1537" s="45" t="s">
        <v>7566</v>
      </c>
      <c r="K1537" s="45" t="s">
        <v>21</v>
      </c>
      <c r="L1537" s="45">
        <v>5</v>
      </c>
      <c r="M1537" s="48" t="s">
        <v>6203</v>
      </c>
      <c r="N1537" s="48" t="s">
        <v>680</v>
      </c>
      <c r="O1537" s="44" t="s">
        <v>7665</v>
      </c>
    </row>
    <row r="1538" spans="1:15" x14ac:dyDescent="0.15">
      <c r="A1538" s="50" t="s">
        <v>7572</v>
      </c>
      <c r="B1538" s="51"/>
      <c r="C1538" s="43"/>
      <c r="D1538" s="44" t="s">
        <v>567</v>
      </c>
      <c r="E1538" s="41" t="s">
        <v>137</v>
      </c>
      <c r="F1538" s="43" t="s">
        <v>7571</v>
      </c>
      <c r="G1538" s="45">
        <f t="shared" ref="G1538" si="56">27.688*L1538</f>
        <v>221.50399999999999</v>
      </c>
      <c r="H1538" s="46">
        <v>42339</v>
      </c>
      <c r="I1538" s="45" t="s">
        <v>7565</v>
      </c>
      <c r="J1538" s="45" t="s">
        <v>7569</v>
      </c>
      <c r="K1538" s="45" t="s">
        <v>141</v>
      </c>
      <c r="L1538" s="45">
        <v>8</v>
      </c>
      <c r="M1538" s="48" t="s">
        <v>7268</v>
      </c>
      <c r="N1538" s="48" t="s">
        <v>7570</v>
      </c>
      <c r="O1538" s="44" t="s">
        <v>7666</v>
      </c>
    </row>
    <row r="1539" spans="1:15" x14ac:dyDescent="0.15">
      <c r="A1539" s="50" t="s">
        <v>7576</v>
      </c>
      <c r="B1539" s="51"/>
      <c r="C1539" s="43"/>
      <c r="D1539" s="44" t="s">
        <v>1181</v>
      </c>
      <c r="E1539" s="41" t="s">
        <v>137</v>
      </c>
      <c r="F1539" s="43" t="s">
        <v>7575</v>
      </c>
      <c r="G1539" s="45">
        <f>17.712*L1539</f>
        <v>442.8</v>
      </c>
      <c r="H1539" s="46">
        <v>42339</v>
      </c>
      <c r="I1539" s="45" t="s">
        <v>7565</v>
      </c>
      <c r="J1539" s="45" t="s">
        <v>7573</v>
      </c>
      <c r="K1539" s="45" t="s">
        <v>141</v>
      </c>
      <c r="L1539" s="45">
        <v>25</v>
      </c>
      <c r="M1539" s="48" t="s">
        <v>7574</v>
      </c>
      <c r="N1539" s="48" t="s">
        <v>338</v>
      </c>
      <c r="O1539" s="44" t="s">
        <v>7574</v>
      </c>
    </row>
    <row r="1540" spans="1:15" x14ac:dyDescent="0.15">
      <c r="A1540" s="50" t="s">
        <v>7577</v>
      </c>
      <c r="B1540" s="51"/>
      <c r="C1540" s="43"/>
      <c r="D1540" s="44" t="s">
        <v>1081</v>
      </c>
      <c r="E1540" s="41" t="s">
        <v>137</v>
      </c>
      <c r="F1540" s="43" t="s">
        <v>7581</v>
      </c>
      <c r="G1540" s="45">
        <f>27.688*L1540</f>
        <v>138.44</v>
      </c>
      <c r="H1540" s="46">
        <v>42339</v>
      </c>
      <c r="I1540" s="45" t="s">
        <v>627</v>
      </c>
      <c r="J1540" s="45" t="s">
        <v>7578</v>
      </c>
      <c r="K1540" s="45" t="s">
        <v>7579</v>
      </c>
      <c r="L1540" s="45">
        <v>5</v>
      </c>
      <c r="M1540" s="48" t="s">
        <v>7580</v>
      </c>
      <c r="N1540" s="48" t="s">
        <v>500</v>
      </c>
      <c r="O1540" s="44" t="s">
        <v>7580</v>
      </c>
    </row>
    <row r="1541" spans="1:15" x14ac:dyDescent="0.15">
      <c r="A1541" s="50" t="s">
        <v>7585</v>
      </c>
      <c r="B1541" s="51"/>
      <c r="C1541" s="43"/>
      <c r="D1541" s="44" t="s">
        <v>341</v>
      </c>
      <c r="E1541" s="41" t="s">
        <v>137</v>
      </c>
      <c r="F1541" s="43" t="s">
        <v>7584</v>
      </c>
      <c r="G1541" s="47">
        <f t="shared" ref="G1541" si="57">18.708*L1541</f>
        <v>467.69999999999993</v>
      </c>
      <c r="H1541" s="46">
        <v>42339</v>
      </c>
      <c r="I1541" s="45" t="s">
        <v>7586</v>
      </c>
      <c r="J1541" s="45" t="s">
        <v>7582</v>
      </c>
      <c r="K1541" s="45" t="s">
        <v>141</v>
      </c>
      <c r="L1541" s="45">
        <v>25</v>
      </c>
      <c r="M1541" s="48" t="s">
        <v>7583</v>
      </c>
      <c r="N1541" s="48" t="s">
        <v>338</v>
      </c>
      <c r="O1541" s="44" t="s">
        <v>7583</v>
      </c>
    </row>
    <row r="1542" spans="1:15" x14ac:dyDescent="0.15">
      <c r="A1542" s="49" t="s">
        <v>7593</v>
      </c>
      <c r="B1542" s="51"/>
      <c r="C1542" s="43"/>
      <c r="D1542" s="44" t="s">
        <v>7587</v>
      </c>
      <c r="E1542" s="41" t="s">
        <v>137</v>
      </c>
      <c r="F1542" s="43" t="s">
        <v>7592</v>
      </c>
      <c r="G1542" s="47">
        <f>17.52*L1542</f>
        <v>17.52</v>
      </c>
      <c r="H1542" s="46">
        <v>42339</v>
      </c>
      <c r="I1542" s="45" t="s">
        <v>7594</v>
      </c>
      <c r="J1542" s="45" t="s">
        <v>7588</v>
      </c>
      <c r="K1542" s="45" t="s">
        <v>21</v>
      </c>
      <c r="L1542" s="45">
        <v>1</v>
      </c>
      <c r="M1542" s="48" t="s">
        <v>7589</v>
      </c>
      <c r="N1542" s="48" t="s">
        <v>7590</v>
      </c>
      <c r="O1542" s="44" t="s">
        <v>7589</v>
      </c>
    </row>
    <row r="1543" spans="1:15" x14ac:dyDescent="0.15">
      <c r="A1543" s="50" t="s">
        <v>7597</v>
      </c>
      <c r="B1543" s="51"/>
      <c r="C1543" s="43"/>
      <c r="D1543" s="44" t="s">
        <v>4194</v>
      </c>
      <c r="E1543" s="41" t="s">
        <v>137</v>
      </c>
      <c r="F1543" s="43" t="s">
        <v>7596</v>
      </c>
      <c r="G1543" s="47">
        <f>22.211*L1543</f>
        <v>111.05499999999999</v>
      </c>
      <c r="H1543" s="46">
        <v>42339</v>
      </c>
      <c r="I1543" s="47" t="s">
        <v>7598</v>
      </c>
      <c r="J1543" s="45" t="s">
        <v>7591</v>
      </c>
      <c r="K1543" s="45" t="s">
        <v>184</v>
      </c>
      <c r="L1543" s="45">
        <v>5</v>
      </c>
      <c r="M1543" s="48" t="s">
        <v>2143</v>
      </c>
      <c r="N1543" s="48" t="s">
        <v>7595</v>
      </c>
      <c r="O1543" s="44" t="s">
        <v>4199</v>
      </c>
    </row>
    <row r="1544" spans="1:15" x14ac:dyDescent="0.15">
      <c r="A1544" s="21" t="s">
        <v>7601</v>
      </c>
      <c r="B1544" s="22"/>
      <c r="C1544" s="11"/>
      <c r="D1544" s="17" t="s">
        <v>1685</v>
      </c>
      <c r="E1544" s="10" t="s">
        <v>137</v>
      </c>
      <c r="F1544" s="11" t="s">
        <v>7600</v>
      </c>
      <c r="G1544" s="12">
        <f>12.838*L1544</f>
        <v>89.866</v>
      </c>
      <c r="H1544" s="13">
        <v>42339</v>
      </c>
      <c r="I1544" s="12" t="s">
        <v>7602</v>
      </c>
      <c r="J1544" s="12" t="s">
        <v>7599</v>
      </c>
      <c r="K1544" s="12" t="s">
        <v>141</v>
      </c>
      <c r="L1544" s="12">
        <v>7</v>
      </c>
      <c r="M1544" s="14" t="s">
        <v>5205</v>
      </c>
      <c r="N1544" s="14" t="s">
        <v>3603</v>
      </c>
      <c r="O1544" s="17" t="s">
        <v>7675</v>
      </c>
    </row>
    <row r="1545" spans="1:15" x14ac:dyDescent="0.15">
      <c r="A1545" s="21" t="s">
        <v>7605</v>
      </c>
      <c r="B1545" s="22"/>
      <c r="C1545" s="11"/>
      <c r="D1545" s="17" t="s">
        <v>4996</v>
      </c>
      <c r="E1545" s="10" t="s">
        <v>137</v>
      </c>
      <c r="F1545" s="11" t="s">
        <v>7604</v>
      </c>
      <c r="G1545" s="23">
        <f>20.824*L1545</f>
        <v>124.94400000000002</v>
      </c>
      <c r="H1545" s="13">
        <v>42339</v>
      </c>
      <c r="I1545" s="12" t="s">
        <v>7606</v>
      </c>
      <c r="J1545" s="12" t="s">
        <v>7603</v>
      </c>
      <c r="K1545" s="12" t="s">
        <v>21</v>
      </c>
      <c r="L1545" s="12">
        <v>6</v>
      </c>
      <c r="M1545" s="14" t="s">
        <v>5353</v>
      </c>
      <c r="N1545" s="14" t="s">
        <v>531</v>
      </c>
      <c r="O1545" s="17" t="s">
        <v>7676</v>
      </c>
    </row>
    <row r="1546" spans="1:15" x14ac:dyDescent="0.15">
      <c r="A1546" s="50" t="s">
        <v>7610</v>
      </c>
      <c r="B1546" s="51"/>
      <c r="C1546" s="43"/>
      <c r="D1546" s="44" t="s">
        <v>7608</v>
      </c>
      <c r="E1546" s="41" t="s">
        <v>137</v>
      </c>
      <c r="F1546" s="43" t="s">
        <v>7612</v>
      </c>
      <c r="G1546" s="52">
        <v>69.296000000000006</v>
      </c>
      <c r="H1546" s="46">
        <v>42339</v>
      </c>
      <c r="I1546" s="45" t="s">
        <v>7611</v>
      </c>
      <c r="J1546" s="45" t="s">
        <v>7607</v>
      </c>
      <c r="K1546" s="45" t="s">
        <v>39</v>
      </c>
      <c r="L1546" s="45" t="s">
        <v>7609</v>
      </c>
      <c r="M1546" s="48" t="s">
        <v>7613</v>
      </c>
      <c r="N1546" s="48" t="s">
        <v>7614</v>
      </c>
      <c r="O1546" s="44" t="s">
        <v>7677</v>
      </c>
    </row>
    <row r="1547" spans="1:15" x14ac:dyDescent="0.15">
      <c r="A1547" s="50" t="s">
        <v>7615</v>
      </c>
      <c r="B1547" s="51"/>
      <c r="C1547" s="43"/>
      <c r="D1547" s="44" t="s">
        <v>2156</v>
      </c>
      <c r="E1547" s="41" t="s">
        <v>137</v>
      </c>
      <c r="F1547" s="43" t="s">
        <v>7619</v>
      </c>
      <c r="G1547" s="52">
        <v>53.335000000000001</v>
      </c>
      <c r="H1547" s="46">
        <v>42339</v>
      </c>
      <c r="I1547" s="45" t="s">
        <v>7392</v>
      </c>
      <c r="J1547" s="45" t="s">
        <v>7616</v>
      </c>
      <c r="K1547" s="45" t="s">
        <v>148</v>
      </c>
      <c r="L1547" s="45" t="s">
        <v>7617</v>
      </c>
      <c r="M1547" s="48" t="s">
        <v>7623</v>
      </c>
      <c r="N1547" s="48" t="s">
        <v>7624</v>
      </c>
      <c r="O1547" s="44" t="s">
        <v>7678</v>
      </c>
    </row>
    <row r="1548" spans="1:15" x14ac:dyDescent="0.15">
      <c r="A1548" s="50" t="s">
        <v>7621</v>
      </c>
      <c r="B1548" s="51"/>
      <c r="C1548" s="43"/>
      <c r="D1548" s="44" t="s">
        <v>2156</v>
      </c>
      <c r="E1548" s="41" t="s">
        <v>137</v>
      </c>
      <c r="F1548" s="43" t="s">
        <v>7620</v>
      </c>
      <c r="G1548" s="52">
        <v>53.174999999999997</v>
      </c>
      <c r="H1548" s="46">
        <v>42339</v>
      </c>
      <c r="I1548" s="45" t="s">
        <v>7622</v>
      </c>
      <c r="J1548" s="45" t="s">
        <v>7618</v>
      </c>
      <c r="K1548" s="45" t="s">
        <v>148</v>
      </c>
      <c r="L1548" s="45" t="s">
        <v>7617</v>
      </c>
      <c r="M1548" s="48" t="s">
        <v>7625</v>
      </c>
      <c r="N1548" s="48" t="s">
        <v>7634</v>
      </c>
      <c r="O1548" s="44" t="s">
        <v>7818</v>
      </c>
    </row>
    <row r="1549" spans="1:15" x14ac:dyDescent="0.15">
      <c r="A1549" s="50" t="s">
        <v>7629</v>
      </c>
      <c r="B1549" s="51"/>
      <c r="C1549" s="43"/>
      <c r="D1549" s="44" t="s">
        <v>7627</v>
      </c>
      <c r="E1549" s="41" t="s">
        <v>137</v>
      </c>
      <c r="F1549" s="43" t="s">
        <v>7631</v>
      </c>
      <c r="G1549" s="52">
        <v>155.655</v>
      </c>
      <c r="H1549" s="46">
        <v>42339</v>
      </c>
      <c r="I1549" s="45" t="s">
        <v>7632</v>
      </c>
      <c r="J1549" s="45" t="s">
        <v>7626</v>
      </c>
      <c r="K1549" s="45" t="s">
        <v>39</v>
      </c>
      <c r="L1549" s="45" t="s">
        <v>7628</v>
      </c>
      <c r="M1549" s="48" t="s">
        <v>7633</v>
      </c>
      <c r="N1549" s="48" t="s">
        <v>7630</v>
      </c>
      <c r="O1549" s="44" t="s">
        <v>7679</v>
      </c>
    </row>
    <row r="1550" spans="1:15" x14ac:dyDescent="0.15">
      <c r="A1550" s="20" t="s">
        <v>7643</v>
      </c>
      <c r="B1550" s="22"/>
      <c r="C1550" s="11"/>
      <c r="D1550" s="17" t="s">
        <v>7639</v>
      </c>
      <c r="E1550" s="10" t="s">
        <v>137</v>
      </c>
      <c r="F1550" s="11" t="s">
        <v>7641</v>
      </c>
      <c r="G1550" s="12">
        <f>6.116*L1550</f>
        <v>36.695999999999998</v>
      </c>
      <c r="H1550" s="13">
        <v>42340</v>
      </c>
      <c r="I1550" s="12" t="s">
        <v>139</v>
      </c>
      <c r="J1550" s="12" t="s">
        <v>7642</v>
      </c>
      <c r="K1550" s="12" t="s">
        <v>141</v>
      </c>
      <c r="L1550" s="12">
        <v>6</v>
      </c>
      <c r="M1550" s="14" t="s">
        <v>7640</v>
      </c>
      <c r="N1550" s="14" t="s">
        <v>3672</v>
      </c>
      <c r="O1550" s="17" t="s">
        <v>7640</v>
      </c>
    </row>
    <row r="1551" spans="1:15" x14ac:dyDescent="0.15">
      <c r="A1551" s="20" t="s">
        <v>7649</v>
      </c>
      <c r="B1551" s="22"/>
      <c r="C1551" s="11"/>
      <c r="D1551" s="17" t="s">
        <v>7644</v>
      </c>
      <c r="E1551" s="10" t="s">
        <v>137</v>
      </c>
      <c r="F1551" s="11" t="s">
        <v>8576</v>
      </c>
      <c r="G1551" s="12">
        <v>14.491</v>
      </c>
      <c r="H1551" s="13">
        <v>42340</v>
      </c>
      <c r="I1551" s="12" t="s">
        <v>7650</v>
      </c>
      <c r="J1551" s="12" t="s">
        <v>7645</v>
      </c>
      <c r="K1551" s="12" t="s">
        <v>141</v>
      </c>
      <c r="L1551" s="12">
        <v>1</v>
      </c>
      <c r="M1551" s="14" t="s">
        <v>7647</v>
      </c>
      <c r="N1551" s="14" t="s">
        <v>7646</v>
      </c>
      <c r="O1551" s="17" t="s">
        <v>7667</v>
      </c>
    </row>
    <row r="1552" spans="1:15" s="62" customFormat="1" x14ac:dyDescent="0.15">
      <c r="A1552" s="20" t="s">
        <v>7656</v>
      </c>
      <c r="B1552" s="29" t="s">
        <v>7654</v>
      </c>
      <c r="C1552" s="11"/>
      <c r="D1552" s="17"/>
      <c r="E1552" s="10" t="s">
        <v>137</v>
      </c>
      <c r="F1552" s="11" t="s">
        <v>8607</v>
      </c>
      <c r="G1552" s="12">
        <v>12.512</v>
      </c>
      <c r="H1552" s="13">
        <v>42340</v>
      </c>
      <c r="I1552" s="12" t="s">
        <v>861</v>
      </c>
      <c r="J1552" s="12"/>
      <c r="K1552" s="12"/>
      <c r="L1552" s="12"/>
      <c r="M1552" s="14"/>
      <c r="N1552" s="14"/>
      <c r="O1552" s="17" t="s">
        <v>7668</v>
      </c>
    </row>
    <row r="1553" spans="1:15" s="62" customFormat="1" x14ac:dyDescent="0.15">
      <c r="A1553" s="21" t="s">
        <v>7672</v>
      </c>
      <c r="B1553" s="29" t="s">
        <v>7773</v>
      </c>
      <c r="C1553" s="11"/>
      <c r="D1553" s="17"/>
      <c r="E1553" s="10" t="s">
        <v>137</v>
      </c>
      <c r="F1553" s="11" t="s">
        <v>8608</v>
      </c>
      <c r="G1553" s="12">
        <v>108.452</v>
      </c>
      <c r="H1553" s="13">
        <v>42342</v>
      </c>
      <c r="I1553" s="12" t="s">
        <v>5530</v>
      </c>
      <c r="J1553" s="12"/>
      <c r="K1553" s="12"/>
      <c r="L1553" s="12"/>
      <c r="M1553" s="14"/>
      <c r="N1553" s="14"/>
      <c r="O1553" s="17" t="s">
        <v>7680</v>
      </c>
    </row>
    <row r="1554" spans="1:15" x14ac:dyDescent="0.15">
      <c r="A1554" s="21" t="s">
        <v>7681</v>
      </c>
      <c r="B1554" s="22"/>
      <c r="C1554" s="11"/>
      <c r="D1554" s="17" t="s">
        <v>1595</v>
      </c>
      <c r="E1554" s="10" t="s">
        <v>137</v>
      </c>
      <c r="F1554" s="11" t="s">
        <v>7686</v>
      </c>
      <c r="G1554" s="12">
        <v>108.259</v>
      </c>
      <c r="H1554" s="13">
        <v>42345</v>
      </c>
      <c r="I1554" s="12" t="s">
        <v>7687</v>
      </c>
      <c r="J1554" s="12" t="s">
        <v>7682</v>
      </c>
      <c r="K1554" s="12" t="s">
        <v>175</v>
      </c>
      <c r="L1554" s="12" t="s">
        <v>7683</v>
      </c>
      <c r="M1554" s="14" t="s">
        <v>7688</v>
      </c>
      <c r="N1554" s="14" t="s">
        <v>7689</v>
      </c>
      <c r="O1554" s="17" t="s">
        <v>7819</v>
      </c>
    </row>
    <row r="1555" spans="1:15" x14ac:dyDescent="0.15">
      <c r="A1555" s="21" t="s">
        <v>7692</v>
      </c>
      <c r="B1555" s="22"/>
      <c r="C1555" s="11"/>
      <c r="D1555" s="17" t="s">
        <v>1595</v>
      </c>
      <c r="E1555" s="10" t="s">
        <v>137</v>
      </c>
      <c r="F1555" s="11" t="s">
        <v>7690</v>
      </c>
      <c r="G1555" s="12">
        <v>108.093</v>
      </c>
      <c r="H1555" s="13">
        <v>42345</v>
      </c>
      <c r="I1555" s="12" t="s">
        <v>7687</v>
      </c>
      <c r="J1555" s="12" t="s">
        <v>7685</v>
      </c>
      <c r="K1555" s="12" t="s">
        <v>175</v>
      </c>
      <c r="L1555" s="12" t="s">
        <v>7684</v>
      </c>
      <c r="M1555" s="14" t="s">
        <v>7691</v>
      </c>
      <c r="N1555" s="14" t="s">
        <v>7710</v>
      </c>
      <c r="O1555" s="17" t="s">
        <v>7820</v>
      </c>
    </row>
    <row r="1556" spans="1:15" x14ac:dyDescent="0.15">
      <c r="A1556" s="21" t="s">
        <v>7693</v>
      </c>
      <c r="B1556" s="22"/>
      <c r="C1556" s="11"/>
      <c r="D1556" s="17" t="s">
        <v>1595</v>
      </c>
      <c r="E1556" s="10" t="s">
        <v>137</v>
      </c>
      <c r="F1556" s="11" t="s">
        <v>7707</v>
      </c>
      <c r="G1556" s="12">
        <v>192.00899999999999</v>
      </c>
      <c r="H1556" s="13">
        <v>42346</v>
      </c>
      <c r="I1556" s="12" t="s">
        <v>7708</v>
      </c>
      <c r="J1556" s="12" t="s">
        <v>7694</v>
      </c>
      <c r="K1556" s="12" t="s">
        <v>175</v>
      </c>
      <c r="L1556" s="12" t="s">
        <v>7695</v>
      </c>
      <c r="M1556" s="14" t="s">
        <v>7705</v>
      </c>
      <c r="N1556" s="14" t="s">
        <v>7711</v>
      </c>
      <c r="O1556" s="17" t="s">
        <v>7821</v>
      </c>
    </row>
    <row r="1557" spans="1:15" x14ac:dyDescent="0.15">
      <c r="A1557" s="21" t="s">
        <v>7693</v>
      </c>
      <c r="B1557" s="22"/>
      <c r="C1557" s="11"/>
      <c r="D1557" s="17" t="s">
        <v>1595</v>
      </c>
      <c r="E1557" s="10" t="s">
        <v>137</v>
      </c>
      <c r="F1557" s="11" t="s">
        <v>7712</v>
      </c>
      <c r="G1557" s="12">
        <v>192.33</v>
      </c>
      <c r="H1557" s="13">
        <v>42346</v>
      </c>
      <c r="I1557" s="12" t="s">
        <v>7713</v>
      </c>
      <c r="J1557" s="12" t="s">
        <v>7696</v>
      </c>
      <c r="K1557" s="12" t="s">
        <v>175</v>
      </c>
      <c r="L1557" s="12" t="s">
        <v>7695</v>
      </c>
      <c r="M1557" s="14" t="s">
        <v>7709</v>
      </c>
      <c r="N1557" s="14" t="s">
        <v>7727</v>
      </c>
      <c r="O1557" s="17" t="s">
        <v>7822</v>
      </c>
    </row>
    <row r="1558" spans="1:15" x14ac:dyDescent="0.15">
      <c r="A1558" s="21" t="s">
        <v>7693</v>
      </c>
      <c r="B1558" s="22"/>
      <c r="C1558" s="11"/>
      <c r="D1558" s="17" t="s">
        <v>1595</v>
      </c>
      <c r="E1558" s="10" t="s">
        <v>137</v>
      </c>
      <c r="F1558" s="11" t="s">
        <v>7716</v>
      </c>
      <c r="G1558" s="12">
        <v>80.016999999999996</v>
      </c>
      <c r="H1558" s="13">
        <v>42346</v>
      </c>
      <c r="I1558" s="12" t="s">
        <v>7717</v>
      </c>
      <c r="J1558" s="12" t="s">
        <v>7699</v>
      </c>
      <c r="K1558" s="12" t="s">
        <v>175</v>
      </c>
      <c r="L1558" s="12" t="s">
        <v>7704</v>
      </c>
      <c r="M1558" s="14" t="s">
        <v>7714</v>
      </c>
      <c r="N1558" s="14" t="s">
        <v>7715</v>
      </c>
      <c r="O1558" s="17" t="s">
        <v>7823</v>
      </c>
    </row>
    <row r="1559" spans="1:15" x14ac:dyDescent="0.15">
      <c r="A1559" s="21" t="s">
        <v>7693</v>
      </c>
      <c r="B1559" s="22"/>
      <c r="C1559" s="11"/>
      <c r="D1559" s="17" t="s">
        <v>1595</v>
      </c>
      <c r="E1559" s="10" t="s">
        <v>137</v>
      </c>
      <c r="F1559" s="11" t="s">
        <v>7721</v>
      </c>
      <c r="G1559" s="12">
        <v>107.997</v>
      </c>
      <c r="H1559" s="13">
        <v>42346</v>
      </c>
      <c r="I1559" s="12" t="s">
        <v>7722</v>
      </c>
      <c r="J1559" s="12" t="s">
        <v>7700</v>
      </c>
      <c r="K1559" s="12" t="s">
        <v>175</v>
      </c>
      <c r="L1559" s="12" t="s">
        <v>7698</v>
      </c>
      <c r="M1559" s="14" t="s">
        <v>7720</v>
      </c>
      <c r="N1559" s="14" t="s">
        <v>7724</v>
      </c>
      <c r="O1559" s="17" t="s">
        <v>7824</v>
      </c>
    </row>
    <row r="1560" spans="1:15" x14ac:dyDescent="0.15">
      <c r="A1560" s="21" t="s">
        <v>7693</v>
      </c>
      <c r="B1560" s="22"/>
      <c r="C1560" s="11"/>
      <c r="D1560" s="17" t="s">
        <v>1595</v>
      </c>
      <c r="E1560" s="10" t="s">
        <v>137</v>
      </c>
      <c r="F1560" s="11" t="s">
        <v>7725</v>
      </c>
      <c r="G1560" s="12">
        <v>108.033</v>
      </c>
      <c r="H1560" s="13">
        <v>42346</v>
      </c>
      <c r="I1560" s="12" t="s">
        <v>7697</v>
      </c>
      <c r="J1560" s="12" t="s">
        <v>7701</v>
      </c>
      <c r="K1560" s="12" t="s">
        <v>175</v>
      </c>
      <c r="L1560" s="12" t="s">
        <v>7718</v>
      </c>
      <c r="M1560" s="14" t="s">
        <v>7723</v>
      </c>
      <c r="N1560" s="14" t="s">
        <v>7731</v>
      </c>
      <c r="O1560" s="17" t="s">
        <v>7825</v>
      </c>
    </row>
    <row r="1561" spans="1:15" x14ac:dyDescent="0.15">
      <c r="A1561" s="50" t="s">
        <v>7693</v>
      </c>
      <c r="B1561" s="51"/>
      <c r="C1561" s="43"/>
      <c r="D1561" s="44" t="s">
        <v>1595</v>
      </c>
      <c r="E1561" s="41" t="s">
        <v>137</v>
      </c>
      <c r="F1561" s="43" t="s">
        <v>7729</v>
      </c>
      <c r="G1561" s="45">
        <v>192.32400000000001</v>
      </c>
      <c r="H1561" s="46">
        <v>42346</v>
      </c>
      <c r="I1561" s="45" t="s">
        <v>7697</v>
      </c>
      <c r="J1561" s="45" t="s">
        <v>7702</v>
      </c>
      <c r="K1561" s="45" t="s">
        <v>175</v>
      </c>
      <c r="L1561" s="45" t="s">
        <v>7719</v>
      </c>
      <c r="M1561" s="48" t="s">
        <v>7726</v>
      </c>
      <c r="N1561" s="48" t="s">
        <v>7728</v>
      </c>
      <c r="O1561" s="44" t="s">
        <v>7826</v>
      </c>
    </row>
    <row r="1562" spans="1:15" x14ac:dyDescent="0.15">
      <c r="A1562" s="50" t="s">
        <v>7693</v>
      </c>
      <c r="B1562" s="51"/>
      <c r="C1562" s="43"/>
      <c r="D1562" s="44" t="s">
        <v>1595</v>
      </c>
      <c r="E1562" s="41" t="s">
        <v>137</v>
      </c>
      <c r="F1562" s="43" t="s">
        <v>7733</v>
      </c>
      <c r="G1562" s="45">
        <v>108.11799999999999</v>
      </c>
      <c r="H1562" s="46">
        <v>42346</v>
      </c>
      <c r="I1562" s="45" t="s">
        <v>7734</v>
      </c>
      <c r="J1562" s="45" t="s">
        <v>7703</v>
      </c>
      <c r="K1562" s="45" t="s">
        <v>175</v>
      </c>
      <c r="L1562" s="45" t="s">
        <v>7718</v>
      </c>
      <c r="M1562" s="48" t="s">
        <v>7730</v>
      </c>
      <c r="N1562" s="48" t="s">
        <v>7732</v>
      </c>
      <c r="O1562" s="44" t="s">
        <v>7827</v>
      </c>
    </row>
    <row r="1563" spans="1:15" x14ac:dyDescent="0.15">
      <c r="A1563" s="21" t="s">
        <v>7741</v>
      </c>
      <c r="B1563" s="22"/>
      <c r="C1563" s="11"/>
      <c r="D1563" s="17" t="s">
        <v>432</v>
      </c>
      <c r="E1563" s="10" t="s">
        <v>137</v>
      </c>
      <c r="F1563" s="11" t="s">
        <v>7740</v>
      </c>
      <c r="G1563" s="12">
        <v>302.697</v>
      </c>
      <c r="H1563" s="13">
        <v>42346</v>
      </c>
      <c r="I1563" s="12" t="s">
        <v>7697</v>
      </c>
      <c r="J1563" s="12" t="s">
        <v>7735</v>
      </c>
      <c r="K1563" s="12" t="s">
        <v>301</v>
      </c>
      <c r="L1563" s="12" t="s">
        <v>7739</v>
      </c>
      <c r="M1563" s="14" t="s">
        <v>7742</v>
      </c>
      <c r="N1563" s="14" t="s">
        <v>8093</v>
      </c>
      <c r="O1563" s="17" t="s">
        <v>7828</v>
      </c>
    </row>
    <row r="1564" spans="1:15" x14ac:dyDescent="0.15">
      <c r="A1564" s="50" t="s">
        <v>7747</v>
      </c>
      <c r="B1564" s="51"/>
      <c r="C1564" s="43"/>
      <c r="D1564" s="44" t="s">
        <v>7743</v>
      </c>
      <c r="E1564" s="41" t="s">
        <v>137</v>
      </c>
      <c r="F1564" s="43" t="s">
        <v>7746</v>
      </c>
      <c r="G1564" s="45">
        <f>17.52*L1564</f>
        <v>210.24</v>
      </c>
      <c r="H1564" s="46">
        <v>42346</v>
      </c>
      <c r="I1564" s="45" t="s">
        <v>7748</v>
      </c>
      <c r="J1564" s="43" t="s">
        <v>7744</v>
      </c>
      <c r="K1564" s="45" t="s">
        <v>141</v>
      </c>
      <c r="L1564" s="45">
        <v>12</v>
      </c>
      <c r="M1564" s="48" t="s">
        <v>7745</v>
      </c>
      <c r="N1564" s="48" t="s">
        <v>242</v>
      </c>
      <c r="O1564" s="44" t="s">
        <v>7745</v>
      </c>
    </row>
    <row r="1565" spans="1:15" x14ac:dyDescent="0.15">
      <c r="A1565" s="50" t="s">
        <v>7751</v>
      </c>
      <c r="B1565" s="51"/>
      <c r="C1565" s="43"/>
      <c r="D1565" s="44" t="s">
        <v>1219</v>
      </c>
      <c r="E1565" s="41" t="s">
        <v>137</v>
      </c>
      <c r="F1565" s="43" t="s">
        <v>7750</v>
      </c>
      <c r="G1565" s="45">
        <f>24.694*L1565</f>
        <v>123.47</v>
      </c>
      <c r="H1565" s="46">
        <v>42346</v>
      </c>
      <c r="I1565" s="45" t="s">
        <v>7752</v>
      </c>
      <c r="J1565" s="45" t="s">
        <v>7749</v>
      </c>
      <c r="K1565" s="45" t="s">
        <v>141</v>
      </c>
      <c r="L1565" s="45">
        <v>5</v>
      </c>
      <c r="M1565" s="48" t="s">
        <v>4707</v>
      </c>
      <c r="N1565" s="48" t="s">
        <v>4907</v>
      </c>
      <c r="O1565" s="44" t="s">
        <v>4707</v>
      </c>
    </row>
    <row r="1566" spans="1:15" x14ac:dyDescent="0.15">
      <c r="A1566" s="50" t="s">
        <v>7756</v>
      </c>
      <c r="B1566" s="42" t="s">
        <v>6263</v>
      </c>
      <c r="C1566" s="43"/>
      <c r="D1566" s="44" t="s">
        <v>353</v>
      </c>
      <c r="E1566" s="41" t="s">
        <v>137</v>
      </c>
      <c r="F1566" s="43" t="s">
        <v>7755</v>
      </c>
      <c r="G1566" s="45">
        <f t="shared" ref="G1566" si="58">9.804*L1566</f>
        <v>245.1</v>
      </c>
      <c r="H1566" s="46">
        <v>42346</v>
      </c>
      <c r="I1566" s="45" t="s">
        <v>7757</v>
      </c>
      <c r="J1566" s="45" t="s">
        <v>7753</v>
      </c>
      <c r="K1566" s="45" t="s">
        <v>141</v>
      </c>
      <c r="L1566" s="45">
        <v>25</v>
      </c>
      <c r="M1566" s="48" t="s">
        <v>7754</v>
      </c>
      <c r="N1566" s="48" t="s">
        <v>338</v>
      </c>
      <c r="O1566" s="44" t="s">
        <v>7754</v>
      </c>
    </row>
    <row r="1567" spans="1:15" x14ac:dyDescent="0.15">
      <c r="A1567" s="50" t="s">
        <v>7762</v>
      </c>
      <c r="B1567" s="51"/>
      <c r="C1567" s="43"/>
      <c r="D1567" s="44" t="s">
        <v>4068</v>
      </c>
      <c r="E1567" s="41" t="s">
        <v>137</v>
      </c>
      <c r="F1567" s="43" t="s">
        <v>7761</v>
      </c>
      <c r="G1567" s="45">
        <f>5.286*L1567</f>
        <v>31.715999999999998</v>
      </c>
      <c r="H1567" s="46">
        <v>42346</v>
      </c>
      <c r="I1567" s="45" t="s">
        <v>139</v>
      </c>
      <c r="J1567" s="45" t="s">
        <v>7758</v>
      </c>
      <c r="K1567" s="45" t="s">
        <v>3887</v>
      </c>
      <c r="L1567" s="45">
        <v>6</v>
      </c>
      <c r="M1567" s="48" t="s">
        <v>7759</v>
      </c>
      <c r="N1567" s="48" t="s">
        <v>7760</v>
      </c>
      <c r="O1567" s="44" t="s">
        <v>7759</v>
      </c>
    </row>
    <row r="1568" spans="1:15" s="62" customFormat="1" x14ac:dyDescent="0.15">
      <c r="A1568" s="21" t="s">
        <v>6624</v>
      </c>
      <c r="B1568" s="22"/>
      <c r="C1568" s="11"/>
      <c r="D1568" s="17" t="s">
        <v>5733</v>
      </c>
      <c r="E1568" s="10" t="s">
        <v>3584</v>
      </c>
      <c r="F1568" s="11" t="s">
        <v>8595</v>
      </c>
      <c r="G1568" s="12">
        <f t="shared" ref="G1568:G1570" si="59">35.474*L1568</f>
        <v>496.63599999999997</v>
      </c>
      <c r="H1568" s="13">
        <v>42346</v>
      </c>
      <c r="I1568" s="12" t="s">
        <v>3586</v>
      </c>
      <c r="J1568" s="12" t="s">
        <v>7763</v>
      </c>
      <c r="K1568" s="12" t="s">
        <v>141</v>
      </c>
      <c r="L1568" s="12">
        <v>14</v>
      </c>
      <c r="M1568" s="14" t="s">
        <v>7767</v>
      </c>
      <c r="N1568" s="14" t="s">
        <v>7771</v>
      </c>
      <c r="O1568" s="17" t="s">
        <v>7829</v>
      </c>
    </row>
    <row r="1569" spans="1:15" s="62" customFormat="1" x14ac:dyDescent="0.15">
      <c r="A1569" s="21" t="s">
        <v>7772</v>
      </c>
      <c r="B1569" s="22"/>
      <c r="C1569" s="11"/>
      <c r="D1569" s="17" t="s">
        <v>5733</v>
      </c>
      <c r="E1569" s="10" t="s">
        <v>3584</v>
      </c>
      <c r="F1569" s="11" t="s">
        <v>8593</v>
      </c>
      <c r="G1569" s="12">
        <f t="shared" si="59"/>
        <v>354.73999999999995</v>
      </c>
      <c r="H1569" s="13">
        <v>42346</v>
      </c>
      <c r="I1569" s="12" t="s">
        <v>3586</v>
      </c>
      <c r="J1569" s="12" t="s">
        <v>7764</v>
      </c>
      <c r="K1569" s="12" t="s">
        <v>141</v>
      </c>
      <c r="L1569" s="12">
        <v>10</v>
      </c>
      <c r="M1569" s="14" t="s">
        <v>7768</v>
      </c>
      <c r="N1569" s="14" t="s">
        <v>412</v>
      </c>
      <c r="O1569" s="17" t="s">
        <v>3593</v>
      </c>
    </row>
    <row r="1570" spans="1:15" s="62" customFormat="1" x14ac:dyDescent="0.15">
      <c r="A1570" s="21" t="s">
        <v>6624</v>
      </c>
      <c r="B1570" s="22"/>
      <c r="C1570" s="11"/>
      <c r="D1570" s="17" t="s">
        <v>5733</v>
      </c>
      <c r="E1570" s="10" t="s">
        <v>3584</v>
      </c>
      <c r="F1570" s="11" t="s">
        <v>8594</v>
      </c>
      <c r="G1570" s="12">
        <f t="shared" si="59"/>
        <v>886.84999999999991</v>
      </c>
      <c r="H1570" s="13">
        <v>42346</v>
      </c>
      <c r="I1570" s="12" t="s">
        <v>3586</v>
      </c>
      <c r="J1570" s="12" t="s">
        <v>7765</v>
      </c>
      <c r="K1570" s="12" t="s">
        <v>141</v>
      </c>
      <c r="L1570" s="12">
        <v>25</v>
      </c>
      <c r="M1570" s="14" t="s">
        <v>7769</v>
      </c>
      <c r="N1570" s="14" t="s">
        <v>338</v>
      </c>
      <c r="O1570" s="17" t="s">
        <v>3593</v>
      </c>
    </row>
    <row r="1571" spans="1:15" s="62" customFormat="1" x14ac:dyDescent="0.15">
      <c r="A1571" s="21" t="s">
        <v>6624</v>
      </c>
      <c r="B1571" s="22"/>
      <c r="C1571" s="11"/>
      <c r="D1571" s="17" t="s">
        <v>5733</v>
      </c>
      <c r="E1571" s="10" t="s">
        <v>3584</v>
      </c>
      <c r="F1571" s="11" t="s">
        <v>8596</v>
      </c>
      <c r="G1571" s="12">
        <f t="shared" ref="G1571" si="60">35.474*L1571</f>
        <v>886.84999999999991</v>
      </c>
      <c r="H1571" s="13">
        <v>42346</v>
      </c>
      <c r="I1571" s="12" t="s">
        <v>3586</v>
      </c>
      <c r="J1571" s="12" t="s">
        <v>7766</v>
      </c>
      <c r="K1571" s="12" t="s">
        <v>141</v>
      </c>
      <c r="L1571" s="12">
        <v>25</v>
      </c>
      <c r="M1571" s="14" t="s">
        <v>7770</v>
      </c>
      <c r="N1571" s="14" t="s">
        <v>338</v>
      </c>
      <c r="O1571" s="17" t="s">
        <v>3593</v>
      </c>
    </row>
    <row r="1572" spans="1:15" x14ac:dyDescent="0.15">
      <c r="A1572" s="49" t="s">
        <v>7656</v>
      </c>
      <c r="B1572" s="53" t="s">
        <v>7775</v>
      </c>
      <c r="C1572" s="43"/>
      <c r="D1572" s="44"/>
      <c r="E1572" s="41" t="s">
        <v>137</v>
      </c>
      <c r="F1572" s="43" t="s">
        <v>8577</v>
      </c>
      <c r="G1572" s="45">
        <v>504</v>
      </c>
      <c r="H1572" s="46">
        <v>42347</v>
      </c>
      <c r="I1572" s="45" t="s">
        <v>861</v>
      </c>
      <c r="J1572" s="45"/>
      <c r="K1572" s="45"/>
      <c r="L1572" s="45"/>
      <c r="M1572" s="48"/>
      <c r="N1572" s="48"/>
      <c r="O1572" s="44" t="s">
        <v>7668</v>
      </c>
    </row>
    <row r="1573" spans="1:15" x14ac:dyDescent="0.15">
      <c r="A1573" s="50" t="s">
        <v>7781</v>
      </c>
      <c r="B1573" s="42" t="s">
        <v>6263</v>
      </c>
      <c r="C1573" s="43"/>
      <c r="D1573" s="44" t="s">
        <v>353</v>
      </c>
      <c r="E1573" s="41" t="s">
        <v>137</v>
      </c>
      <c r="F1573" s="43" t="s">
        <v>7780</v>
      </c>
      <c r="G1573" s="45">
        <f t="shared" ref="G1573" si="61">9.804*L1573</f>
        <v>235.29599999999999</v>
      </c>
      <c r="H1573" s="46">
        <v>42349</v>
      </c>
      <c r="I1573" s="45" t="s">
        <v>7782</v>
      </c>
      <c r="J1573" s="45" t="s">
        <v>7777</v>
      </c>
      <c r="K1573" s="45" t="s">
        <v>141</v>
      </c>
      <c r="L1573" s="45">
        <v>24</v>
      </c>
      <c r="M1573" s="48" t="s">
        <v>7778</v>
      </c>
      <c r="N1573" s="48" t="s">
        <v>7779</v>
      </c>
      <c r="O1573" s="44" t="s">
        <v>7934</v>
      </c>
    </row>
    <row r="1574" spans="1:15" x14ac:dyDescent="0.15">
      <c r="A1574" s="50" t="s">
        <v>7783</v>
      </c>
      <c r="B1574" s="51"/>
      <c r="C1574" s="43"/>
      <c r="D1574" s="44" t="s">
        <v>4068</v>
      </c>
      <c r="E1574" s="41" t="s">
        <v>137</v>
      </c>
      <c r="F1574" s="43" t="s">
        <v>7785</v>
      </c>
      <c r="G1574" s="45">
        <f>5.286*L1574</f>
        <v>31.715999999999998</v>
      </c>
      <c r="H1574" s="46">
        <v>42349</v>
      </c>
      <c r="I1574" s="45" t="s">
        <v>7784</v>
      </c>
      <c r="J1574" s="45" t="s">
        <v>7798</v>
      </c>
      <c r="K1574" s="45" t="s">
        <v>184</v>
      </c>
      <c r="L1574" s="45">
        <v>6</v>
      </c>
      <c r="M1574" s="48" t="s">
        <v>7759</v>
      </c>
      <c r="N1574" s="48" t="s">
        <v>6339</v>
      </c>
      <c r="O1574" s="44" t="s">
        <v>7867</v>
      </c>
    </row>
    <row r="1575" spans="1:15" x14ac:dyDescent="0.15">
      <c r="A1575" s="50" t="s">
        <v>7789</v>
      </c>
      <c r="B1575" s="51"/>
      <c r="C1575" s="43"/>
      <c r="D1575" s="44" t="s">
        <v>546</v>
      </c>
      <c r="E1575" s="41" t="s">
        <v>137</v>
      </c>
      <c r="F1575" s="43" t="s">
        <v>7788</v>
      </c>
      <c r="G1575" s="45">
        <f>17.52*L1575</f>
        <v>175.2</v>
      </c>
      <c r="H1575" s="46">
        <v>42349</v>
      </c>
      <c r="I1575" s="45" t="s">
        <v>309</v>
      </c>
      <c r="J1575" s="45" t="s">
        <v>7786</v>
      </c>
      <c r="K1575" s="45" t="s">
        <v>21</v>
      </c>
      <c r="L1575" s="45">
        <v>10</v>
      </c>
      <c r="M1575" s="48" t="s">
        <v>7787</v>
      </c>
      <c r="N1575" s="48" t="s">
        <v>412</v>
      </c>
      <c r="O1575" s="44" t="s">
        <v>7787</v>
      </c>
    </row>
    <row r="1576" spans="1:15" x14ac:dyDescent="0.15">
      <c r="A1576" s="50" t="s">
        <v>7793</v>
      </c>
      <c r="B1576" s="51"/>
      <c r="C1576" s="43"/>
      <c r="D1576" s="44" t="s">
        <v>4862</v>
      </c>
      <c r="E1576" s="41" t="s">
        <v>137</v>
      </c>
      <c r="F1576" s="43" t="s">
        <v>7792</v>
      </c>
      <c r="G1576" s="45">
        <f>15.873*L1576</f>
        <v>63.491999999999997</v>
      </c>
      <c r="H1576" s="46">
        <v>42349</v>
      </c>
      <c r="I1576" s="45" t="s">
        <v>7794</v>
      </c>
      <c r="J1576" s="45" t="s">
        <v>7790</v>
      </c>
      <c r="K1576" s="45" t="s">
        <v>141</v>
      </c>
      <c r="L1576" s="45">
        <v>4</v>
      </c>
      <c r="M1576" s="48" t="s">
        <v>7791</v>
      </c>
      <c r="N1576" s="48" t="s">
        <v>571</v>
      </c>
      <c r="O1576" s="44" t="s">
        <v>7791</v>
      </c>
    </row>
    <row r="1577" spans="1:15" x14ac:dyDescent="0.15">
      <c r="A1577" s="49" t="s">
        <v>7802</v>
      </c>
      <c r="B1577" s="51"/>
      <c r="C1577" s="43"/>
      <c r="D1577" s="44" t="s">
        <v>7796</v>
      </c>
      <c r="E1577" s="41" t="s">
        <v>7795</v>
      </c>
      <c r="F1577" s="43" t="s">
        <v>7801</v>
      </c>
      <c r="G1577" s="45">
        <f>14.38*L1577</f>
        <v>14.38</v>
      </c>
      <c r="H1577" s="46">
        <v>42349</v>
      </c>
      <c r="I1577" s="45" t="s">
        <v>7803</v>
      </c>
      <c r="J1577" s="45" t="s">
        <v>7797</v>
      </c>
      <c r="K1577" s="45" t="s">
        <v>141</v>
      </c>
      <c r="L1577" s="45">
        <v>1</v>
      </c>
      <c r="M1577" s="48" t="s">
        <v>7799</v>
      </c>
      <c r="N1577" s="48" t="s">
        <v>7800</v>
      </c>
      <c r="O1577" s="44" t="s">
        <v>7799</v>
      </c>
    </row>
    <row r="1578" spans="1:15" x14ac:dyDescent="0.15">
      <c r="A1578" s="49" t="s">
        <v>7808</v>
      </c>
      <c r="B1578" s="51"/>
      <c r="C1578" s="43"/>
      <c r="D1578" s="44" t="s">
        <v>7796</v>
      </c>
      <c r="E1578" s="41" t="s">
        <v>7795</v>
      </c>
      <c r="F1578" s="43" t="s">
        <v>7807</v>
      </c>
      <c r="G1578" s="45">
        <f>14.38*L1578</f>
        <v>14.38</v>
      </c>
      <c r="H1578" s="46">
        <v>42349</v>
      </c>
      <c r="I1578" s="45" t="s">
        <v>7784</v>
      </c>
      <c r="J1578" s="45" t="s">
        <v>7804</v>
      </c>
      <c r="K1578" s="45" t="s">
        <v>141</v>
      </c>
      <c r="L1578" s="45">
        <v>1</v>
      </c>
      <c r="M1578" s="48" t="s">
        <v>7805</v>
      </c>
      <c r="N1578" s="48" t="s">
        <v>7806</v>
      </c>
      <c r="O1578" s="44" t="s">
        <v>7805</v>
      </c>
    </row>
    <row r="1579" spans="1:15" x14ac:dyDescent="0.15">
      <c r="A1579" s="49" t="s">
        <v>7813</v>
      </c>
      <c r="B1579" s="51"/>
      <c r="C1579" s="43"/>
      <c r="D1579" s="49" t="s">
        <v>7810</v>
      </c>
      <c r="E1579" s="41" t="s">
        <v>7795</v>
      </c>
      <c r="F1579" s="43" t="s">
        <v>7812</v>
      </c>
      <c r="G1579" s="45">
        <v>27.396000000000001</v>
      </c>
      <c r="H1579" s="46">
        <v>42349</v>
      </c>
      <c r="I1579" s="45" t="s">
        <v>7814</v>
      </c>
      <c r="J1579" s="45" t="s">
        <v>7809</v>
      </c>
      <c r="K1579" s="45" t="s">
        <v>175</v>
      </c>
      <c r="L1579" s="45" t="s">
        <v>7811</v>
      </c>
      <c r="M1579" s="48" t="s">
        <v>7815</v>
      </c>
      <c r="N1579" s="48" t="s">
        <v>7816</v>
      </c>
      <c r="O1579" s="44" t="s">
        <v>7868</v>
      </c>
    </row>
    <row r="1580" spans="1:15" x14ac:dyDescent="0.15">
      <c r="A1580" s="50" t="s">
        <v>7833</v>
      </c>
      <c r="B1580" s="51"/>
      <c r="C1580" s="43"/>
      <c r="D1580" s="44" t="s">
        <v>579</v>
      </c>
      <c r="E1580" s="41" t="s">
        <v>7795</v>
      </c>
      <c r="F1580" s="43" t="s">
        <v>7832</v>
      </c>
      <c r="G1580" s="45">
        <f>17.52*L1580</f>
        <v>438</v>
      </c>
      <c r="H1580" s="46">
        <v>42353</v>
      </c>
      <c r="I1580" s="45" t="s">
        <v>7834</v>
      </c>
      <c r="J1580" s="45" t="s">
        <v>7830</v>
      </c>
      <c r="K1580" s="45" t="s">
        <v>141</v>
      </c>
      <c r="L1580" s="45">
        <v>25</v>
      </c>
      <c r="M1580" s="48" t="s">
        <v>7831</v>
      </c>
      <c r="N1580" s="48" t="s">
        <v>338</v>
      </c>
      <c r="O1580" s="44" t="s">
        <v>7831</v>
      </c>
    </row>
    <row r="1581" spans="1:15" x14ac:dyDescent="0.15">
      <c r="A1581" s="50" t="s">
        <v>7840</v>
      </c>
      <c r="B1581" s="51"/>
      <c r="C1581" s="43"/>
      <c r="D1581" s="44" t="s">
        <v>7865</v>
      </c>
      <c r="E1581" s="41" t="s">
        <v>7795</v>
      </c>
      <c r="F1581" s="43" t="s">
        <v>7838</v>
      </c>
      <c r="G1581" s="45">
        <f t="shared" ref="G1581:G1582" si="62">27.67*L1581</f>
        <v>166.02</v>
      </c>
      <c r="H1581" s="46">
        <v>42353</v>
      </c>
      <c r="I1581" s="45" t="s">
        <v>7834</v>
      </c>
      <c r="J1581" s="45" t="s">
        <v>7835</v>
      </c>
      <c r="K1581" s="45" t="s">
        <v>21</v>
      </c>
      <c r="L1581" s="45">
        <v>6</v>
      </c>
      <c r="M1581" s="48" t="s">
        <v>6051</v>
      </c>
      <c r="N1581" s="48" t="s">
        <v>1808</v>
      </c>
      <c r="O1581" s="44" t="s">
        <v>7894</v>
      </c>
    </row>
    <row r="1582" spans="1:15" x14ac:dyDescent="0.15">
      <c r="A1582" s="50" t="s">
        <v>6048</v>
      </c>
      <c r="B1582" s="51"/>
      <c r="C1582" s="43"/>
      <c r="D1582" s="44" t="s">
        <v>3836</v>
      </c>
      <c r="E1582" s="41" t="s">
        <v>7795</v>
      </c>
      <c r="F1582" s="43" t="s">
        <v>7839</v>
      </c>
      <c r="G1582" s="45">
        <f t="shared" si="62"/>
        <v>110.68</v>
      </c>
      <c r="H1582" s="46">
        <v>42353</v>
      </c>
      <c r="I1582" s="45" t="s">
        <v>309</v>
      </c>
      <c r="J1582" s="45" t="s">
        <v>7836</v>
      </c>
      <c r="K1582" s="45" t="s">
        <v>21</v>
      </c>
      <c r="L1582" s="45">
        <v>4</v>
      </c>
      <c r="M1582" s="48" t="s">
        <v>7837</v>
      </c>
      <c r="N1582" s="48" t="s">
        <v>571</v>
      </c>
      <c r="O1582" s="44" t="s">
        <v>7837</v>
      </c>
    </row>
    <row r="1583" spans="1:15" x14ac:dyDescent="0.15">
      <c r="A1583" s="50" t="s">
        <v>7845</v>
      </c>
      <c r="B1583" s="51"/>
      <c r="C1583" s="43"/>
      <c r="D1583" s="44" t="s">
        <v>7842</v>
      </c>
      <c r="E1583" s="41" t="s">
        <v>7795</v>
      </c>
      <c r="F1583" s="43" t="s">
        <v>7844</v>
      </c>
      <c r="G1583" s="45">
        <f t="shared" ref="G1583" si="63">27.688*L1583</f>
        <v>276.88</v>
      </c>
      <c r="H1583" s="46">
        <v>42353</v>
      </c>
      <c r="I1583" s="45" t="s">
        <v>7834</v>
      </c>
      <c r="J1583" s="45" t="s">
        <v>7841</v>
      </c>
      <c r="K1583" s="45" t="s">
        <v>141</v>
      </c>
      <c r="L1583" s="45">
        <v>10</v>
      </c>
      <c r="M1583" s="48" t="s">
        <v>7843</v>
      </c>
      <c r="N1583" s="48" t="s">
        <v>58</v>
      </c>
      <c r="O1583" s="44" t="s">
        <v>7843</v>
      </c>
    </row>
    <row r="1584" spans="1:15" x14ac:dyDescent="0.15">
      <c r="A1584" s="50" t="s">
        <v>7849</v>
      </c>
      <c r="B1584" s="51"/>
      <c r="C1584" s="43"/>
      <c r="D1584" s="44" t="s">
        <v>1525</v>
      </c>
      <c r="E1584" s="41" t="s">
        <v>7795</v>
      </c>
      <c r="F1584" s="43" t="s">
        <v>7848</v>
      </c>
      <c r="G1584" s="45">
        <f>17.498*L1584</f>
        <v>209.976</v>
      </c>
      <c r="H1584" s="46">
        <v>42353</v>
      </c>
      <c r="I1584" s="45" t="s">
        <v>7834</v>
      </c>
      <c r="J1584" s="45" t="s">
        <v>7846</v>
      </c>
      <c r="K1584" s="45" t="s">
        <v>141</v>
      </c>
      <c r="L1584" s="45">
        <v>12</v>
      </c>
      <c r="M1584" s="48" t="s">
        <v>7847</v>
      </c>
      <c r="N1584" s="48" t="s">
        <v>242</v>
      </c>
      <c r="O1584" s="44" t="s">
        <v>7847</v>
      </c>
    </row>
    <row r="1585" spans="1:15" x14ac:dyDescent="0.15">
      <c r="A1585" s="50" t="s">
        <v>7853</v>
      </c>
      <c r="B1585" s="51"/>
      <c r="C1585" s="43"/>
      <c r="D1585" s="44" t="s">
        <v>1181</v>
      </c>
      <c r="E1585" s="41" t="s">
        <v>7795</v>
      </c>
      <c r="F1585" s="43" t="s">
        <v>7852</v>
      </c>
      <c r="G1585" s="45">
        <f>17.712*L1585</f>
        <v>442.8</v>
      </c>
      <c r="H1585" s="46">
        <v>42353</v>
      </c>
      <c r="I1585" s="45" t="s">
        <v>7834</v>
      </c>
      <c r="J1585" s="45" t="s">
        <v>7850</v>
      </c>
      <c r="K1585" s="45" t="s">
        <v>141</v>
      </c>
      <c r="L1585" s="45">
        <v>25</v>
      </c>
      <c r="M1585" s="48" t="s">
        <v>7851</v>
      </c>
      <c r="N1585" s="48" t="s">
        <v>338</v>
      </c>
      <c r="O1585" s="44" t="s">
        <v>7851</v>
      </c>
    </row>
    <row r="1586" spans="1:15" x14ac:dyDescent="0.15">
      <c r="A1586" s="50" t="s">
        <v>7856</v>
      </c>
      <c r="B1586" s="51"/>
      <c r="C1586" s="43"/>
      <c r="D1586" s="44" t="s">
        <v>4996</v>
      </c>
      <c r="E1586" s="41" t="s">
        <v>7795</v>
      </c>
      <c r="F1586" s="43" t="s">
        <v>7855</v>
      </c>
      <c r="G1586" s="52">
        <f>20.824*L1586</f>
        <v>124.94400000000002</v>
      </c>
      <c r="H1586" s="46">
        <v>42353</v>
      </c>
      <c r="I1586" s="45" t="s">
        <v>7857</v>
      </c>
      <c r="J1586" s="45" t="s">
        <v>7854</v>
      </c>
      <c r="K1586" s="45" t="s">
        <v>21</v>
      </c>
      <c r="L1586" s="45">
        <v>6</v>
      </c>
      <c r="M1586" s="48" t="s">
        <v>5353</v>
      </c>
      <c r="N1586" s="48" t="s">
        <v>1808</v>
      </c>
      <c r="O1586" s="44" t="s">
        <v>7895</v>
      </c>
    </row>
    <row r="1587" spans="1:15" x14ac:dyDescent="0.15">
      <c r="A1587" s="50" t="s">
        <v>7859</v>
      </c>
      <c r="B1587" s="51"/>
      <c r="C1587" s="43"/>
      <c r="D1587" s="44" t="s">
        <v>97</v>
      </c>
      <c r="E1587" s="41" t="s">
        <v>7795</v>
      </c>
      <c r="F1587" s="43" t="s">
        <v>7862</v>
      </c>
      <c r="G1587" s="45">
        <f>12.838*L1587</f>
        <v>128.38</v>
      </c>
      <c r="H1587" s="46">
        <v>42353</v>
      </c>
      <c r="I1587" s="45" t="s">
        <v>7860</v>
      </c>
      <c r="J1587" s="45" t="s">
        <v>7858</v>
      </c>
      <c r="K1587" s="45" t="s">
        <v>141</v>
      </c>
      <c r="L1587" s="45">
        <v>10</v>
      </c>
      <c r="M1587" s="48" t="s">
        <v>7861</v>
      </c>
      <c r="N1587" s="48" t="s">
        <v>412</v>
      </c>
      <c r="O1587" s="44" t="s">
        <v>7861</v>
      </c>
    </row>
    <row r="1588" spans="1:15" x14ac:dyDescent="0.15">
      <c r="A1588" s="50" t="s">
        <v>7873</v>
      </c>
      <c r="B1588" s="51"/>
      <c r="C1588" s="43"/>
      <c r="D1588" s="44" t="s">
        <v>7869</v>
      </c>
      <c r="E1588" s="41" t="s">
        <v>7795</v>
      </c>
      <c r="F1588" s="43" t="s">
        <v>7872</v>
      </c>
      <c r="G1588" s="45">
        <f>6.116*L1588</f>
        <v>36.695999999999998</v>
      </c>
      <c r="H1588" s="46">
        <v>42354</v>
      </c>
      <c r="I1588" s="45" t="s">
        <v>7874</v>
      </c>
      <c r="J1588" s="45" t="s">
        <v>7870</v>
      </c>
      <c r="K1588" s="45" t="s">
        <v>141</v>
      </c>
      <c r="L1588" s="45">
        <v>6</v>
      </c>
      <c r="M1588" s="48" t="s">
        <v>7871</v>
      </c>
      <c r="N1588" s="48" t="s">
        <v>6339</v>
      </c>
      <c r="O1588" s="44" t="s">
        <v>7871</v>
      </c>
    </row>
    <row r="1589" spans="1:15" x14ac:dyDescent="0.15">
      <c r="A1589" s="49" t="s">
        <v>7933</v>
      </c>
      <c r="B1589" s="51"/>
      <c r="C1589" s="43"/>
      <c r="D1589" s="44" t="s">
        <v>7932</v>
      </c>
      <c r="E1589" s="41" t="s">
        <v>6812</v>
      </c>
      <c r="F1589" s="43" t="s">
        <v>7877</v>
      </c>
      <c r="G1589" s="45">
        <f>1.71*L1589</f>
        <v>32.49</v>
      </c>
      <c r="H1589" s="46">
        <v>42354</v>
      </c>
      <c r="I1589" s="45" t="s">
        <v>7931</v>
      </c>
      <c r="J1589" s="45" t="s">
        <v>7875</v>
      </c>
      <c r="K1589" s="45" t="s">
        <v>141</v>
      </c>
      <c r="L1589" s="45">
        <v>19</v>
      </c>
      <c r="M1589" s="48" t="s">
        <v>7876</v>
      </c>
      <c r="N1589" s="48" t="s">
        <v>2962</v>
      </c>
      <c r="O1589" s="44" t="s">
        <v>7876</v>
      </c>
    </row>
    <row r="1590" spans="1:15" x14ac:dyDescent="0.15">
      <c r="A1590" s="50" t="s">
        <v>7883</v>
      </c>
      <c r="B1590" s="51"/>
      <c r="C1590" s="43"/>
      <c r="D1590" s="44" t="s">
        <v>1595</v>
      </c>
      <c r="E1590" s="41" t="s">
        <v>137</v>
      </c>
      <c r="F1590" s="43" t="s">
        <v>7886</v>
      </c>
      <c r="G1590" s="45">
        <v>164.39</v>
      </c>
      <c r="H1590" s="46">
        <v>42359</v>
      </c>
      <c r="I1590" s="45" t="s">
        <v>7884</v>
      </c>
      <c r="J1590" s="45" t="s">
        <v>7878</v>
      </c>
      <c r="K1590" s="45" t="s">
        <v>175</v>
      </c>
      <c r="L1590" s="45" t="s">
        <v>7879</v>
      </c>
      <c r="M1590" s="48" t="s">
        <v>7892</v>
      </c>
      <c r="N1590" s="48" t="s">
        <v>7888</v>
      </c>
      <c r="O1590" s="44" t="s">
        <v>7935</v>
      </c>
    </row>
    <row r="1591" spans="1:15" x14ac:dyDescent="0.15">
      <c r="A1591" s="50" t="s">
        <v>7883</v>
      </c>
      <c r="B1591" s="51"/>
      <c r="C1591" s="43"/>
      <c r="D1591" s="44" t="s">
        <v>1595</v>
      </c>
      <c r="E1591" s="41" t="s">
        <v>137</v>
      </c>
      <c r="F1591" s="43" t="s">
        <v>7890</v>
      </c>
      <c r="G1591" s="45">
        <v>164.29599999999999</v>
      </c>
      <c r="H1591" s="46">
        <v>42359</v>
      </c>
      <c r="I1591" s="45" t="s">
        <v>215</v>
      </c>
      <c r="J1591" s="45" t="s">
        <v>7881</v>
      </c>
      <c r="K1591" s="45" t="s">
        <v>175</v>
      </c>
      <c r="L1591" s="45" t="s">
        <v>7879</v>
      </c>
      <c r="M1591" s="48" t="s">
        <v>7887</v>
      </c>
      <c r="N1591" s="48" t="s">
        <v>7889</v>
      </c>
      <c r="O1591" s="44" t="s">
        <v>7936</v>
      </c>
    </row>
    <row r="1592" spans="1:15" x14ac:dyDescent="0.15">
      <c r="A1592" s="50" t="s">
        <v>7883</v>
      </c>
      <c r="B1592" s="51"/>
      <c r="C1592" s="43"/>
      <c r="D1592" s="44" t="s">
        <v>1595</v>
      </c>
      <c r="E1592" s="41" t="s">
        <v>137</v>
      </c>
      <c r="F1592" s="43" t="s">
        <v>7885</v>
      </c>
      <c r="G1592" s="45">
        <v>80.204999999999998</v>
      </c>
      <c r="H1592" s="46">
        <v>42359</v>
      </c>
      <c r="I1592" s="45" t="s">
        <v>7884</v>
      </c>
      <c r="J1592" s="45" t="s">
        <v>7882</v>
      </c>
      <c r="K1592" s="45" t="s">
        <v>175</v>
      </c>
      <c r="L1592" s="45" t="s">
        <v>7880</v>
      </c>
      <c r="M1592" s="48" t="s">
        <v>7893</v>
      </c>
      <c r="N1592" s="48" t="s">
        <v>7891</v>
      </c>
      <c r="O1592" s="44" t="s">
        <v>7937</v>
      </c>
    </row>
    <row r="1593" spans="1:15" x14ac:dyDescent="0.15">
      <c r="A1593" s="49" t="s">
        <v>7928</v>
      </c>
      <c r="B1593" s="51" t="s">
        <v>7897</v>
      </c>
      <c r="C1593" s="43"/>
      <c r="D1593" s="44" t="s">
        <v>7930</v>
      </c>
      <c r="E1593" s="41" t="s">
        <v>7896</v>
      </c>
      <c r="F1593" s="43" t="s">
        <v>7901</v>
      </c>
      <c r="G1593" s="45">
        <f>65.72*L1593</f>
        <v>65.72</v>
      </c>
      <c r="H1593" s="46">
        <v>42359</v>
      </c>
      <c r="I1593" s="45" t="s">
        <v>7903</v>
      </c>
      <c r="J1593" s="45" t="s">
        <v>7902</v>
      </c>
      <c r="K1593" s="45" t="s">
        <v>7898</v>
      </c>
      <c r="L1593" s="45">
        <v>1</v>
      </c>
      <c r="M1593" s="48" t="s">
        <v>7899</v>
      </c>
      <c r="N1593" s="48" t="s">
        <v>7900</v>
      </c>
      <c r="O1593" s="44" t="s">
        <v>7938</v>
      </c>
    </row>
    <row r="1594" spans="1:15" x14ac:dyDescent="0.15">
      <c r="A1594" s="50" t="s">
        <v>7908</v>
      </c>
      <c r="B1594" s="51"/>
      <c r="C1594" s="43"/>
      <c r="D1594" s="44" t="s">
        <v>7905</v>
      </c>
      <c r="E1594" s="41" t="s">
        <v>270</v>
      </c>
      <c r="F1594" s="43" t="s">
        <v>7907</v>
      </c>
      <c r="G1594" s="45">
        <f>17.52*L1594</f>
        <v>87.6</v>
      </c>
      <c r="H1594" s="46">
        <v>42359</v>
      </c>
      <c r="I1594" s="45" t="s">
        <v>7909</v>
      </c>
      <c r="J1594" s="45" t="s">
        <v>7904</v>
      </c>
      <c r="K1594" s="45" t="s">
        <v>141</v>
      </c>
      <c r="L1594" s="45">
        <v>5</v>
      </c>
      <c r="M1594" s="48" t="s">
        <v>7906</v>
      </c>
      <c r="N1594" s="48" t="s">
        <v>1689</v>
      </c>
      <c r="O1594" s="44" t="s">
        <v>7906</v>
      </c>
    </row>
    <row r="1595" spans="1:15" x14ac:dyDescent="0.15">
      <c r="A1595" s="50" t="s">
        <v>7914</v>
      </c>
      <c r="B1595" s="51"/>
      <c r="C1595" s="43"/>
      <c r="D1595" s="44" t="s">
        <v>7911</v>
      </c>
      <c r="E1595" s="41" t="s">
        <v>270</v>
      </c>
      <c r="F1595" s="43" t="s">
        <v>7913</v>
      </c>
      <c r="G1595" s="45">
        <f t="shared" ref="G1595" si="64">27.688*L1595</f>
        <v>526.072</v>
      </c>
      <c r="H1595" s="46">
        <v>42359</v>
      </c>
      <c r="I1595" s="45" t="s">
        <v>7909</v>
      </c>
      <c r="J1595" s="45" t="s">
        <v>7910</v>
      </c>
      <c r="K1595" s="45" t="s">
        <v>141</v>
      </c>
      <c r="L1595" s="45">
        <v>19</v>
      </c>
      <c r="M1595" s="48" t="s">
        <v>7912</v>
      </c>
      <c r="N1595" s="48" t="s">
        <v>2962</v>
      </c>
      <c r="O1595" s="44" t="s">
        <v>7912</v>
      </c>
    </row>
    <row r="1596" spans="1:15" x14ac:dyDescent="0.15">
      <c r="A1596" s="50" t="s">
        <v>7918</v>
      </c>
      <c r="B1596" s="51"/>
      <c r="C1596" s="43"/>
      <c r="D1596" s="44" t="s">
        <v>7916</v>
      </c>
      <c r="E1596" s="41" t="s">
        <v>270</v>
      </c>
      <c r="F1596" s="43" t="s">
        <v>7917</v>
      </c>
      <c r="G1596" s="45">
        <f>17.498*L1596</f>
        <v>227.47400000000002</v>
      </c>
      <c r="H1596" s="46">
        <v>42359</v>
      </c>
      <c r="I1596" s="45" t="s">
        <v>7919</v>
      </c>
      <c r="J1596" s="45" t="s">
        <v>7915</v>
      </c>
      <c r="K1596" s="45" t="s">
        <v>141</v>
      </c>
      <c r="L1596" s="45">
        <v>13</v>
      </c>
      <c r="M1596" s="48" t="s">
        <v>7847</v>
      </c>
      <c r="N1596" s="48" t="s">
        <v>473</v>
      </c>
      <c r="O1596" s="44" t="s">
        <v>7939</v>
      </c>
    </row>
    <row r="1597" spans="1:15" x14ac:dyDescent="0.15">
      <c r="A1597" s="50" t="s">
        <v>7923</v>
      </c>
      <c r="B1597" s="51"/>
      <c r="C1597" s="43"/>
      <c r="D1597" s="44" t="s">
        <v>1181</v>
      </c>
      <c r="E1597" s="41" t="s">
        <v>270</v>
      </c>
      <c r="F1597" s="43" t="s">
        <v>7922</v>
      </c>
      <c r="G1597" s="45">
        <f>17.712*L1597</f>
        <v>442.8</v>
      </c>
      <c r="H1597" s="46">
        <v>42359</v>
      </c>
      <c r="I1597" s="45" t="s">
        <v>7909</v>
      </c>
      <c r="J1597" s="45" t="s">
        <v>7920</v>
      </c>
      <c r="K1597" s="45" t="s">
        <v>141</v>
      </c>
      <c r="L1597" s="45">
        <v>25</v>
      </c>
      <c r="M1597" s="48" t="s">
        <v>7921</v>
      </c>
      <c r="N1597" s="48" t="s">
        <v>338</v>
      </c>
      <c r="O1597" s="44" t="s">
        <v>7921</v>
      </c>
    </row>
    <row r="1598" spans="1:15" x14ac:dyDescent="0.15">
      <c r="A1598" s="50" t="s">
        <v>7925</v>
      </c>
      <c r="B1598" s="51"/>
      <c r="C1598" s="43"/>
      <c r="D1598" s="44" t="s">
        <v>7929</v>
      </c>
      <c r="E1598" s="41" t="s">
        <v>270</v>
      </c>
      <c r="F1598" s="43" t="s">
        <v>7924</v>
      </c>
      <c r="G1598" s="52">
        <f>27.688*L1598</f>
        <v>138.44</v>
      </c>
      <c r="H1598" s="46">
        <v>42359</v>
      </c>
      <c r="I1598" s="45" t="s">
        <v>7926</v>
      </c>
      <c r="J1598" s="45" t="s">
        <v>7927</v>
      </c>
      <c r="K1598" s="45" t="s">
        <v>21</v>
      </c>
      <c r="L1598" s="45">
        <v>5</v>
      </c>
      <c r="M1598" s="48" t="s">
        <v>7580</v>
      </c>
      <c r="N1598" s="48" t="s">
        <v>680</v>
      </c>
      <c r="O1598" s="44" t="s">
        <v>7940</v>
      </c>
    </row>
    <row r="1599" spans="1:15" x14ac:dyDescent="0.15">
      <c r="A1599" s="50" t="s">
        <v>7941</v>
      </c>
      <c r="B1599" s="51"/>
      <c r="C1599" s="43"/>
      <c r="D1599" s="44" t="s">
        <v>7943</v>
      </c>
      <c r="E1599" s="41" t="s">
        <v>163</v>
      </c>
      <c r="F1599" s="43" t="s">
        <v>7944</v>
      </c>
      <c r="G1599" s="45">
        <f t="shared" ref="G1599" si="65">29.101*L1599</f>
        <v>494.71699999999998</v>
      </c>
      <c r="H1599" s="46">
        <v>42361</v>
      </c>
      <c r="I1599" s="45" t="s">
        <v>6945</v>
      </c>
      <c r="J1599" s="45" t="s">
        <v>7942</v>
      </c>
      <c r="K1599" s="45" t="s">
        <v>3887</v>
      </c>
      <c r="L1599" s="45">
        <v>17</v>
      </c>
      <c r="M1599" s="48" t="s">
        <v>8010</v>
      </c>
      <c r="N1599" s="48" t="s">
        <v>2193</v>
      </c>
      <c r="O1599" s="44" t="s">
        <v>8010</v>
      </c>
    </row>
    <row r="1600" spans="1:15" x14ac:dyDescent="0.15">
      <c r="A1600" s="50" t="s">
        <v>7949</v>
      </c>
      <c r="B1600" s="51"/>
      <c r="C1600" s="43"/>
      <c r="D1600" s="44" t="s">
        <v>223</v>
      </c>
      <c r="E1600" s="41" t="s">
        <v>163</v>
      </c>
      <c r="F1600" s="43" t="s">
        <v>7948</v>
      </c>
      <c r="G1600" s="45">
        <f>29.101*L1600</f>
        <v>174.60599999999999</v>
      </c>
      <c r="H1600" s="46">
        <v>42361</v>
      </c>
      <c r="I1600" s="45" t="s">
        <v>7945</v>
      </c>
      <c r="J1600" s="45" t="s">
        <v>7946</v>
      </c>
      <c r="K1600" s="45" t="s">
        <v>141</v>
      </c>
      <c r="L1600" s="45">
        <v>6</v>
      </c>
      <c r="M1600" s="48" t="s">
        <v>7947</v>
      </c>
      <c r="N1600" s="48" t="s">
        <v>3672</v>
      </c>
      <c r="O1600" s="44" t="s">
        <v>7947</v>
      </c>
    </row>
    <row r="1601" spans="1:15" x14ac:dyDescent="0.15">
      <c r="A1601" s="50" t="s">
        <v>7954</v>
      </c>
      <c r="B1601" s="51"/>
      <c r="C1601" s="43"/>
      <c r="D1601" s="44" t="s">
        <v>7951</v>
      </c>
      <c r="E1601" s="41" t="s">
        <v>163</v>
      </c>
      <c r="F1601" s="43" t="s">
        <v>7953</v>
      </c>
      <c r="G1601" s="45">
        <f>18.708*L1601</f>
        <v>467.69999999999993</v>
      </c>
      <c r="H1601" s="46">
        <v>42361</v>
      </c>
      <c r="I1601" s="45" t="s">
        <v>1098</v>
      </c>
      <c r="J1601" s="45" t="s">
        <v>7950</v>
      </c>
      <c r="K1601" s="45" t="s">
        <v>184</v>
      </c>
      <c r="L1601" s="45">
        <v>25</v>
      </c>
      <c r="M1601" s="48" t="s">
        <v>7952</v>
      </c>
      <c r="N1601" s="48" t="s">
        <v>338</v>
      </c>
      <c r="O1601" s="44" t="s">
        <v>7952</v>
      </c>
    </row>
    <row r="1602" spans="1:15" x14ac:dyDescent="0.15">
      <c r="A1602" s="50" t="s">
        <v>7959</v>
      </c>
      <c r="B1602" s="51"/>
      <c r="C1602" s="43"/>
      <c r="D1602" s="44" t="s">
        <v>7958</v>
      </c>
      <c r="E1602" s="41" t="s">
        <v>163</v>
      </c>
      <c r="F1602" s="43" t="s">
        <v>7957</v>
      </c>
      <c r="G1602" s="45">
        <f>18.708*L1602</f>
        <v>243.20399999999998</v>
      </c>
      <c r="H1602" s="46">
        <v>42361</v>
      </c>
      <c r="I1602" s="45" t="s">
        <v>7960</v>
      </c>
      <c r="J1602" s="45" t="s">
        <v>7956</v>
      </c>
      <c r="K1602" s="45" t="s">
        <v>21</v>
      </c>
      <c r="L1602" s="45">
        <v>13</v>
      </c>
      <c r="M1602" s="48" t="s">
        <v>7205</v>
      </c>
      <c r="N1602" s="48" t="s">
        <v>473</v>
      </c>
      <c r="O1602" s="44" t="s">
        <v>8202</v>
      </c>
    </row>
    <row r="1603" spans="1:15" x14ac:dyDescent="0.15">
      <c r="A1603" s="50" t="s">
        <v>7964</v>
      </c>
      <c r="B1603" s="51"/>
      <c r="C1603" s="43"/>
      <c r="D1603" s="44" t="s">
        <v>341</v>
      </c>
      <c r="E1603" s="41" t="s">
        <v>163</v>
      </c>
      <c r="F1603" s="43" t="s">
        <v>7963</v>
      </c>
      <c r="G1603" s="45">
        <f>18.708*L1603</f>
        <v>149.66399999999999</v>
      </c>
      <c r="H1603" s="46">
        <v>42361</v>
      </c>
      <c r="I1603" s="45" t="s">
        <v>1098</v>
      </c>
      <c r="J1603" s="45" t="s">
        <v>7961</v>
      </c>
      <c r="K1603" s="45" t="s">
        <v>21</v>
      </c>
      <c r="L1603" s="45">
        <v>8</v>
      </c>
      <c r="M1603" s="48" t="s">
        <v>7962</v>
      </c>
      <c r="N1603" s="48" t="s">
        <v>1217</v>
      </c>
      <c r="O1603" s="44" t="s">
        <v>7962</v>
      </c>
    </row>
    <row r="1604" spans="1:15" x14ac:dyDescent="0.15">
      <c r="A1604" s="50" t="s">
        <v>7967</v>
      </c>
      <c r="B1604" s="51"/>
      <c r="C1604" s="43"/>
      <c r="D1604" s="44" t="s">
        <v>341</v>
      </c>
      <c r="E1604" s="41" t="s">
        <v>163</v>
      </c>
      <c r="F1604" s="43" t="s">
        <v>7966</v>
      </c>
      <c r="G1604" s="45">
        <f>18.708*L1604</f>
        <v>74.831999999999994</v>
      </c>
      <c r="H1604" s="46">
        <v>42361</v>
      </c>
      <c r="I1604" s="45" t="s">
        <v>7968</v>
      </c>
      <c r="J1604" s="45" t="s">
        <v>8002</v>
      </c>
      <c r="K1604" s="45" t="s">
        <v>21</v>
      </c>
      <c r="L1604" s="45">
        <v>4</v>
      </c>
      <c r="M1604" s="48" t="s">
        <v>7962</v>
      </c>
      <c r="N1604" s="48" t="s">
        <v>7965</v>
      </c>
      <c r="O1604" s="44" t="s">
        <v>8203</v>
      </c>
    </row>
    <row r="1605" spans="1:15" x14ac:dyDescent="0.15">
      <c r="A1605" s="50" t="s">
        <v>7971</v>
      </c>
      <c r="B1605" s="51"/>
      <c r="C1605" s="43"/>
      <c r="D1605" s="44" t="s">
        <v>341</v>
      </c>
      <c r="E1605" s="41" t="s">
        <v>163</v>
      </c>
      <c r="F1605" s="43" t="s">
        <v>7970</v>
      </c>
      <c r="G1605" s="45">
        <f>18.708*L1605</f>
        <v>243.20399999999998</v>
      </c>
      <c r="H1605" s="46">
        <v>42361</v>
      </c>
      <c r="I1605" s="45" t="s">
        <v>1098</v>
      </c>
      <c r="J1605" s="45" t="s">
        <v>7969</v>
      </c>
      <c r="K1605" s="45" t="s">
        <v>141</v>
      </c>
      <c r="L1605" s="45">
        <v>13</v>
      </c>
      <c r="M1605" s="48" t="s">
        <v>7962</v>
      </c>
      <c r="N1605" s="48" t="s">
        <v>473</v>
      </c>
      <c r="O1605" s="44" t="s">
        <v>8204</v>
      </c>
    </row>
    <row r="1606" spans="1:15" x14ac:dyDescent="0.15">
      <c r="A1606" s="50" t="s">
        <v>1675</v>
      </c>
      <c r="B1606" s="51"/>
      <c r="C1606" s="43"/>
      <c r="D1606" s="44" t="s">
        <v>1669</v>
      </c>
      <c r="E1606" s="41" t="s">
        <v>163</v>
      </c>
      <c r="F1606" s="43" t="s">
        <v>7980</v>
      </c>
      <c r="G1606" s="47">
        <f t="shared" ref="G1606:G1608" si="66">13.006*L1606</f>
        <v>325.14999999999998</v>
      </c>
      <c r="H1606" s="46">
        <v>42361</v>
      </c>
      <c r="I1606" s="45" t="s">
        <v>1671</v>
      </c>
      <c r="J1606" s="45" t="s">
        <v>7972</v>
      </c>
      <c r="K1606" s="47" t="s">
        <v>141</v>
      </c>
      <c r="L1606" s="45">
        <v>25</v>
      </c>
      <c r="M1606" s="48" t="s">
        <v>7975</v>
      </c>
      <c r="N1606" s="48" t="s">
        <v>338</v>
      </c>
      <c r="O1606" s="44" t="s">
        <v>7975</v>
      </c>
    </row>
    <row r="1607" spans="1:15" x14ac:dyDescent="0.15">
      <c r="A1607" s="50" t="s">
        <v>1675</v>
      </c>
      <c r="B1607" s="51"/>
      <c r="C1607" s="43"/>
      <c r="D1607" s="44" t="s">
        <v>1669</v>
      </c>
      <c r="E1607" s="41" t="s">
        <v>163</v>
      </c>
      <c r="F1607" s="43" t="s">
        <v>7981</v>
      </c>
      <c r="G1607" s="47">
        <f t="shared" si="66"/>
        <v>325.14999999999998</v>
      </c>
      <c r="H1607" s="46">
        <v>42361</v>
      </c>
      <c r="I1607" s="45" t="s">
        <v>1671</v>
      </c>
      <c r="J1607" s="45" t="s">
        <v>7973</v>
      </c>
      <c r="K1607" s="47" t="s">
        <v>141</v>
      </c>
      <c r="L1607" s="45">
        <v>25</v>
      </c>
      <c r="M1607" s="48" t="s">
        <v>7976</v>
      </c>
      <c r="N1607" s="48" t="s">
        <v>338</v>
      </c>
      <c r="O1607" s="44" t="s">
        <v>7976</v>
      </c>
    </row>
    <row r="1608" spans="1:15" x14ac:dyDescent="0.15">
      <c r="A1608" s="50" t="s">
        <v>1675</v>
      </c>
      <c r="B1608" s="51"/>
      <c r="C1608" s="43"/>
      <c r="D1608" s="44" t="s">
        <v>1669</v>
      </c>
      <c r="E1608" s="41" t="s">
        <v>163</v>
      </c>
      <c r="F1608" s="43" t="s">
        <v>7982</v>
      </c>
      <c r="G1608" s="47">
        <f t="shared" si="66"/>
        <v>325.14999999999998</v>
      </c>
      <c r="H1608" s="46">
        <v>42361</v>
      </c>
      <c r="I1608" s="45" t="s">
        <v>1671</v>
      </c>
      <c r="J1608" s="45" t="s">
        <v>7974</v>
      </c>
      <c r="K1608" s="47" t="s">
        <v>141</v>
      </c>
      <c r="L1608" s="45">
        <v>25</v>
      </c>
      <c r="M1608" s="48" t="s">
        <v>7977</v>
      </c>
      <c r="N1608" s="48" t="s">
        <v>338</v>
      </c>
      <c r="O1608" s="44" t="s">
        <v>8628</v>
      </c>
    </row>
    <row r="1609" spans="1:15" x14ac:dyDescent="0.15">
      <c r="A1609" s="50" t="s">
        <v>7984</v>
      </c>
      <c r="B1609" s="51"/>
      <c r="C1609" s="43"/>
      <c r="D1609" s="44" t="s">
        <v>1669</v>
      </c>
      <c r="E1609" s="41" t="s">
        <v>163</v>
      </c>
      <c r="F1609" s="43" t="s">
        <v>7983</v>
      </c>
      <c r="G1609" s="47">
        <f t="shared" ref="G1609" si="67">13.006*L1609</f>
        <v>325.14999999999998</v>
      </c>
      <c r="H1609" s="46">
        <v>42361</v>
      </c>
      <c r="I1609" s="45" t="s">
        <v>7985</v>
      </c>
      <c r="J1609" s="45" t="s">
        <v>7978</v>
      </c>
      <c r="K1609" s="47" t="s">
        <v>141</v>
      </c>
      <c r="L1609" s="45">
        <v>25</v>
      </c>
      <c r="M1609" s="48" t="s">
        <v>7979</v>
      </c>
      <c r="N1609" s="48" t="s">
        <v>338</v>
      </c>
      <c r="O1609" s="44" t="s">
        <v>8629</v>
      </c>
    </row>
    <row r="1610" spans="1:15" x14ac:dyDescent="0.15">
      <c r="A1610" s="50" t="s">
        <v>7989</v>
      </c>
      <c r="B1610" s="51"/>
      <c r="C1610" s="43"/>
      <c r="D1610" s="44" t="s">
        <v>5056</v>
      </c>
      <c r="E1610" s="41" t="s">
        <v>163</v>
      </c>
      <c r="F1610" s="43" t="s">
        <v>7988</v>
      </c>
      <c r="G1610" s="45">
        <f>14.405*L1610</f>
        <v>86.429999999999993</v>
      </c>
      <c r="H1610" s="46">
        <v>42361</v>
      </c>
      <c r="I1610" s="45" t="s">
        <v>7990</v>
      </c>
      <c r="J1610" s="45" t="s">
        <v>7986</v>
      </c>
      <c r="K1610" s="45" t="s">
        <v>141</v>
      </c>
      <c r="L1610" s="45">
        <v>6</v>
      </c>
      <c r="M1610" s="48" t="s">
        <v>7987</v>
      </c>
      <c r="N1610" s="48" t="s">
        <v>3672</v>
      </c>
      <c r="O1610" s="44" t="s">
        <v>7987</v>
      </c>
    </row>
    <row r="1611" spans="1:15" x14ac:dyDescent="0.15">
      <c r="A1611" s="50" t="s">
        <v>7994</v>
      </c>
      <c r="B1611" s="51"/>
      <c r="C1611" s="43"/>
      <c r="D1611" s="44" t="s">
        <v>54</v>
      </c>
      <c r="E1611" s="41" t="s">
        <v>163</v>
      </c>
      <c r="F1611" s="43" t="s">
        <v>7993</v>
      </c>
      <c r="G1611" s="47">
        <f>6.405*L1611</f>
        <v>64.05</v>
      </c>
      <c r="H1611" s="46">
        <v>42361</v>
      </c>
      <c r="I1611" s="45" t="s">
        <v>5070</v>
      </c>
      <c r="J1611" s="45" t="s">
        <v>7991</v>
      </c>
      <c r="K1611" s="45" t="s">
        <v>141</v>
      </c>
      <c r="L1611" s="45">
        <v>10</v>
      </c>
      <c r="M1611" s="48" t="s">
        <v>7992</v>
      </c>
      <c r="N1611" s="48" t="s">
        <v>412</v>
      </c>
      <c r="O1611" s="44" t="s">
        <v>7992</v>
      </c>
    </row>
    <row r="1612" spans="1:15" x14ac:dyDescent="0.15">
      <c r="A1612" s="50" t="s">
        <v>7997</v>
      </c>
      <c r="B1612" s="51"/>
      <c r="C1612" s="43"/>
      <c r="D1612" s="44" t="s">
        <v>1230</v>
      </c>
      <c r="E1612" s="41" t="s">
        <v>163</v>
      </c>
      <c r="F1612" s="43" t="s">
        <v>7996</v>
      </c>
      <c r="G1612" s="45">
        <f>29.101*L1612</f>
        <v>174.60599999999999</v>
      </c>
      <c r="H1612" s="46">
        <v>42361</v>
      </c>
      <c r="I1612" s="45" t="s">
        <v>7998</v>
      </c>
      <c r="J1612" s="45" t="s">
        <v>7995</v>
      </c>
      <c r="K1612" s="45" t="s">
        <v>175</v>
      </c>
      <c r="L1612" s="45">
        <v>6</v>
      </c>
      <c r="M1612" s="48" t="s">
        <v>7999</v>
      </c>
      <c r="N1612" s="48" t="s">
        <v>8000</v>
      </c>
      <c r="O1612" s="44" t="s">
        <v>7999</v>
      </c>
    </row>
    <row r="1613" spans="1:15" x14ac:dyDescent="0.15">
      <c r="A1613" s="50" t="s">
        <v>5524</v>
      </c>
      <c r="B1613" s="42" t="s">
        <v>6263</v>
      </c>
      <c r="C1613" s="43"/>
      <c r="D1613" s="44" t="s">
        <v>353</v>
      </c>
      <c r="E1613" s="41" t="s">
        <v>163</v>
      </c>
      <c r="F1613" s="43" t="s">
        <v>8006</v>
      </c>
      <c r="G1613" s="45">
        <f t="shared" ref="G1613:G1614" si="68">9.804*L1613</f>
        <v>245.1</v>
      </c>
      <c r="H1613" s="46">
        <v>42361</v>
      </c>
      <c r="I1613" s="45" t="s">
        <v>4105</v>
      </c>
      <c r="J1613" s="45" t="s">
        <v>8003</v>
      </c>
      <c r="K1613" s="45" t="s">
        <v>141</v>
      </c>
      <c r="L1613" s="45">
        <v>25</v>
      </c>
      <c r="M1613" s="48" t="s">
        <v>8004</v>
      </c>
      <c r="N1613" s="48" t="s">
        <v>338</v>
      </c>
      <c r="O1613" s="44" t="s">
        <v>8004</v>
      </c>
    </row>
    <row r="1614" spans="1:15" x14ac:dyDescent="0.15">
      <c r="A1614" s="50" t="s">
        <v>8008</v>
      </c>
      <c r="B1614" s="42" t="s">
        <v>6263</v>
      </c>
      <c r="C1614" s="43"/>
      <c r="D1614" s="44" t="s">
        <v>353</v>
      </c>
      <c r="E1614" s="41" t="s">
        <v>163</v>
      </c>
      <c r="F1614" s="43" t="s">
        <v>8007</v>
      </c>
      <c r="G1614" s="45">
        <f t="shared" si="68"/>
        <v>245.1</v>
      </c>
      <c r="H1614" s="46">
        <v>42361</v>
      </c>
      <c r="I1614" s="45" t="s">
        <v>8009</v>
      </c>
      <c r="J1614" s="45" t="s">
        <v>8011</v>
      </c>
      <c r="K1614" s="45" t="s">
        <v>141</v>
      </c>
      <c r="L1614" s="45">
        <v>25</v>
      </c>
      <c r="M1614" s="48" t="s">
        <v>8005</v>
      </c>
      <c r="N1614" s="48" t="s">
        <v>338</v>
      </c>
      <c r="O1614" s="44" t="s">
        <v>8005</v>
      </c>
    </row>
    <row r="1615" spans="1:15" x14ac:dyDescent="0.15">
      <c r="A1615" s="50" t="s">
        <v>8015</v>
      </c>
      <c r="B1615" s="51"/>
      <c r="C1615" s="43"/>
      <c r="D1615" s="44" t="s">
        <v>8013</v>
      </c>
      <c r="E1615" s="41" t="s">
        <v>163</v>
      </c>
      <c r="F1615" s="43" t="s">
        <v>8014</v>
      </c>
      <c r="G1615" s="45">
        <f>17.52*L1615</f>
        <v>122.64</v>
      </c>
      <c r="H1615" s="46">
        <v>42361</v>
      </c>
      <c r="I1615" s="45" t="s">
        <v>8016</v>
      </c>
      <c r="J1615" s="45" t="s">
        <v>8012</v>
      </c>
      <c r="K1615" s="45" t="s">
        <v>141</v>
      </c>
      <c r="L1615" s="45">
        <v>7</v>
      </c>
      <c r="M1615" s="48" t="s">
        <v>7065</v>
      </c>
      <c r="N1615" s="48" t="s">
        <v>345</v>
      </c>
      <c r="O1615" s="44" t="s">
        <v>8205</v>
      </c>
    </row>
    <row r="1616" spans="1:15" x14ac:dyDescent="0.15">
      <c r="A1616" s="50" t="s">
        <v>8021</v>
      </c>
      <c r="B1616" s="51"/>
      <c r="C1616" s="43"/>
      <c r="D1616" s="44" t="s">
        <v>8018</v>
      </c>
      <c r="E1616" s="41" t="s">
        <v>163</v>
      </c>
      <c r="F1616" s="43" t="s">
        <v>8020</v>
      </c>
      <c r="G1616" s="45">
        <f t="shared" ref="G1616" si="69">17.52*L1616</f>
        <v>140.16</v>
      </c>
      <c r="H1616" s="46">
        <v>42361</v>
      </c>
      <c r="I1616" s="45" t="s">
        <v>8022</v>
      </c>
      <c r="J1616" s="45" t="s">
        <v>8017</v>
      </c>
      <c r="K1616" s="45" t="s">
        <v>141</v>
      </c>
      <c r="L1616" s="45">
        <v>8</v>
      </c>
      <c r="M1616" s="48" t="s">
        <v>8019</v>
      </c>
      <c r="N1616" s="48" t="s">
        <v>1217</v>
      </c>
      <c r="O1616" s="44" t="s">
        <v>8019</v>
      </c>
    </row>
    <row r="1617" spans="1:15" x14ac:dyDescent="0.15">
      <c r="A1617" s="50" t="s">
        <v>8025</v>
      </c>
      <c r="B1617" s="51"/>
      <c r="C1617" s="43"/>
      <c r="D1617" s="44" t="s">
        <v>375</v>
      </c>
      <c r="E1617" s="41" t="s">
        <v>163</v>
      </c>
      <c r="F1617" s="43" t="s">
        <v>8024</v>
      </c>
      <c r="G1617" s="45">
        <f t="shared" ref="G1617" si="70">17.52*L1617</f>
        <v>122.64</v>
      </c>
      <c r="H1617" s="46">
        <v>42361</v>
      </c>
      <c r="I1617" s="45" t="s">
        <v>8026</v>
      </c>
      <c r="J1617" s="45" t="s">
        <v>8023</v>
      </c>
      <c r="K1617" s="45" t="s">
        <v>141</v>
      </c>
      <c r="L1617" s="45">
        <v>7</v>
      </c>
      <c r="M1617" s="48" t="s">
        <v>8019</v>
      </c>
      <c r="N1617" s="48" t="s">
        <v>345</v>
      </c>
      <c r="O1617" s="44" t="s">
        <v>8206</v>
      </c>
    </row>
    <row r="1618" spans="1:15" x14ac:dyDescent="0.15">
      <c r="A1618" s="50" t="s">
        <v>8029</v>
      </c>
      <c r="B1618" s="51"/>
      <c r="C1618" s="43"/>
      <c r="D1618" s="44" t="s">
        <v>1781</v>
      </c>
      <c r="E1618" s="41" t="s">
        <v>163</v>
      </c>
      <c r="F1618" s="43" t="s">
        <v>8028</v>
      </c>
      <c r="G1618" s="45">
        <f>17.52*L1618</f>
        <v>227.76</v>
      </c>
      <c r="H1618" s="46">
        <v>42361</v>
      </c>
      <c r="I1618" s="45" t="s">
        <v>8030</v>
      </c>
      <c r="J1618" s="45" t="s">
        <v>8027</v>
      </c>
      <c r="K1618" s="45" t="s">
        <v>132</v>
      </c>
      <c r="L1618" s="45">
        <v>13</v>
      </c>
      <c r="M1618" s="48" t="s">
        <v>7745</v>
      </c>
      <c r="N1618" s="48" t="s">
        <v>473</v>
      </c>
      <c r="O1618" s="44" t="s">
        <v>8207</v>
      </c>
    </row>
    <row r="1619" spans="1:15" x14ac:dyDescent="0.15">
      <c r="A1619" s="50" t="s">
        <v>8034</v>
      </c>
      <c r="B1619" s="51"/>
      <c r="C1619" s="43"/>
      <c r="D1619" s="44" t="s">
        <v>1219</v>
      </c>
      <c r="E1619" s="41" t="s">
        <v>163</v>
      </c>
      <c r="F1619" s="43" t="s">
        <v>8033</v>
      </c>
      <c r="G1619" s="45">
        <f>24.694*L1619</f>
        <v>172.858</v>
      </c>
      <c r="H1619" s="46">
        <v>42361</v>
      </c>
      <c r="I1619" s="45" t="s">
        <v>8030</v>
      </c>
      <c r="J1619" s="45" t="s">
        <v>8031</v>
      </c>
      <c r="K1619" s="45" t="s">
        <v>141</v>
      </c>
      <c r="L1619" s="45">
        <v>7</v>
      </c>
      <c r="M1619" s="48" t="s">
        <v>8032</v>
      </c>
      <c r="N1619" s="48" t="s">
        <v>1467</v>
      </c>
      <c r="O1619" s="44" t="s">
        <v>8032</v>
      </c>
    </row>
    <row r="1620" spans="1:15" x14ac:dyDescent="0.15">
      <c r="A1620" s="50" t="s">
        <v>8037</v>
      </c>
      <c r="B1620" s="51"/>
      <c r="C1620" s="43"/>
      <c r="D1620" s="44" t="s">
        <v>54</v>
      </c>
      <c r="E1620" s="41" t="s">
        <v>163</v>
      </c>
      <c r="F1620" s="43" t="s">
        <v>8036</v>
      </c>
      <c r="G1620" s="45">
        <f t="shared" ref="G1620" si="71">6.405*L1620</f>
        <v>96.075000000000003</v>
      </c>
      <c r="H1620" s="46">
        <v>42361</v>
      </c>
      <c r="I1620" s="45" t="s">
        <v>8038</v>
      </c>
      <c r="J1620" s="45" t="s">
        <v>8035</v>
      </c>
      <c r="K1620" s="45" t="s">
        <v>141</v>
      </c>
      <c r="L1620" s="45">
        <v>15</v>
      </c>
      <c r="M1620" s="48" t="s">
        <v>7992</v>
      </c>
      <c r="N1620" s="48" t="s">
        <v>236</v>
      </c>
      <c r="O1620" s="44" t="s">
        <v>7992</v>
      </c>
    </row>
    <row r="1621" spans="1:15" x14ac:dyDescent="0.15">
      <c r="A1621" s="50" t="s">
        <v>8045</v>
      </c>
      <c r="B1621" s="51"/>
      <c r="C1621" s="43"/>
      <c r="D1621" s="44" t="s">
        <v>54</v>
      </c>
      <c r="E1621" s="41" t="s">
        <v>163</v>
      </c>
      <c r="F1621" s="43" t="s">
        <v>8043</v>
      </c>
      <c r="G1621" s="45">
        <f t="shared" ref="G1621" si="72">6.405*L1621</f>
        <v>160.125</v>
      </c>
      <c r="H1621" s="46">
        <v>42361</v>
      </c>
      <c r="I1621" s="45" t="s">
        <v>8038</v>
      </c>
      <c r="J1621" s="45" t="s">
        <v>8039</v>
      </c>
      <c r="K1621" s="45" t="s">
        <v>141</v>
      </c>
      <c r="L1621" s="45">
        <v>25</v>
      </c>
      <c r="M1621" s="48" t="s">
        <v>8040</v>
      </c>
      <c r="N1621" s="48" t="s">
        <v>338</v>
      </c>
      <c r="O1621" s="44" t="s">
        <v>8040</v>
      </c>
    </row>
    <row r="1622" spans="1:15" x14ac:dyDescent="0.15">
      <c r="A1622" s="50" t="s">
        <v>2378</v>
      </c>
      <c r="B1622" s="51"/>
      <c r="C1622" s="43"/>
      <c r="D1622" s="44" t="s">
        <v>54</v>
      </c>
      <c r="E1622" s="41" t="s">
        <v>163</v>
      </c>
      <c r="F1622" s="43" t="s">
        <v>8044</v>
      </c>
      <c r="G1622" s="45">
        <f t="shared" ref="G1622" si="73">6.405*L1622</f>
        <v>160.125</v>
      </c>
      <c r="H1622" s="46">
        <v>42361</v>
      </c>
      <c r="I1622" s="45" t="s">
        <v>7222</v>
      </c>
      <c r="J1622" s="45" t="s">
        <v>8042</v>
      </c>
      <c r="K1622" s="45" t="s">
        <v>141</v>
      </c>
      <c r="L1622" s="45">
        <v>25</v>
      </c>
      <c r="M1622" s="48" t="s">
        <v>8041</v>
      </c>
      <c r="N1622" s="48" t="s">
        <v>338</v>
      </c>
      <c r="O1622" s="44" t="s">
        <v>8041</v>
      </c>
    </row>
    <row r="1623" spans="1:15" x14ac:dyDescent="0.15">
      <c r="A1623" s="50" t="s">
        <v>8048</v>
      </c>
      <c r="B1623" s="51"/>
      <c r="C1623" s="43"/>
      <c r="D1623" s="44" t="s">
        <v>1685</v>
      </c>
      <c r="E1623" s="41" t="s">
        <v>163</v>
      </c>
      <c r="F1623" s="43" t="s">
        <v>8047</v>
      </c>
      <c r="G1623" s="45">
        <f>12.838*L1623</f>
        <v>154.05599999999998</v>
      </c>
      <c r="H1623" s="46">
        <v>42361</v>
      </c>
      <c r="I1623" s="45" t="s">
        <v>8049</v>
      </c>
      <c r="J1623" s="45" t="s">
        <v>8046</v>
      </c>
      <c r="K1623" s="45" t="s">
        <v>141</v>
      </c>
      <c r="L1623" s="45">
        <v>12</v>
      </c>
      <c r="M1623" s="48" t="s">
        <v>7376</v>
      </c>
      <c r="N1623" s="48" t="s">
        <v>597</v>
      </c>
      <c r="O1623" s="44" t="s">
        <v>8208</v>
      </c>
    </row>
    <row r="1624" spans="1:15" x14ac:dyDescent="0.15">
      <c r="A1624" s="50" t="s">
        <v>8253</v>
      </c>
      <c r="B1624" s="42"/>
      <c r="C1624" s="43"/>
      <c r="D1624" s="44" t="s">
        <v>4600</v>
      </c>
      <c r="E1624" s="41" t="s">
        <v>163</v>
      </c>
      <c r="F1624" s="43" t="s">
        <v>8254</v>
      </c>
      <c r="G1624" s="56">
        <f>15.873*L1624</f>
        <v>79.364999999999995</v>
      </c>
      <c r="H1624" s="46">
        <v>42361</v>
      </c>
      <c r="I1624" s="45" t="s">
        <v>8201</v>
      </c>
      <c r="J1624" s="45" t="s">
        <v>8050</v>
      </c>
      <c r="K1624" s="45" t="s">
        <v>141</v>
      </c>
      <c r="L1624" s="45">
        <v>5</v>
      </c>
      <c r="M1624" s="48" t="s">
        <v>8051</v>
      </c>
      <c r="N1624" s="48" t="s">
        <v>5060</v>
      </c>
      <c r="O1624" s="44" t="s">
        <v>8051</v>
      </c>
    </row>
    <row r="1625" spans="1:15" x14ac:dyDescent="0.15">
      <c r="A1625" s="50" t="s">
        <v>8054</v>
      </c>
      <c r="B1625" s="51"/>
      <c r="C1625" s="43"/>
      <c r="D1625" s="44" t="s">
        <v>8053</v>
      </c>
      <c r="E1625" s="41" t="s">
        <v>163</v>
      </c>
      <c r="F1625" s="43" t="s">
        <v>8059</v>
      </c>
      <c r="G1625" s="56">
        <v>204.34399999999999</v>
      </c>
      <c r="H1625" s="46">
        <v>42361</v>
      </c>
      <c r="I1625" s="45" t="s">
        <v>8049</v>
      </c>
      <c r="J1625" s="45" t="s">
        <v>8052</v>
      </c>
      <c r="K1625" s="45" t="s">
        <v>328</v>
      </c>
      <c r="L1625" s="45" t="s">
        <v>8055</v>
      </c>
      <c r="M1625" s="48" t="s">
        <v>8057</v>
      </c>
      <c r="N1625" s="48" t="s">
        <v>8058</v>
      </c>
      <c r="O1625" s="44" t="s">
        <v>8209</v>
      </c>
    </row>
    <row r="1626" spans="1:15" x14ac:dyDescent="0.15">
      <c r="A1626" s="50" t="s">
        <v>8062</v>
      </c>
      <c r="B1626" s="51"/>
      <c r="C1626" s="43"/>
      <c r="D1626" s="44" t="s">
        <v>1475</v>
      </c>
      <c r="E1626" s="41" t="s">
        <v>163</v>
      </c>
      <c r="F1626" s="43" t="s">
        <v>8066</v>
      </c>
      <c r="G1626" s="61">
        <v>199.75700000000001</v>
      </c>
      <c r="H1626" s="46">
        <v>42361</v>
      </c>
      <c r="I1626" s="45" t="s">
        <v>8049</v>
      </c>
      <c r="J1626" s="45" t="s">
        <v>8060</v>
      </c>
      <c r="K1626" s="45" t="s">
        <v>175</v>
      </c>
      <c r="L1626" s="45" t="s">
        <v>8061</v>
      </c>
      <c r="M1626" s="48" t="s">
        <v>8063</v>
      </c>
      <c r="N1626" s="48" t="s">
        <v>8065</v>
      </c>
      <c r="O1626" s="44" t="s">
        <v>8210</v>
      </c>
    </row>
    <row r="1627" spans="1:15" x14ac:dyDescent="0.15">
      <c r="A1627" s="50" t="s">
        <v>8073</v>
      </c>
      <c r="B1627" s="51"/>
      <c r="C1627" s="43"/>
      <c r="D1627" s="44" t="s">
        <v>1742</v>
      </c>
      <c r="E1627" s="41" t="s">
        <v>163</v>
      </c>
      <c r="F1627" s="43" t="s">
        <v>8069</v>
      </c>
      <c r="G1627" s="61">
        <v>79.313000000000002</v>
      </c>
      <c r="H1627" s="46">
        <v>42361</v>
      </c>
      <c r="I1627" s="47" t="s">
        <v>8074</v>
      </c>
      <c r="J1627" s="45" t="s">
        <v>8067</v>
      </c>
      <c r="K1627" s="45" t="s">
        <v>175</v>
      </c>
      <c r="L1627" s="45" t="s">
        <v>8068</v>
      </c>
      <c r="M1627" s="48" t="s">
        <v>8071</v>
      </c>
      <c r="N1627" s="48" t="s">
        <v>8072</v>
      </c>
      <c r="O1627" s="44" t="s">
        <v>8211</v>
      </c>
    </row>
    <row r="1628" spans="1:15" x14ac:dyDescent="0.15">
      <c r="A1628" s="50" t="s">
        <v>8070</v>
      </c>
      <c r="B1628" s="51"/>
      <c r="C1628" s="43"/>
      <c r="D1628" s="44" t="s">
        <v>1742</v>
      </c>
      <c r="E1628" s="41" t="s">
        <v>163</v>
      </c>
      <c r="F1628" s="43" t="s">
        <v>8079</v>
      </c>
      <c r="G1628" s="61">
        <v>100.04300000000001</v>
      </c>
      <c r="H1628" s="46">
        <v>42361</v>
      </c>
      <c r="I1628" s="47" t="s">
        <v>8080</v>
      </c>
      <c r="J1628" s="45" t="s">
        <v>8076</v>
      </c>
      <c r="K1628" s="45" t="s">
        <v>175</v>
      </c>
      <c r="L1628" s="45" t="s">
        <v>8075</v>
      </c>
      <c r="M1628" s="48" t="s">
        <v>8077</v>
      </c>
      <c r="N1628" s="48" t="s">
        <v>8078</v>
      </c>
      <c r="O1628" s="44" t="s">
        <v>8212</v>
      </c>
    </row>
    <row r="1629" spans="1:15" x14ac:dyDescent="0.15">
      <c r="A1629" s="50" t="s">
        <v>8070</v>
      </c>
      <c r="B1629" s="51"/>
      <c r="C1629" s="43"/>
      <c r="D1629" s="44" t="s">
        <v>1742</v>
      </c>
      <c r="E1629" s="41" t="s">
        <v>163</v>
      </c>
      <c r="F1629" s="43" t="s">
        <v>8085</v>
      </c>
      <c r="G1629" s="61">
        <v>81.751999999999995</v>
      </c>
      <c r="H1629" s="46">
        <v>42361</v>
      </c>
      <c r="I1629" s="47" t="s">
        <v>8080</v>
      </c>
      <c r="J1629" s="45" t="s">
        <v>8081</v>
      </c>
      <c r="K1629" s="45" t="s">
        <v>175</v>
      </c>
      <c r="L1629" s="45" t="s">
        <v>8083</v>
      </c>
      <c r="M1629" s="48" t="s">
        <v>8082</v>
      </c>
      <c r="N1629" s="48" t="s">
        <v>8084</v>
      </c>
      <c r="O1629" s="44" t="s">
        <v>8213</v>
      </c>
    </row>
    <row r="1630" spans="1:15" x14ac:dyDescent="0.15">
      <c r="A1630" s="50" t="s">
        <v>8097</v>
      </c>
      <c r="B1630" s="51"/>
      <c r="C1630" s="43"/>
      <c r="D1630" s="44" t="s">
        <v>432</v>
      </c>
      <c r="E1630" s="41" t="s">
        <v>163</v>
      </c>
      <c r="F1630" s="43" t="s">
        <v>8088</v>
      </c>
      <c r="G1630" s="61">
        <v>303.565</v>
      </c>
      <c r="H1630" s="46">
        <v>42361</v>
      </c>
      <c r="I1630" s="45" t="s">
        <v>8056</v>
      </c>
      <c r="J1630" s="45" t="s">
        <v>8086</v>
      </c>
      <c r="K1630" s="45" t="s">
        <v>175</v>
      </c>
      <c r="L1630" s="45" t="s">
        <v>8087</v>
      </c>
      <c r="M1630" s="48" t="s">
        <v>8091</v>
      </c>
      <c r="N1630" s="48" t="s">
        <v>8092</v>
      </c>
      <c r="O1630" s="44" t="s">
        <v>8214</v>
      </c>
    </row>
    <row r="1631" spans="1:15" x14ac:dyDescent="0.15">
      <c r="A1631" s="50" t="s">
        <v>8097</v>
      </c>
      <c r="B1631" s="51"/>
      <c r="C1631" s="43"/>
      <c r="D1631" s="44" t="s">
        <v>432</v>
      </c>
      <c r="E1631" s="41" t="s">
        <v>163</v>
      </c>
      <c r="F1631" s="43" t="s">
        <v>8098</v>
      </c>
      <c r="G1631" s="61">
        <v>303.71499999999997</v>
      </c>
      <c r="H1631" s="46">
        <v>42361</v>
      </c>
      <c r="I1631" s="45" t="s">
        <v>8090</v>
      </c>
      <c r="J1631" s="45" t="s">
        <v>8089</v>
      </c>
      <c r="K1631" s="45" t="s">
        <v>175</v>
      </c>
      <c r="L1631" s="45" t="s">
        <v>8087</v>
      </c>
      <c r="M1631" s="48" t="s">
        <v>8096</v>
      </c>
      <c r="N1631" s="48" t="s">
        <v>8095</v>
      </c>
      <c r="O1631" s="44" t="s">
        <v>8215</v>
      </c>
    </row>
    <row r="1632" spans="1:15" x14ac:dyDescent="0.15">
      <c r="A1632" s="50" t="s">
        <v>8105</v>
      </c>
      <c r="B1632" s="51"/>
      <c r="C1632" s="43"/>
      <c r="D1632" s="44" t="s">
        <v>1692</v>
      </c>
      <c r="E1632" s="41" t="s">
        <v>163</v>
      </c>
      <c r="F1632" s="43" t="s">
        <v>8104</v>
      </c>
      <c r="G1632" s="61">
        <v>343.71</v>
      </c>
      <c r="H1632" s="46">
        <v>42361</v>
      </c>
      <c r="I1632" s="45" t="s">
        <v>3982</v>
      </c>
      <c r="J1632" s="45" t="s">
        <v>8099</v>
      </c>
      <c r="K1632" s="45" t="s">
        <v>148</v>
      </c>
      <c r="L1632" s="45" t="s">
        <v>8100</v>
      </c>
      <c r="M1632" s="48" t="s">
        <v>8102</v>
      </c>
      <c r="N1632" s="48" t="s">
        <v>8103</v>
      </c>
      <c r="O1632" s="44" t="s">
        <v>8216</v>
      </c>
    </row>
    <row r="1633" spans="1:15" x14ac:dyDescent="0.15">
      <c r="A1633" s="50" t="s">
        <v>8105</v>
      </c>
      <c r="B1633" s="51"/>
      <c r="C1633" s="43"/>
      <c r="D1633" s="44" t="s">
        <v>1692</v>
      </c>
      <c r="E1633" s="41" t="s">
        <v>163</v>
      </c>
      <c r="F1633" s="43" t="s">
        <v>8108</v>
      </c>
      <c r="G1633" s="61">
        <v>307.83699999999999</v>
      </c>
      <c r="H1633" s="46">
        <v>42361</v>
      </c>
      <c r="I1633" s="45" t="s">
        <v>8109</v>
      </c>
      <c r="J1633" s="45" t="s">
        <v>8101</v>
      </c>
      <c r="K1633" s="45" t="s">
        <v>148</v>
      </c>
      <c r="L1633" s="45" t="s">
        <v>8087</v>
      </c>
      <c r="M1633" s="48" t="s">
        <v>8107</v>
      </c>
      <c r="N1633" s="48" t="s">
        <v>8106</v>
      </c>
      <c r="O1633" s="44" t="s">
        <v>8217</v>
      </c>
    </row>
    <row r="1634" spans="1:15" x14ac:dyDescent="0.15">
      <c r="A1634" s="50" t="s">
        <v>8105</v>
      </c>
      <c r="B1634" s="51"/>
      <c r="C1634" s="43"/>
      <c r="D1634" s="44" t="s">
        <v>1692</v>
      </c>
      <c r="E1634" s="41" t="s">
        <v>163</v>
      </c>
      <c r="F1634" s="43" t="s">
        <v>8114</v>
      </c>
      <c r="G1634" s="61">
        <v>152.875</v>
      </c>
      <c r="H1634" s="46">
        <v>42361</v>
      </c>
      <c r="I1634" s="45" t="s">
        <v>8115</v>
      </c>
      <c r="J1634" s="45" t="s">
        <v>8111</v>
      </c>
      <c r="K1634" s="45" t="s">
        <v>148</v>
      </c>
      <c r="L1634" s="45" t="s">
        <v>8110</v>
      </c>
      <c r="M1634" s="48" t="s">
        <v>8112</v>
      </c>
      <c r="N1634" s="48" t="s">
        <v>8113</v>
      </c>
      <c r="O1634" s="44" t="s">
        <v>8218</v>
      </c>
    </row>
    <row r="1635" spans="1:15" x14ac:dyDescent="0.15">
      <c r="A1635" s="50" t="s">
        <v>8122</v>
      </c>
      <c r="B1635" s="51"/>
      <c r="C1635" s="43"/>
      <c r="D1635" s="44" t="s">
        <v>1595</v>
      </c>
      <c r="E1635" s="41" t="s">
        <v>163</v>
      </c>
      <c r="F1635" s="43" t="s">
        <v>8121</v>
      </c>
      <c r="G1635" s="61">
        <v>108.21299999999999</v>
      </c>
      <c r="H1635" s="46">
        <v>42361</v>
      </c>
      <c r="I1635" s="45" t="s">
        <v>3982</v>
      </c>
      <c r="J1635" s="45" t="s">
        <v>8116</v>
      </c>
      <c r="K1635" s="45" t="s">
        <v>175</v>
      </c>
      <c r="L1635" s="45" t="s">
        <v>8068</v>
      </c>
      <c r="M1635" s="48" t="s">
        <v>8120</v>
      </c>
      <c r="N1635" s="48" t="s">
        <v>8352</v>
      </c>
      <c r="O1635" s="44" t="s">
        <v>8219</v>
      </c>
    </row>
    <row r="1636" spans="1:15" x14ac:dyDescent="0.15">
      <c r="A1636" s="50" t="s">
        <v>8122</v>
      </c>
      <c r="B1636" s="51"/>
      <c r="C1636" s="43"/>
      <c r="D1636" s="44" t="s">
        <v>1595</v>
      </c>
      <c r="E1636" s="41" t="s">
        <v>163</v>
      </c>
      <c r="F1636" s="43" t="s">
        <v>8124</v>
      </c>
      <c r="G1636" s="61">
        <v>192.452</v>
      </c>
      <c r="H1636" s="46">
        <v>42361</v>
      </c>
      <c r="I1636" s="45" t="s">
        <v>8026</v>
      </c>
      <c r="J1636" s="45" t="s">
        <v>8117</v>
      </c>
      <c r="K1636" s="45" t="s">
        <v>175</v>
      </c>
      <c r="L1636" s="45" t="s">
        <v>8119</v>
      </c>
      <c r="M1636" s="48" t="s">
        <v>8123</v>
      </c>
      <c r="N1636" s="48" t="s">
        <v>8357</v>
      </c>
      <c r="O1636" s="44" t="s">
        <v>8220</v>
      </c>
    </row>
    <row r="1637" spans="1:15" x14ac:dyDescent="0.15">
      <c r="A1637" s="50" t="s">
        <v>8122</v>
      </c>
      <c r="B1637" s="51"/>
      <c r="C1637" s="43"/>
      <c r="D1637" s="44" t="s">
        <v>1595</v>
      </c>
      <c r="E1637" s="41" t="s">
        <v>163</v>
      </c>
      <c r="F1637" s="43" t="s">
        <v>8127</v>
      </c>
      <c r="G1637" s="61">
        <v>108.07599999999999</v>
      </c>
      <c r="H1637" s="46">
        <v>42361</v>
      </c>
      <c r="I1637" s="45" t="s">
        <v>8350</v>
      </c>
      <c r="J1637" s="45" t="s">
        <v>8118</v>
      </c>
      <c r="K1637" s="45" t="s">
        <v>175</v>
      </c>
      <c r="L1637" s="45" t="s">
        <v>8068</v>
      </c>
      <c r="M1637" s="48" t="s">
        <v>8125</v>
      </c>
      <c r="N1637" s="48" t="s">
        <v>8126</v>
      </c>
      <c r="O1637" s="44" t="s">
        <v>8221</v>
      </c>
    </row>
    <row r="1638" spans="1:15" x14ac:dyDescent="0.15">
      <c r="A1638" s="50" t="s">
        <v>8130</v>
      </c>
      <c r="B1638" s="51"/>
      <c r="C1638" s="43"/>
      <c r="D1638" s="44" t="s">
        <v>1511</v>
      </c>
      <c r="E1638" s="41" t="s">
        <v>163</v>
      </c>
      <c r="F1638" s="43" t="s">
        <v>8133</v>
      </c>
      <c r="G1638" s="61">
        <v>170.45099999999999</v>
      </c>
      <c r="H1638" s="46">
        <v>42361</v>
      </c>
      <c r="I1638" s="45" t="s">
        <v>8134</v>
      </c>
      <c r="J1638" s="45" t="s">
        <v>8128</v>
      </c>
      <c r="K1638" s="45" t="s">
        <v>148</v>
      </c>
      <c r="L1638" s="45" t="s">
        <v>8129</v>
      </c>
      <c r="M1638" s="48" t="s">
        <v>8132</v>
      </c>
      <c r="N1638" s="48" t="s">
        <v>8131</v>
      </c>
      <c r="O1638" s="44" t="s">
        <v>8222</v>
      </c>
    </row>
    <row r="1639" spans="1:15" x14ac:dyDescent="0.15">
      <c r="A1639" s="50" t="s">
        <v>8137</v>
      </c>
      <c r="B1639" s="51"/>
      <c r="C1639" s="43"/>
      <c r="D1639" s="44" t="s">
        <v>1307</v>
      </c>
      <c r="E1639" s="41" t="s">
        <v>163</v>
      </c>
      <c r="F1639" s="43" t="s">
        <v>8141</v>
      </c>
      <c r="G1639" s="61">
        <v>155.84</v>
      </c>
      <c r="H1639" s="46">
        <v>42361</v>
      </c>
      <c r="I1639" s="45" t="s">
        <v>8138</v>
      </c>
      <c r="J1639" s="45" t="s">
        <v>8135</v>
      </c>
      <c r="K1639" s="45" t="s">
        <v>39</v>
      </c>
      <c r="L1639" s="45" t="s">
        <v>8136</v>
      </c>
      <c r="M1639" s="48" t="s">
        <v>8139</v>
      </c>
      <c r="N1639" s="48" t="s">
        <v>8140</v>
      </c>
      <c r="O1639" s="44" t="s">
        <v>8223</v>
      </c>
    </row>
    <row r="1640" spans="1:15" x14ac:dyDescent="0.15">
      <c r="A1640" s="50" t="s">
        <v>8147</v>
      </c>
      <c r="B1640" s="51"/>
      <c r="C1640" s="43"/>
      <c r="D1640" s="44" t="s">
        <v>846</v>
      </c>
      <c r="E1640" s="41" t="s">
        <v>163</v>
      </c>
      <c r="F1640" s="43" t="s">
        <v>8146</v>
      </c>
      <c r="G1640" s="61">
        <v>261.904</v>
      </c>
      <c r="H1640" s="46">
        <v>42361</v>
      </c>
      <c r="I1640" s="47" t="s">
        <v>8148</v>
      </c>
      <c r="J1640" s="45" t="s">
        <v>8142</v>
      </c>
      <c r="K1640" s="45" t="s">
        <v>3898</v>
      </c>
      <c r="L1640" s="45" t="s">
        <v>8143</v>
      </c>
      <c r="M1640" s="48" t="s">
        <v>8144</v>
      </c>
      <c r="N1640" s="48" t="s">
        <v>8145</v>
      </c>
      <c r="O1640" s="44" t="s">
        <v>8224</v>
      </c>
    </row>
    <row r="1641" spans="1:15" x14ac:dyDescent="0.15">
      <c r="A1641" s="50" t="s">
        <v>8154</v>
      </c>
      <c r="B1641" s="51"/>
      <c r="C1641" s="43"/>
      <c r="D1641" s="44" t="s">
        <v>2156</v>
      </c>
      <c r="E1641" s="41" t="s">
        <v>163</v>
      </c>
      <c r="F1641" s="43" t="s">
        <v>8153</v>
      </c>
      <c r="G1641" s="61">
        <v>53.158000000000001</v>
      </c>
      <c r="H1641" s="46">
        <v>42361</v>
      </c>
      <c r="I1641" s="45" t="s">
        <v>3982</v>
      </c>
      <c r="J1641" s="45" t="s">
        <v>8149</v>
      </c>
      <c r="K1641" s="45" t="s">
        <v>148</v>
      </c>
      <c r="L1641" s="45" t="s">
        <v>8150</v>
      </c>
      <c r="M1641" s="48" t="s">
        <v>8152</v>
      </c>
      <c r="N1641" s="48" t="s">
        <v>8151</v>
      </c>
      <c r="O1641" s="44" t="s">
        <v>8225</v>
      </c>
    </row>
    <row r="1642" spans="1:15" x14ac:dyDescent="0.15">
      <c r="A1642" s="49" t="s">
        <v>8160</v>
      </c>
      <c r="B1642" s="51"/>
      <c r="C1642" s="43"/>
      <c r="D1642" s="44" t="s">
        <v>8155</v>
      </c>
      <c r="E1642" s="41" t="s">
        <v>137</v>
      </c>
      <c r="F1642" s="43" t="s">
        <v>8158</v>
      </c>
      <c r="G1642" s="45">
        <f t="shared" ref="G1642" si="74">27.688*L1642</f>
        <v>276.88</v>
      </c>
      <c r="H1642" s="46">
        <v>42362</v>
      </c>
      <c r="I1642" s="45" t="s">
        <v>8159</v>
      </c>
      <c r="J1642" s="45" t="s">
        <v>8156</v>
      </c>
      <c r="K1642" s="45" t="s">
        <v>141</v>
      </c>
      <c r="L1642" s="45">
        <v>10</v>
      </c>
      <c r="M1642" s="48" t="s">
        <v>8157</v>
      </c>
      <c r="N1642" s="48" t="s">
        <v>412</v>
      </c>
      <c r="O1642" s="44" t="s">
        <v>8157</v>
      </c>
    </row>
    <row r="1643" spans="1:15" x14ac:dyDescent="0.15">
      <c r="A1643" s="50" t="s">
        <v>8165</v>
      </c>
      <c r="B1643" s="51"/>
      <c r="C1643" s="43"/>
      <c r="D1643" s="44" t="s">
        <v>8162</v>
      </c>
      <c r="E1643" s="41" t="s">
        <v>137</v>
      </c>
      <c r="F1643" s="43" t="s">
        <v>8164</v>
      </c>
      <c r="G1643" s="45">
        <f t="shared" ref="G1643:G1644" si="75">17.498*L1643</f>
        <v>139.98400000000001</v>
      </c>
      <c r="H1643" s="46">
        <v>42362</v>
      </c>
      <c r="I1643" s="45" t="s">
        <v>8159</v>
      </c>
      <c r="J1643" s="45" t="s">
        <v>8161</v>
      </c>
      <c r="K1643" s="45" t="s">
        <v>141</v>
      </c>
      <c r="L1643" s="45">
        <v>8</v>
      </c>
      <c r="M1643" s="48" t="s">
        <v>8163</v>
      </c>
      <c r="N1643" s="48" t="s">
        <v>1217</v>
      </c>
      <c r="O1643" s="44" t="s">
        <v>8163</v>
      </c>
    </row>
    <row r="1644" spans="1:15" x14ac:dyDescent="0.15">
      <c r="A1644" s="50" t="s">
        <v>8168</v>
      </c>
      <c r="B1644" s="51"/>
      <c r="C1644" s="43"/>
      <c r="D1644" s="44" t="s">
        <v>633</v>
      </c>
      <c r="E1644" s="41" t="s">
        <v>137</v>
      </c>
      <c r="F1644" s="43" t="s">
        <v>8167</v>
      </c>
      <c r="G1644" s="45">
        <f t="shared" si="75"/>
        <v>122.486</v>
      </c>
      <c r="H1644" s="46">
        <v>42362</v>
      </c>
      <c r="I1644" s="45" t="s">
        <v>8159</v>
      </c>
      <c r="J1644" s="45" t="s">
        <v>8166</v>
      </c>
      <c r="K1644" s="45" t="s">
        <v>141</v>
      </c>
      <c r="L1644" s="45">
        <v>7</v>
      </c>
      <c r="M1644" s="48" t="s">
        <v>7285</v>
      </c>
      <c r="N1644" s="48" t="s">
        <v>1467</v>
      </c>
      <c r="O1644" s="44" t="s">
        <v>8226</v>
      </c>
    </row>
    <row r="1645" spans="1:15" x14ac:dyDescent="0.15">
      <c r="A1645" s="50" t="s">
        <v>8172</v>
      </c>
      <c r="B1645" s="51"/>
      <c r="C1645" s="43"/>
      <c r="D1645" s="44" t="s">
        <v>1525</v>
      </c>
      <c r="E1645" s="41" t="s">
        <v>137</v>
      </c>
      <c r="F1645" s="43" t="s">
        <v>8171</v>
      </c>
      <c r="G1645" s="45">
        <f>17.498*L1645</f>
        <v>209.976</v>
      </c>
      <c r="H1645" s="46">
        <v>42362</v>
      </c>
      <c r="I1645" s="45" t="s">
        <v>8159</v>
      </c>
      <c r="J1645" s="45" t="s">
        <v>8169</v>
      </c>
      <c r="K1645" s="45" t="s">
        <v>141</v>
      </c>
      <c r="L1645" s="45">
        <v>12</v>
      </c>
      <c r="M1645" s="48" t="s">
        <v>8170</v>
      </c>
      <c r="N1645" s="48" t="s">
        <v>242</v>
      </c>
      <c r="O1645" s="44" t="s">
        <v>8170</v>
      </c>
    </row>
    <row r="1646" spans="1:15" x14ac:dyDescent="0.15">
      <c r="A1646" s="50" t="s">
        <v>8176</v>
      </c>
      <c r="B1646" s="51"/>
      <c r="C1646" s="43"/>
      <c r="D1646" s="44" t="s">
        <v>341</v>
      </c>
      <c r="E1646" s="41" t="s">
        <v>137</v>
      </c>
      <c r="F1646" s="43" t="s">
        <v>8175</v>
      </c>
      <c r="G1646" s="47">
        <f t="shared" ref="G1646" si="76">18.708*L1646</f>
        <v>467.69999999999993</v>
      </c>
      <c r="H1646" s="46">
        <v>42362</v>
      </c>
      <c r="I1646" s="45" t="s">
        <v>8177</v>
      </c>
      <c r="J1646" s="45" t="s">
        <v>8173</v>
      </c>
      <c r="K1646" s="45" t="s">
        <v>141</v>
      </c>
      <c r="L1646" s="45">
        <v>25</v>
      </c>
      <c r="M1646" s="48" t="s">
        <v>8174</v>
      </c>
      <c r="N1646" s="48" t="s">
        <v>338</v>
      </c>
      <c r="O1646" s="44" t="s">
        <v>8174</v>
      </c>
    </row>
    <row r="1647" spans="1:15" x14ac:dyDescent="0.15">
      <c r="A1647" s="50" t="s">
        <v>8180</v>
      </c>
      <c r="B1647" s="51"/>
      <c r="C1647" s="43"/>
      <c r="D1647" s="44" t="s">
        <v>2098</v>
      </c>
      <c r="E1647" s="41" t="s">
        <v>137</v>
      </c>
      <c r="F1647" s="43" t="s">
        <v>8179</v>
      </c>
      <c r="G1647" s="45">
        <f>17.712*L1647</f>
        <v>123.98399999999999</v>
      </c>
      <c r="H1647" s="46">
        <v>42362</v>
      </c>
      <c r="I1647" s="45" t="s">
        <v>8159</v>
      </c>
      <c r="J1647" s="45" t="s">
        <v>8178</v>
      </c>
      <c r="K1647" s="45" t="s">
        <v>141</v>
      </c>
      <c r="L1647" s="45">
        <v>7</v>
      </c>
      <c r="M1647" s="48" t="s">
        <v>7296</v>
      </c>
      <c r="N1647" s="48" t="s">
        <v>1467</v>
      </c>
      <c r="O1647" s="44" t="s">
        <v>8227</v>
      </c>
    </row>
    <row r="1648" spans="1:15" x14ac:dyDescent="0.15">
      <c r="A1648" s="50" t="s">
        <v>8184</v>
      </c>
      <c r="B1648" s="51"/>
      <c r="C1648" s="43"/>
      <c r="D1648" s="44" t="s">
        <v>1181</v>
      </c>
      <c r="E1648" s="41" t="s">
        <v>137</v>
      </c>
      <c r="F1648" s="43" t="s">
        <v>8183</v>
      </c>
      <c r="G1648" s="45">
        <f>17.712*L1648</f>
        <v>442.8</v>
      </c>
      <c r="H1648" s="46">
        <v>42362</v>
      </c>
      <c r="I1648" s="45" t="s">
        <v>8159</v>
      </c>
      <c r="J1648" s="45" t="s">
        <v>8181</v>
      </c>
      <c r="K1648" s="45" t="s">
        <v>141</v>
      </c>
      <c r="L1648" s="45">
        <v>25</v>
      </c>
      <c r="M1648" s="48" t="s">
        <v>8182</v>
      </c>
      <c r="N1648" s="48" t="s">
        <v>338</v>
      </c>
      <c r="O1648" s="44" t="s">
        <v>8182</v>
      </c>
    </row>
    <row r="1649" spans="1:15" x14ac:dyDescent="0.15">
      <c r="A1649" s="50" t="s">
        <v>8188</v>
      </c>
      <c r="B1649" s="51"/>
      <c r="C1649" s="43"/>
      <c r="D1649" s="44" t="s">
        <v>6834</v>
      </c>
      <c r="E1649" s="41" t="s">
        <v>137</v>
      </c>
      <c r="F1649" s="43" t="s">
        <v>8187</v>
      </c>
      <c r="G1649" s="45">
        <f t="shared" ref="G1649" si="77">14.405*L1649</f>
        <v>360.125</v>
      </c>
      <c r="H1649" s="46">
        <v>42362</v>
      </c>
      <c r="I1649" s="45" t="s">
        <v>635</v>
      </c>
      <c r="J1649" s="45" t="s">
        <v>8185</v>
      </c>
      <c r="K1649" s="45" t="s">
        <v>141</v>
      </c>
      <c r="L1649" s="45">
        <v>25</v>
      </c>
      <c r="M1649" s="48" t="s">
        <v>8186</v>
      </c>
      <c r="N1649" s="48" t="s">
        <v>338</v>
      </c>
      <c r="O1649" s="44" t="s">
        <v>8186</v>
      </c>
    </row>
    <row r="1650" spans="1:15" x14ac:dyDescent="0.15">
      <c r="A1650" s="50" t="s">
        <v>8193</v>
      </c>
      <c r="B1650" s="51"/>
      <c r="C1650" s="43"/>
      <c r="D1650" s="44" t="s">
        <v>8189</v>
      </c>
      <c r="E1650" s="41" t="s">
        <v>137</v>
      </c>
      <c r="F1650" s="43" t="s">
        <v>8192</v>
      </c>
      <c r="G1650" s="45">
        <f>17.498*L1650</f>
        <v>87.490000000000009</v>
      </c>
      <c r="H1650" s="46">
        <v>42362</v>
      </c>
      <c r="I1650" s="45" t="s">
        <v>8194</v>
      </c>
      <c r="J1650" s="45" t="s">
        <v>8190</v>
      </c>
      <c r="K1650" s="45" t="s">
        <v>21</v>
      </c>
      <c r="L1650" s="45">
        <v>5</v>
      </c>
      <c r="M1650" s="48" t="s">
        <v>8191</v>
      </c>
      <c r="N1650" s="48" t="s">
        <v>229</v>
      </c>
      <c r="O1650" s="44" t="s">
        <v>8191</v>
      </c>
    </row>
    <row r="1651" spans="1:15" x14ac:dyDescent="0.15">
      <c r="A1651" s="50" t="s">
        <v>8197</v>
      </c>
      <c r="B1651" s="51"/>
      <c r="C1651" s="43"/>
      <c r="D1651" s="44" t="s">
        <v>171</v>
      </c>
      <c r="E1651" s="41" t="s">
        <v>137</v>
      </c>
      <c r="F1651" s="43" t="s">
        <v>8200</v>
      </c>
      <c r="G1651" s="45">
        <v>141.14400000000001</v>
      </c>
      <c r="H1651" s="46">
        <v>42362</v>
      </c>
      <c r="I1651" s="45" t="s">
        <v>8233</v>
      </c>
      <c r="J1651" s="45" t="s">
        <v>8195</v>
      </c>
      <c r="K1651" s="45" t="s">
        <v>175</v>
      </c>
      <c r="L1651" s="45" t="s">
        <v>8196</v>
      </c>
      <c r="M1651" s="48" t="s">
        <v>8198</v>
      </c>
      <c r="N1651" s="48" t="s">
        <v>8199</v>
      </c>
      <c r="O1651" s="44" t="s">
        <v>8255</v>
      </c>
    </row>
    <row r="1652" spans="1:15" x14ac:dyDescent="0.15">
      <c r="A1652" s="49" t="s">
        <v>8259</v>
      </c>
      <c r="B1652" s="51"/>
      <c r="C1652" s="43"/>
      <c r="D1652" s="44" t="s">
        <v>8228</v>
      </c>
      <c r="E1652" s="41" t="s">
        <v>8229</v>
      </c>
      <c r="F1652" s="43" t="s">
        <v>8234</v>
      </c>
      <c r="G1652" s="45">
        <v>41.09</v>
      </c>
      <c r="H1652" s="46">
        <v>42366</v>
      </c>
      <c r="I1652" s="45" t="s">
        <v>8235</v>
      </c>
      <c r="J1652" s="45" t="s">
        <v>8230</v>
      </c>
      <c r="K1652" s="45" t="s">
        <v>8231</v>
      </c>
      <c r="L1652" s="45" t="s">
        <v>8232</v>
      </c>
      <c r="M1652" s="48" t="s">
        <v>8236</v>
      </c>
      <c r="N1652" s="48" t="s">
        <v>8237</v>
      </c>
      <c r="O1652" s="44" t="s">
        <v>8256</v>
      </c>
    </row>
    <row r="1653" spans="1:15" x14ac:dyDescent="0.15">
      <c r="A1653" s="49" t="s">
        <v>8260</v>
      </c>
      <c r="B1653" s="51"/>
      <c r="C1653" s="43"/>
      <c r="D1653" s="44" t="s">
        <v>8238</v>
      </c>
      <c r="E1653" s="41" t="s">
        <v>8239</v>
      </c>
      <c r="F1653" s="43" t="s">
        <v>8242</v>
      </c>
      <c r="G1653" s="45">
        <v>28.382999999999999</v>
      </c>
      <c r="H1653" s="46">
        <v>42368</v>
      </c>
      <c r="I1653" s="45" t="s">
        <v>5567</v>
      </c>
      <c r="J1653" s="45" t="s">
        <v>8240</v>
      </c>
      <c r="K1653" s="45" t="s">
        <v>8241</v>
      </c>
      <c r="L1653" s="45">
        <v>2</v>
      </c>
      <c r="M1653" s="48" t="s">
        <v>8243</v>
      </c>
      <c r="N1653" s="48" t="s">
        <v>8244</v>
      </c>
      <c r="O1653" s="44" t="s">
        <v>8257</v>
      </c>
    </row>
    <row r="1654" spans="1:15" x14ac:dyDescent="0.15">
      <c r="A1654" s="49" t="s">
        <v>8260</v>
      </c>
      <c r="B1654" s="51"/>
      <c r="C1654" s="43"/>
      <c r="D1654" s="44" t="s">
        <v>8238</v>
      </c>
      <c r="E1654" s="41" t="s">
        <v>8239</v>
      </c>
      <c r="F1654" s="43" t="s">
        <v>8245</v>
      </c>
      <c r="G1654" s="45">
        <v>73.882999999999996</v>
      </c>
      <c r="H1654" s="46">
        <v>42368</v>
      </c>
      <c r="I1654" s="45" t="s">
        <v>8403</v>
      </c>
      <c r="J1654" s="45" t="s">
        <v>8246</v>
      </c>
      <c r="K1654" s="45" t="s">
        <v>8241</v>
      </c>
      <c r="L1654" s="45">
        <v>4</v>
      </c>
      <c r="M1654" s="48" t="s">
        <v>8247</v>
      </c>
      <c r="N1654" s="48" t="s">
        <v>8248</v>
      </c>
      <c r="O1654" s="44" t="s">
        <v>8258</v>
      </c>
    </row>
    <row r="1655" spans="1:15" x14ac:dyDescent="0.15">
      <c r="A1655" s="49" t="s">
        <v>8261</v>
      </c>
      <c r="B1655" s="51"/>
      <c r="C1655" s="43"/>
      <c r="D1655" s="44" t="s">
        <v>8238</v>
      </c>
      <c r="E1655" s="41" t="s">
        <v>8239</v>
      </c>
      <c r="F1655" s="43" t="s">
        <v>8249</v>
      </c>
      <c r="G1655" s="45">
        <v>147.52199999999999</v>
      </c>
      <c r="H1655" s="46">
        <v>42368</v>
      </c>
      <c r="I1655" s="45" t="s">
        <v>7650</v>
      </c>
      <c r="J1655" s="45" t="s">
        <v>8250</v>
      </c>
      <c r="K1655" s="45" t="s">
        <v>8241</v>
      </c>
      <c r="L1655" s="45">
        <v>8</v>
      </c>
      <c r="M1655" s="48" t="s">
        <v>8251</v>
      </c>
      <c r="N1655" s="48" t="s">
        <v>8252</v>
      </c>
      <c r="O1655" s="44" t="s">
        <v>8397</v>
      </c>
    </row>
    <row r="1656" spans="1:15" x14ac:dyDescent="0.15">
      <c r="A1656" s="50" t="s">
        <v>8267</v>
      </c>
      <c r="B1656" s="51"/>
      <c r="C1656" s="43"/>
      <c r="D1656" s="44" t="s">
        <v>8263</v>
      </c>
      <c r="E1656" s="41" t="s">
        <v>137</v>
      </c>
      <c r="F1656" s="43" t="s">
        <v>8266</v>
      </c>
      <c r="G1656" s="45">
        <f>17.498*L1656</f>
        <v>87.490000000000009</v>
      </c>
      <c r="H1656" s="46">
        <v>42369</v>
      </c>
      <c r="I1656" s="45" t="s">
        <v>8268</v>
      </c>
      <c r="J1656" s="45" t="s">
        <v>8262</v>
      </c>
      <c r="K1656" s="45" t="s">
        <v>21</v>
      </c>
      <c r="L1656" s="45">
        <v>5</v>
      </c>
      <c r="M1656" s="48" t="s">
        <v>8264</v>
      </c>
      <c r="N1656" s="48" t="s">
        <v>8265</v>
      </c>
      <c r="O1656" s="44" t="s">
        <v>8264</v>
      </c>
    </row>
    <row r="1657" spans="1:15" x14ac:dyDescent="0.15">
      <c r="A1657" s="50" t="s">
        <v>8276</v>
      </c>
      <c r="B1657" s="51"/>
      <c r="C1657" s="43"/>
      <c r="D1657" s="44" t="s">
        <v>8273</v>
      </c>
      <c r="E1657" s="41" t="s">
        <v>137</v>
      </c>
      <c r="F1657" s="43" t="s">
        <v>8275</v>
      </c>
      <c r="G1657" s="45">
        <f>29.101*L1657</f>
        <v>378.31299999999999</v>
      </c>
      <c r="H1657" s="46">
        <v>42369</v>
      </c>
      <c r="I1657" s="45" t="s">
        <v>8277</v>
      </c>
      <c r="J1657" s="45" t="s">
        <v>8272</v>
      </c>
      <c r="K1657" s="45" t="s">
        <v>141</v>
      </c>
      <c r="L1657" s="45">
        <v>13</v>
      </c>
      <c r="M1657" s="48" t="s">
        <v>7947</v>
      </c>
      <c r="N1657" s="48" t="s">
        <v>8274</v>
      </c>
      <c r="O1657" s="44" t="s">
        <v>8405</v>
      </c>
    </row>
    <row r="1658" spans="1:15" x14ac:dyDescent="0.15">
      <c r="A1658" s="50" t="s">
        <v>8280</v>
      </c>
      <c r="B1658" s="51"/>
      <c r="C1658" s="43"/>
      <c r="D1658" s="44" t="s">
        <v>97</v>
      </c>
      <c r="E1658" s="41" t="s">
        <v>137</v>
      </c>
      <c r="F1658" s="43" t="s">
        <v>8279</v>
      </c>
      <c r="G1658" s="47">
        <f>12.838*L1658</f>
        <v>89.866</v>
      </c>
      <c r="H1658" s="46">
        <v>42369</v>
      </c>
      <c r="I1658" s="45" t="s">
        <v>8281</v>
      </c>
      <c r="J1658" s="45" t="s">
        <v>8278</v>
      </c>
      <c r="K1658" s="45" t="s">
        <v>141</v>
      </c>
      <c r="L1658" s="45">
        <v>7</v>
      </c>
      <c r="M1658" s="48" t="s">
        <v>7861</v>
      </c>
      <c r="N1658" s="48" t="s">
        <v>1467</v>
      </c>
      <c r="O1658" s="44" t="s">
        <v>7861</v>
      </c>
    </row>
    <row r="1659" spans="1:15" x14ac:dyDescent="0.15">
      <c r="A1659" s="50" t="s">
        <v>8282</v>
      </c>
      <c r="B1659" s="51" t="s">
        <v>3776</v>
      </c>
      <c r="C1659" s="43"/>
      <c r="D1659" s="44" t="s">
        <v>3777</v>
      </c>
      <c r="E1659" s="41" t="s">
        <v>137</v>
      </c>
      <c r="F1659" s="43" t="s">
        <v>8293</v>
      </c>
      <c r="G1659" s="47">
        <f>4.701*L1659</f>
        <v>117.52499999999999</v>
      </c>
      <c r="H1659" s="46">
        <v>42369</v>
      </c>
      <c r="I1659" s="45" t="s">
        <v>3997</v>
      </c>
      <c r="J1659" s="45" t="s">
        <v>8283</v>
      </c>
      <c r="K1659" s="45" t="s">
        <v>141</v>
      </c>
      <c r="L1659" s="45">
        <v>25</v>
      </c>
      <c r="M1659" s="48" t="s">
        <v>8287</v>
      </c>
      <c r="N1659" s="48" t="s">
        <v>338</v>
      </c>
      <c r="O1659" s="44"/>
    </row>
    <row r="1660" spans="1:15" x14ac:dyDescent="0.15">
      <c r="A1660" s="50" t="s">
        <v>8282</v>
      </c>
      <c r="B1660" s="51" t="s">
        <v>3776</v>
      </c>
      <c r="C1660" s="43"/>
      <c r="D1660" s="44" t="s">
        <v>3777</v>
      </c>
      <c r="E1660" s="41" t="s">
        <v>137</v>
      </c>
      <c r="F1660" s="43" t="s">
        <v>8294</v>
      </c>
      <c r="G1660" s="47">
        <f t="shared" ref="G1660:G1664" si="78">4.701*L1660</f>
        <v>56.411999999999992</v>
      </c>
      <c r="H1660" s="46">
        <v>42369</v>
      </c>
      <c r="I1660" s="45" t="s">
        <v>3997</v>
      </c>
      <c r="J1660" s="45" t="s">
        <v>8284</v>
      </c>
      <c r="K1660" s="45" t="s">
        <v>141</v>
      </c>
      <c r="L1660" s="45">
        <v>12</v>
      </c>
      <c r="M1660" s="48" t="s">
        <v>8288</v>
      </c>
      <c r="N1660" s="48" t="s">
        <v>8291</v>
      </c>
      <c r="O1660" s="44"/>
    </row>
    <row r="1661" spans="1:15" x14ac:dyDescent="0.15">
      <c r="A1661" s="50" t="s">
        <v>8282</v>
      </c>
      <c r="B1661" s="51" t="s">
        <v>3776</v>
      </c>
      <c r="C1661" s="43"/>
      <c r="D1661" s="44" t="s">
        <v>3777</v>
      </c>
      <c r="E1661" s="41" t="s">
        <v>137</v>
      </c>
      <c r="F1661" s="43" t="s">
        <v>8295</v>
      </c>
      <c r="G1661" s="47">
        <f t="shared" si="78"/>
        <v>51.710999999999999</v>
      </c>
      <c r="H1661" s="46">
        <v>42369</v>
      </c>
      <c r="I1661" s="45" t="s">
        <v>3997</v>
      </c>
      <c r="J1661" s="45" t="s">
        <v>8285</v>
      </c>
      <c r="K1661" s="45" t="s">
        <v>141</v>
      </c>
      <c r="L1661" s="45">
        <v>11</v>
      </c>
      <c r="M1661" s="48" t="s">
        <v>8289</v>
      </c>
      <c r="N1661" s="48" t="s">
        <v>8292</v>
      </c>
      <c r="O1661" s="44"/>
    </row>
    <row r="1662" spans="1:15" x14ac:dyDescent="0.15">
      <c r="A1662" s="50" t="s">
        <v>8297</v>
      </c>
      <c r="B1662" s="51" t="s">
        <v>3776</v>
      </c>
      <c r="C1662" s="43"/>
      <c r="D1662" s="44" t="s">
        <v>3777</v>
      </c>
      <c r="E1662" s="41" t="s">
        <v>137</v>
      </c>
      <c r="F1662" s="43" t="s">
        <v>8296</v>
      </c>
      <c r="G1662" s="47">
        <f t="shared" si="78"/>
        <v>117.52499999999999</v>
      </c>
      <c r="H1662" s="46">
        <v>42369</v>
      </c>
      <c r="I1662" s="45" t="s">
        <v>8298</v>
      </c>
      <c r="J1662" s="45" t="s">
        <v>8286</v>
      </c>
      <c r="K1662" s="45" t="s">
        <v>141</v>
      </c>
      <c r="L1662" s="45">
        <v>25</v>
      </c>
      <c r="M1662" s="48" t="s">
        <v>8290</v>
      </c>
      <c r="N1662" s="48" t="s">
        <v>338</v>
      </c>
      <c r="O1662" s="44"/>
    </row>
    <row r="1663" spans="1:15" x14ac:dyDescent="0.15">
      <c r="A1663" s="50" t="s">
        <v>3782</v>
      </c>
      <c r="B1663" s="51" t="s">
        <v>3776</v>
      </c>
      <c r="C1663" s="43"/>
      <c r="D1663" s="44" t="s">
        <v>3783</v>
      </c>
      <c r="E1663" s="41" t="s">
        <v>137</v>
      </c>
      <c r="F1663" s="43" t="s">
        <v>8303</v>
      </c>
      <c r="G1663" s="47">
        <f t="shared" si="78"/>
        <v>61.112999999999992</v>
      </c>
      <c r="H1663" s="46">
        <v>42369</v>
      </c>
      <c r="I1663" s="45" t="s">
        <v>3997</v>
      </c>
      <c r="J1663" s="45" t="s">
        <v>8299</v>
      </c>
      <c r="K1663" s="45" t="s">
        <v>141</v>
      </c>
      <c r="L1663" s="45">
        <v>13</v>
      </c>
      <c r="M1663" s="48" t="s">
        <v>8301</v>
      </c>
      <c r="N1663" s="48" t="s">
        <v>101</v>
      </c>
      <c r="O1663" s="44"/>
    </row>
    <row r="1664" spans="1:15" x14ac:dyDescent="0.15">
      <c r="A1664" s="50" t="s">
        <v>8305</v>
      </c>
      <c r="B1664" s="51" t="s">
        <v>3776</v>
      </c>
      <c r="C1664" s="43"/>
      <c r="D1664" s="44" t="s">
        <v>3783</v>
      </c>
      <c r="E1664" s="41" t="s">
        <v>137</v>
      </c>
      <c r="F1664" s="43" t="s">
        <v>8304</v>
      </c>
      <c r="G1664" s="47">
        <f t="shared" si="78"/>
        <v>117.52499999999999</v>
      </c>
      <c r="H1664" s="46">
        <v>42369</v>
      </c>
      <c r="I1664" s="45" t="s">
        <v>8298</v>
      </c>
      <c r="J1664" s="45" t="s">
        <v>8300</v>
      </c>
      <c r="K1664" s="45" t="s">
        <v>141</v>
      </c>
      <c r="L1664" s="45">
        <v>25</v>
      </c>
      <c r="M1664" s="48" t="s">
        <v>8302</v>
      </c>
      <c r="N1664" s="48" t="s">
        <v>338</v>
      </c>
      <c r="O1664" s="44"/>
    </row>
    <row r="1665" spans="1:15" x14ac:dyDescent="0.15">
      <c r="A1665" s="50" t="s">
        <v>8309</v>
      </c>
      <c r="B1665" s="51" t="s">
        <v>3945</v>
      </c>
      <c r="C1665" s="43"/>
      <c r="D1665" s="44" t="s">
        <v>4868</v>
      </c>
      <c r="E1665" s="41" t="s">
        <v>137</v>
      </c>
      <c r="F1665" s="43" t="s">
        <v>8308</v>
      </c>
      <c r="G1665" s="45">
        <f>14.87*L1665</f>
        <v>29.74</v>
      </c>
      <c r="H1665" s="46">
        <v>42369</v>
      </c>
      <c r="I1665" s="45" t="s">
        <v>8310</v>
      </c>
      <c r="J1665" s="45" t="s">
        <v>8306</v>
      </c>
      <c r="K1665" s="45" t="s">
        <v>141</v>
      </c>
      <c r="L1665" s="45">
        <v>2</v>
      </c>
      <c r="M1665" s="48" t="s">
        <v>8307</v>
      </c>
      <c r="N1665" s="48" t="s">
        <v>393</v>
      </c>
      <c r="O1665" s="44"/>
    </row>
    <row r="1666" spans="1:15" x14ac:dyDescent="0.15">
      <c r="A1666" s="50" t="s">
        <v>8314</v>
      </c>
      <c r="B1666" s="51"/>
      <c r="C1666" s="43"/>
      <c r="D1666" s="44" t="s">
        <v>8312</v>
      </c>
      <c r="E1666" s="41" t="s">
        <v>137</v>
      </c>
      <c r="F1666" s="43" t="s">
        <v>8313</v>
      </c>
      <c r="G1666" s="45">
        <f>17.52*L1666</f>
        <v>157.68</v>
      </c>
      <c r="H1666" s="46">
        <v>42369</v>
      </c>
      <c r="I1666" s="52" t="s">
        <v>8315</v>
      </c>
      <c r="J1666" s="52" t="s">
        <v>8311</v>
      </c>
      <c r="K1666" s="45" t="s">
        <v>141</v>
      </c>
      <c r="L1666" s="45">
        <v>9</v>
      </c>
      <c r="M1666" s="48" t="s">
        <v>6200</v>
      </c>
      <c r="N1666" s="48" t="s">
        <v>1185</v>
      </c>
      <c r="O1666" s="44" t="s">
        <v>8406</v>
      </c>
    </row>
    <row r="1667" spans="1:15" x14ac:dyDescent="0.15">
      <c r="A1667" s="50" t="s">
        <v>8319</v>
      </c>
      <c r="B1667" s="51"/>
      <c r="C1667" s="43"/>
      <c r="D1667" s="44" t="s">
        <v>3836</v>
      </c>
      <c r="E1667" s="41" t="s">
        <v>137</v>
      </c>
      <c r="F1667" s="43" t="s">
        <v>8318</v>
      </c>
      <c r="G1667" s="45">
        <f t="shared" ref="G1667" si="79">27.67*L1667</f>
        <v>221.36</v>
      </c>
      <c r="H1667" s="46">
        <v>42369</v>
      </c>
      <c r="I1667" s="45" t="s">
        <v>8315</v>
      </c>
      <c r="J1667" s="45" t="s">
        <v>8316</v>
      </c>
      <c r="K1667" s="45" t="s">
        <v>21</v>
      </c>
      <c r="L1667" s="45">
        <v>8</v>
      </c>
      <c r="M1667" s="48" t="s">
        <v>8317</v>
      </c>
      <c r="N1667" s="48" t="s">
        <v>1217</v>
      </c>
      <c r="O1667" s="44" t="s">
        <v>8317</v>
      </c>
    </row>
    <row r="1668" spans="1:15" x14ac:dyDescent="0.15">
      <c r="A1668" s="50" t="s">
        <v>8323</v>
      </c>
      <c r="B1668" s="51"/>
      <c r="C1668" s="43"/>
      <c r="D1668" s="44" t="s">
        <v>633</v>
      </c>
      <c r="E1668" s="41" t="s">
        <v>137</v>
      </c>
      <c r="F1668" s="43" t="s">
        <v>8322</v>
      </c>
      <c r="G1668" s="45">
        <f t="shared" ref="G1668" si="80">17.498*L1668</f>
        <v>209.976</v>
      </c>
      <c r="H1668" s="46">
        <v>42369</v>
      </c>
      <c r="I1668" s="45" t="s">
        <v>8315</v>
      </c>
      <c r="J1668" s="45" t="s">
        <v>8320</v>
      </c>
      <c r="K1668" s="45" t="s">
        <v>141</v>
      </c>
      <c r="L1668" s="45">
        <v>12</v>
      </c>
      <c r="M1668" s="48" t="s">
        <v>8321</v>
      </c>
      <c r="N1668" s="48" t="s">
        <v>242</v>
      </c>
      <c r="O1668" s="44" t="s">
        <v>8321</v>
      </c>
    </row>
    <row r="1669" spans="1:15" x14ac:dyDescent="0.15">
      <c r="A1669" s="50" t="s">
        <v>8327</v>
      </c>
      <c r="B1669" s="51"/>
      <c r="C1669" s="43"/>
      <c r="D1669" s="44" t="s">
        <v>1525</v>
      </c>
      <c r="E1669" s="41" t="s">
        <v>137</v>
      </c>
      <c r="F1669" s="43" t="s">
        <v>8326</v>
      </c>
      <c r="G1669" s="45">
        <f>17.498*L1669</f>
        <v>227.47400000000002</v>
      </c>
      <c r="H1669" s="46">
        <v>42369</v>
      </c>
      <c r="I1669" s="45" t="s">
        <v>8315</v>
      </c>
      <c r="J1669" s="45" t="s">
        <v>8324</v>
      </c>
      <c r="K1669" s="45" t="s">
        <v>141</v>
      </c>
      <c r="L1669" s="45">
        <v>13</v>
      </c>
      <c r="M1669" s="48" t="s">
        <v>8325</v>
      </c>
      <c r="N1669" s="48" t="s">
        <v>473</v>
      </c>
      <c r="O1669" s="44" t="s">
        <v>8325</v>
      </c>
    </row>
    <row r="1670" spans="1:15" x14ac:dyDescent="0.15">
      <c r="A1670" s="50" t="s">
        <v>8331</v>
      </c>
      <c r="B1670" s="51"/>
      <c r="C1670" s="43"/>
      <c r="D1670" s="44" t="s">
        <v>6834</v>
      </c>
      <c r="E1670" s="41" t="s">
        <v>137</v>
      </c>
      <c r="F1670" s="43" t="s">
        <v>8330</v>
      </c>
      <c r="G1670" s="45">
        <f t="shared" ref="G1670" si="81">14.405*L1670</f>
        <v>288.09999999999997</v>
      </c>
      <c r="H1670" s="46">
        <v>42369</v>
      </c>
      <c r="I1670" s="45" t="s">
        <v>8315</v>
      </c>
      <c r="J1670" s="45" t="s">
        <v>8328</v>
      </c>
      <c r="K1670" s="45" t="s">
        <v>141</v>
      </c>
      <c r="L1670" s="45">
        <v>20</v>
      </c>
      <c r="M1670" s="48" t="s">
        <v>8329</v>
      </c>
      <c r="N1670" s="48" t="s">
        <v>3294</v>
      </c>
      <c r="O1670" s="44" t="s">
        <v>8329</v>
      </c>
    </row>
    <row r="1671" spans="1:15" x14ac:dyDescent="0.15">
      <c r="A1671" s="50" t="s">
        <v>8335</v>
      </c>
      <c r="B1671" s="51"/>
      <c r="C1671" s="43"/>
      <c r="D1671" s="44" t="s">
        <v>1081</v>
      </c>
      <c r="E1671" s="41" t="s">
        <v>137</v>
      </c>
      <c r="F1671" s="43" t="s">
        <v>8334</v>
      </c>
      <c r="G1671" s="52">
        <f>27.688*L1671</f>
        <v>138.44</v>
      </c>
      <c r="H1671" s="46">
        <v>42369</v>
      </c>
      <c r="I1671" s="45" t="s">
        <v>8336</v>
      </c>
      <c r="J1671" s="45" t="s">
        <v>8332</v>
      </c>
      <c r="K1671" s="45" t="s">
        <v>21</v>
      </c>
      <c r="L1671" s="45">
        <v>5</v>
      </c>
      <c r="M1671" s="48" t="s">
        <v>8333</v>
      </c>
      <c r="N1671" s="48" t="s">
        <v>5372</v>
      </c>
      <c r="O1671" s="44" t="s">
        <v>8333</v>
      </c>
    </row>
    <row r="1672" spans="1:15" x14ac:dyDescent="0.15">
      <c r="A1672" s="50" t="s">
        <v>8342</v>
      </c>
      <c r="B1672" s="53" t="s">
        <v>8394</v>
      </c>
      <c r="C1672" s="43"/>
      <c r="D1672" s="44" t="s">
        <v>8337</v>
      </c>
      <c r="E1672" s="41" t="s">
        <v>137</v>
      </c>
      <c r="F1672" s="43" t="s">
        <v>8341</v>
      </c>
      <c r="G1672" s="47">
        <f>17.498*L1672</f>
        <v>262.47000000000003</v>
      </c>
      <c r="H1672" s="46">
        <v>42369</v>
      </c>
      <c r="I1672" s="45" t="s">
        <v>309</v>
      </c>
      <c r="J1672" s="45" t="s">
        <v>8338</v>
      </c>
      <c r="K1672" s="45" t="s">
        <v>141</v>
      </c>
      <c r="L1672" s="45">
        <v>15</v>
      </c>
      <c r="M1672" s="48" t="s">
        <v>8339</v>
      </c>
      <c r="N1672" s="48" t="s">
        <v>8340</v>
      </c>
      <c r="O1672" s="44" t="s">
        <v>8339</v>
      </c>
    </row>
    <row r="1673" spans="1:15" x14ac:dyDescent="0.15">
      <c r="A1673" s="50" t="s">
        <v>8355</v>
      </c>
      <c r="B1673" s="51"/>
      <c r="C1673" s="43"/>
      <c r="D1673" s="44" t="s">
        <v>1595</v>
      </c>
      <c r="E1673" s="41" t="s">
        <v>137</v>
      </c>
      <c r="F1673" s="43" t="s">
        <v>8354</v>
      </c>
      <c r="G1673" s="47">
        <v>108.306</v>
      </c>
      <c r="H1673" s="46">
        <v>42369</v>
      </c>
      <c r="I1673" s="45" t="s">
        <v>290</v>
      </c>
      <c r="J1673" s="45" t="s">
        <v>8343</v>
      </c>
      <c r="K1673" s="45" t="s">
        <v>175</v>
      </c>
      <c r="L1673" s="45" t="s">
        <v>8344</v>
      </c>
      <c r="M1673" s="48" t="s">
        <v>8351</v>
      </c>
      <c r="N1673" s="48" t="s">
        <v>8353</v>
      </c>
      <c r="O1673" s="44" t="s">
        <v>8407</v>
      </c>
    </row>
    <row r="1674" spans="1:15" x14ac:dyDescent="0.15">
      <c r="A1674" s="50" t="s">
        <v>8355</v>
      </c>
      <c r="B1674" s="51"/>
      <c r="C1674" s="43"/>
      <c r="D1674" s="44" t="s">
        <v>1595</v>
      </c>
      <c r="E1674" s="41" t="s">
        <v>137</v>
      </c>
      <c r="F1674" s="43" t="s">
        <v>8358</v>
      </c>
      <c r="G1674" s="47">
        <v>192.547</v>
      </c>
      <c r="H1674" s="46">
        <v>42369</v>
      </c>
      <c r="I1674" s="45" t="s">
        <v>8350</v>
      </c>
      <c r="J1674" s="45" t="s">
        <v>8346</v>
      </c>
      <c r="K1674" s="45" t="s">
        <v>175</v>
      </c>
      <c r="L1674" s="45" t="s">
        <v>8345</v>
      </c>
      <c r="M1674" s="48" t="s">
        <v>8356</v>
      </c>
      <c r="N1674" s="48" t="s">
        <v>8364</v>
      </c>
      <c r="O1674" s="44" t="s">
        <v>8570</v>
      </c>
    </row>
    <row r="1675" spans="1:15" x14ac:dyDescent="0.15">
      <c r="A1675" s="50" t="s">
        <v>8355</v>
      </c>
      <c r="B1675" s="51"/>
      <c r="C1675" s="43"/>
      <c r="D1675" s="44" t="s">
        <v>1595</v>
      </c>
      <c r="E1675" s="41" t="s">
        <v>137</v>
      </c>
      <c r="F1675" s="43" t="s">
        <v>8361</v>
      </c>
      <c r="G1675" s="47">
        <v>108.30200000000001</v>
      </c>
      <c r="H1675" s="46">
        <v>42369</v>
      </c>
      <c r="I1675" s="45" t="s">
        <v>8362</v>
      </c>
      <c r="J1675" s="45" t="s">
        <v>8347</v>
      </c>
      <c r="K1675" s="45" t="s">
        <v>175</v>
      </c>
      <c r="L1675" s="45" t="s">
        <v>8344</v>
      </c>
      <c r="M1675" s="48" t="s">
        <v>8359</v>
      </c>
      <c r="N1675" s="48" t="s">
        <v>8360</v>
      </c>
      <c r="O1675" s="44" t="s">
        <v>8571</v>
      </c>
    </row>
    <row r="1676" spans="1:15" x14ac:dyDescent="0.15">
      <c r="A1676" s="50" t="s">
        <v>8355</v>
      </c>
      <c r="B1676" s="51"/>
      <c r="C1676" s="43"/>
      <c r="D1676" s="44" t="s">
        <v>1595</v>
      </c>
      <c r="E1676" s="41" t="s">
        <v>137</v>
      </c>
      <c r="F1676" s="43" t="s">
        <v>8365</v>
      </c>
      <c r="G1676" s="47">
        <v>192.374</v>
      </c>
      <c r="H1676" s="46">
        <v>42369</v>
      </c>
      <c r="I1676" s="45" t="s">
        <v>8366</v>
      </c>
      <c r="J1676" s="45" t="s">
        <v>8348</v>
      </c>
      <c r="K1676" s="45" t="s">
        <v>175</v>
      </c>
      <c r="L1676" s="45" t="s">
        <v>8345</v>
      </c>
      <c r="M1676" s="48" t="s">
        <v>8363</v>
      </c>
      <c r="N1676" s="48" t="s">
        <v>8368</v>
      </c>
      <c r="O1676" s="44" t="s">
        <v>8572</v>
      </c>
    </row>
    <row r="1677" spans="1:15" x14ac:dyDescent="0.15">
      <c r="A1677" s="50" t="s">
        <v>8355</v>
      </c>
      <c r="B1677" s="51"/>
      <c r="C1677" s="43"/>
      <c r="D1677" s="44" t="s">
        <v>1595</v>
      </c>
      <c r="E1677" s="41" t="s">
        <v>137</v>
      </c>
      <c r="F1677" s="43" t="s">
        <v>8370</v>
      </c>
      <c r="G1677" s="47">
        <v>192.36</v>
      </c>
      <c r="H1677" s="46">
        <v>42369</v>
      </c>
      <c r="I1677" s="45" t="s">
        <v>8371</v>
      </c>
      <c r="J1677" s="45" t="s">
        <v>8349</v>
      </c>
      <c r="K1677" s="45" t="s">
        <v>175</v>
      </c>
      <c r="L1677" s="45" t="s">
        <v>8345</v>
      </c>
      <c r="M1677" s="48" t="s">
        <v>8367</v>
      </c>
      <c r="N1677" s="48" t="s">
        <v>8369</v>
      </c>
      <c r="O1677" s="44" t="s">
        <v>8573</v>
      </c>
    </row>
    <row r="1678" spans="1:15" x14ac:dyDescent="0.15">
      <c r="A1678" s="50" t="s">
        <v>8376</v>
      </c>
      <c r="B1678" s="51"/>
      <c r="C1678" s="43"/>
      <c r="D1678" s="44" t="s">
        <v>1219</v>
      </c>
      <c r="E1678" s="41" t="s">
        <v>137</v>
      </c>
      <c r="F1678" s="43" t="s">
        <v>8375</v>
      </c>
      <c r="G1678" s="45">
        <f>24.694*L1678</f>
        <v>49.387999999999998</v>
      </c>
      <c r="H1678" s="46">
        <v>42369</v>
      </c>
      <c r="I1678" s="45" t="s">
        <v>8377</v>
      </c>
      <c r="J1678" s="45" t="s">
        <v>8372</v>
      </c>
      <c r="K1678" s="45" t="s">
        <v>141</v>
      </c>
      <c r="L1678" s="45">
        <v>2</v>
      </c>
      <c r="M1678" s="48" t="s">
        <v>8373</v>
      </c>
      <c r="N1678" s="48" t="s">
        <v>8374</v>
      </c>
      <c r="O1678" s="44" t="s">
        <v>8574</v>
      </c>
    </row>
    <row r="1679" spans="1:15" x14ac:dyDescent="0.15">
      <c r="A1679" s="50" t="s">
        <v>8380</v>
      </c>
      <c r="B1679" s="51"/>
      <c r="C1679" s="43"/>
      <c r="D1679" s="44" t="s">
        <v>16</v>
      </c>
      <c r="E1679" s="41" t="s">
        <v>137</v>
      </c>
      <c r="F1679" s="43" t="s">
        <v>8379</v>
      </c>
      <c r="G1679" s="45">
        <f>17.498*L1679</f>
        <v>122.486</v>
      </c>
      <c r="H1679" s="46">
        <v>42369</v>
      </c>
      <c r="I1679" s="45" t="s">
        <v>8381</v>
      </c>
      <c r="J1679" s="45" t="s">
        <v>8378</v>
      </c>
      <c r="K1679" s="45" t="s">
        <v>21</v>
      </c>
      <c r="L1679" s="45">
        <v>7</v>
      </c>
      <c r="M1679" s="48" t="s">
        <v>1558</v>
      </c>
      <c r="N1679" s="48" t="s">
        <v>7257</v>
      </c>
      <c r="O1679" s="44" t="s">
        <v>1558</v>
      </c>
    </row>
    <row r="1680" spans="1:15" x14ac:dyDescent="0.15">
      <c r="A1680" s="50" t="s">
        <v>8385</v>
      </c>
      <c r="B1680" s="51"/>
      <c r="C1680" s="43"/>
      <c r="D1680" s="44" t="s">
        <v>1257</v>
      </c>
      <c r="E1680" s="41" t="s">
        <v>137</v>
      </c>
      <c r="F1680" s="43" t="s">
        <v>8384</v>
      </c>
      <c r="G1680" s="45">
        <v>52.106999999999999</v>
      </c>
      <c r="H1680" s="46">
        <v>42369</v>
      </c>
      <c r="I1680" s="45" t="s">
        <v>8386</v>
      </c>
      <c r="J1680" s="45" t="s">
        <v>8383</v>
      </c>
      <c r="K1680" s="45" t="s">
        <v>39</v>
      </c>
      <c r="L1680" s="45" t="s">
        <v>8382</v>
      </c>
      <c r="M1680" s="48" t="s">
        <v>8387</v>
      </c>
      <c r="N1680" s="48" t="s">
        <v>8388</v>
      </c>
      <c r="O1680" s="44" t="s">
        <v>8575</v>
      </c>
    </row>
    <row r="1681" spans="1:15" x14ac:dyDescent="0.15">
      <c r="A1681" s="50" t="s">
        <v>8270</v>
      </c>
      <c r="B1681" s="51"/>
      <c r="C1681" s="43"/>
      <c r="D1681" s="44" t="s">
        <v>334</v>
      </c>
      <c r="E1681" s="41" t="s">
        <v>137</v>
      </c>
      <c r="F1681" s="43" t="s">
        <v>8389</v>
      </c>
      <c r="G1681" s="45">
        <f>18.708*L1681</f>
        <v>280.62</v>
      </c>
      <c r="H1681" s="46">
        <v>42369</v>
      </c>
      <c r="I1681" s="45" t="s">
        <v>8271</v>
      </c>
      <c r="J1681" s="45" t="s">
        <v>8269</v>
      </c>
      <c r="K1681" s="45" t="s">
        <v>21</v>
      </c>
      <c r="L1681" s="45">
        <v>15</v>
      </c>
      <c r="M1681" s="48" t="s">
        <v>7523</v>
      </c>
      <c r="N1681" s="48" t="s">
        <v>236</v>
      </c>
      <c r="O1681" s="44" t="s">
        <v>8569</v>
      </c>
    </row>
    <row r="1682" spans="1:15" x14ac:dyDescent="0.15">
      <c r="A1682" s="50" t="s">
        <v>8390</v>
      </c>
      <c r="B1682" s="51" t="s">
        <v>591</v>
      </c>
      <c r="C1682" s="43"/>
      <c r="D1682" s="44" t="s">
        <v>8404</v>
      </c>
      <c r="E1682" s="41" t="s">
        <v>137</v>
      </c>
      <c r="F1682" s="43" t="s">
        <v>8393</v>
      </c>
      <c r="G1682" s="45">
        <f>32.431*L1682</f>
        <v>194.58599999999998</v>
      </c>
      <c r="H1682" s="46">
        <v>42369</v>
      </c>
      <c r="I1682" s="45" t="s">
        <v>7248</v>
      </c>
      <c r="J1682" s="45" t="s">
        <v>8391</v>
      </c>
      <c r="K1682" s="45" t="s">
        <v>184</v>
      </c>
      <c r="L1682" s="45">
        <v>6</v>
      </c>
      <c r="M1682" s="48" t="s">
        <v>8392</v>
      </c>
      <c r="N1682" s="48" t="s">
        <v>1808</v>
      </c>
      <c r="O1682" s="44"/>
    </row>
    <row r="1683" spans="1:15" x14ac:dyDescent="0.15">
      <c r="A1683" s="50" t="s">
        <v>8409</v>
      </c>
      <c r="B1683" s="51"/>
      <c r="C1683" s="43"/>
      <c r="D1683" s="44" t="s">
        <v>334</v>
      </c>
      <c r="E1683" s="41" t="s">
        <v>137</v>
      </c>
      <c r="F1683" s="43" t="s">
        <v>8414</v>
      </c>
      <c r="G1683" s="45">
        <f t="shared" ref="G1683:G1684" si="82">18.708*L1683</f>
        <v>467.69999999999993</v>
      </c>
      <c r="H1683" s="46">
        <v>42375</v>
      </c>
      <c r="I1683" s="45" t="s">
        <v>1098</v>
      </c>
      <c r="J1683" s="45" t="s">
        <v>8410</v>
      </c>
      <c r="K1683" s="45" t="s">
        <v>184</v>
      </c>
      <c r="L1683" s="45">
        <v>25</v>
      </c>
      <c r="M1683" s="48" t="s">
        <v>8412</v>
      </c>
      <c r="N1683" s="48" t="s">
        <v>338</v>
      </c>
      <c r="O1683" s="44" t="s">
        <v>8412</v>
      </c>
    </row>
    <row r="1684" spans="1:15" x14ac:dyDescent="0.15">
      <c r="A1684" s="50" t="s">
        <v>8416</v>
      </c>
      <c r="B1684" s="51"/>
      <c r="C1684" s="43"/>
      <c r="D1684" s="44" t="s">
        <v>334</v>
      </c>
      <c r="E1684" s="41" t="s">
        <v>137</v>
      </c>
      <c r="F1684" s="43" t="s">
        <v>8415</v>
      </c>
      <c r="G1684" s="45">
        <f t="shared" si="82"/>
        <v>467.69999999999993</v>
      </c>
      <c r="H1684" s="46">
        <v>42375</v>
      </c>
      <c r="I1684" s="45" t="s">
        <v>8417</v>
      </c>
      <c r="J1684" s="45" t="s">
        <v>8411</v>
      </c>
      <c r="K1684" s="45" t="s">
        <v>184</v>
      </c>
      <c r="L1684" s="45">
        <v>25</v>
      </c>
      <c r="M1684" s="48" t="s">
        <v>8413</v>
      </c>
      <c r="N1684" s="48" t="s">
        <v>338</v>
      </c>
      <c r="O1684" s="44" t="s">
        <v>8413</v>
      </c>
    </row>
    <row r="1685" spans="1:15" x14ac:dyDescent="0.15">
      <c r="A1685" s="50" t="s">
        <v>8423</v>
      </c>
      <c r="B1685" s="51"/>
      <c r="C1685" s="43"/>
      <c r="D1685" s="44" t="s">
        <v>8420</v>
      </c>
      <c r="E1685" s="41" t="s">
        <v>137</v>
      </c>
      <c r="F1685" s="43" t="s">
        <v>8422</v>
      </c>
      <c r="G1685" s="45">
        <f>12.838*L1685</f>
        <v>38.513999999999996</v>
      </c>
      <c r="H1685" s="46">
        <v>42375</v>
      </c>
      <c r="I1685" s="45" t="s">
        <v>8424</v>
      </c>
      <c r="J1685" s="45" t="s">
        <v>8418</v>
      </c>
      <c r="K1685" s="45" t="s">
        <v>8419</v>
      </c>
      <c r="L1685" s="45">
        <v>3</v>
      </c>
      <c r="M1685" s="48" t="s">
        <v>8421</v>
      </c>
      <c r="N1685" s="48" t="s">
        <v>1078</v>
      </c>
      <c r="O1685" s="44"/>
    </row>
    <row r="1686" spans="1:15" x14ac:dyDescent="0.15">
      <c r="A1686" s="50" t="s">
        <v>8429</v>
      </c>
      <c r="B1686" s="51" t="s">
        <v>3776</v>
      </c>
      <c r="C1686" s="43"/>
      <c r="D1686" s="44" t="s">
        <v>8426</v>
      </c>
      <c r="E1686" s="41" t="s">
        <v>137</v>
      </c>
      <c r="F1686" s="43" t="s">
        <v>8428</v>
      </c>
      <c r="G1686" s="45">
        <f t="shared" ref="G1686" si="83">2.078*L1686</f>
        <v>51.949999999999996</v>
      </c>
      <c r="H1686" s="46">
        <v>42375</v>
      </c>
      <c r="I1686" s="45" t="s">
        <v>8430</v>
      </c>
      <c r="J1686" s="45" t="s">
        <v>8425</v>
      </c>
      <c r="K1686" s="45" t="s">
        <v>141</v>
      </c>
      <c r="L1686" s="45">
        <v>25</v>
      </c>
      <c r="M1686" s="48" t="s">
        <v>8427</v>
      </c>
      <c r="N1686" s="48" t="s">
        <v>338</v>
      </c>
      <c r="O1686" s="44"/>
    </row>
    <row r="1687" spans="1:15" x14ac:dyDescent="0.15">
      <c r="A1687" s="50" t="s">
        <v>8433</v>
      </c>
      <c r="B1687" s="51" t="s">
        <v>3776</v>
      </c>
      <c r="C1687" s="43"/>
      <c r="D1687" s="44" t="s">
        <v>396</v>
      </c>
      <c r="E1687" s="41" t="s">
        <v>137</v>
      </c>
      <c r="F1687" s="43" t="s">
        <v>8432</v>
      </c>
      <c r="G1687" s="47">
        <f>29.101*L1687</f>
        <v>145.505</v>
      </c>
      <c r="H1687" s="46">
        <v>42375</v>
      </c>
      <c r="I1687" s="45" t="s">
        <v>8434</v>
      </c>
      <c r="J1687" s="45" t="s">
        <v>8431</v>
      </c>
      <c r="K1687" s="45" t="s">
        <v>141</v>
      </c>
      <c r="L1687" s="45">
        <v>5</v>
      </c>
      <c r="M1687" s="48" t="s">
        <v>7537</v>
      </c>
      <c r="N1687" s="48" t="s">
        <v>6596</v>
      </c>
      <c r="O1687" s="44"/>
    </row>
    <row r="1688" spans="1:15" x14ac:dyDescent="0.15">
      <c r="A1688" s="50" t="s">
        <v>8439</v>
      </c>
      <c r="B1688" s="51" t="s">
        <v>3776</v>
      </c>
      <c r="C1688" s="43"/>
      <c r="D1688" s="44" t="s">
        <v>8436</v>
      </c>
      <c r="E1688" s="41" t="s">
        <v>137</v>
      </c>
      <c r="F1688" s="43" t="s">
        <v>8438</v>
      </c>
      <c r="G1688" s="45">
        <f t="shared" ref="G1688" si="84">8.606*L1688</f>
        <v>215.15</v>
      </c>
      <c r="H1688" s="46">
        <v>42375</v>
      </c>
      <c r="I1688" s="45" t="s">
        <v>8440</v>
      </c>
      <c r="J1688" s="45" t="s">
        <v>8435</v>
      </c>
      <c r="K1688" s="47" t="s">
        <v>141</v>
      </c>
      <c r="L1688" s="45">
        <v>25</v>
      </c>
      <c r="M1688" s="48" t="s">
        <v>8437</v>
      </c>
      <c r="N1688" s="48" t="s">
        <v>338</v>
      </c>
      <c r="O1688" s="44"/>
    </row>
    <row r="1689" spans="1:15" x14ac:dyDescent="0.15">
      <c r="A1689" s="50" t="s">
        <v>8445</v>
      </c>
      <c r="B1689" s="51" t="s">
        <v>3776</v>
      </c>
      <c r="C1689" s="43"/>
      <c r="D1689" s="44" t="s">
        <v>8442</v>
      </c>
      <c r="E1689" s="41" t="s">
        <v>137</v>
      </c>
      <c r="F1689" s="43" t="s">
        <v>8444</v>
      </c>
      <c r="G1689" s="47">
        <f t="shared" ref="G1689" si="85">4.701*L1689</f>
        <v>56.411999999999992</v>
      </c>
      <c r="H1689" s="46">
        <v>42375</v>
      </c>
      <c r="I1689" s="45" t="s">
        <v>8446</v>
      </c>
      <c r="J1689" s="45" t="s">
        <v>8441</v>
      </c>
      <c r="K1689" s="45" t="s">
        <v>141</v>
      </c>
      <c r="L1689" s="45">
        <v>12</v>
      </c>
      <c r="M1689" s="48" t="s">
        <v>8443</v>
      </c>
      <c r="N1689" s="48" t="s">
        <v>242</v>
      </c>
      <c r="O1689" s="44"/>
    </row>
    <row r="1690" spans="1:15" x14ac:dyDescent="0.15">
      <c r="A1690" s="50" t="s">
        <v>8457</v>
      </c>
      <c r="B1690" s="51" t="s">
        <v>3776</v>
      </c>
      <c r="C1690" s="43"/>
      <c r="D1690" s="44" t="s">
        <v>8448</v>
      </c>
      <c r="E1690" s="41" t="s">
        <v>137</v>
      </c>
      <c r="F1690" s="43" t="s">
        <v>8454</v>
      </c>
      <c r="G1690" s="47">
        <f>8.823*L1690</f>
        <v>220.57500000000002</v>
      </c>
      <c r="H1690" s="46">
        <v>42375</v>
      </c>
      <c r="I1690" s="45" t="s">
        <v>8458</v>
      </c>
      <c r="J1690" s="45" t="s">
        <v>8447</v>
      </c>
      <c r="K1690" s="45" t="s">
        <v>141</v>
      </c>
      <c r="L1690" s="45">
        <v>25</v>
      </c>
      <c r="M1690" s="48" t="s">
        <v>8451</v>
      </c>
      <c r="N1690" s="48" t="s">
        <v>338</v>
      </c>
      <c r="O1690" s="44"/>
    </row>
    <row r="1691" spans="1:15" x14ac:dyDescent="0.15">
      <c r="A1691" s="50" t="s">
        <v>1369</v>
      </c>
      <c r="B1691" s="51" t="s">
        <v>3776</v>
      </c>
      <c r="C1691" s="43"/>
      <c r="D1691" s="44" t="s">
        <v>8448</v>
      </c>
      <c r="E1691" s="41" t="s">
        <v>137</v>
      </c>
      <c r="F1691" s="43" t="s">
        <v>8455</v>
      </c>
      <c r="G1691" s="47">
        <f t="shared" ref="G1691:G1692" si="86">8.823*L1691</f>
        <v>202.929</v>
      </c>
      <c r="H1691" s="46">
        <v>42375</v>
      </c>
      <c r="I1691" s="45" t="s">
        <v>861</v>
      </c>
      <c r="J1691" s="45" t="s">
        <v>8449</v>
      </c>
      <c r="K1691" s="45" t="s">
        <v>141</v>
      </c>
      <c r="L1691" s="45">
        <v>23</v>
      </c>
      <c r="M1691" s="48" t="s">
        <v>8453</v>
      </c>
      <c r="N1691" s="48" t="s">
        <v>2815</v>
      </c>
      <c r="O1691" s="44"/>
    </row>
    <row r="1692" spans="1:15" x14ac:dyDescent="0.15">
      <c r="A1692" s="50" t="s">
        <v>1369</v>
      </c>
      <c r="B1692" s="51" t="s">
        <v>3776</v>
      </c>
      <c r="C1692" s="43"/>
      <c r="D1692" s="44" t="s">
        <v>8448</v>
      </c>
      <c r="E1692" s="41" t="s">
        <v>137</v>
      </c>
      <c r="F1692" s="43" t="s">
        <v>8456</v>
      </c>
      <c r="G1692" s="47">
        <f t="shared" si="86"/>
        <v>220.57500000000002</v>
      </c>
      <c r="H1692" s="46">
        <v>42375</v>
      </c>
      <c r="I1692" s="45" t="s">
        <v>861</v>
      </c>
      <c r="J1692" s="45" t="s">
        <v>8450</v>
      </c>
      <c r="K1692" s="45" t="s">
        <v>141</v>
      </c>
      <c r="L1692" s="45">
        <v>25</v>
      </c>
      <c r="M1692" s="48" t="s">
        <v>8452</v>
      </c>
      <c r="N1692" s="48" t="s">
        <v>338</v>
      </c>
      <c r="O1692" s="44"/>
    </row>
    <row r="1693" spans="1:15" x14ac:dyDescent="0.15">
      <c r="A1693" s="50" t="s">
        <v>8464</v>
      </c>
      <c r="B1693" s="42" t="s">
        <v>6263</v>
      </c>
      <c r="C1693" s="43"/>
      <c r="D1693" s="44" t="s">
        <v>8460</v>
      </c>
      <c r="E1693" s="41" t="s">
        <v>137</v>
      </c>
      <c r="F1693" s="43" t="s">
        <v>8463</v>
      </c>
      <c r="G1693" s="45">
        <f t="shared" ref="G1693" si="87">9.804*L1693</f>
        <v>235.29599999999999</v>
      </c>
      <c r="H1693" s="46">
        <v>42375</v>
      </c>
      <c r="I1693" s="45" t="s">
        <v>8465</v>
      </c>
      <c r="J1693" s="45" t="s">
        <v>8459</v>
      </c>
      <c r="K1693" s="45" t="s">
        <v>141</v>
      </c>
      <c r="L1693" s="45">
        <v>24</v>
      </c>
      <c r="M1693" s="48" t="s">
        <v>8461</v>
      </c>
      <c r="N1693" s="48" t="s">
        <v>8462</v>
      </c>
      <c r="O1693" s="44"/>
    </row>
    <row r="1694" spans="1:15" x14ac:dyDescent="0.15">
      <c r="A1694" s="50" t="s">
        <v>8469</v>
      </c>
      <c r="B1694" s="42" t="s">
        <v>6263</v>
      </c>
      <c r="C1694" s="43"/>
      <c r="D1694" s="44" t="s">
        <v>4086</v>
      </c>
      <c r="E1694" s="41" t="s">
        <v>137</v>
      </c>
      <c r="F1694" s="43" t="s">
        <v>8468</v>
      </c>
      <c r="G1694" s="52">
        <f>14.87*L1694</f>
        <v>178.44</v>
      </c>
      <c r="H1694" s="46">
        <v>42375</v>
      </c>
      <c r="I1694" s="45" t="s">
        <v>6445</v>
      </c>
      <c r="J1694" s="45" t="s">
        <v>8466</v>
      </c>
      <c r="K1694" s="45" t="s">
        <v>141</v>
      </c>
      <c r="L1694" s="45">
        <v>12</v>
      </c>
      <c r="M1694" s="48" t="s">
        <v>6595</v>
      </c>
      <c r="N1694" s="48" t="s">
        <v>8467</v>
      </c>
      <c r="O1694" s="44"/>
    </row>
    <row r="1695" spans="1:15" x14ac:dyDescent="0.15">
      <c r="A1695" s="50" t="s">
        <v>8472</v>
      </c>
      <c r="B1695" s="51"/>
      <c r="C1695" s="43"/>
      <c r="D1695" s="44" t="s">
        <v>633</v>
      </c>
      <c r="E1695" s="41" t="s">
        <v>137</v>
      </c>
      <c r="F1695" s="43" t="s">
        <v>8471</v>
      </c>
      <c r="G1695" s="45">
        <f t="shared" ref="G1695" si="88">17.498*L1695</f>
        <v>227.47400000000002</v>
      </c>
      <c r="H1695" s="46">
        <v>42375</v>
      </c>
      <c r="I1695" s="45" t="s">
        <v>8473</v>
      </c>
      <c r="J1695" s="45" t="s">
        <v>8470</v>
      </c>
      <c r="K1695" s="45" t="s">
        <v>141</v>
      </c>
      <c r="L1695" s="45">
        <v>13</v>
      </c>
      <c r="M1695" s="48" t="s">
        <v>8321</v>
      </c>
      <c r="N1695" s="48" t="s">
        <v>473</v>
      </c>
      <c r="O1695" s="44" t="s">
        <v>8580</v>
      </c>
    </row>
    <row r="1696" spans="1:15" x14ac:dyDescent="0.15">
      <c r="A1696" s="50" t="s">
        <v>8480</v>
      </c>
      <c r="B1696" s="51"/>
      <c r="C1696" s="43"/>
      <c r="D1696" s="44" t="s">
        <v>425</v>
      </c>
      <c r="E1696" s="41" t="s">
        <v>137</v>
      </c>
      <c r="F1696" s="43" t="s">
        <v>8478</v>
      </c>
      <c r="G1696" s="45">
        <f t="shared" ref="G1696:G1697" si="89">18.708*L1696</f>
        <v>467.69999999999993</v>
      </c>
      <c r="H1696" s="46">
        <v>42375</v>
      </c>
      <c r="I1696" s="45" t="s">
        <v>272</v>
      </c>
      <c r="J1696" s="45" t="s">
        <v>8475</v>
      </c>
      <c r="K1696" s="45" t="s">
        <v>141</v>
      </c>
      <c r="L1696" s="45">
        <v>25</v>
      </c>
      <c r="M1696" s="48" t="s">
        <v>8476</v>
      </c>
      <c r="N1696" s="48" t="s">
        <v>338</v>
      </c>
      <c r="O1696" s="44"/>
    </row>
    <row r="1697" spans="1:15" x14ac:dyDescent="0.15">
      <c r="A1697" s="50" t="s">
        <v>8474</v>
      </c>
      <c r="B1697" s="51"/>
      <c r="C1697" s="43"/>
      <c r="D1697" s="44" t="s">
        <v>425</v>
      </c>
      <c r="E1697" s="41" t="s">
        <v>137</v>
      </c>
      <c r="F1697" s="43" t="s">
        <v>8479</v>
      </c>
      <c r="G1697" s="45">
        <f t="shared" si="89"/>
        <v>467.69999999999993</v>
      </c>
      <c r="H1697" s="46">
        <v>42375</v>
      </c>
      <c r="I1697" s="45" t="s">
        <v>8481</v>
      </c>
      <c r="J1697" s="45" t="s">
        <v>8533</v>
      </c>
      <c r="K1697" s="45" t="s">
        <v>141</v>
      </c>
      <c r="L1697" s="45">
        <v>25</v>
      </c>
      <c r="M1697" s="48" t="s">
        <v>8477</v>
      </c>
      <c r="N1697" s="48" t="s">
        <v>338</v>
      </c>
      <c r="O1697" s="44"/>
    </row>
    <row r="1698" spans="1:15" x14ac:dyDescent="0.15">
      <c r="A1698" s="50" t="s">
        <v>8482</v>
      </c>
      <c r="B1698" s="51"/>
      <c r="C1698" s="43"/>
      <c r="D1698" s="44" t="s">
        <v>1219</v>
      </c>
      <c r="E1698" s="41" t="s">
        <v>137</v>
      </c>
      <c r="F1698" s="43" t="s">
        <v>8483</v>
      </c>
      <c r="G1698" s="45">
        <f>24.694*L1698</f>
        <v>197.55199999999999</v>
      </c>
      <c r="H1698" s="46">
        <v>42375</v>
      </c>
      <c r="I1698" s="45" t="s">
        <v>215</v>
      </c>
      <c r="J1698" s="45" t="s">
        <v>8484</v>
      </c>
      <c r="K1698" s="45" t="s">
        <v>141</v>
      </c>
      <c r="L1698" s="45">
        <v>8</v>
      </c>
      <c r="M1698" s="48" t="s">
        <v>8032</v>
      </c>
      <c r="N1698" s="48" t="s">
        <v>1041</v>
      </c>
      <c r="O1698" s="44" t="s">
        <v>8581</v>
      </c>
    </row>
    <row r="1699" spans="1:15" x14ac:dyDescent="0.15">
      <c r="A1699" s="50" t="s">
        <v>8500</v>
      </c>
      <c r="B1699" s="51"/>
      <c r="C1699" s="43"/>
      <c r="D1699" s="44" t="s">
        <v>432</v>
      </c>
      <c r="E1699" s="41" t="s">
        <v>137</v>
      </c>
      <c r="F1699" s="43" t="s">
        <v>8503</v>
      </c>
      <c r="G1699" s="45">
        <v>302.697</v>
      </c>
      <c r="H1699" s="46">
        <v>42375</v>
      </c>
      <c r="I1699" s="45" t="s">
        <v>8504</v>
      </c>
      <c r="J1699" s="45" t="s">
        <v>8486</v>
      </c>
      <c r="K1699" s="45" t="s">
        <v>175</v>
      </c>
      <c r="L1699" s="45" t="s">
        <v>8487</v>
      </c>
      <c r="M1699" s="48" t="s">
        <v>8502</v>
      </c>
      <c r="N1699" s="48" t="s">
        <v>8501</v>
      </c>
      <c r="O1699" s="44" t="s">
        <v>8582</v>
      </c>
    </row>
    <row r="1700" spans="1:15" x14ac:dyDescent="0.15">
      <c r="A1700" s="50" t="s">
        <v>8500</v>
      </c>
      <c r="B1700" s="51"/>
      <c r="C1700" s="43"/>
      <c r="D1700" s="44" t="s">
        <v>432</v>
      </c>
      <c r="E1700" s="41" t="s">
        <v>137</v>
      </c>
      <c r="F1700" s="43" t="s">
        <v>8507</v>
      </c>
      <c r="G1700" s="45">
        <v>185.76900000000001</v>
      </c>
      <c r="H1700" s="46">
        <v>42375</v>
      </c>
      <c r="I1700" s="45" t="s">
        <v>8504</v>
      </c>
      <c r="J1700" s="45" t="s">
        <v>8492</v>
      </c>
      <c r="K1700" s="45" t="s">
        <v>175</v>
      </c>
      <c r="L1700" s="45" t="s">
        <v>8488</v>
      </c>
      <c r="M1700" s="48" t="s">
        <v>8505</v>
      </c>
      <c r="N1700" s="48" t="s">
        <v>8506</v>
      </c>
      <c r="O1700" s="44" t="s">
        <v>8583</v>
      </c>
    </row>
    <row r="1701" spans="1:15" x14ac:dyDescent="0.15">
      <c r="A1701" s="50" t="s">
        <v>8485</v>
      </c>
      <c r="B1701" s="51"/>
      <c r="C1701" s="43"/>
      <c r="D1701" s="44" t="s">
        <v>432</v>
      </c>
      <c r="E1701" s="41" t="s">
        <v>137</v>
      </c>
      <c r="F1701" s="43" t="s">
        <v>8510</v>
      </c>
      <c r="G1701" s="45">
        <v>383.71</v>
      </c>
      <c r="H1701" s="46">
        <v>42375</v>
      </c>
      <c r="I1701" s="45" t="s">
        <v>215</v>
      </c>
      <c r="J1701" s="45" t="s">
        <v>8493</v>
      </c>
      <c r="K1701" s="45" t="s">
        <v>175</v>
      </c>
      <c r="L1701" s="45" t="s">
        <v>8489</v>
      </c>
      <c r="M1701" s="48" t="s">
        <v>8509</v>
      </c>
      <c r="N1701" s="48" t="s">
        <v>8513</v>
      </c>
      <c r="O1701" s="44" t="s">
        <v>8584</v>
      </c>
    </row>
    <row r="1702" spans="1:15" x14ac:dyDescent="0.15">
      <c r="A1702" s="50" t="s">
        <v>8500</v>
      </c>
      <c r="B1702" s="51"/>
      <c r="C1702" s="43"/>
      <c r="D1702" s="44" t="s">
        <v>432</v>
      </c>
      <c r="E1702" s="41" t="s">
        <v>137</v>
      </c>
      <c r="F1702" s="43" t="s">
        <v>8515</v>
      </c>
      <c r="G1702" s="45">
        <v>302.37700000000001</v>
      </c>
      <c r="H1702" s="46">
        <v>42375</v>
      </c>
      <c r="I1702" s="45" t="s">
        <v>8499</v>
      </c>
      <c r="J1702" s="45" t="s">
        <v>8494</v>
      </c>
      <c r="K1702" s="45" t="s">
        <v>175</v>
      </c>
      <c r="L1702" s="45" t="s">
        <v>8487</v>
      </c>
      <c r="M1702" s="48" t="s">
        <v>8512</v>
      </c>
      <c r="N1702" s="48" t="s">
        <v>8514</v>
      </c>
      <c r="O1702" s="44" t="s">
        <v>8585</v>
      </c>
    </row>
    <row r="1703" spans="1:15" x14ac:dyDescent="0.15">
      <c r="A1703" s="50" t="s">
        <v>8500</v>
      </c>
      <c r="B1703" s="51"/>
      <c r="C1703" s="43"/>
      <c r="D1703" s="44" t="s">
        <v>432</v>
      </c>
      <c r="E1703" s="41" t="s">
        <v>137</v>
      </c>
      <c r="F1703" s="43" t="s">
        <v>8518</v>
      </c>
      <c r="G1703" s="45">
        <v>267.41800000000001</v>
      </c>
      <c r="H1703" s="46">
        <v>42375</v>
      </c>
      <c r="I1703" s="45" t="s">
        <v>8519</v>
      </c>
      <c r="J1703" s="45" t="s">
        <v>8495</v>
      </c>
      <c r="K1703" s="45" t="s">
        <v>175</v>
      </c>
      <c r="L1703" s="45" t="s">
        <v>8490</v>
      </c>
      <c r="M1703" s="48" t="s">
        <v>8516</v>
      </c>
      <c r="N1703" s="48" t="s">
        <v>8517</v>
      </c>
      <c r="O1703" s="44" t="s">
        <v>8586</v>
      </c>
    </row>
    <row r="1704" spans="1:15" x14ac:dyDescent="0.15">
      <c r="A1704" s="50" t="s">
        <v>8500</v>
      </c>
      <c r="B1704" s="51"/>
      <c r="C1704" s="43"/>
      <c r="D1704" s="44" t="s">
        <v>432</v>
      </c>
      <c r="E1704" s="41" t="s">
        <v>137</v>
      </c>
      <c r="F1704" s="43" t="s">
        <v>8521</v>
      </c>
      <c r="G1704" s="45">
        <v>384.03</v>
      </c>
      <c r="H1704" s="46">
        <v>42375</v>
      </c>
      <c r="I1704" s="45" t="s">
        <v>8499</v>
      </c>
      <c r="J1704" s="45" t="s">
        <v>8496</v>
      </c>
      <c r="K1704" s="45" t="s">
        <v>175</v>
      </c>
      <c r="L1704" s="45" t="s">
        <v>8491</v>
      </c>
      <c r="M1704" s="48" t="s">
        <v>8520</v>
      </c>
      <c r="N1704" s="48" t="s">
        <v>8523</v>
      </c>
      <c r="O1704" s="44" t="s">
        <v>8587</v>
      </c>
    </row>
    <row r="1705" spans="1:15" x14ac:dyDescent="0.15">
      <c r="A1705" s="50" t="s">
        <v>8500</v>
      </c>
      <c r="B1705" s="51"/>
      <c r="C1705" s="43"/>
      <c r="D1705" s="44" t="s">
        <v>432</v>
      </c>
      <c r="E1705" s="41" t="s">
        <v>137</v>
      </c>
      <c r="F1705" s="43" t="s">
        <v>8525</v>
      </c>
      <c r="G1705" s="45">
        <v>385.58100000000002</v>
      </c>
      <c r="H1705" s="46">
        <v>42375</v>
      </c>
      <c r="I1705" s="45" t="s">
        <v>8526</v>
      </c>
      <c r="J1705" s="45" t="s">
        <v>8497</v>
      </c>
      <c r="K1705" s="45" t="s">
        <v>175</v>
      </c>
      <c r="L1705" s="45" t="s">
        <v>8491</v>
      </c>
      <c r="M1705" s="48" t="s">
        <v>8522</v>
      </c>
      <c r="N1705" s="48" t="s">
        <v>8524</v>
      </c>
      <c r="O1705" s="44" t="s">
        <v>8588</v>
      </c>
    </row>
    <row r="1706" spans="1:15" x14ac:dyDescent="0.15">
      <c r="A1706" s="50" t="s">
        <v>8500</v>
      </c>
      <c r="B1706" s="51"/>
      <c r="C1706" s="43"/>
      <c r="D1706" s="44" t="s">
        <v>432</v>
      </c>
      <c r="E1706" s="41" t="s">
        <v>137</v>
      </c>
      <c r="F1706" s="43" t="s">
        <v>8528</v>
      </c>
      <c r="G1706" s="45">
        <v>384.947</v>
      </c>
      <c r="H1706" s="46">
        <v>42375</v>
      </c>
      <c r="I1706" s="45" t="s">
        <v>8511</v>
      </c>
      <c r="J1706" s="45" t="s">
        <v>8498</v>
      </c>
      <c r="K1706" s="45" t="s">
        <v>175</v>
      </c>
      <c r="L1706" s="45" t="s">
        <v>8491</v>
      </c>
      <c r="M1706" s="48" t="s">
        <v>8527</v>
      </c>
      <c r="N1706" s="48" t="s">
        <v>8508</v>
      </c>
      <c r="O1706" s="44" t="s">
        <v>8589</v>
      </c>
    </row>
    <row r="1707" spans="1:15" x14ac:dyDescent="0.15">
      <c r="A1707" s="50" t="s">
        <v>8500</v>
      </c>
      <c r="B1707" s="51"/>
      <c r="C1707" s="43"/>
      <c r="D1707" s="44" t="s">
        <v>432</v>
      </c>
      <c r="E1707" s="41" t="s">
        <v>137</v>
      </c>
      <c r="F1707" s="43" t="s">
        <v>8532</v>
      </c>
      <c r="G1707" s="45">
        <v>187.75399999999999</v>
      </c>
      <c r="H1707" s="46">
        <v>42375</v>
      </c>
      <c r="I1707" s="45" t="s">
        <v>8511</v>
      </c>
      <c r="J1707" s="45" t="s">
        <v>8529</v>
      </c>
      <c r="K1707" s="45" t="s">
        <v>175</v>
      </c>
      <c r="L1707" s="45" t="s">
        <v>8488</v>
      </c>
      <c r="M1707" s="48" t="s">
        <v>8531</v>
      </c>
      <c r="N1707" s="48" t="s">
        <v>8530</v>
      </c>
      <c r="O1707" s="44" t="s">
        <v>8590</v>
      </c>
    </row>
    <row r="1708" spans="1:15" x14ac:dyDescent="0.15">
      <c r="A1708" s="50" t="s">
        <v>8536</v>
      </c>
      <c r="B1708" s="51"/>
      <c r="C1708" s="43"/>
      <c r="D1708" s="44" t="s">
        <v>5504</v>
      </c>
      <c r="E1708" s="41" t="s">
        <v>137</v>
      </c>
      <c r="F1708" s="43" t="s">
        <v>8539</v>
      </c>
      <c r="G1708" s="45">
        <v>52.256</v>
      </c>
      <c r="H1708" s="46">
        <v>42375</v>
      </c>
      <c r="I1708" s="45" t="s">
        <v>8540</v>
      </c>
      <c r="J1708" s="45" t="s">
        <v>8534</v>
      </c>
      <c r="K1708" s="45" t="s">
        <v>141</v>
      </c>
      <c r="L1708" s="45" t="s">
        <v>8535</v>
      </c>
      <c r="M1708" s="48" t="s">
        <v>8537</v>
      </c>
      <c r="N1708" s="48" t="s">
        <v>8538</v>
      </c>
      <c r="O1708" s="44"/>
    </row>
    <row r="1709" spans="1:15" x14ac:dyDescent="0.15">
      <c r="A1709" s="50" t="s">
        <v>8543</v>
      </c>
      <c r="B1709" s="51"/>
      <c r="C1709" s="43"/>
      <c r="D1709" s="44" t="s">
        <v>2156</v>
      </c>
      <c r="E1709" s="41" t="s">
        <v>137</v>
      </c>
      <c r="F1709" s="43" t="s">
        <v>8546</v>
      </c>
      <c r="G1709" s="45">
        <v>51.024000000000001</v>
      </c>
      <c r="H1709" s="46">
        <v>42375</v>
      </c>
      <c r="I1709" s="45" t="s">
        <v>8547</v>
      </c>
      <c r="J1709" s="45" t="s">
        <v>8541</v>
      </c>
      <c r="K1709" s="45" t="s">
        <v>148</v>
      </c>
      <c r="L1709" s="45" t="s">
        <v>8542</v>
      </c>
      <c r="M1709" s="48" t="s">
        <v>8544</v>
      </c>
      <c r="N1709" s="48" t="s">
        <v>8545</v>
      </c>
      <c r="O1709" s="44" t="s">
        <v>8591</v>
      </c>
    </row>
    <row r="1710" spans="1:15" x14ac:dyDescent="0.15">
      <c r="A1710" s="50" t="s">
        <v>8551</v>
      </c>
      <c r="B1710" s="51"/>
      <c r="C1710" s="43"/>
      <c r="D1710" s="44" t="s">
        <v>1307</v>
      </c>
      <c r="E1710" s="41" t="s">
        <v>137</v>
      </c>
      <c r="F1710" s="43" t="s">
        <v>8554</v>
      </c>
      <c r="G1710" s="45">
        <v>155.75800000000001</v>
      </c>
      <c r="H1710" s="46">
        <v>42375</v>
      </c>
      <c r="I1710" s="45" t="s">
        <v>8555</v>
      </c>
      <c r="J1710" s="45" t="s">
        <v>8549</v>
      </c>
      <c r="K1710" s="45" t="s">
        <v>39</v>
      </c>
      <c r="L1710" s="45" t="s">
        <v>8550</v>
      </c>
      <c r="M1710" s="48" t="s">
        <v>8552</v>
      </c>
      <c r="N1710" s="48" t="s">
        <v>8553</v>
      </c>
      <c r="O1710" s="44" t="s">
        <v>8592</v>
      </c>
    </row>
    <row r="1711" spans="1:15" x14ac:dyDescent="0.15">
      <c r="A1711" s="50" t="s">
        <v>8561</v>
      </c>
      <c r="B1711" s="51"/>
      <c r="C1711" s="43"/>
      <c r="D1711" s="44" t="s">
        <v>8557</v>
      </c>
      <c r="E1711" s="41" t="s">
        <v>137</v>
      </c>
      <c r="F1711" s="43" t="s">
        <v>8560</v>
      </c>
      <c r="G1711" s="45">
        <f>17.498*L1711</f>
        <v>87.490000000000009</v>
      </c>
      <c r="H1711" s="46">
        <v>42375</v>
      </c>
      <c r="I1711" s="45" t="s">
        <v>8562</v>
      </c>
      <c r="J1711" s="45" t="s">
        <v>8556</v>
      </c>
      <c r="K1711" s="45" t="s">
        <v>8419</v>
      </c>
      <c r="L1711" s="45">
        <v>5</v>
      </c>
      <c r="M1711" s="48" t="s">
        <v>8558</v>
      </c>
      <c r="N1711" s="48" t="s">
        <v>8559</v>
      </c>
      <c r="O1711" s="44"/>
    </row>
    <row r="1712" spans="1:15" x14ac:dyDescent="0.15">
      <c r="A1712" s="50" t="s">
        <v>8566</v>
      </c>
      <c r="B1712" s="51"/>
      <c r="C1712" s="43"/>
      <c r="D1712" s="44" t="s">
        <v>4068</v>
      </c>
      <c r="E1712" s="41" t="s">
        <v>137</v>
      </c>
      <c r="F1712" s="43" t="s">
        <v>8565</v>
      </c>
      <c r="G1712" s="45">
        <f>5.286*L1712</f>
        <v>79.289999999999992</v>
      </c>
      <c r="H1712" s="46">
        <v>42375</v>
      </c>
      <c r="I1712" s="45" t="s">
        <v>8567</v>
      </c>
      <c r="J1712" s="45" t="s">
        <v>8563</v>
      </c>
      <c r="K1712" s="45" t="s">
        <v>3887</v>
      </c>
      <c r="L1712" s="45">
        <v>15</v>
      </c>
      <c r="M1712" s="48" t="s">
        <v>8564</v>
      </c>
      <c r="N1712" s="48" t="s">
        <v>236</v>
      </c>
      <c r="O1712" s="44" t="s">
        <v>8564</v>
      </c>
    </row>
    <row r="1713" spans="1:15" x14ac:dyDescent="0.15">
      <c r="A1713" s="50"/>
      <c r="B1713" s="51"/>
      <c r="C1713" s="43"/>
      <c r="D1713" s="44"/>
      <c r="E1713" s="41"/>
      <c r="F1713" s="43"/>
      <c r="G1713" s="45"/>
      <c r="H1713" s="46"/>
      <c r="I1713" s="45"/>
      <c r="J1713" s="45"/>
      <c r="K1713" s="45"/>
      <c r="L1713" s="45"/>
      <c r="M1713" s="48"/>
      <c r="N1713" s="48"/>
      <c r="O1713" s="44"/>
    </row>
    <row r="1714" spans="1:15" x14ac:dyDescent="0.15">
      <c r="A1714" s="50"/>
      <c r="B1714" s="51"/>
      <c r="C1714" s="43"/>
      <c r="D1714" s="44"/>
      <c r="E1714" s="41"/>
      <c r="F1714" s="43"/>
      <c r="G1714" s="45"/>
      <c r="H1714" s="46"/>
      <c r="I1714" s="45"/>
      <c r="J1714" s="45"/>
      <c r="K1714" s="45"/>
      <c r="L1714" s="45"/>
      <c r="M1714" s="48"/>
      <c r="N1714" s="48"/>
      <c r="O1714" s="44"/>
    </row>
    <row r="1715" spans="1:15" x14ac:dyDescent="0.15">
      <c r="A1715" s="50"/>
      <c r="B1715" s="51"/>
      <c r="C1715" s="43"/>
      <c r="D1715" s="44"/>
      <c r="E1715" s="41"/>
      <c r="F1715" s="43"/>
      <c r="G1715" s="45"/>
      <c r="H1715" s="46"/>
      <c r="I1715" s="45"/>
      <c r="J1715" s="45"/>
      <c r="K1715" s="45"/>
      <c r="L1715" s="45"/>
      <c r="M1715" s="48"/>
      <c r="N1715" s="48"/>
      <c r="O1715" s="44"/>
    </row>
    <row r="1716" spans="1:15" x14ac:dyDescent="0.15">
      <c r="A1716" s="50"/>
      <c r="B1716" s="51"/>
      <c r="C1716" s="43"/>
      <c r="D1716" s="44"/>
      <c r="E1716" s="41"/>
      <c r="F1716" s="43"/>
      <c r="G1716" s="45"/>
      <c r="H1716" s="46"/>
      <c r="I1716" s="45"/>
      <c r="J1716" s="45"/>
      <c r="K1716" s="45"/>
      <c r="L1716" s="45"/>
      <c r="M1716" s="48"/>
      <c r="N1716" s="48"/>
      <c r="O1716" s="44"/>
    </row>
    <row r="1717" spans="1:15" x14ac:dyDescent="0.15">
      <c r="A1717" s="50"/>
      <c r="B1717" s="51"/>
      <c r="C1717" s="43"/>
      <c r="D1717" s="44"/>
      <c r="E1717" s="41"/>
      <c r="F1717" s="43"/>
      <c r="G1717" s="45"/>
      <c r="H1717" s="46"/>
      <c r="I1717" s="45"/>
      <c r="J1717" s="45"/>
      <c r="K1717" s="45"/>
      <c r="L1717" s="45"/>
      <c r="M1717" s="48"/>
      <c r="N1717" s="48"/>
      <c r="O1717" s="44"/>
    </row>
    <row r="1718" spans="1:15" x14ac:dyDescent="0.15">
      <c r="A1718" s="50"/>
      <c r="B1718" s="51"/>
      <c r="C1718" s="43"/>
      <c r="D1718" s="44"/>
      <c r="E1718" s="41"/>
      <c r="F1718" s="43"/>
      <c r="G1718" s="45"/>
      <c r="H1718" s="46"/>
      <c r="I1718" s="45"/>
      <c r="J1718" s="45"/>
      <c r="K1718" s="45"/>
      <c r="L1718" s="45"/>
      <c r="M1718" s="48"/>
      <c r="N1718" s="48"/>
      <c r="O1718" s="44"/>
    </row>
  </sheetData>
  <autoFilter ref="A1:O1712"/>
  <phoneticPr fontId="4" type="noConversion"/>
  <pageMargins left="0.7" right="0.7" top="0.75" bottom="0.75" header="0.3" footer="0.3"/>
  <pageSetup paperSize="9" orientation="portrait" horizontalDpi="300" r:id="rId1"/>
  <ignoredErrors>
    <ignoredError sqref="G305 G1218 G517 G909 G1049 G1491 G1039 G1539 G989 G1597 G1682 G1690:G1692 G762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lirong.yao</dc:creator>
  <cp:lastModifiedBy>Shuaijie_Li</cp:lastModifiedBy>
  <dcterms:created xsi:type="dcterms:W3CDTF">2015-11-02T07:06:37Z</dcterms:created>
  <dcterms:modified xsi:type="dcterms:W3CDTF">2016-10-24T10:49:04Z</dcterms:modified>
</cp:coreProperties>
</file>
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60" yWindow="300" windowWidth="20730" windowHeight="9255"/>
  </bookViews>
  <sheets>
    <sheet name="Sheet1" sheetId="1" r:id="rId1"/>
  </sheets>
  <definedNames>
    <definedName name="_xlnm._FilterDatabase" localSheetId="0" hidden="1">Sheet1!$A$1:$O$195</definedName>
  </definedNames>
  <calcPr calcId="144525"/>
</workbook>
</file>

<file path=xl/calcChain.xml><?xml version="1.0" encoding="utf-8"?>
<calcChain xmlns="http://schemas.openxmlformats.org/spreadsheetml/2006/main">
  <c r="G187" i="1" l="1"/>
  <c r="G195" i="1"/>
  <c r="G194" i="1"/>
  <c r="G193" i="1"/>
  <c r="G192" i="1"/>
  <c r="G144" i="1"/>
  <c r="G140" i="1"/>
  <c r="G191" i="1"/>
  <c r="G190" i="1"/>
  <c r="G139" i="1"/>
  <c r="G189" i="1" l="1"/>
  <c r="G188" i="1"/>
  <c r="G142" i="1" l="1"/>
  <c r="G186" i="1"/>
  <c r="G185" i="1"/>
  <c r="G184" i="1"/>
  <c r="G183" i="1"/>
  <c r="G182" i="1"/>
  <c r="G181" i="1"/>
  <c r="G180" i="1"/>
  <c r="G138" i="1"/>
  <c r="G137" i="1"/>
  <c r="G132" i="1" l="1"/>
  <c r="G179" i="1"/>
  <c r="G178" i="1"/>
  <c r="G177" i="1"/>
  <c r="G141" i="1"/>
  <c r="G176" i="1" l="1"/>
  <c r="G131" i="1"/>
  <c r="G136" i="1"/>
  <c r="G175" i="1"/>
  <c r="G134" i="1" l="1"/>
  <c r="G135" i="1"/>
  <c r="G9" i="1"/>
  <c r="G8" i="1"/>
  <c r="G174" i="1"/>
  <c r="G130" i="1"/>
  <c r="G173" i="1"/>
  <c r="G172" i="1"/>
  <c r="G129" i="1" l="1"/>
  <c r="G128" i="1"/>
  <c r="G31" i="1" l="1"/>
  <c r="G30" i="1" l="1"/>
  <c r="G171" i="1"/>
  <c r="G170" i="1"/>
  <c r="G127" i="1"/>
  <c r="G169" i="1"/>
  <c r="G126" i="1"/>
  <c r="G125" i="1"/>
  <c r="G166" i="1"/>
  <c r="G168" i="1"/>
  <c r="G167" i="1" l="1"/>
  <c r="G124" i="1"/>
  <c r="G123" i="1" l="1"/>
  <c r="G165" i="1"/>
  <c r="G122" i="1"/>
  <c r="G121" i="1"/>
  <c r="G120" i="1"/>
  <c r="G119" i="1"/>
  <c r="G118" i="1"/>
  <c r="G117" i="1"/>
  <c r="G116" i="1"/>
  <c r="G115" i="1"/>
  <c r="G164" i="1"/>
  <c r="G114" i="1"/>
  <c r="G112" i="1"/>
  <c r="G113" i="1"/>
  <c r="G111" i="1"/>
  <c r="G110" i="1"/>
  <c r="G109" i="1" l="1"/>
  <c r="G108" i="1"/>
  <c r="G107" i="1"/>
  <c r="G106" i="1"/>
  <c r="G29" i="1"/>
  <c r="G105" i="1" l="1"/>
  <c r="G98" i="1"/>
  <c r="G26" i="1" l="1"/>
  <c r="G27" i="1"/>
  <c r="G28" i="1"/>
  <c r="G161" i="1"/>
  <c r="G160" i="1"/>
  <c r="G159" i="1"/>
  <c r="G158" i="1"/>
  <c r="G157" i="1"/>
  <c r="G156" i="1"/>
  <c r="G155" i="1"/>
  <c r="G154" i="1"/>
  <c r="G153" i="1"/>
  <c r="G152" i="1"/>
  <c r="G151" i="1"/>
  <c r="G25" i="1"/>
  <c r="G24" i="1"/>
  <c r="G23" i="1"/>
  <c r="G22" i="1"/>
  <c r="G21" i="1"/>
  <c r="G20" i="1"/>
  <c r="G104" i="1"/>
  <c r="G103" i="1"/>
  <c r="G102" i="1"/>
  <c r="G101" i="1"/>
  <c r="G100" i="1"/>
  <c r="G99" i="1"/>
  <c r="G97" i="1"/>
  <c r="G96" i="1"/>
  <c r="G95" i="1"/>
  <c r="G94" i="1" l="1"/>
  <c r="G93" i="1"/>
  <c r="G92" i="1"/>
  <c r="G86" i="1"/>
  <c r="G133" i="1"/>
  <c r="G91" i="1"/>
  <c r="G90" i="1"/>
  <c r="G89" i="1"/>
  <c r="G88" i="1"/>
  <c r="G87" i="1"/>
  <c r="G85" i="1"/>
  <c r="G84" i="1"/>
  <c r="G83" i="1"/>
  <c r="G82" i="1"/>
  <c r="G81" i="1"/>
  <c r="G80" i="1"/>
  <c r="G79" i="1"/>
  <c r="G78" i="1"/>
  <c r="G163" i="1"/>
  <c r="G19" i="1"/>
  <c r="G18" i="1"/>
  <c r="G17" i="1"/>
  <c r="G16" i="1"/>
  <c r="G15" i="1"/>
  <c r="G14" i="1"/>
  <c r="G52" i="1"/>
  <c r="G150" i="1"/>
  <c r="G149" i="1"/>
  <c r="G148" i="1"/>
  <c r="G51" i="1"/>
  <c r="G50" i="1"/>
  <c r="G147" i="1"/>
  <c r="G146" i="1"/>
  <c r="G145" i="1"/>
  <c r="G49" i="1"/>
  <c r="G48" i="1"/>
  <c r="G47" i="1"/>
  <c r="G46" i="1"/>
  <c r="G76" i="1" l="1"/>
  <c r="G77" i="1"/>
  <c r="G45" i="1" l="1"/>
  <c r="G44" i="1"/>
  <c r="G43" i="1"/>
  <c r="G42" i="1"/>
  <c r="G13" i="1" l="1"/>
  <c r="G12" i="1"/>
  <c r="G11" i="1"/>
  <c r="G75" i="1"/>
  <c r="G74" i="1"/>
  <c r="G7" i="1" l="1"/>
  <c r="G6" i="1"/>
  <c r="G5" i="1"/>
  <c r="G4" i="1"/>
  <c r="G3" i="1"/>
  <c r="G2" i="1"/>
  <c r="G10" i="1"/>
  <c r="G73" i="1" l="1"/>
  <c r="G72" i="1"/>
  <c r="G71" i="1"/>
  <c r="G70" i="1"/>
  <c r="G69" i="1"/>
  <c r="G68" i="1"/>
  <c r="G39" i="1"/>
  <c r="G40" i="1"/>
  <c r="G41" i="1"/>
  <c r="G38" i="1"/>
  <c r="G37" i="1"/>
  <c r="G36" i="1"/>
  <c r="G67" i="1"/>
  <c r="G66" i="1"/>
  <c r="G162" i="1"/>
  <c r="G65" i="1" l="1"/>
  <c r="G33" i="1"/>
  <c r="G35" i="1"/>
  <c r="G34" i="1"/>
  <c r="G32" i="1"/>
  <c r="G64" i="1"/>
  <c r="G63" i="1"/>
  <c r="G57" i="1"/>
  <c r="G62" i="1" l="1"/>
  <c r="G61" i="1"/>
  <c r="G60" i="1"/>
  <c r="G59" i="1"/>
  <c r="G58" i="1"/>
  <c r="G55" i="1" l="1"/>
  <c r="G56" i="1"/>
  <c r="G54" i="1"/>
  <c r="G53" i="1"/>
</calcChain>
</file>

<file path=xl/sharedStrings.xml><?xml version="1.0" encoding="utf-8"?>
<sst xmlns="http://schemas.openxmlformats.org/spreadsheetml/2006/main" count="1983" uniqueCount="1028">
  <si>
    <t>PartNumber</t>
    <phoneticPr fontId="4" type="noConversion"/>
  </si>
  <si>
    <t>notice</t>
    <phoneticPr fontId="4" type="noConversion"/>
  </si>
  <si>
    <t>waferhistory</t>
  </si>
  <si>
    <t>Site</t>
  </si>
  <si>
    <t>OrderNO#</t>
    <phoneticPr fontId="4" type="noConversion"/>
  </si>
  <si>
    <t>Qty.(K)</t>
    <phoneticPr fontId="4" type="noConversion"/>
  </si>
  <si>
    <t>IssuedDate</t>
  </si>
  <si>
    <t>Packagetype</t>
  </si>
  <si>
    <t>TopMark</t>
  </si>
  <si>
    <t>wafersite</t>
  </si>
  <si>
    <t>wafer（pcs）</t>
  </si>
  <si>
    <t>WaferIDs</t>
  </si>
  <si>
    <t>A/TLot#</t>
    <phoneticPr fontId="4" type="noConversion"/>
  </si>
  <si>
    <t>J04I0</t>
    <phoneticPr fontId="1" type="noConversion"/>
  </si>
  <si>
    <t>JCET</t>
    <phoneticPr fontId="4" type="noConversion"/>
  </si>
  <si>
    <t>HJTC</t>
    <phoneticPr fontId="4" type="noConversion"/>
  </si>
  <si>
    <t>N968N</t>
  </si>
  <si>
    <t>16#~25#</t>
  </si>
  <si>
    <t>ZF00001</t>
    <phoneticPr fontId="4" type="noConversion"/>
  </si>
  <si>
    <t>SY7802PHC</t>
    <phoneticPr fontId="1" type="noConversion"/>
  </si>
  <si>
    <t>B19A0</t>
    <phoneticPr fontId="4" type="noConversion"/>
  </si>
  <si>
    <t>NFME</t>
    <phoneticPr fontId="4" type="noConversion"/>
  </si>
  <si>
    <t>YF00001</t>
    <phoneticPr fontId="4" type="noConversion"/>
  </si>
  <si>
    <t>CSP1.92*1.92-16</t>
  </si>
  <si>
    <t>WW4GB</t>
    <phoneticPr fontId="4" type="noConversion"/>
  </si>
  <si>
    <t>HJTC</t>
    <phoneticPr fontId="4" type="noConversion"/>
  </si>
  <si>
    <t>N952L</t>
  </si>
  <si>
    <t>1#~12#</t>
  </si>
  <si>
    <t>SY7802PHC</t>
    <phoneticPr fontId="4" type="noConversion"/>
  </si>
  <si>
    <t>B19A0</t>
    <phoneticPr fontId="4" type="noConversion"/>
  </si>
  <si>
    <t>NFME</t>
    <phoneticPr fontId="4" type="noConversion"/>
  </si>
  <si>
    <t>YF00002</t>
    <phoneticPr fontId="4" type="noConversion"/>
  </si>
  <si>
    <t>N952L</t>
    <phoneticPr fontId="4" type="noConversion"/>
  </si>
  <si>
    <t>13#~25#</t>
  </si>
  <si>
    <t>CSP1.92*1.92-16</t>
    <phoneticPr fontId="4" type="noConversion"/>
  </si>
  <si>
    <t>SY6952DDCC</t>
    <phoneticPr fontId="4" type="noConversion"/>
  </si>
  <si>
    <t>J04I0</t>
    <phoneticPr fontId="4" type="noConversion"/>
  </si>
  <si>
    <t>JCET</t>
    <phoneticPr fontId="4" type="noConversion"/>
  </si>
  <si>
    <t>ZF00002</t>
    <phoneticPr fontId="4" type="noConversion"/>
  </si>
  <si>
    <t>DFN3*3-12</t>
    <phoneticPr fontId="4" type="noConversion"/>
  </si>
  <si>
    <t>XG4FA</t>
    <phoneticPr fontId="4" type="noConversion"/>
  </si>
  <si>
    <t>HJTC</t>
    <phoneticPr fontId="4" type="noConversion"/>
  </si>
  <si>
    <t>N968N.09</t>
  </si>
  <si>
    <t>SY6952DDCC</t>
    <phoneticPr fontId="4" type="noConversion"/>
  </si>
  <si>
    <t>SY6912BFCC</t>
    <phoneticPr fontId="4" type="noConversion"/>
  </si>
  <si>
    <t>J04H0</t>
  </si>
  <si>
    <t>SY6912BFCC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</si>
  <si>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</si>
  <si>
    <t>APZ4GA</t>
    <phoneticPr fontId="4" type="noConversion"/>
  </si>
  <si>
    <t>ZF00004</t>
    <phoneticPr fontId="4" type="noConversion"/>
  </si>
  <si>
    <t>N968N.01</t>
  </si>
  <si>
    <t>N968N.06</t>
  </si>
  <si>
    <t>1#~2#</t>
  </si>
  <si>
    <t>3#~9#</t>
    <phoneticPr fontId="4" type="noConversion"/>
  </si>
  <si>
    <t>12#~13#</t>
  </si>
  <si>
    <t>ZF00003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</si>
  <si>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</si>
  <si>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AQP4GA</t>
    <phoneticPr fontId="4" type="noConversion"/>
  </si>
  <si>
    <t>HJTC</t>
    <phoneticPr fontId="4" type="noConversion"/>
  </si>
  <si>
    <t>N97PK</t>
  </si>
  <si>
    <t>13,15~18,21,22,24,25</t>
  </si>
  <si>
    <t>ZF00005</t>
    <phoneticPr fontId="4" type="noConversion"/>
  </si>
  <si>
    <t>SY6905QYC</t>
    <phoneticPr fontId="4" type="noConversion"/>
  </si>
  <si>
    <t>SY6982C1QDC</t>
    <phoneticPr fontId="4" type="noConversion"/>
  </si>
  <si>
    <t>J08C0</t>
    <phoneticPr fontId="4" type="noConversion"/>
  </si>
  <si>
    <t>JCET</t>
    <phoneticPr fontId="4" type="noConversion"/>
  </si>
  <si>
    <t>ZF00006</t>
    <phoneticPr fontId="4" type="noConversion"/>
  </si>
  <si>
    <t>QFN3*3-16</t>
  </si>
  <si>
    <t>ASV4GD</t>
    <phoneticPr fontId="4" type="noConversion"/>
  </si>
  <si>
    <t>HJTC</t>
    <phoneticPr fontId="4" type="noConversion"/>
  </si>
  <si>
    <r>
      <t>需</t>
    </r>
    <r>
      <rPr>
        <sz val="10"/>
        <rFont val="Arial"/>
        <family val="2"/>
      </rPr>
      <t>Bumping</t>
    </r>
  </si>
  <si>
    <t>ZF00007</t>
    <phoneticPr fontId="4" type="noConversion"/>
  </si>
  <si>
    <t>ASV4GE</t>
    <phoneticPr fontId="4" type="noConversion"/>
  </si>
  <si>
    <t>N90H3</t>
  </si>
  <si>
    <t>11#~17#</t>
  </si>
  <si>
    <t>18#~25#</t>
  </si>
  <si>
    <t>ZF00008</t>
    <phoneticPr fontId="4" type="noConversion"/>
  </si>
  <si>
    <t>SY7311AADC</t>
    <phoneticPr fontId="4" type="noConversion"/>
  </si>
  <si>
    <t>Ah4GA</t>
    <phoneticPr fontId="4" type="noConversion"/>
  </si>
  <si>
    <t>ZF00009</t>
    <phoneticPr fontId="4" type="noConversion"/>
  </si>
  <si>
    <t>N96YJ</t>
  </si>
  <si>
    <t>8#~16#</t>
  </si>
  <si>
    <t>17#~25#</t>
  </si>
  <si>
    <t>JCET</t>
    <phoneticPr fontId="4" type="noConversion"/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</si>
  <si>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</si>
  <si>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Aj4GA</t>
    <phoneticPr fontId="4" type="noConversion"/>
  </si>
  <si>
    <t>N96YJ.02</t>
  </si>
  <si>
    <t>1#~3#</t>
  </si>
  <si>
    <t>ZF00010</t>
    <phoneticPr fontId="4" type="noConversion"/>
  </si>
  <si>
    <t>B21A1</t>
    <phoneticPr fontId="4" type="noConversion"/>
  </si>
  <si>
    <r>
      <t>Marcom</t>
    </r>
    <r>
      <rPr>
        <sz val="10"/>
        <rFont val="宋体"/>
        <family val="3"/>
        <charset val="134"/>
      </rPr>
      <t>需要</t>
    </r>
  </si>
  <si>
    <r>
      <t>需</t>
    </r>
    <r>
      <rPr>
        <sz val="10"/>
        <rFont val="Arial"/>
        <family val="2"/>
      </rPr>
      <t>Bumping</t>
    </r>
    <phoneticPr fontId="4" type="noConversion"/>
  </si>
  <si>
    <t>SY7311DADC</t>
    <phoneticPr fontId="4" type="noConversion"/>
  </si>
  <si>
    <t>J09A0</t>
    <phoneticPr fontId="4" type="noConversion"/>
  </si>
  <si>
    <r>
      <t>需</t>
    </r>
    <r>
      <rPr>
        <sz val="10"/>
        <rFont val="Arial"/>
        <family val="2"/>
      </rPr>
      <t>Bumping</t>
    </r>
    <phoneticPr fontId="4" type="noConversion"/>
  </si>
  <si>
    <t>J09A0</t>
    <phoneticPr fontId="4" type="noConversion"/>
  </si>
  <si>
    <t>JCET</t>
    <phoneticPr fontId="4" type="noConversion"/>
  </si>
  <si>
    <t>ZF00011</t>
    <phoneticPr fontId="4" type="noConversion"/>
  </si>
  <si>
    <t>AQP4HA</t>
    <phoneticPr fontId="4" type="noConversion"/>
  </si>
  <si>
    <t>HJTC</t>
    <phoneticPr fontId="4" type="noConversion"/>
  </si>
  <si>
    <t>ZF00012</t>
    <phoneticPr fontId="4" type="noConversion"/>
  </si>
  <si>
    <t>N97PL</t>
  </si>
  <si>
    <t>13#-25#</t>
  </si>
  <si>
    <t>1#-12#</t>
    <phoneticPr fontId="4" type="noConversion"/>
  </si>
  <si>
    <t>N97PL</t>
    <phoneticPr fontId="4" type="noConversion"/>
  </si>
  <si>
    <t>SY7802PHC</t>
    <phoneticPr fontId="4" type="noConversion"/>
  </si>
  <si>
    <t xml:space="preserve">NFME </t>
    <phoneticPr fontId="4" type="noConversion"/>
  </si>
  <si>
    <t>YF00003</t>
    <phoneticPr fontId="4" type="noConversion"/>
  </si>
  <si>
    <t>CSP1.92*1.92-16</t>
    <phoneticPr fontId="4" type="noConversion"/>
  </si>
  <si>
    <t>WW4GC</t>
    <phoneticPr fontId="4" type="noConversion"/>
  </si>
  <si>
    <t>WW4HA</t>
    <phoneticPr fontId="4" type="noConversion"/>
  </si>
  <si>
    <t>HJTC</t>
    <phoneticPr fontId="4" type="noConversion"/>
  </si>
  <si>
    <t>YF00004</t>
    <phoneticPr fontId="4" type="noConversion"/>
  </si>
  <si>
    <t>WW4HB</t>
    <phoneticPr fontId="4" type="noConversion"/>
  </si>
  <si>
    <t>N9701</t>
  </si>
  <si>
    <t>N9701.01</t>
  </si>
  <si>
    <t>11#~25#</t>
  </si>
  <si>
    <t>1#~10#</t>
  </si>
  <si>
    <t>N90H3-1</t>
  </si>
  <si>
    <t>N96YJ-1</t>
  </si>
  <si>
    <t>SY6905QYC</t>
    <phoneticPr fontId="4" type="noConversion"/>
  </si>
  <si>
    <t>J09A0</t>
    <phoneticPr fontId="4" type="noConversion"/>
  </si>
  <si>
    <t>JCET</t>
    <phoneticPr fontId="4" type="noConversion"/>
  </si>
  <si>
    <t>ZF00013</t>
    <phoneticPr fontId="4" type="noConversion"/>
  </si>
  <si>
    <r>
      <t>需</t>
    </r>
    <r>
      <rPr>
        <sz val="10"/>
        <rFont val="Arial"/>
        <family val="2"/>
      </rPr>
      <t>Bumping</t>
    </r>
    <phoneticPr fontId="4" type="noConversion"/>
  </si>
  <si>
    <t>AQP4HB</t>
    <phoneticPr fontId="4" type="noConversion"/>
  </si>
  <si>
    <t>AQP4HC</t>
    <phoneticPr fontId="4" type="noConversion"/>
  </si>
  <si>
    <t>HJTC</t>
    <phoneticPr fontId="4" type="noConversion"/>
  </si>
  <si>
    <t>9#-12#</t>
  </si>
  <si>
    <t>N97PK.03</t>
    <phoneticPr fontId="4" type="noConversion"/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</si>
  <si>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</si>
  <si>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N97PK</t>
    <phoneticPr fontId="4" type="noConversion"/>
  </si>
  <si>
    <t>SY6912BFCC</t>
    <phoneticPr fontId="4" type="noConversion"/>
  </si>
  <si>
    <t>JCET</t>
    <phoneticPr fontId="4" type="noConversion"/>
  </si>
  <si>
    <t>ZF00014</t>
    <phoneticPr fontId="4" type="noConversion"/>
  </si>
  <si>
    <t>APZ4GB</t>
    <phoneticPr fontId="4" type="noConversion"/>
  </si>
  <si>
    <t>APZ4IA</t>
    <phoneticPr fontId="4" type="noConversion"/>
  </si>
  <si>
    <t>HJTC</t>
    <phoneticPr fontId="4" type="noConversion"/>
  </si>
  <si>
    <t>N9980.02</t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</si>
  <si>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</si>
  <si>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J04I0</t>
    <phoneticPr fontId="4" type="noConversion"/>
  </si>
  <si>
    <t>JCET</t>
    <phoneticPr fontId="4" type="noConversion"/>
  </si>
  <si>
    <t>ZF00015</t>
    <phoneticPr fontId="4" type="noConversion"/>
  </si>
  <si>
    <t>SY6952DDCC</t>
    <phoneticPr fontId="4" type="noConversion"/>
  </si>
  <si>
    <t>DFN3*3-12</t>
    <phoneticPr fontId="4" type="noConversion"/>
  </si>
  <si>
    <t>XG4GA</t>
    <phoneticPr fontId="4" type="noConversion"/>
  </si>
  <si>
    <t>XG4IA</t>
    <phoneticPr fontId="4" type="noConversion"/>
  </si>
  <si>
    <t>N9980.03</t>
  </si>
  <si>
    <t>11#~15#</t>
  </si>
  <si>
    <t>DFN3*3-12</t>
    <phoneticPr fontId="4" type="noConversion"/>
  </si>
  <si>
    <t>SY6922DCC</t>
    <phoneticPr fontId="4" type="noConversion"/>
  </si>
  <si>
    <t>J04A3</t>
    <phoneticPr fontId="4" type="noConversion"/>
  </si>
  <si>
    <t>ZF00016</t>
    <phoneticPr fontId="4" type="noConversion"/>
  </si>
  <si>
    <t>KE4IA</t>
    <phoneticPr fontId="4" type="noConversion"/>
  </si>
  <si>
    <t>N9980</t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</si>
  <si>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</si>
  <si>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N97PL-1</t>
  </si>
  <si>
    <t>N97PK.03</t>
  </si>
  <si>
    <t>B19A0</t>
  </si>
  <si>
    <t>SY7802PHC</t>
    <phoneticPr fontId="4" type="noConversion"/>
  </si>
  <si>
    <t>WW4IA</t>
    <phoneticPr fontId="4" type="noConversion"/>
  </si>
  <si>
    <t>CSP1.92*1.92-16</t>
    <phoneticPr fontId="4" type="noConversion"/>
  </si>
  <si>
    <t>N997R</t>
    <phoneticPr fontId="4" type="noConversion"/>
  </si>
  <si>
    <t>NFME</t>
    <phoneticPr fontId="4" type="noConversion"/>
  </si>
  <si>
    <t>WW4IB</t>
    <phoneticPr fontId="4" type="noConversion"/>
  </si>
  <si>
    <t>13#-25#</t>
    <phoneticPr fontId="4" type="noConversion"/>
  </si>
  <si>
    <t>YF00005</t>
    <phoneticPr fontId="4" type="noConversion"/>
  </si>
  <si>
    <t>YF00006</t>
    <phoneticPr fontId="4" type="noConversion"/>
  </si>
  <si>
    <t>N997R</t>
    <phoneticPr fontId="4" type="noConversion"/>
  </si>
  <si>
    <t>YF00007</t>
    <phoneticPr fontId="4" type="noConversion"/>
  </si>
  <si>
    <t>YF00008</t>
    <phoneticPr fontId="4" type="noConversion"/>
  </si>
  <si>
    <t>YF00009</t>
    <phoneticPr fontId="4" type="noConversion"/>
  </si>
  <si>
    <t>YF00010</t>
    <phoneticPr fontId="4" type="noConversion"/>
  </si>
  <si>
    <t>WW4JA</t>
    <phoneticPr fontId="4" type="noConversion"/>
  </si>
  <si>
    <t>WW4JB</t>
    <phoneticPr fontId="4" type="noConversion"/>
  </si>
  <si>
    <t>WW4JC</t>
    <phoneticPr fontId="4" type="noConversion"/>
  </si>
  <si>
    <t>N9AWG</t>
  </si>
  <si>
    <t>N9AWF</t>
  </si>
  <si>
    <t>1#-9#</t>
    <phoneticPr fontId="4" type="noConversion"/>
  </si>
  <si>
    <t>10#-19#</t>
    <phoneticPr fontId="4" type="noConversion"/>
  </si>
  <si>
    <t>B21A1</t>
  </si>
  <si>
    <t>SY7311AADC</t>
    <phoneticPr fontId="4" type="noConversion"/>
  </si>
  <si>
    <t>JCET</t>
    <phoneticPr fontId="4" type="noConversion"/>
  </si>
  <si>
    <t>ZF00017</t>
    <phoneticPr fontId="4" type="noConversion"/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</si>
  <si>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</si>
  <si>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</si>
  <si>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Ah4GB</t>
    <phoneticPr fontId="4" type="noConversion"/>
  </si>
  <si>
    <t>Ah4JA</t>
    <phoneticPr fontId="4" type="noConversion"/>
  </si>
  <si>
    <t>HJTC</t>
    <phoneticPr fontId="4" type="noConversion"/>
  </si>
  <si>
    <t>ZF00018</t>
    <phoneticPr fontId="4" type="noConversion"/>
  </si>
  <si>
    <t>ZF00019</t>
    <phoneticPr fontId="4" type="noConversion"/>
  </si>
  <si>
    <t>ZF00020</t>
    <phoneticPr fontId="4" type="noConversion"/>
  </si>
  <si>
    <t>ZF00021</t>
    <phoneticPr fontId="4" type="noConversion"/>
  </si>
  <si>
    <t>ZF00022</t>
    <phoneticPr fontId="4" type="noConversion"/>
  </si>
  <si>
    <t>Ah4JB</t>
    <phoneticPr fontId="4" type="noConversion"/>
  </si>
  <si>
    <t>Ah4JC</t>
    <phoneticPr fontId="4" type="noConversion"/>
  </si>
  <si>
    <t>Ah4JD</t>
    <phoneticPr fontId="4" type="noConversion"/>
  </si>
  <si>
    <t>Ah4JE</t>
    <phoneticPr fontId="4" type="noConversion"/>
  </si>
  <si>
    <t>N9C6C</t>
  </si>
  <si>
    <t>N9C6G</t>
  </si>
  <si>
    <t>3#~9#</t>
    <phoneticPr fontId="4" type="noConversion"/>
  </si>
  <si>
    <t>10#~17#</t>
    <phoneticPr fontId="4" type="noConversion"/>
  </si>
  <si>
    <t>18#~25#</t>
    <phoneticPr fontId="4" type="noConversion"/>
  </si>
  <si>
    <t>1#~8#</t>
    <phoneticPr fontId="4" type="noConversion"/>
  </si>
  <si>
    <t>9#~16#</t>
    <phoneticPr fontId="4" type="noConversion"/>
  </si>
  <si>
    <t>17#~25#</t>
    <phoneticPr fontId="4" type="noConversion"/>
  </si>
  <si>
    <t>B21A1</t>
    <phoneticPr fontId="4" type="noConversion"/>
  </si>
  <si>
    <t xml:space="preserve">HTKJ </t>
    <phoneticPr fontId="4" type="noConversion"/>
  </si>
  <si>
    <t>HJTC</t>
    <phoneticPr fontId="4" type="noConversion"/>
  </si>
  <si>
    <t>B51A0</t>
    <phoneticPr fontId="4" type="noConversion"/>
  </si>
  <si>
    <t>SY7803DUC</t>
    <phoneticPr fontId="4" type="noConversion"/>
  </si>
  <si>
    <t>DFN3*2-14</t>
  </si>
  <si>
    <t>XY4KA</t>
    <phoneticPr fontId="4" type="noConversion"/>
  </si>
  <si>
    <t>SY7803DUC</t>
    <phoneticPr fontId="4" type="noConversion"/>
  </si>
  <si>
    <t>XY4KB</t>
    <phoneticPr fontId="4" type="noConversion"/>
  </si>
  <si>
    <t>XY4KC</t>
    <phoneticPr fontId="4" type="noConversion"/>
  </si>
  <si>
    <t>XY4KD</t>
    <phoneticPr fontId="4" type="noConversion"/>
  </si>
  <si>
    <t>XY4KE</t>
    <phoneticPr fontId="4" type="noConversion"/>
  </si>
  <si>
    <t>XY4KF</t>
    <phoneticPr fontId="4" type="noConversion"/>
  </si>
  <si>
    <t>N9AWK</t>
  </si>
  <si>
    <t>N9C6P</t>
  </si>
  <si>
    <t>N991M</t>
  </si>
  <si>
    <t>DFN3*2-14</t>
    <phoneticPr fontId="4" type="noConversion"/>
  </si>
  <si>
    <t>UF00001</t>
    <phoneticPr fontId="4" type="noConversion"/>
  </si>
  <si>
    <t>RF00001</t>
  </si>
  <si>
    <t>RF00002</t>
    <phoneticPr fontId="4" type="noConversion"/>
  </si>
  <si>
    <t>RF00003</t>
    <phoneticPr fontId="4" type="noConversion"/>
  </si>
  <si>
    <t>RF00004</t>
    <phoneticPr fontId="4" type="noConversion"/>
  </si>
  <si>
    <t>RF00005</t>
    <phoneticPr fontId="4" type="noConversion"/>
  </si>
  <si>
    <t>RF00006</t>
    <phoneticPr fontId="4" type="noConversion"/>
  </si>
  <si>
    <t>天胜</t>
    <phoneticPr fontId="4" type="noConversion"/>
  </si>
  <si>
    <t>SY7311AADC</t>
    <phoneticPr fontId="4" type="noConversion"/>
  </si>
  <si>
    <t>B21A1</t>
    <phoneticPr fontId="4" type="noConversion"/>
  </si>
  <si>
    <t>JCET</t>
    <phoneticPr fontId="4" type="noConversion"/>
  </si>
  <si>
    <t>ZF00023</t>
    <phoneticPr fontId="4" type="noConversion"/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</si>
  <si>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</si>
  <si>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Ah4JF</t>
    <phoneticPr fontId="4" type="noConversion"/>
  </si>
  <si>
    <t>HJTC</t>
    <phoneticPr fontId="4" type="noConversion"/>
  </si>
  <si>
    <t>ZF00024</t>
    <phoneticPr fontId="4" type="noConversion"/>
  </si>
  <si>
    <t>ZF00025</t>
    <phoneticPr fontId="4" type="noConversion"/>
  </si>
  <si>
    <t>N9C6H</t>
  </si>
  <si>
    <t>Ah4KB</t>
    <phoneticPr fontId="4" type="noConversion"/>
  </si>
  <si>
    <t>Ah4KC</t>
    <phoneticPr fontId="4" type="noConversion"/>
  </si>
  <si>
    <t>SY7311AADC</t>
    <phoneticPr fontId="4" type="noConversion"/>
  </si>
  <si>
    <t xml:space="preserve">HTKJ </t>
    <phoneticPr fontId="4" type="noConversion"/>
  </si>
  <si>
    <t>UF00002</t>
    <phoneticPr fontId="4" type="noConversion"/>
  </si>
  <si>
    <t>Ah4KD</t>
    <phoneticPr fontId="4" type="noConversion"/>
  </si>
  <si>
    <t>Ah4KA</t>
    <phoneticPr fontId="4" type="noConversion"/>
  </si>
  <si>
    <t>Ah4KE</t>
    <phoneticPr fontId="4" type="noConversion"/>
  </si>
  <si>
    <t>UF00003</t>
    <phoneticPr fontId="4" type="noConversion"/>
  </si>
  <si>
    <t>Ah4KF</t>
    <phoneticPr fontId="4" type="noConversion"/>
  </si>
  <si>
    <t>Ah4KG</t>
    <phoneticPr fontId="4" type="noConversion"/>
  </si>
  <si>
    <t>N9C6F</t>
  </si>
  <si>
    <t>UF00004</t>
    <phoneticPr fontId="4" type="noConversion"/>
  </si>
  <si>
    <t>B19A0</t>
    <phoneticPr fontId="4" type="noConversion"/>
  </si>
  <si>
    <t>NFME</t>
    <phoneticPr fontId="4" type="noConversion"/>
  </si>
  <si>
    <t>YF00011</t>
    <phoneticPr fontId="4" type="noConversion"/>
  </si>
  <si>
    <t>WW4JD</t>
    <phoneticPr fontId="4" type="noConversion"/>
  </si>
  <si>
    <t>WW4LA</t>
    <phoneticPr fontId="4" type="noConversion"/>
  </si>
  <si>
    <t>HJTC</t>
    <phoneticPr fontId="4" type="noConversion"/>
  </si>
  <si>
    <t>N9GAC</t>
  </si>
  <si>
    <t>N9GKA</t>
  </si>
  <si>
    <t>YF00012</t>
    <phoneticPr fontId="4" type="noConversion"/>
  </si>
  <si>
    <t>YF00013</t>
    <phoneticPr fontId="4" type="noConversion"/>
  </si>
  <si>
    <t>YF00014</t>
    <phoneticPr fontId="4" type="noConversion"/>
  </si>
  <si>
    <t>WW4LB</t>
    <phoneticPr fontId="4" type="noConversion"/>
  </si>
  <si>
    <t>WW4LC</t>
    <phoneticPr fontId="4" type="noConversion"/>
  </si>
  <si>
    <t>WW4LD</t>
    <phoneticPr fontId="4" type="noConversion"/>
  </si>
  <si>
    <t>NFME</t>
    <phoneticPr fontId="4" type="noConversion"/>
  </si>
  <si>
    <t>YF00015</t>
    <phoneticPr fontId="4" type="noConversion"/>
  </si>
  <si>
    <t>WW4LE</t>
    <phoneticPr fontId="4" type="noConversion"/>
  </si>
  <si>
    <t>YF00016</t>
    <phoneticPr fontId="4" type="noConversion"/>
  </si>
  <si>
    <t>YF00017</t>
    <phoneticPr fontId="4" type="noConversion"/>
  </si>
  <si>
    <t>YF00018</t>
    <phoneticPr fontId="4" type="noConversion"/>
  </si>
  <si>
    <t>WW4LF</t>
    <phoneticPr fontId="4" type="noConversion"/>
  </si>
  <si>
    <t>WW4LG</t>
    <phoneticPr fontId="4" type="noConversion"/>
  </si>
  <si>
    <t>WW4LH</t>
    <phoneticPr fontId="4" type="noConversion"/>
  </si>
  <si>
    <t>N9GAF</t>
  </si>
  <si>
    <t>N9GK9</t>
  </si>
  <si>
    <t>N90H3.01</t>
  </si>
  <si>
    <t>QFN3*3-16</t>
    <phoneticPr fontId="4" type="noConversion"/>
  </si>
  <si>
    <t>N9FT3</t>
  </si>
  <si>
    <t>ZF00026</t>
    <phoneticPr fontId="4" type="noConversion"/>
  </si>
  <si>
    <t>N9C6C-1</t>
  </si>
  <si>
    <t>N9C6C-2</t>
  </si>
  <si>
    <t>N9C6G-1</t>
  </si>
  <si>
    <t>N9C6G-2</t>
  </si>
  <si>
    <t>N9C6H-1</t>
  </si>
  <si>
    <t>N9C6H-2</t>
  </si>
  <si>
    <t>XDFN014140526079/XDFN014140527009/XDFN014140528023</t>
    <phoneticPr fontId="4" type="noConversion"/>
  </si>
  <si>
    <t>XDFN014140528025/XDFN014140529036/XDFN014140530016</t>
    <phoneticPr fontId="4" type="noConversion"/>
  </si>
  <si>
    <t>XDFN014140531029/XDFN014140601016</t>
    <phoneticPr fontId="4" type="noConversion"/>
  </si>
  <si>
    <t>XDFN014140601018/XDFN014140602041/XDFN014140603016</t>
    <phoneticPr fontId="4" type="noConversion"/>
  </si>
  <si>
    <t>XDFN014140603018/XDFN014140604017</t>
    <phoneticPr fontId="4" type="noConversion"/>
  </si>
  <si>
    <t>YF00019</t>
    <phoneticPr fontId="4" type="noConversion"/>
  </si>
  <si>
    <t>YF00020</t>
    <phoneticPr fontId="4" type="noConversion"/>
  </si>
  <si>
    <t>YF00021</t>
    <phoneticPr fontId="4" type="noConversion"/>
  </si>
  <si>
    <t>YF00022</t>
    <phoneticPr fontId="4" type="noConversion"/>
  </si>
  <si>
    <t>YF00023</t>
    <phoneticPr fontId="4" type="noConversion"/>
  </si>
  <si>
    <t>YF00024</t>
    <phoneticPr fontId="4" type="noConversion"/>
  </si>
  <si>
    <t>YF00025</t>
    <phoneticPr fontId="4" type="noConversion"/>
  </si>
  <si>
    <t>YF00026</t>
    <phoneticPr fontId="4" type="noConversion"/>
  </si>
  <si>
    <t>YF00027</t>
    <phoneticPr fontId="4" type="noConversion"/>
  </si>
  <si>
    <t>YF00028</t>
    <phoneticPr fontId="4" type="noConversion"/>
  </si>
  <si>
    <t>N9H1F</t>
    <phoneticPr fontId="4" type="noConversion"/>
  </si>
  <si>
    <t>WW4LK</t>
    <phoneticPr fontId="4" type="noConversion"/>
  </si>
  <si>
    <t>N9H1G</t>
    <phoneticPr fontId="4" type="noConversion"/>
  </si>
  <si>
    <t>1#-12#</t>
    <phoneticPr fontId="4" type="noConversion"/>
  </si>
  <si>
    <t>WW4LL</t>
    <phoneticPr fontId="4" type="noConversion"/>
  </si>
  <si>
    <t>13#-25#</t>
    <phoneticPr fontId="4" type="noConversion"/>
  </si>
  <si>
    <t>WW4LM</t>
    <phoneticPr fontId="4" type="noConversion"/>
  </si>
  <si>
    <t>N9H1H</t>
    <phoneticPr fontId="4" type="noConversion"/>
  </si>
  <si>
    <t>WW4LN</t>
    <phoneticPr fontId="4" type="noConversion"/>
  </si>
  <si>
    <t>WW4LO</t>
    <phoneticPr fontId="4" type="noConversion"/>
  </si>
  <si>
    <t>N9H1J</t>
    <phoneticPr fontId="4" type="noConversion"/>
  </si>
  <si>
    <t>WW4LP</t>
    <phoneticPr fontId="4" type="noConversion"/>
  </si>
  <si>
    <t>WW4LQ</t>
    <phoneticPr fontId="4" type="noConversion"/>
  </si>
  <si>
    <t>N9HFM</t>
    <phoneticPr fontId="4" type="noConversion"/>
  </si>
  <si>
    <t>WW4LR</t>
    <phoneticPr fontId="4" type="noConversion"/>
  </si>
  <si>
    <t>SY6982CQDC</t>
    <phoneticPr fontId="4" type="noConversion"/>
  </si>
  <si>
    <t>XX4LA</t>
    <phoneticPr fontId="4" type="noConversion"/>
  </si>
  <si>
    <t>1#~3#</t>
    <phoneticPr fontId="4" type="noConversion"/>
  </si>
  <si>
    <t>ZF00027</t>
    <phoneticPr fontId="4" type="noConversion"/>
  </si>
  <si>
    <t>ASV4LA</t>
    <phoneticPr fontId="4" type="noConversion"/>
  </si>
  <si>
    <t>1#~10#</t>
    <phoneticPr fontId="4" type="noConversion"/>
  </si>
  <si>
    <t>WW4LI</t>
    <phoneticPr fontId="4" type="noConversion"/>
  </si>
  <si>
    <t>WW4LJ</t>
    <phoneticPr fontId="4" type="noConversion"/>
  </si>
  <si>
    <t>N9H1F</t>
    <phoneticPr fontId="4" type="noConversion"/>
  </si>
  <si>
    <t>CSP1.92*1.92-16</t>
    <phoneticPr fontId="4" type="noConversion"/>
  </si>
  <si>
    <t>UF00007</t>
    <phoneticPr fontId="4" type="noConversion"/>
  </si>
  <si>
    <t>UF00008</t>
    <phoneticPr fontId="4" type="noConversion"/>
  </si>
  <si>
    <t>UF00009</t>
    <phoneticPr fontId="4" type="noConversion"/>
  </si>
  <si>
    <t>UF00010</t>
    <phoneticPr fontId="4" type="noConversion"/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</si>
  <si>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</si>
  <si>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SY7311AADC</t>
    <phoneticPr fontId="4" type="noConversion"/>
  </si>
  <si>
    <t>B21A1</t>
    <phoneticPr fontId="4" type="noConversion"/>
  </si>
  <si>
    <t xml:space="preserve">HTKJ </t>
    <phoneticPr fontId="4" type="noConversion"/>
  </si>
  <si>
    <t>UF00005</t>
    <phoneticPr fontId="4" type="noConversion"/>
  </si>
  <si>
    <t>Ah4LA</t>
    <phoneticPr fontId="4" type="noConversion"/>
  </si>
  <si>
    <t>UF00006</t>
    <phoneticPr fontId="4" type="noConversion"/>
  </si>
  <si>
    <t>Ah4LB</t>
    <phoneticPr fontId="4" type="noConversion"/>
  </si>
  <si>
    <t>HJTC</t>
    <phoneticPr fontId="4" type="noConversion"/>
  </si>
  <si>
    <t>9#~16#</t>
    <phoneticPr fontId="4" type="noConversion"/>
  </si>
  <si>
    <t>Ah4LC</t>
    <phoneticPr fontId="4" type="noConversion"/>
  </si>
  <si>
    <t>Ah4LD</t>
    <phoneticPr fontId="4" type="noConversion"/>
  </si>
  <si>
    <t>Ah4LE</t>
    <phoneticPr fontId="4" type="noConversion"/>
  </si>
  <si>
    <t>Ah4LF</t>
    <phoneticPr fontId="4" type="noConversion"/>
  </si>
  <si>
    <t>ZF00029</t>
    <phoneticPr fontId="4" type="noConversion"/>
  </si>
  <si>
    <t>ZF00030</t>
    <phoneticPr fontId="4" type="noConversion"/>
  </si>
  <si>
    <t>ZF00031</t>
    <phoneticPr fontId="4" type="noConversion"/>
  </si>
  <si>
    <t>JCET</t>
    <phoneticPr fontId="4" type="noConversion"/>
  </si>
  <si>
    <t>Ah4LG</t>
    <phoneticPr fontId="4" type="noConversion"/>
  </si>
  <si>
    <t>1#~8#</t>
    <phoneticPr fontId="4" type="noConversion"/>
  </si>
  <si>
    <t>Ah4LH</t>
    <phoneticPr fontId="4" type="noConversion"/>
  </si>
  <si>
    <t>Ah4LI</t>
    <phoneticPr fontId="4" type="noConversion"/>
  </si>
  <si>
    <t>Ah4LJ</t>
    <phoneticPr fontId="4" type="noConversion"/>
  </si>
  <si>
    <t>Ah4LK</t>
    <phoneticPr fontId="4" type="noConversion"/>
  </si>
  <si>
    <t>Ah4LL</t>
    <phoneticPr fontId="4" type="noConversion"/>
  </si>
  <si>
    <t>ZF00032</t>
    <phoneticPr fontId="4" type="noConversion"/>
  </si>
  <si>
    <t>Ah4LM</t>
    <phoneticPr fontId="4" type="noConversion"/>
  </si>
  <si>
    <t>ZF00033</t>
    <phoneticPr fontId="4" type="noConversion"/>
  </si>
  <si>
    <t>Ah4LN</t>
    <phoneticPr fontId="4" type="noConversion"/>
  </si>
  <si>
    <t>ZF00034</t>
    <phoneticPr fontId="4" type="noConversion"/>
  </si>
  <si>
    <t>Ah4LO</t>
    <phoneticPr fontId="4" type="noConversion"/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</si>
  <si>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</si>
  <si>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ZF00028</t>
    <phoneticPr fontId="4" type="noConversion"/>
  </si>
  <si>
    <t>ZF00035</t>
    <phoneticPr fontId="4" type="noConversion"/>
  </si>
  <si>
    <t>ZF00036</t>
    <phoneticPr fontId="4" type="noConversion"/>
  </si>
  <si>
    <t>AQP4MA</t>
    <phoneticPr fontId="4" type="noConversion"/>
  </si>
  <si>
    <t>AQP4MB</t>
    <phoneticPr fontId="4" type="noConversion"/>
  </si>
  <si>
    <t>AQP4MC</t>
    <phoneticPr fontId="4" type="noConversion"/>
  </si>
  <si>
    <t>AQP4MD</t>
    <phoneticPr fontId="4" type="noConversion"/>
  </si>
  <si>
    <t>AQP4ME</t>
    <phoneticPr fontId="4" type="noConversion"/>
  </si>
  <si>
    <t>AQP4MF</t>
    <phoneticPr fontId="4" type="noConversion"/>
  </si>
  <si>
    <t>N9FSL</t>
    <phoneticPr fontId="4" type="noConversion"/>
  </si>
  <si>
    <t>N9FSN</t>
    <phoneticPr fontId="4" type="noConversion"/>
  </si>
  <si>
    <t>N9FSP</t>
    <phoneticPr fontId="4" type="noConversion"/>
  </si>
  <si>
    <t>N9FSQ</t>
    <phoneticPr fontId="4" type="noConversion"/>
  </si>
  <si>
    <t>ZF00037</t>
    <phoneticPr fontId="4" type="noConversion"/>
  </si>
  <si>
    <t>1#~25#</t>
    <phoneticPr fontId="4" type="noConversion"/>
  </si>
  <si>
    <t>ZF00038</t>
    <phoneticPr fontId="4" type="noConversion"/>
  </si>
  <si>
    <t>ZF00039</t>
    <phoneticPr fontId="4" type="noConversion"/>
  </si>
  <si>
    <t>ZF00040</t>
    <phoneticPr fontId="4" type="noConversion"/>
  </si>
  <si>
    <t>ZF00041</t>
    <phoneticPr fontId="4" type="noConversion"/>
  </si>
  <si>
    <t>ZF00042</t>
    <phoneticPr fontId="4" type="noConversion"/>
  </si>
  <si>
    <t>ZF00043</t>
    <phoneticPr fontId="4" type="noConversion"/>
  </si>
  <si>
    <t>ZF00044</t>
    <phoneticPr fontId="4" type="noConversion"/>
  </si>
  <si>
    <t>ZF00045</t>
    <phoneticPr fontId="4" type="noConversion"/>
  </si>
  <si>
    <t>ZF00046</t>
    <phoneticPr fontId="4" type="noConversion"/>
  </si>
  <si>
    <t>ZF00047</t>
    <phoneticPr fontId="4" type="noConversion"/>
  </si>
  <si>
    <t>SY7311AADC</t>
    <phoneticPr fontId="4" type="noConversion"/>
  </si>
  <si>
    <t>B21A1</t>
    <phoneticPr fontId="4" type="noConversion"/>
  </si>
  <si>
    <t>JCET</t>
    <phoneticPr fontId="4" type="noConversion"/>
  </si>
  <si>
    <t>Ah4MA</t>
    <phoneticPr fontId="4" type="noConversion"/>
  </si>
  <si>
    <t>Ah4MB</t>
    <phoneticPr fontId="4" type="noConversion"/>
  </si>
  <si>
    <t>Ah4MC</t>
    <phoneticPr fontId="4" type="noConversion"/>
  </si>
  <si>
    <t>Ah4MD</t>
    <phoneticPr fontId="4" type="noConversion"/>
  </si>
  <si>
    <t>Ah4ME</t>
    <phoneticPr fontId="4" type="noConversion"/>
  </si>
  <si>
    <t>5#-11#</t>
    <phoneticPr fontId="4" type="noConversion"/>
  </si>
  <si>
    <t>12#-18#</t>
    <phoneticPr fontId="4" type="noConversion"/>
  </si>
  <si>
    <t>ZF00048</t>
    <phoneticPr fontId="4" type="noConversion"/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</si>
  <si>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</si>
  <si>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Ah4MF</t>
    <phoneticPr fontId="4" type="noConversion"/>
  </si>
  <si>
    <t>HJTC</t>
    <phoneticPr fontId="4" type="noConversion"/>
  </si>
  <si>
    <t>19#~25</t>
    <phoneticPr fontId="4" type="noConversion"/>
  </si>
  <si>
    <t>J08C0</t>
    <phoneticPr fontId="4" type="noConversion"/>
  </si>
  <si>
    <t>SY6982C1QDC</t>
    <phoneticPr fontId="4" type="noConversion"/>
  </si>
  <si>
    <t>JCET</t>
    <phoneticPr fontId="4" type="noConversion"/>
  </si>
  <si>
    <t>ZF00049</t>
    <phoneticPr fontId="4" type="noConversion"/>
  </si>
  <si>
    <t>ASV4MA</t>
    <phoneticPr fontId="4" type="noConversion"/>
  </si>
  <si>
    <t>N9FT3</t>
    <phoneticPr fontId="4" type="noConversion"/>
  </si>
  <si>
    <t>4#,6#~8#</t>
    <phoneticPr fontId="4" type="noConversion"/>
  </si>
  <si>
    <t>SY7311AADC</t>
  </si>
  <si>
    <t>SY7311AADC</t>
    <phoneticPr fontId="4" type="noConversion"/>
  </si>
  <si>
    <t>ZF00050</t>
    <phoneticPr fontId="4" type="noConversion"/>
  </si>
  <si>
    <t>ZF00051</t>
    <phoneticPr fontId="4" type="noConversion"/>
  </si>
  <si>
    <t>ZF00052</t>
    <phoneticPr fontId="4" type="noConversion"/>
  </si>
  <si>
    <t>ZF00053</t>
    <phoneticPr fontId="4" type="noConversion"/>
  </si>
  <si>
    <t>Ah4MG</t>
    <phoneticPr fontId="4" type="noConversion"/>
  </si>
  <si>
    <t>Ah4MH</t>
    <phoneticPr fontId="4" type="noConversion"/>
  </si>
  <si>
    <t>Ah4MI</t>
    <phoneticPr fontId="4" type="noConversion"/>
  </si>
  <si>
    <t>Ah4MJ</t>
    <phoneticPr fontId="4" type="noConversion"/>
  </si>
  <si>
    <t>ZF00054</t>
    <phoneticPr fontId="4" type="noConversion"/>
  </si>
  <si>
    <t>ZF00055</t>
    <phoneticPr fontId="4" type="noConversion"/>
  </si>
  <si>
    <t>Ah4MK</t>
    <phoneticPr fontId="4" type="noConversion"/>
  </si>
  <si>
    <t>Ah4ML</t>
    <phoneticPr fontId="4" type="noConversion"/>
  </si>
  <si>
    <t>UF00011</t>
    <phoneticPr fontId="4" type="noConversion"/>
  </si>
  <si>
    <t>UF00012</t>
    <phoneticPr fontId="4" type="noConversion"/>
  </si>
  <si>
    <t>UF00013</t>
    <phoneticPr fontId="4" type="noConversion"/>
  </si>
  <si>
    <t>UF00014</t>
    <phoneticPr fontId="4" type="noConversion"/>
  </si>
  <si>
    <t>UF00015</t>
    <phoneticPr fontId="4" type="noConversion"/>
  </si>
  <si>
    <t>UF00016</t>
    <phoneticPr fontId="4" type="noConversion"/>
  </si>
  <si>
    <t>UF00017</t>
    <phoneticPr fontId="4" type="noConversion"/>
  </si>
  <si>
    <t>UF00018</t>
    <phoneticPr fontId="4" type="noConversion"/>
  </si>
  <si>
    <t>UF00019</t>
    <phoneticPr fontId="4" type="noConversion"/>
  </si>
  <si>
    <t>Ah4MM</t>
    <phoneticPr fontId="4" type="noConversion"/>
  </si>
  <si>
    <t>Ah4MN</t>
    <phoneticPr fontId="4" type="noConversion"/>
  </si>
  <si>
    <t>Ah4MO</t>
    <phoneticPr fontId="4" type="noConversion"/>
  </si>
  <si>
    <t>Ah4MP</t>
    <phoneticPr fontId="4" type="noConversion"/>
  </si>
  <si>
    <t>Ah4MQ</t>
    <phoneticPr fontId="4" type="noConversion"/>
  </si>
  <si>
    <t>Ah4MR</t>
    <phoneticPr fontId="4" type="noConversion"/>
  </si>
  <si>
    <t>Ah4MS</t>
    <phoneticPr fontId="4" type="noConversion"/>
  </si>
  <si>
    <t>Ah4MT</t>
    <phoneticPr fontId="4" type="noConversion"/>
  </si>
  <si>
    <t>Ah4MU</t>
    <phoneticPr fontId="4" type="noConversion"/>
  </si>
  <si>
    <t>SY7802PHC</t>
  </si>
  <si>
    <t>YF00029</t>
    <phoneticPr fontId="4" type="noConversion"/>
  </si>
  <si>
    <t>YF00030</t>
    <phoneticPr fontId="4" type="noConversion"/>
  </si>
  <si>
    <t>YF00031</t>
    <phoneticPr fontId="4" type="noConversion"/>
  </si>
  <si>
    <t>YF00032</t>
    <phoneticPr fontId="4" type="noConversion"/>
  </si>
  <si>
    <t>YF00033</t>
    <phoneticPr fontId="4" type="noConversion"/>
  </si>
  <si>
    <t>YF00034</t>
    <phoneticPr fontId="4" type="noConversion"/>
  </si>
  <si>
    <t>YF00035</t>
    <phoneticPr fontId="4" type="noConversion"/>
  </si>
  <si>
    <t>YF00036</t>
    <phoneticPr fontId="4" type="noConversion"/>
  </si>
  <si>
    <t>YF00037</t>
    <phoneticPr fontId="4" type="noConversion"/>
  </si>
  <si>
    <t>N9GWW</t>
    <phoneticPr fontId="4" type="noConversion"/>
  </si>
  <si>
    <t>N9GWY</t>
    <phoneticPr fontId="4" type="noConversion"/>
  </si>
  <si>
    <t>N9GWT</t>
    <phoneticPr fontId="4" type="noConversion"/>
  </si>
  <si>
    <t>N9GY0</t>
    <phoneticPr fontId="4" type="noConversion"/>
  </si>
  <si>
    <t>N9GY1</t>
    <phoneticPr fontId="4" type="noConversion"/>
  </si>
  <si>
    <t>N9FSR</t>
    <phoneticPr fontId="4" type="noConversion"/>
  </si>
  <si>
    <t>N9FSK</t>
    <phoneticPr fontId="4" type="noConversion"/>
  </si>
  <si>
    <t>N9H7T</t>
    <phoneticPr fontId="4" type="noConversion"/>
  </si>
  <si>
    <t>N9H7Y</t>
    <phoneticPr fontId="4" type="noConversion"/>
  </si>
  <si>
    <t>N9H7W</t>
    <phoneticPr fontId="4" type="noConversion"/>
  </si>
  <si>
    <t>N9H80</t>
    <phoneticPr fontId="4" type="noConversion"/>
  </si>
  <si>
    <t>N9H7R</t>
    <phoneticPr fontId="4" type="noConversion"/>
  </si>
  <si>
    <t>N9H7S</t>
    <phoneticPr fontId="4" type="noConversion"/>
  </si>
  <si>
    <t>N9HFS</t>
    <phoneticPr fontId="4" type="noConversion"/>
  </si>
  <si>
    <t>N9HFN</t>
    <phoneticPr fontId="4" type="noConversion"/>
  </si>
  <si>
    <t>N9HFQ</t>
    <phoneticPr fontId="4" type="noConversion"/>
  </si>
  <si>
    <t>N9HFR</t>
    <phoneticPr fontId="4" type="noConversion"/>
  </si>
  <si>
    <t>N9HFP</t>
    <phoneticPr fontId="4" type="noConversion"/>
  </si>
  <si>
    <t>CSP1.92*1.92-16</t>
    <phoneticPr fontId="4" type="noConversion"/>
  </si>
  <si>
    <t>N9GTY</t>
    <phoneticPr fontId="4" type="noConversion"/>
  </si>
  <si>
    <t>片号任意</t>
    <phoneticPr fontId="4" type="noConversion"/>
  </si>
  <si>
    <t>WW4MA</t>
    <phoneticPr fontId="4" type="noConversion"/>
  </si>
  <si>
    <t>WW4MB</t>
    <phoneticPr fontId="4" type="noConversion"/>
  </si>
  <si>
    <t>WW4MC</t>
    <phoneticPr fontId="4" type="noConversion"/>
  </si>
  <si>
    <t>WW4MD</t>
    <phoneticPr fontId="4" type="noConversion"/>
  </si>
  <si>
    <t>WW4ME</t>
    <phoneticPr fontId="4" type="noConversion"/>
  </si>
  <si>
    <t>WW4MF</t>
    <phoneticPr fontId="4" type="noConversion"/>
  </si>
  <si>
    <t>WW4MG</t>
    <phoneticPr fontId="4" type="noConversion"/>
  </si>
  <si>
    <t>WW4MH</t>
    <phoneticPr fontId="4" type="noConversion"/>
  </si>
  <si>
    <t>WW4MI</t>
    <phoneticPr fontId="4" type="noConversion"/>
  </si>
  <si>
    <t>WW4MJ</t>
    <phoneticPr fontId="4" type="noConversion"/>
  </si>
  <si>
    <t>ZF00056</t>
    <phoneticPr fontId="4" type="noConversion"/>
  </si>
  <si>
    <t>ASV4NA</t>
    <phoneticPr fontId="4" type="noConversion"/>
  </si>
  <si>
    <t>SY6982C1QDC</t>
    <phoneticPr fontId="4" type="noConversion"/>
  </si>
  <si>
    <t>N9FT3.03</t>
    <phoneticPr fontId="4" type="noConversion"/>
  </si>
  <si>
    <t>11#-23#</t>
    <phoneticPr fontId="4" type="noConversion"/>
  </si>
  <si>
    <t>QFN3*3-16</t>
    <phoneticPr fontId="4" type="noConversion"/>
  </si>
  <si>
    <r>
      <rPr>
        <sz val="10"/>
        <rFont val="宋体"/>
        <family val="3"/>
        <charset val="134"/>
      </rPr>
      <t>全测成</t>
    </r>
    <r>
      <rPr>
        <sz val="10"/>
        <rFont val="Arial"/>
        <family val="2"/>
      </rPr>
      <t>SY6905BQYC</t>
    </r>
    <phoneticPr fontId="4" type="noConversion"/>
  </si>
  <si>
    <t xml:space="preserve">HTKJ </t>
    <phoneticPr fontId="4" type="noConversion"/>
  </si>
  <si>
    <t>ARF4OA</t>
    <phoneticPr fontId="4" type="noConversion"/>
  </si>
  <si>
    <t>N9L3T</t>
    <phoneticPr fontId="4" type="noConversion"/>
  </si>
  <si>
    <t>22#-25#</t>
    <phoneticPr fontId="4" type="noConversion"/>
  </si>
  <si>
    <t>B41C0</t>
    <phoneticPr fontId="4" type="noConversion"/>
  </si>
  <si>
    <t>UF00020</t>
    <phoneticPr fontId="4" type="noConversion"/>
  </si>
  <si>
    <t>J08C0</t>
    <phoneticPr fontId="4" type="noConversion"/>
  </si>
  <si>
    <t>JCET</t>
    <phoneticPr fontId="4" type="noConversion"/>
  </si>
  <si>
    <t>SY6982CQDC</t>
    <phoneticPr fontId="4" type="noConversion"/>
  </si>
  <si>
    <t>ZF00057</t>
    <phoneticPr fontId="4" type="noConversion"/>
  </si>
  <si>
    <r>
      <t>需</t>
    </r>
    <r>
      <rPr>
        <sz val="10"/>
        <rFont val="Arial"/>
        <family val="2"/>
      </rPr>
      <t>Bumping</t>
    </r>
    <phoneticPr fontId="4" type="noConversion"/>
  </si>
  <si>
    <t>XX4PA</t>
    <phoneticPr fontId="4" type="noConversion"/>
  </si>
  <si>
    <t>N9NFP</t>
    <phoneticPr fontId="4" type="noConversion"/>
  </si>
  <si>
    <t>13#-25#</t>
    <phoneticPr fontId="4" type="noConversion"/>
  </si>
  <si>
    <t>QFN3*3-16</t>
    <phoneticPr fontId="4" type="noConversion"/>
  </si>
  <si>
    <t>SY6982C1QDC</t>
    <phoneticPr fontId="4" type="noConversion"/>
  </si>
  <si>
    <t>JCET</t>
    <phoneticPr fontId="4" type="noConversion"/>
  </si>
  <si>
    <t>ZF00058</t>
    <phoneticPr fontId="4" type="noConversion"/>
  </si>
  <si>
    <t>ASV4PA</t>
    <phoneticPr fontId="4" type="noConversion"/>
  </si>
  <si>
    <t>ZF00059</t>
    <phoneticPr fontId="4" type="noConversion"/>
  </si>
  <si>
    <t>ZF00060</t>
    <phoneticPr fontId="4" type="noConversion"/>
  </si>
  <si>
    <t>ASV4PB</t>
    <phoneticPr fontId="4" type="noConversion"/>
  </si>
  <si>
    <t>ASV4PC</t>
    <phoneticPr fontId="4" type="noConversion"/>
  </si>
  <si>
    <t>1#-12#</t>
    <phoneticPr fontId="4" type="noConversion"/>
  </si>
  <si>
    <t>N9N7C</t>
  </si>
  <si>
    <t>QFN3*3-16</t>
    <phoneticPr fontId="4" type="noConversion"/>
  </si>
  <si>
    <t>J04D0</t>
    <phoneticPr fontId="4" type="noConversion"/>
  </si>
  <si>
    <t>ZF00061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</si>
  <si>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</si>
  <si>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ALB4PA</t>
    <phoneticPr fontId="4" type="noConversion"/>
  </si>
  <si>
    <t>11#~25#</t>
    <phoneticPr fontId="4" type="noConversion"/>
  </si>
  <si>
    <t>N9FT3.03</t>
  </si>
  <si>
    <t>N9GWT</t>
    <phoneticPr fontId="1" type="noConversion"/>
  </si>
  <si>
    <t>N9GWT-1</t>
  </si>
  <si>
    <t>N9GWT-2</t>
  </si>
  <si>
    <t>N9GY0</t>
  </si>
  <si>
    <t>N9GY0-1</t>
  </si>
  <si>
    <t>N9GY0-2</t>
  </si>
  <si>
    <t>N9GY1</t>
  </si>
  <si>
    <t>N9GY1-1</t>
  </si>
  <si>
    <t>N9GY1-2</t>
  </si>
  <si>
    <t>N9FSR</t>
  </si>
  <si>
    <t>N9FSK</t>
  </si>
  <si>
    <t>N9FSL</t>
  </si>
  <si>
    <t>N9FSN</t>
  </si>
  <si>
    <t>N9FSP</t>
  </si>
  <si>
    <t>N9FSQ</t>
  </si>
  <si>
    <t>N9H7T</t>
  </si>
  <si>
    <t>N9H7T-1</t>
  </si>
  <si>
    <t>N9H7T-2</t>
  </si>
  <si>
    <t>N9H7Y</t>
  </si>
  <si>
    <t>N9H7Y-1</t>
  </si>
  <si>
    <t>N9H7Y-2</t>
  </si>
  <si>
    <t>N9H7W</t>
  </si>
  <si>
    <t>N9H7W-1</t>
  </si>
  <si>
    <t>N9H7W-2</t>
  </si>
  <si>
    <t>N9H80</t>
  </si>
  <si>
    <t>N9H80-1</t>
  </si>
  <si>
    <t>N9H80-2</t>
  </si>
  <si>
    <t>SY6952BFCC</t>
    <phoneticPr fontId="4" type="noConversion"/>
  </si>
  <si>
    <t>SY6912AFCC</t>
    <phoneticPr fontId="4" type="noConversion"/>
  </si>
  <si>
    <t>J04A3</t>
    <phoneticPr fontId="4" type="noConversion"/>
  </si>
  <si>
    <t>JCET</t>
    <phoneticPr fontId="4" type="noConversion"/>
  </si>
  <si>
    <t>ZF00062</t>
    <phoneticPr fontId="4" type="noConversion"/>
  </si>
  <si>
    <t>ZF00063</t>
    <phoneticPr fontId="4" type="noConversion"/>
  </si>
  <si>
    <t>AIQ4QA</t>
    <phoneticPr fontId="4" type="noConversion"/>
  </si>
  <si>
    <t>AIQ4QB</t>
    <phoneticPr fontId="4" type="noConversion"/>
  </si>
  <si>
    <t>N968N.10</t>
    <phoneticPr fontId="4" type="noConversion"/>
  </si>
  <si>
    <t>10#-11#</t>
    <phoneticPr fontId="4" type="noConversion"/>
  </si>
  <si>
    <t>N9F51.01</t>
    <phoneticPr fontId="4" type="noConversion"/>
  </si>
  <si>
    <t>3#-6#</t>
    <phoneticPr fontId="4" type="noConversion"/>
  </si>
  <si>
    <t>SY7311AADC</t>
    <phoneticPr fontId="4" type="noConversion"/>
  </si>
  <si>
    <t>ZF00065</t>
    <phoneticPr fontId="4" type="noConversion"/>
  </si>
  <si>
    <t>ASV4QA</t>
    <phoneticPr fontId="4" type="noConversion"/>
  </si>
  <si>
    <t>ASV4QB</t>
    <phoneticPr fontId="4" type="noConversion"/>
  </si>
  <si>
    <t>N9PRN</t>
  </si>
  <si>
    <t>ZF00064</t>
    <phoneticPr fontId="4" type="noConversion"/>
  </si>
  <si>
    <t>J04A3</t>
  </si>
  <si>
    <t>ZF00066</t>
    <phoneticPr fontId="4" type="noConversion"/>
  </si>
  <si>
    <t>AIQ4QC</t>
    <phoneticPr fontId="4" type="noConversion"/>
  </si>
  <si>
    <t>N9F51.05</t>
    <phoneticPr fontId="4" type="noConversion"/>
  </si>
  <si>
    <t>1#-2#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</si>
  <si>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</si>
  <si>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SY6982C1QDC</t>
  </si>
  <si>
    <t>J08C0</t>
  </si>
  <si>
    <t>JCET</t>
    <phoneticPr fontId="4" type="noConversion"/>
  </si>
  <si>
    <t>ZF00068</t>
    <phoneticPr fontId="4" type="noConversion"/>
  </si>
  <si>
    <t>ZF00069</t>
    <phoneticPr fontId="4" type="noConversion"/>
  </si>
  <si>
    <t>ZF00070</t>
    <phoneticPr fontId="4" type="noConversion"/>
  </si>
  <si>
    <t>ZF00071</t>
    <phoneticPr fontId="4" type="noConversion"/>
  </si>
  <si>
    <t>ASV4QC</t>
    <phoneticPr fontId="4" type="noConversion"/>
  </si>
  <si>
    <t>ASV4QD</t>
    <phoneticPr fontId="4" type="noConversion"/>
  </si>
  <si>
    <t>ASV4QE</t>
    <phoneticPr fontId="4" type="noConversion"/>
  </si>
  <si>
    <t>ASV4QF</t>
    <phoneticPr fontId="4" type="noConversion"/>
  </si>
  <si>
    <t>ASV4QG</t>
    <phoneticPr fontId="4" type="noConversion"/>
  </si>
  <si>
    <t>N9PRP</t>
  </si>
  <si>
    <t>N9PRQ</t>
  </si>
  <si>
    <t>N9PTG</t>
  </si>
  <si>
    <t>2#-13#</t>
    <phoneticPr fontId="4" type="noConversion"/>
  </si>
  <si>
    <t>14#-25#</t>
    <phoneticPr fontId="4" type="noConversion"/>
  </si>
  <si>
    <t>1#-13#</t>
    <phoneticPr fontId="4" type="noConversion"/>
  </si>
  <si>
    <t>ZF00067</t>
    <phoneticPr fontId="4" type="noConversion"/>
  </si>
  <si>
    <t>SY6982CQDC</t>
  </si>
  <si>
    <t>ZF00073</t>
    <phoneticPr fontId="4" type="noConversion"/>
  </si>
  <si>
    <t>ZF00074</t>
    <phoneticPr fontId="4" type="noConversion"/>
  </si>
  <si>
    <t>ZF00075</t>
    <phoneticPr fontId="4" type="noConversion"/>
  </si>
  <si>
    <t>ZF00076</t>
    <phoneticPr fontId="4" type="noConversion"/>
  </si>
  <si>
    <t>XX4QA</t>
    <phoneticPr fontId="4" type="noConversion"/>
  </si>
  <si>
    <t>XX4QB</t>
    <phoneticPr fontId="4" type="noConversion"/>
  </si>
  <si>
    <t>XX4QC</t>
    <phoneticPr fontId="4" type="noConversion"/>
  </si>
  <si>
    <t>XX4QD</t>
    <phoneticPr fontId="4" type="noConversion"/>
  </si>
  <si>
    <t>XX4QE</t>
    <phoneticPr fontId="4" type="noConversion"/>
  </si>
  <si>
    <t>N9PTJ</t>
  </si>
  <si>
    <t>N9PTK</t>
  </si>
  <si>
    <t>N9PTL</t>
  </si>
  <si>
    <t>1#~12#</t>
    <phoneticPr fontId="4" type="noConversion"/>
  </si>
  <si>
    <t>21#-25#</t>
  </si>
  <si>
    <t>ZF00072</t>
    <phoneticPr fontId="4" type="noConversion"/>
  </si>
  <si>
    <t>N9NFP</t>
  </si>
  <si>
    <t>N9C40</t>
    <phoneticPr fontId="4" type="noConversion"/>
  </si>
  <si>
    <t>N968N.10</t>
    <phoneticPr fontId="4" type="noConversion"/>
  </si>
  <si>
    <t>N9F51.01</t>
  </si>
  <si>
    <t>N9F51.05</t>
    <phoneticPr fontId="4" type="noConversion"/>
  </si>
  <si>
    <t>ZF00078</t>
    <phoneticPr fontId="4" type="noConversion"/>
  </si>
  <si>
    <t>ZF00079</t>
    <phoneticPr fontId="4" type="noConversion"/>
  </si>
  <si>
    <t>XX4QH</t>
    <phoneticPr fontId="4" type="noConversion"/>
  </si>
  <si>
    <t>N9PTH</t>
  </si>
  <si>
    <t>N9NFP-1</t>
  </si>
  <si>
    <t>J08F0</t>
    <phoneticPr fontId="4" type="noConversion"/>
  </si>
  <si>
    <t>ZF00080</t>
    <phoneticPr fontId="4" type="noConversion"/>
  </si>
  <si>
    <t>D024RA</t>
    <phoneticPr fontId="4" type="noConversion"/>
  </si>
  <si>
    <t>HJTC</t>
    <phoneticPr fontId="4" type="noConversion"/>
  </si>
  <si>
    <t>N9PTK.01</t>
    <phoneticPr fontId="4" type="noConversion"/>
  </si>
  <si>
    <t>13#-20#</t>
    <phoneticPr fontId="4" type="noConversion"/>
  </si>
  <si>
    <t>QFN3x3-16</t>
    <phoneticPr fontId="4" type="noConversion"/>
  </si>
  <si>
    <t>SY7311AADC</t>
    <phoneticPr fontId="4" type="noConversion"/>
  </si>
  <si>
    <t>N9FT3-1</t>
  </si>
  <si>
    <t>N9N7C-1</t>
  </si>
  <si>
    <t>N9PRN-1</t>
  </si>
  <si>
    <t>N9PRP-1</t>
  </si>
  <si>
    <t>J08C0</t>
    <phoneticPr fontId="4" type="noConversion"/>
  </si>
  <si>
    <t>XX4RA</t>
    <phoneticPr fontId="4" type="noConversion"/>
  </si>
  <si>
    <t>N9PTL</t>
    <phoneticPr fontId="4" type="noConversion"/>
  </si>
  <si>
    <t>13#-25#</t>
    <phoneticPr fontId="4" type="noConversion"/>
  </si>
  <si>
    <t>SYM782CQDC</t>
    <phoneticPr fontId="4" type="noConversion"/>
  </si>
  <si>
    <t>N9PRQ-1</t>
  </si>
  <si>
    <t>N9PTG-1</t>
  </si>
  <si>
    <t>N9PTJ-1</t>
  </si>
  <si>
    <t>N9PTL-1</t>
  </si>
  <si>
    <t>SYD02QDC</t>
    <phoneticPr fontId="4" type="noConversion"/>
  </si>
  <si>
    <t>N9PTH-1</t>
  </si>
  <si>
    <t>TSO236140521481/TSO236140607259</t>
    <phoneticPr fontId="4" type="noConversion"/>
  </si>
  <si>
    <t>TSO236140607348/TSO236140608154/TSO236140608155/TSO236140608156</t>
    <phoneticPr fontId="4" type="noConversion"/>
  </si>
  <si>
    <t>TSO236140613255/TSO236140613256/TSO236140613257/TSO236140613258</t>
    <phoneticPr fontId="4" type="noConversion"/>
  </si>
  <si>
    <t>TSO236140614016/TSO236140614019/TSO236140614020/TSO236140614022/TSO236140614023</t>
    <phoneticPr fontId="4" type="noConversion"/>
  </si>
  <si>
    <t>TSO236140620278/TSO236140621095</t>
    <phoneticPr fontId="4" type="noConversion"/>
  </si>
  <si>
    <t>TSO236140711304/TSO236140712305</t>
    <phoneticPr fontId="4" type="noConversion"/>
  </si>
  <si>
    <t>TSO236140715320</t>
    <phoneticPr fontId="4" type="noConversion"/>
  </si>
  <si>
    <t>TSO236140716356/TSO236140717424</t>
    <phoneticPr fontId="4" type="noConversion"/>
  </si>
  <si>
    <t>TSO236140719250</t>
  </si>
  <si>
    <t>TSO236140718089</t>
  </si>
  <si>
    <t>TSO236140720295/TSO236140721094</t>
    <phoneticPr fontId="4" type="noConversion"/>
  </si>
  <si>
    <t>TSO236140722133</t>
  </si>
  <si>
    <t>TSO236140723148</t>
  </si>
  <si>
    <t>TSO236140725152</t>
  </si>
  <si>
    <t>TSO236140726092</t>
  </si>
  <si>
    <t>TSO236140724103</t>
  </si>
  <si>
    <t>TSO236140726297/TSO236140727052</t>
    <phoneticPr fontId="4" type="noConversion"/>
  </si>
  <si>
    <t>TSO236140721237/TSO236140722134/TSO236140724107</t>
    <phoneticPr fontId="4" type="noConversion"/>
  </si>
  <si>
    <t>TSO236140720269/TSO236140721095</t>
    <phoneticPr fontId="4" type="noConversion"/>
  </si>
  <si>
    <t>ESO016140810136</t>
  </si>
  <si>
    <t>XDFN014140605017/XDFN014140606047/XDFN014140607008</t>
    <phoneticPr fontId="4" type="noConversion"/>
  </si>
  <si>
    <t>SYM782CQDC</t>
  </si>
  <si>
    <t>J08C0</t>
    <phoneticPr fontId="4" type="noConversion"/>
  </si>
  <si>
    <t>JCET</t>
    <phoneticPr fontId="4" type="noConversion"/>
  </si>
  <si>
    <t>XX4SA</t>
    <phoneticPr fontId="4" type="noConversion"/>
  </si>
  <si>
    <t>HJTC</t>
  </si>
  <si>
    <t>ZF00082</t>
    <phoneticPr fontId="4" type="noConversion"/>
  </si>
  <si>
    <t>ZF00083</t>
    <phoneticPr fontId="4" type="noConversion"/>
  </si>
  <si>
    <t>XX4SB</t>
    <phoneticPr fontId="4" type="noConversion"/>
  </si>
  <si>
    <t>XX4SC</t>
    <phoneticPr fontId="4" type="noConversion"/>
  </si>
  <si>
    <t>SYM782CQDC</t>
    <phoneticPr fontId="4" type="noConversion"/>
  </si>
  <si>
    <t>5#~12#</t>
    <phoneticPr fontId="4" type="noConversion"/>
  </si>
  <si>
    <t>1#~4#</t>
    <phoneticPr fontId="4" type="noConversion"/>
  </si>
  <si>
    <t>9#~10#</t>
    <phoneticPr fontId="4" type="noConversion"/>
  </si>
  <si>
    <t>ZF00081</t>
    <phoneticPr fontId="4" type="noConversion"/>
  </si>
  <si>
    <t>SY6912AFCC</t>
  </si>
  <si>
    <t>ZF00084</t>
    <phoneticPr fontId="4" type="noConversion"/>
  </si>
  <si>
    <t>ZF00085</t>
    <phoneticPr fontId="4" type="noConversion"/>
  </si>
  <si>
    <t>AIQ4SA</t>
    <phoneticPr fontId="4" type="noConversion"/>
  </si>
  <si>
    <t>AIQ4SB</t>
    <phoneticPr fontId="4" type="noConversion"/>
  </si>
  <si>
    <t>SY6912AFCC</t>
    <phoneticPr fontId="4" type="noConversion"/>
  </si>
  <si>
    <t>N9PRP</t>
    <phoneticPr fontId="4" type="noConversion"/>
  </si>
  <si>
    <t>N9PRQ</t>
    <phoneticPr fontId="4" type="noConversion"/>
  </si>
  <si>
    <t>N9PTG</t>
    <phoneticPr fontId="4" type="noConversion"/>
  </si>
  <si>
    <t>N9PTJ</t>
    <phoneticPr fontId="4" type="noConversion"/>
  </si>
  <si>
    <t>N9PTK</t>
    <phoneticPr fontId="4" type="noConversion"/>
  </si>
  <si>
    <t>N9PTH</t>
    <phoneticPr fontId="4" type="noConversion"/>
  </si>
  <si>
    <t>N9PTK.02</t>
    <phoneticPr fontId="4" type="noConversion"/>
  </si>
  <si>
    <t>N9FT3.04</t>
    <phoneticPr fontId="4" type="noConversion"/>
  </si>
  <si>
    <t>N9R5K</t>
    <phoneticPr fontId="4" type="noConversion"/>
  </si>
  <si>
    <t>1#-9#</t>
    <phoneticPr fontId="4" type="noConversion"/>
  </si>
  <si>
    <t>10#-18#</t>
    <phoneticPr fontId="4" type="noConversion"/>
  </si>
  <si>
    <t>JCET</t>
    <phoneticPr fontId="4" type="noConversion"/>
  </si>
  <si>
    <t>ZF00086</t>
    <phoneticPr fontId="4" type="noConversion"/>
  </si>
  <si>
    <t>AIK4SA</t>
    <phoneticPr fontId="4" type="noConversion"/>
  </si>
  <si>
    <t>HJTC</t>
    <phoneticPr fontId="4" type="noConversion"/>
  </si>
  <si>
    <t>N9R5K</t>
    <phoneticPr fontId="4" type="noConversion"/>
  </si>
  <si>
    <t>19#-23#</t>
    <phoneticPr fontId="4" type="noConversion"/>
  </si>
  <si>
    <t>SY7728CFEC</t>
  </si>
  <si>
    <t>B41C0</t>
  </si>
  <si>
    <t>ARF4SA</t>
    <phoneticPr fontId="4" type="noConversion"/>
  </si>
  <si>
    <t>N9L3T.03</t>
    <phoneticPr fontId="4" type="noConversion"/>
  </si>
  <si>
    <t>20#-21#</t>
    <phoneticPr fontId="4" type="noConversion"/>
  </si>
  <si>
    <r>
      <t>SOP16E(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</si>
  <si>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SY7728CFEC</t>
    <phoneticPr fontId="4" type="noConversion"/>
  </si>
  <si>
    <r>
      <t>SOP16E(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</si>
  <si>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UF00021</t>
    <phoneticPr fontId="4" type="noConversion"/>
  </si>
  <si>
    <t>SY6902AFAC</t>
    <phoneticPr fontId="4" type="noConversion"/>
  </si>
  <si>
    <t>ARF4SB</t>
    <phoneticPr fontId="4" type="noConversion"/>
  </si>
  <si>
    <t>N9L3T.08</t>
    <phoneticPr fontId="4" type="noConversion"/>
  </si>
  <si>
    <t>13#-17#</t>
    <phoneticPr fontId="4" type="noConversion"/>
  </si>
  <si>
    <t>SY7728CFEC</t>
    <phoneticPr fontId="4" type="noConversion"/>
  </si>
  <si>
    <r>
      <t>SOP16E(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</si>
  <si>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UF00022</t>
    <phoneticPr fontId="4" type="noConversion"/>
  </si>
  <si>
    <t>SY6982C1QDC</t>
    <phoneticPr fontId="4" type="noConversion"/>
  </si>
  <si>
    <t>J08C0</t>
    <phoneticPr fontId="4" type="noConversion"/>
  </si>
  <si>
    <t>JCET</t>
    <phoneticPr fontId="4" type="noConversion"/>
  </si>
  <si>
    <t>ZF00087</t>
    <phoneticPr fontId="4" type="noConversion"/>
  </si>
  <si>
    <t>ZF00088</t>
    <phoneticPr fontId="4" type="noConversion"/>
  </si>
  <si>
    <t>ZF00089</t>
    <phoneticPr fontId="4" type="noConversion"/>
  </si>
  <si>
    <t>ASV4TA</t>
    <phoneticPr fontId="4" type="noConversion"/>
  </si>
  <si>
    <t>ASV4TB</t>
    <phoneticPr fontId="4" type="noConversion"/>
  </si>
  <si>
    <t>ASV4TC</t>
    <phoneticPr fontId="4" type="noConversion"/>
  </si>
  <si>
    <t>N9SRW</t>
  </si>
  <si>
    <t>N9SRT</t>
    <phoneticPr fontId="4" type="noConversion"/>
  </si>
  <si>
    <t>21#-25#</t>
    <phoneticPr fontId="4" type="noConversion"/>
  </si>
  <si>
    <t>WaferLot#</t>
  </si>
  <si>
    <t>QFN4*4-20</t>
  </si>
  <si>
    <t>N9C40</t>
  </si>
  <si>
    <t>XX4QG</t>
  </si>
  <si>
    <t>SO8</t>
  </si>
  <si>
    <t>J04A3</t>
    <phoneticPr fontId="4" type="noConversion"/>
  </si>
  <si>
    <t>J08C0</t>
    <phoneticPr fontId="4" type="noConversion"/>
  </si>
  <si>
    <t>JCET</t>
    <phoneticPr fontId="4" type="noConversion"/>
  </si>
  <si>
    <t>ZF00090</t>
    <phoneticPr fontId="4" type="noConversion"/>
  </si>
  <si>
    <t>ASV4TD</t>
    <phoneticPr fontId="4" type="noConversion"/>
  </si>
  <si>
    <t>ZF00091</t>
    <phoneticPr fontId="4" type="noConversion"/>
  </si>
  <si>
    <t>ASV4TE</t>
    <phoneticPr fontId="4" type="noConversion"/>
  </si>
  <si>
    <t>N9SRT.01</t>
    <phoneticPr fontId="4" type="noConversion"/>
  </si>
  <si>
    <t>1#-9#</t>
    <phoneticPr fontId="4" type="noConversion"/>
  </si>
  <si>
    <t>10#-18#</t>
    <phoneticPr fontId="4" type="noConversion"/>
  </si>
  <si>
    <t>QFN3*3-16</t>
    <phoneticPr fontId="4" type="noConversion"/>
  </si>
  <si>
    <t>SY6952BFCC</t>
    <phoneticPr fontId="4" type="noConversion"/>
  </si>
  <si>
    <t>ZF00092</t>
    <phoneticPr fontId="4" type="noConversion"/>
  </si>
  <si>
    <t>ALB4TA</t>
    <phoneticPr fontId="4" type="noConversion"/>
  </si>
  <si>
    <t>HJTC</t>
    <phoneticPr fontId="4" type="noConversion"/>
  </si>
  <si>
    <t>N9F51</t>
    <phoneticPr fontId="4" type="noConversion"/>
  </si>
  <si>
    <t>7#~11#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</si>
  <si>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</si>
  <si>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SY7803DUC</t>
  </si>
  <si>
    <t>B51A0</t>
    <phoneticPr fontId="4" type="noConversion"/>
  </si>
  <si>
    <t>XY4TA</t>
    <phoneticPr fontId="4" type="noConversion"/>
  </si>
  <si>
    <t>天胜</t>
  </si>
  <si>
    <t>天胜</t>
    <phoneticPr fontId="4" type="noConversion"/>
  </si>
  <si>
    <t>SY7803DUC</t>
    <phoneticPr fontId="4" type="noConversion"/>
  </si>
  <si>
    <t>RF00007</t>
    <phoneticPr fontId="4" type="noConversion"/>
  </si>
  <si>
    <t>XY4TC</t>
    <phoneticPr fontId="4" type="noConversion"/>
  </si>
  <si>
    <t>N9H8H</t>
    <phoneticPr fontId="4" type="noConversion"/>
  </si>
  <si>
    <t>N9H8J</t>
    <phoneticPr fontId="4" type="noConversion"/>
  </si>
  <si>
    <t>1#-12#</t>
    <phoneticPr fontId="4" type="noConversion"/>
  </si>
  <si>
    <t>1#-15#</t>
    <phoneticPr fontId="4" type="noConversion"/>
  </si>
  <si>
    <t>DFN3*2-14</t>
    <phoneticPr fontId="4" type="noConversion"/>
  </si>
  <si>
    <t>N9F51</t>
  </si>
  <si>
    <t>J08B1</t>
    <phoneticPr fontId="4" type="noConversion"/>
  </si>
  <si>
    <t>JCET</t>
    <phoneticPr fontId="4" type="noConversion"/>
  </si>
  <si>
    <t>ZF00093</t>
    <phoneticPr fontId="4" type="noConversion"/>
  </si>
  <si>
    <t>XJ4UA</t>
    <phoneticPr fontId="4" type="noConversion"/>
  </si>
  <si>
    <t>1#-8#</t>
    <phoneticPr fontId="4" type="noConversion"/>
  </si>
  <si>
    <t>QNF3*3-16</t>
    <phoneticPr fontId="4" type="noConversion"/>
  </si>
  <si>
    <r>
      <t>Marcom</t>
    </r>
    <r>
      <rPr>
        <sz val="10"/>
        <rFont val="宋体"/>
        <family val="3"/>
        <charset val="134"/>
      </rPr>
      <t>需要</t>
    </r>
    <phoneticPr fontId="4" type="noConversion"/>
  </si>
  <si>
    <t>SY6982CQDC</t>
    <phoneticPr fontId="4" type="noConversion"/>
  </si>
  <si>
    <t>SY7982QDC</t>
    <phoneticPr fontId="4" type="noConversion"/>
  </si>
  <si>
    <t>SY7311DADC</t>
    <phoneticPr fontId="4" type="noConversion"/>
  </si>
  <si>
    <t>JCET</t>
    <phoneticPr fontId="4" type="noConversion"/>
  </si>
  <si>
    <t>ZF00094</t>
    <phoneticPr fontId="4" type="noConversion"/>
  </si>
  <si>
    <t>B21D0</t>
  </si>
  <si>
    <t>B21D0</t>
    <phoneticPr fontId="4" type="noConversion"/>
  </si>
  <si>
    <t>Aj4UA</t>
    <phoneticPr fontId="4" type="noConversion"/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</si>
  <si>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</si>
  <si>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N9QA0.02</t>
    <phoneticPr fontId="4" type="noConversion"/>
  </si>
  <si>
    <t>1#-4#</t>
  </si>
  <si>
    <t>XY4UA</t>
    <phoneticPr fontId="4" type="noConversion"/>
  </si>
  <si>
    <t>N9H8J.01</t>
    <phoneticPr fontId="4" type="noConversion"/>
  </si>
  <si>
    <t>18#-25#</t>
  </si>
  <si>
    <t>SY6982AQDC</t>
    <phoneticPr fontId="4" type="noConversion"/>
  </si>
  <si>
    <t>JCET</t>
    <phoneticPr fontId="4" type="noConversion"/>
  </si>
  <si>
    <t>ZF00095</t>
    <phoneticPr fontId="4" type="noConversion"/>
  </si>
  <si>
    <t>XS4VA</t>
    <phoneticPr fontId="4" type="noConversion"/>
  </si>
  <si>
    <t>HTJC</t>
    <phoneticPr fontId="4" type="noConversion"/>
  </si>
  <si>
    <t>9#-13#</t>
  </si>
  <si>
    <t>J09E0</t>
    <phoneticPr fontId="4" type="noConversion"/>
  </si>
  <si>
    <t>ZF00096</t>
    <phoneticPr fontId="4" type="noConversion"/>
  </si>
  <si>
    <t>AXV4VA</t>
    <phoneticPr fontId="4" type="noConversion"/>
  </si>
  <si>
    <t>16#-20#</t>
  </si>
  <si>
    <t>SY6926QYC</t>
    <phoneticPr fontId="4" type="noConversion"/>
  </si>
  <si>
    <t>SY6982C1QDC</t>
    <phoneticPr fontId="4" type="noConversion"/>
  </si>
  <si>
    <t>J08D0</t>
    <phoneticPr fontId="4" type="noConversion"/>
  </si>
  <si>
    <t>N9PTK.01</t>
  </si>
  <si>
    <t>N9PTK.02</t>
  </si>
  <si>
    <t>N9FT3.04</t>
  </si>
  <si>
    <t>N9R5K</t>
  </si>
  <si>
    <t>N9R5K-1</t>
  </si>
  <si>
    <t>N9R5K-2</t>
  </si>
  <si>
    <t>N9SRW-1</t>
  </si>
  <si>
    <t>N9SRT</t>
  </si>
  <si>
    <t>N9SRT.01</t>
  </si>
  <si>
    <t>N9SRT.01-1</t>
  </si>
  <si>
    <t>N9QA0.02</t>
  </si>
  <si>
    <t>N9PTK.03</t>
  </si>
  <si>
    <t>N9WLN</t>
    <phoneticPr fontId="4" type="noConversion"/>
  </si>
  <si>
    <t>N9PTK.03</t>
    <phoneticPr fontId="4" type="noConversion"/>
  </si>
  <si>
    <t>B41D1</t>
    <phoneticPr fontId="4" type="noConversion"/>
  </si>
  <si>
    <t>HTKJ</t>
    <phoneticPr fontId="4" type="noConversion"/>
  </si>
  <si>
    <t>UF00023</t>
    <phoneticPr fontId="4" type="noConversion"/>
  </si>
  <si>
    <t>AXS4VA</t>
    <phoneticPr fontId="4" type="noConversion"/>
  </si>
  <si>
    <t>HJTC</t>
    <phoneticPr fontId="4" type="noConversion"/>
  </si>
  <si>
    <t>N9L3T.13</t>
    <phoneticPr fontId="4" type="noConversion"/>
  </si>
  <si>
    <t>3#-10#</t>
  </si>
  <si>
    <t>SY7728DFEC</t>
    <phoneticPr fontId="4" type="noConversion"/>
  </si>
  <si>
    <r>
      <t>SOP16E(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</si>
  <si>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J08B1</t>
    <phoneticPr fontId="4" type="noConversion"/>
  </si>
  <si>
    <t>JCET</t>
    <phoneticPr fontId="4" type="noConversion"/>
  </si>
  <si>
    <t>ZF00097</t>
    <phoneticPr fontId="4" type="noConversion"/>
  </si>
  <si>
    <t>XJ4VA</t>
    <phoneticPr fontId="4" type="noConversion"/>
  </si>
  <si>
    <t>19# 20#</t>
  </si>
  <si>
    <t>SY7982QDC</t>
    <phoneticPr fontId="4" type="noConversion"/>
  </si>
  <si>
    <t>N9WLN</t>
  </si>
  <si>
    <t>J09A0</t>
  </si>
  <si>
    <t>JCET</t>
    <phoneticPr fontId="4" type="noConversion"/>
  </si>
  <si>
    <t>ZF00098</t>
    <phoneticPr fontId="4" type="noConversion"/>
  </si>
  <si>
    <t>SY6905BQYC</t>
    <phoneticPr fontId="4" type="noConversion"/>
  </si>
  <si>
    <t>需bumpping</t>
    <phoneticPr fontId="4" type="noConversion"/>
  </si>
  <si>
    <t>AVU4WA</t>
    <phoneticPr fontId="4" type="noConversion"/>
  </si>
  <si>
    <t>HTJC</t>
    <phoneticPr fontId="4" type="noConversion"/>
  </si>
  <si>
    <t>N9SRT.02</t>
    <phoneticPr fontId="4" type="noConversion"/>
  </si>
  <si>
    <t>SYM782CQDC</t>
    <phoneticPr fontId="4" type="noConversion"/>
  </si>
  <si>
    <t>SY7982QDC</t>
    <phoneticPr fontId="4" type="noConversion"/>
  </si>
  <si>
    <t>J08B1</t>
    <phoneticPr fontId="4" type="noConversion"/>
  </si>
  <si>
    <t>JCET</t>
    <phoneticPr fontId="4" type="noConversion"/>
  </si>
  <si>
    <t>XJ4WA</t>
    <phoneticPr fontId="4" type="noConversion"/>
  </si>
  <si>
    <t>ZF00100</t>
    <phoneticPr fontId="4" type="noConversion"/>
  </si>
  <si>
    <t>XJ4WB</t>
    <phoneticPr fontId="4" type="noConversion"/>
  </si>
  <si>
    <t>1#-7#</t>
  </si>
  <si>
    <t>8#~15#</t>
    <phoneticPr fontId="4" type="noConversion"/>
  </si>
  <si>
    <t>QNF3*3-16</t>
    <phoneticPr fontId="4" type="noConversion"/>
  </si>
  <si>
    <t>ZF00099</t>
    <phoneticPr fontId="4" type="noConversion"/>
  </si>
  <si>
    <t>waferver.</t>
    <phoneticPr fontId="4" type="noConversion"/>
  </si>
  <si>
    <t>N9WLN.03</t>
    <phoneticPr fontId="4" type="noConversion"/>
  </si>
  <si>
    <t>N9FSS</t>
    <phoneticPr fontId="4" type="noConversion"/>
  </si>
  <si>
    <t>QFN4x4-20</t>
    <phoneticPr fontId="4" type="noConversion"/>
  </si>
  <si>
    <t>QFN3*3-16</t>
    <phoneticPr fontId="4" type="noConversion"/>
  </si>
  <si>
    <t>QFN4x4-20</t>
    <phoneticPr fontId="4" type="noConversion"/>
  </si>
  <si>
    <t>SY7803DUC</t>
    <phoneticPr fontId="4" type="noConversion"/>
  </si>
  <si>
    <t>B51A0</t>
    <phoneticPr fontId="4" type="noConversion"/>
  </si>
  <si>
    <t>RF00012</t>
    <phoneticPr fontId="4" type="noConversion"/>
  </si>
  <si>
    <t>XY4XA</t>
    <phoneticPr fontId="4" type="noConversion"/>
  </si>
  <si>
    <t>XY4XB</t>
    <phoneticPr fontId="4" type="noConversion"/>
  </si>
  <si>
    <t>NA1HS</t>
    <phoneticPr fontId="4" type="noConversion"/>
  </si>
  <si>
    <t>1#-12#</t>
  </si>
  <si>
    <t>13#~25#</t>
    <phoneticPr fontId="4" type="noConversion"/>
  </si>
  <si>
    <t>JCET</t>
    <phoneticPr fontId="4" type="noConversion"/>
  </si>
  <si>
    <t>ZF00101</t>
    <phoneticPr fontId="4" type="noConversion"/>
  </si>
  <si>
    <t>J08F0</t>
    <phoneticPr fontId="4" type="noConversion"/>
  </si>
  <si>
    <t>D024XA</t>
    <phoneticPr fontId="4" type="noConversion"/>
  </si>
  <si>
    <t>QFN3x3-16</t>
    <phoneticPr fontId="4" type="noConversion"/>
  </si>
  <si>
    <t>16#-25#</t>
  </si>
  <si>
    <t>N9WLN.03</t>
  </si>
  <si>
    <t>N9G0M.03</t>
  </si>
  <si>
    <t>N9SRT.02</t>
  </si>
  <si>
    <t>N9FSS</t>
  </si>
  <si>
    <t>N9G0M.03</t>
    <phoneticPr fontId="4" type="noConversion"/>
  </si>
  <si>
    <t>SY6926QYC</t>
    <phoneticPr fontId="4" type="noConversion"/>
  </si>
  <si>
    <t>J09E0</t>
  </si>
  <si>
    <t>JCET</t>
    <phoneticPr fontId="4" type="noConversion"/>
  </si>
  <si>
    <t>ZF00102</t>
    <phoneticPr fontId="4" type="noConversion"/>
  </si>
  <si>
    <t>AXV4XA</t>
    <phoneticPr fontId="4" type="noConversion"/>
  </si>
  <si>
    <t>HTJC</t>
    <phoneticPr fontId="4" type="noConversion"/>
  </si>
  <si>
    <t>QFN4x4-20</t>
    <phoneticPr fontId="4" type="noConversion"/>
  </si>
  <si>
    <t>3#-15#</t>
  </si>
  <si>
    <t>ZF00077</t>
  </si>
  <si>
    <t>J08B1</t>
    <phoneticPr fontId="4" type="noConversion"/>
  </si>
  <si>
    <t>JCET</t>
    <phoneticPr fontId="4" type="noConversion"/>
  </si>
  <si>
    <t>XJ4XA</t>
    <phoneticPr fontId="4" type="noConversion"/>
  </si>
  <si>
    <r>
      <t>Marcom</t>
    </r>
    <r>
      <rPr>
        <sz val="10"/>
        <rFont val="宋体"/>
        <family val="3"/>
        <charset val="134"/>
      </rPr>
      <t>需要</t>
    </r>
    <phoneticPr fontId="4" type="noConversion"/>
  </si>
  <si>
    <t>1#-20#</t>
    <phoneticPr fontId="4" type="noConversion"/>
  </si>
  <si>
    <t>NA2QN.01</t>
    <phoneticPr fontId="4" type="noConversion"/>
  </si>
  <si>
    <t>NA2QN.01</t>
    <phoneticPr fontId="4" type="noConversion"/>
  </si>
  <si>
    <t>NA2QN</t>
    <phoneticPr fontId="4" type="noConversion"/>
  </si>
  <si>
    <t>NA355</t>
    <phoneticPr fontId="4" type="noConversion"/>
  </si>
  <si>
    <t>QFN4*4-20</t>
    <phoneticPr fontId="4" type="noConversion"/>
  </si>
  <si>
    <t>J09A0</t>
    <phoneticPr fontId="4" type="noConversion"/>
  </si>
  <si>
    <t>JCET</t>
    <phoneticPr fontId="4" type="noConversion"/>
  </si>
  <si>
    <t>ZF00104</t>
    <phoneticPr fontId="4" type="noConversion"/>
  </si>
  <si>
    <t>ZF00105</t>
    <phoneticPr fontId="4" type="noConversion"/>
  </si>
  <si>
    <t>ZF00106</t>
    <phoneticPr fontId="4" type="noConversion"/>
  </si>
  <si>
    <t>AVU4YB</t>
    <phoneticPr fontId="4" type="noConversion"/>
  </si>
  <si>
    <t>AVU4YC</t>
    <phoneticPr fontId="4" type="noConversion"/>
  </si>
  <si>
    <t>AVU4YA</t>
    <phoneticPr fontId="4" type="noConversion"/>
  </si>
  <si>
    <t>ZF00107</t>
    <phoneticPr fontId="4" type="noConversion"/>
  </si>
  <si>
    <t>AVU4YD</t>
    <phoneticPr fontId="4" type="noConversion"/>
  </si>
  <si>
    <t>N9FSS</t>
    <phoneticPr fontId="4" type="noConversion"/>
  </si>
  <si>
    <t>11#~23#</t>
  </si>
  <si>
    <t>24#~25#</t>
  </si>
  <si>
    <t>13#~25#</t>
    <phoneticPr fontId="4" type="noConversion"/>
  </si>
  <si>
    <t>SY7728CFEC</t>
    <phoneticPr fontId="4" type="noConversion"/>
  </si>
  <si>
    <t>B41C0</t>
    <phoneticPr fontId="4" type="noConversion"/>
  </si>
  <si>
    <t>HTKJ</t>
    <phoneticPr fontId="4" type="noConversion"/>
  </si>
  <si>
    <t>UF00024</t>
    <phoneticPr fontId="4" type="noConversion"/>
  </si>
  <si>
    <t>ARF4YA</t>
    <phoneticPr fontId="4" type="noConversion"/>
  </si>
  <si>
    <t>NA3N4</t>
    <phoneticPr fontId="4" type="noConversion"/>
  </si>
  <si>
    <t>15#-25#</t>
  </si>
  <si>
    <t>NA2QN.01</t>
  </si>
  <si>
    <t>NA2QN.01-1</t>
  </si>
  <si>
    <t>N9G0M.04</t>
    <phoneticPr fontId="4" type="noConversion"/>
  </si>
  <si>
    <t>N9FST</t>
    <phoneticPr fontId="4" type="noConversion"/>
  </si>
  <si>
    <t>SY6982AQDC</t>
    <phoneticPr fontId="4" type="noConversion"/>
  </si>
  <si>
    <t>J08D0</t>
    <phoneticPr fontId="4" type="noConversion"/>
  </si>
  <si>
    <t>JCET</t>
    <phoneticPr fontId="4" type="noConversion"/>
  </si>
  <si>
    <t>ZF00108</t>
    <phoneticPr fontId="4" type="noConversion"/>
  </si>
  <si>
    <t>QFN3*3-16</t>
    <phoneticPr fontId="4" type="noConversion"/>
  </si>
  <si>
    <t>XS4YA</t>
    <phoneticPr fontId="4" type="noConversion"/>
  </si>
  <si>
    <t>HJTC</t>
    <phoneticPr fontId="4" type="noConversion"/>
  </si>
  <si>
    <t>NA354</t>
    <phoneticPr fontId="4" type="noConversion"/>
  </si>
  <si>
    <r>
      <t>需</t>
    </r>
    <r>
      <rPr>
        <sz val="10"/>
        <rFont val="Arial"/>
        <family val="2"/>
      </rPr>
      <t>Bumping</t>
    </r>
    <phoneticPr fontId="4" type="noConversion"/>
  </si>
  <si>
    <t>B51B0</t>
  </si>
  <si>
    <t>RF00013</t>
    <phoneticPr fontId="4" type="noConversion"/>
  </si>
  <si>
    <t>SY6936QYC</t>
    <phoneticPr fontId="4" type="noConversion"/>
  </si>
  <si>
    <t>JCET</t>
    <phoneticPr fontId="4" type="noConversion"/>
  </si>
  <si>
    <t>ZF00109</t>
    <phoneticPr fontId="4" type="noConversion"/>
  </si>
  <si>
    <t>AZA4YA</t>
    <phoneticPr fontId="4" type="noConversion"/>
  </si>
  <si>
    <t>QFN4x4-20</t>
    <phoneticPr fontId="4" type="noConversion"/>
  </si>
  <si>
    <t>N9G0K.02</t>
    <phoneticPr fontId="4" type="noConversion"/>
  </si>
  <si>
    <t>1#-5#</t>
  </si>
  <si>
    <t>SY6926QYC</t>
    <phoneticPr fontId="4" type="noConversion"/>
  </si>
  <si>
    <t>ZF00110</t>
    <phoneticPr fontId="4" type="noConversion"/>
  </si>
  <si>
    <t>AXV4YA</t>
    <phoneticPr fontId="4" type="noConversion"/>
  </si>
  <si>
    <t>6#-21#</t>
  </si>
  <si>
    <t>SYWT78DUC</t>
    <phoneticPr fontId="4" type="noConversion"/>
  </si>
  <si>
    <t>Df4YA</t>
    <phoneticPr fontId="4" type="noConversion"/>
  </si>
  <si>
    <t>NA4C9.01</t>
    <phoneticPr fontId="4" type="noConversion"/>
  </si>
  <si>
    <t>1#-10#</t>
  </si>
  <si>
    <r>
      <t>DFN3x2-14(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</si>
  <si>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SY7728DFEC</t>
    <phoneticPr fontId="4" type="noConversion"/>
  </si>
  <si>
    <t>B41D1</t>
  </si>
  <si>
    <t>HTKJ</t>
    <phoneticPr fontId="4" type="noConversion"/>
  </si>
  <si>
    <t>UF00025</t>
    <phoneticPr fontId="4" type="noConversion"/>
  </si>
  <si>
    <t>NA3N4.02</t>
    <phoneticPr fontId="4" type="noConversion"/>
  </si>
  <si>
    <r>
      <t>SOP16E(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</si>
  <si>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AXS4YA</t>
    <phoneticPr fontId="4" type="noConversion"/>
  </si>
  <si>
    <t>N9G0M.04</t>
  </si>
  <si>
    <t>J08C0</t>
    <phoneticPr fontId="4" type="noConversion"/>
  </si>
  <si>
    <t>SY7803DUC</t>
    <phoneticPr fontId="4" type="noConversion"/>
  </si>
  <si>
    <t>RF00009</t>
    <phoneticPr fontId="4" type="noConversion"/>
  </si>
  <si>
    <t>SY6926QYC</t>
  </si>
  <si>
    <t>JCET</t>
    <phoneticPr fontId="4" type="noConversion"/>
  </si>
  <si>
    <t>ZF00111</t>
    <phoneticPr fontId="4" type="noConversion"/>
  </si>
  <si>
    <t>AXV4YB</t>
    <phoneticPr fontId="4" type="noConversion"/>
  </si>
  <si>
    <t>ZF00112</t>
    <phoneticPr fontId="4" type="noConversion"/>
  </si>
  <si>
    <t>AXV4YC</t>
    <phoneticPr fontId="4" type="noConversion"/>
  </si>
  <si>
    <t>HTJC</t>
    <phoneticPr fontId="4" type="noConversion"/>
  </si>
  <si>
    <t>N9FSW</t>
    <phoneticPr fontId="4" type="noConversion"/>
  </si>
  <si>
    <t>1#-13#</t>
  </si>
  <si>
    <t>14#-25#</t>
  </si>
  <si>
    <t>SY6926QYC</t>
    <phoneticPr fontId="4" type="noConversion"/>
  </si>
  <si>
    <t>NA2QN</t>
  </si>
  <si>
    <t>NA355</t>
  </si>
  <si>
    <t>B51B1</t>
    <phoneticPr fontId="4" type="noConversion"/>
  </si>
  <si>
    <t>SY7803BDUC</t>
    <phoneticPr fontId="4" type="noConversion"/>
  </si>
  <si>
    <t>RF00014</t>
    <phoneticPr fontId="4" type="noConversion"/>
  </si>
  <si>
    <t>N9H8J.02</t>
    <phoneticPr fontId="4" type="noConversion"/>
  </si>
  <si>
    <r>
      <t>DFN3*2-14(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</si>
  <si>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Df4ZA</t>
    <phoneticPr fontId="4" type="noConversion"/>
  </si>
  <si>
    <t>16# 17#</t>
    <phoneticPr fontId="4" type="noConversion"/>
  </si>
  <si>
    <t>SY7728DFEC</t>
    <phoneticPr fontId="4" type="noConversion"/>
  </si>
  <si>
    <t>HTKJ</t>
    <phoneticPr fontId="4" type="noConversion"/>
  </si>
  <si>
    <t>UF00026</t>
    <phoneticPr fontId="4" type="noConversion"/>
  </si>
  <si>
    <t>AXS4ZA</t>
    <phoneticPr fontId="4" type="noConversion"/>
  </si>
  <si>
    <t>HJTC</t>
    <phoneticPr fontId="4" type="noConversion"/>
  </si>
  <si>
    <r>
      <t>SOP16E(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</si>
  <si>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NA3N4.03</t>
    <phoneticPr fontId="4" type="noConversion"/>
  </si>
  <si>
    <t>11#-14#</t>
  </si>
  <si>
    <t>N9FSS-2</t>
  </si>
  <si>
    <t>N9FSS-1</t>
  </si>
  <si>
    <t>N9FST-1</t>
  </si>
  <si>
    <t>N9FST</t>
  </si>
  <si>
    <t>ESO016141029379</t>
  </si>
  <si>
    <t>ESO016141206350</t>
  </si>
  <si>
    <t>ESO016141216430</t>
  </si>
  <si>
    <t>ESO016141217437</t>
  </si>
  <si>
    <t>ESO016140916282</t>
  </si>
  <si>
    <t>ESO016140921309</t>
  </si>
  <si>
    <t>XDFN014141009011</t>
  </si>
  <si>
    <t>XDFN014141021042</t>
  </si>
  <si>
    <t>W451ZVJ0101/W451ZVJ0102</t>
    <phoneticPr fontId="4" type="noConversion"/>
  </si>
  <si>
    <t>W448Z6E0102</t>
  </si>
  <si>
    <t>W448Z750102</t>
  </si>
  <si>
    <t>SYD02QDC</t>
    <phoneticPr fontId="4" type="noConversion"/>
  </si>
  <si>
    <t>J08F0</t>
  </si>
  <si>
    <t>JCET</t>
    <phoneticPr fontId="4" type="noConversion"/>
  </si>
  <si>
    <t>ZF00113</t>
    <phoneticPr fontId="4" type="noConversion"/>
  </si>
  <si>
    <t>D024ZA</t>
    <phoneticPr fontId="4" type="noConversion"/>
  </si>
  <si>
    <t>HJTC</t>
    <phoneticPr fontId="4" type="noConversion"/>
  </si>
  <si>
    <t>ZF00114</t>
    <phoneticPr fontId="4" type="noConversion"/>
  </si>
  <si>
    <t>D024ZB</t>
    <phoneticPr fontId="4" type="noConversion"/>
  </si>
  <si>
    <t>QFN3x3-16</t>
    <phoneticPr fontId="4" type="noConversion"/>
  </si>
  <si>
    <t>NA354.01</t>
    <phoneticPr fontId="4" type="noConversion"/>
  </si>
  <si>
    <t>8#-14#</t>
  </si>
  <si>
    <t>RF00015</t>
    <phoneticPr fontId="4" type="noConversion"/>
  </si>
  <si>
    <t>Df4ZB</t>
    <phoneticPr fontId="4" type="noConversion"/>
  </si>
  <si>
    <t>RF00016</t>
    <phoneticPr fontId="4" type="noConversion"/>
  </si>
  <si>
    <t>Df4ZC</t>
    <phoneticPr fontId="4" type="noConversion"/>
  </si>
  <si>
    <t>NA6FC</t>
    <phoneticPr fontId="4" type="noConversion"/>
  </si>
  <si>
    <t>N9G0K.02</t>
  </si>
  <si>
    <t>N9G0K.02-1</t>
  </si>
  <si>
    <t>N9FSW</t>
  </si>
  <si>
    <t>ZF00103</t>
    <phoneticPr fontId="4" type="noConversion"/>
  </si>
  <si>
    <t>RF00010</t>
    <phoneticPr fontId="4" type="noConversion"/>
  </si>
  <si>
    <t>B51A0</t>
    <phoneticPr fontId="4" type="noConversion"/>
  </si>
  <si>
    <t>RF00008</t>
    <phoneticPr fontId="4" type="noConversion"/>
  </si>
  <si>
    <t>DFN3*2-14</t>
    <phoneticPr fontId="4" type="noConversion"/>
  </si>
  <si>
    <t>XY4TB</t>
    <phoneticPr fontId="4" type="noConversion"/>
  </si>
  <si>
    <t>HJTC</t>
    <phoneticPr fontId="4" type="noConversion"/>
  </si>
  <si>
    <t>N9H8H</t>
    <phoneticPr fontId="4" type="noConversion"/>
  </si>
  <si>
    <t>RF00011</t>
    <phoneticPr fontId="4" type="noConversion"/>
  </si>
  <si>
    <t>YF00038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</si>
</sst>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);[Red]\(0.0\)"/>
    <numFmt numFmtId="177" formatCode="0.00_);[Red]\(0.00\)"/>
  </numFmts>
  <fonts count="1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</font>
    <font>
      <b/>
      <sz val="10"/>
      <name val="Arial"/>
      <family val="2"/>
    </font>
    <font>
      <b/>
      <sz val="11"/>
      <color indexed="10"/>
      <name val="Times New Roman"/>
      <family val="1"/>
    </font>
    <font>
      <b/>
      <sz val="10"/>
      <color indexed="10"/>
      <name val="Arial"/>
      <family val="2"/>
    </font>
    <font>
      <b/>
      <sz val="10"/>
      <color rgb="FFFF00FF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color indexed="14"/>
      <name val="Arial"/>
      <family val="2"/>
    </font>
    <font>
      <sz val="12"/>
      <name val="宋体"/>
      <family val="3"/>
      <charset val="134"/>
    </font>
    <font>
      <b/>
      <sz val="10"/>
      <color rgb="FFFF33CC"/>
      <name val="Arial"/>
      <family val="2"/>
    </font>
    <font>
      <sz val="10"/>
      <color rgb="FFFF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12" fillId="0" borderId="0"/>
    <xf numFmtId="0" fontId="12" fillId="0" borderId="0"/>
  </cellStyleXfs>
  <cellXfs count="32">
    <xf numFmtId="0" fontId="0" fillId="0" borderId="0" xfId="0">
      <alignment vertical="center"/>
    </xf>
    <xf numFmtId="0" fontId="3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176" fontId="3" fillId="2" borderId="1" xfId="1" applyNumberFormat="1" applyFont="1" applyFill="1" applyBorder="1" applyAlignment="1">
      <alignment vertical="center" wrapText="1"/>
    </xf>
    <xf numFmtId="0" fontId="6" fillId="2" borderId="1" xfId="1" applyFont="1" applyFill="1" applyBorder="1" applyAlignment="1" applyProtection="1">
      <alignment vertical="center" wrapText="1"/>
    </xf>
    <xf numFmtId="0" fontId="7" fillId="2" borderId="1" xfId="1" applyFont="1" applyFill="1" applyBorder="1" applyAlignment="1">
      <alignment vertical="center" wrapText="1"/>
    </xf>
    <xf numFmtId="0" fontId="7" fillId="2" borderId="1" xfId="1" applyFont="1" applyFill="1" applyBorder="1" applyAlignment="1">
      <alignment vertical="center"/>
    </xf>
    <xf numFmtId="177" fontId="7" fillId="2" borderId="1" xfId="1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 applyProtection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177" fontId="9" fillId="4" borderId="1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 applyProtection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 wrapText="1"/>
    </xf>
    <xf numFmtId="0" fontId="11" fillId="0" borderId="1" xfId="1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</cellXfs>
  <cellStyles count="4">
    <cellStyle name="常规" xfId="0" builtinId="0"/>
    <cellStyle name="常规 2" xfId="2"/>
    <cellStyle name="常规 2 2" xfId="3"/>
    <cellStyle name="常规 3" xfId="1"/>
  </cellStyles>
  <dxfs count="113">
    <dxf>
      <fill>
        <patternFill patternType="solid">
          <fgColor rgb="FFFFFF99"/>
          <bgColor rgb="FF0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FF99"/>
          <bgColor rgb="FF000000"/>
        </patternFill>
      </fill>
    </dxf>
  </dxfs>
  <tableStyles count="0" defaultTableStyle="TableStyleMedium9" defaultPivotStyle="PivotStyleLight16"/>
  <colors>
    <mruColors>
      <color rgb="FFFF00FF"/>
      <color rgb="FFFF66FF"/>
      <color rgb="FFFF99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"/>
  <sheetViews>
    <sheetView tabSelected="1" workbookViewId="0">
      <pane xSplit="7" topLeftCell="H1" activePane="topRight" state="frozen"/>
      <selection pane="topRight" activeCell="P1" sqref="P1:AD1048576"/>
    </sheetView>
  </sheetViews>
  <sheetFormatPr defaultRowHeight="13.5" x14ac:dyDescent="0.15"/>
  <cols>
    <col min="1" max="1" width="14" customWidth="1"/>
    <col min="2" max="2" width="10.25" customWidth="1"/>
    <col min="3" max="3" width="15.625" customWidth="1"/>
    <col min="4" max="4" width="9.375" customWidth="1"/>
    <col min="5" max="5" width="9" customWidth="1"/>
    <col min="6" max="6" width="11.5" customWidth="1"/>
    <col min="7" max="7" width="9.875" customWidth="1"/>
    <col min="8" max="8" width="10.5" customWidth="1"/>
    <col min="9" max="9" width="16.125" customWidth="1"/>
    <col min="10" max="11" width="11.625" customWidth="1"/>
    <col min="12" max="12" width="9" customWidth="1"/>
    <col min="13" max="13" width="14.125" customWidth="1"/>
    <col min="14" max="14" width="17.125" customWidth="1"/>
    <col min="15" max="15" width="19.25" customWidth="1"/>
  </cols>
  <sheetData>
    <row r="1" spans="1:15" ht="29.25" customHeight="1" x14ac:dyDescent="0.15">
      <c r="A1" s="1" t="s">
        <v>0</v>
      </c>
      <c r="B1" s="1" t="s">
        <v>1</v>
      </c>
      <c r="C1" s="1" t="s">
        <v>2</v>
      </c>
      <c r="D1" s="1" t="s">
        <v>849</v>
      </c>
      <c r="E1" s="2" t="s">
        <v>3</v>
      </c>
      <c r="F1" s="1" t="s">
        <v>4</v>
      </c>
      <c r="G1" s="3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729</v>
      </c>
      <c r="N1" s="6" t="s">
        <v>11</v>
      </c>
      <c r="O1" s="7" t="s">
        <v>12</v>
      </c>
    </row>
    <row r="2" spans="1:15" s="15" customFormat="1" ht="12.75" x14ac:dyDescent="0.15">
      <c r="A2" s="24" t="s">
        <v>213</v>
      </c>
      <c r="B2" s="18"/>
      <c r="C2" s="18"/>
      <c r="D2" s="18" t="s">
        <v>209</v>
      </c>
      <c r="E2" s="26" t="s">
        <v>230</v>
      </c>
      <c r="F2" s="18" t="s">
        <v>224</v>
      </c>
      <c r="G2" s="19">
        <f t="shared" ref="G2:G9" si="0">14.88*L2</f>
        <v>178.56</v>
      </c>
      <c r="H2" s="20">
        <v>41782</v>
      </c>
      <c r="I2" s="19" t="s">
        <v>222</v>
      </c>
      <c r="J2" s="19" t="s">
        <v>212</v>
      </c>
      <c r="K2" s="19" t="s">
        <v>15</v>
      </c>
      <c r="L2" s="19">
        <v>12</v>
      </c>
      <c r="M2" s="21" t="s">
        <v>219</v>
      </c>
      <c r="N2" s="21" t="s">
        <v>103</v>
      </c>
      <c r="O2" s="23" t="s">
        <v>289</v>
      </c>
    </row>
    <row r="3" spans="1:15" s="15" customFormat="1" ht="12.75" x14ac:dyDescent="0.15">
      <c r="A3" s="18" t="s">
        <v>213</v>
      </c>
      <c r="B3" s="18"/>
      <c r="C3" s="18"/>
      <c r="D3" s="18" t="s">
        <v>209</v>
      </c>
      <c r="E3" s="26" t="s">
        <v>230</v>
      </c>
      <c r="F3" s="18" t="s">
        <v>225</v>
      </c>
      <c r="G3" s="19">
        <f t="shared" si="0"/>
        <v>193.44</v>
      </c>
      <c r="H3" s="20">
        <v>41782</v>
      </c>
      <c r="I3" s="19" t="s">
        <v>211</v>
      </c>
      <c r="J3" s="19" t="s">
        <v>214</v>
      </c>
      <c r="K3" s="19" t="s">
        <v>15</v>
      </c>
      <c r="L3" s="19">
        <v>13</v>
      </c>
      <c r="M3" s="21" t="s">
        <v>219</v>
      </c>
      <c r="N3" s="21" t="s">
        <v>102</v>
      </c>
      <c r="O3" s="23" t="s">
        <v>290</v>
      </c>
    </row>
    <row r="4" spans="1:15" s="15" customFormat="1" ht="12.75" x14ac:dyDescent="0.15">
      <c r="A4" s="18" t="s">
        <v>213</v>
      </c>
      <c r="B4" s="18"/>
      <c r="C4" s="18"/>
      <c r="D4" s="18" t="s">
        <v>209</v>
      </c>
      <c r="E4" s="26" t="s">
        <v>230</v>
      </c>
      <c r="F4" s="18" t="s">
        <v>226</v>
      </c>
      <c r="G4" s="19">
        <f t="shared" si="0"/>
        <v>178.56</v>
      </c>
      <c r="H4" s="20">
        <v>41782</v>
      </c>
      <c r="I4" s="19" t="s">
        <v>211</v>
      </c>
      <c r="J4" s="19" t="s">
        <v>215</v>
      </c>
      <c r="K4" s="19" t="s">
        <v>15</v>
      </c>
      <c r="L4" s="19">
        <v>12</v>
      </c>
      <c r="M4" s="21" t="s">
        <v>220</v>
      </c>
      <c r="N4" s="21" t="s">
        <v>103</v>
      </c>
      <c r="O4" s="23" t="s">
        <v>291</v>
      </c>
    </row>
    <row r="5" spans="1:15" s="15" customFormat="1" ht="12.75" x14ac:dyDescent="0.15">
      <c r="A5" s="18" t="s">
        <v>210</v>
      </c>
      <c r="B5" s="18"/>
      <c r="C5" s="18"/>
      <c r="D5" s="18" t="s">
        <v>209</v>
      </c>
      <c r="E5" s="26" t="s">
        <v>230</v>
      </c>
      <c r="F5" s="18" t="s">
        <v>227</v>
      </c>
      <c r="G5" s="19">
        <f t="shared" si="0"/>
        <v>193.44</v>
      </c>
      <c r="H5" s="20">
        <v>41782</v>
      </c>
      <c r="I5" s="19" t="s">
        <v>211</v>
      </c>
      <c r="J5" s="19" t="s">
        <v>216</v>
      </c>
      <c r="K5" s="19" t="s">
        <v>15</v>
      </c>
      <c r="L5" s="19">
        <v>13</v>
      </c>
      <c r="M5" s="21" t="s">
        <v>220</v>
      </c>
      <c r="N5" s="21" t="s">
        <v>102</v>
      </c>
      <c r="O5" s="23" t="s">
        <v>292</v>
      </c>
    </row>
    <row r="6" spans="1:15" s="15" customFormat="1" ht="12.75" x14ac:dyDescent="0.15">
      <c r="A6" s="18" t="s">
        <v>210</v>
      </c>
      <c r="B6" s="18"/>
      <c r="C6" s="18"/>
      <c r="D6" s="18" t="s">
        <v>209</v>
      </c>
      <c r="E6" s="26" t="s">
        <v>230</v>
      </c>
      <c r="F6" s="18" t="s">
        <v>228</v>
      </c>
      <c r="G6" s="19">
        <f t="shared" si="0"/>
        <v>178.56</v>
      </c>
      <c r="H6" s="20">
        <v>41782</v>
      </c>
      <c r="I6" s="19" t="s">
        <v>211</v>
      </c>
      <c r="J6" s="19" t="s">
        <v>217</v>
      </c>
      <c r="K6" s="19" t="s">
        <v>15</v>
      </c>
      <c r="L6" s="19">
        <v>12</v>
      </c>
      <c r="M6" s="21" t="s">
        <v>221</v>
      </c>
      <c r="N6" s="21" t="s">
        <v>103</v>
      </c>
      <c r="O6" s="23" t="s">
        <v>293</v>
      </c>
    </row>
    <row r="7" spans="1:15" s="15" customFormat="1" ht="12.75" x14ac:dyDescent="0.15">
      <c r="A7" s="18" t="s">
        <v>757</v>
      </c>
      <c r="B7" s="18"/>
      <c r="C7" s="18"/>
      <c r="D7" s="18" t="s">
        <v>209</v>
      </c>
      <c r="E7" s="26" t="s">
        <v>756</v>
      </c>
      <c r="F7" s="18" t="s">
        <v>229</v>
      </c>
      <c r="G7" s="19">
        <f t="shared" si="0"/>
        <v>193.44</v>
      </c>
      <c r="H7" s="20">
        <v>41782</v>
      </c>
      <c r="I7" s="19" t="s">
        <v>211</v>
      </c>
      <c r="J7" s="19" t="s">
        <v>218</v>
      </c>
      <c r="K7" s="19" t="s">
        <v>15</v>
      </c>
      <c r="L7" s="19">
        <v>13</v>
      </c>
      <c r="M7" s="21" t="s">
        <v>221</v>
      </c>
      <c r="N7" s="21" t="s">
        <v>102</v>
      </c>
      <c r="O7" s="23" t="s">
        <v>663</v>
      </c>
    </row>
    <row r="8" spans="1:15" s="15" customFormat="1" ht="12.75" x14ac:dyDescent="0.15">
      <c r="A8" s="18" t="s">
        <v>752</v>
      </c>
      <c r="B8" s="26"/>
      <c r="C8" s="18"/>
      <c r="D8" s="18" t="s">
        <v>753</v>
      </c>
      <c r="E8" s="26" t="s">
        <v>755</v>
      </c>
      <c r="F8" s="18" t="s">
        <v>758</v>
      </c>
      <c r="G8" s="19">
        <f t="shared" si="0"/>
        <v>178.56</v>
      </c>
      <c r="H8" s="20">
        <v>41911</v>
      </c>
      <c r="I8" s="19" t="s">
        <v>211</v>
      </c>
      <c r="J8" s="19" t="s">
        <v>754</v>
      </c>
      <c r="K8" s="19" t="s">
        <v>668</v>
      </c>
      <c r="L8" s="19">
        <v>12</v>
      </c>
      <c r="M8" s="21" t="s">
        <v>760</v>
      </c>
      <c r="N8" s="21" t="s">
        <v>762</v>
      </c>
      <c r="O8" s="22"/>
    </row>
    <row r="9" spans="1:15" s="15" customFormat="1" ht="12.75" x14ac:dyDescent="0.15">
      <c r="A9" s="18" t="s">
        <v>954</v>
      </c>
      <c r="B9" s="26"/>
      <c r="C9" s="18"/>
      <c r="D9" s="18" t="s">
        <v>753</v>
      </c>
      <c r="E9" s="26" t="s">
        <v>755</v>
      </c>
      <c r="F9" s="18" t="s">
        <v>955</v>
      </c>
      <c r="G9" s="19">
        <f t="shared" si="0"/>
        <v>223.20000000000002</v>
      </c>
      <c r="H9" s="20">
        <v>41911</v>
      </c>
      <c r="I9" s="19" t="s">
        <v>764</v>
      </c>
      <c r="J9" s="19" t="s">
        <v>759</v>
      </c>
      <c r="K9" s="19" t="s">
        <v>668</v>
      </c>
      <c r="L9" s="19">
        <v>15</v>
      </c>
      <c r="M9" s="21" t="s">
        <v>761</v>
      </c>
      <c r="N9" s="21" t="s">
        <v>763</v>
      </c>
      <c r="O9" s="22"/>
    </row>
    <row r="10" spans="1:15" s="15" customFormat="1" ht="12.75" x14ac:dyDescent="0.15">
      <c r="A10" s="24" t="s">
        <v>181</v>
      </c>
      <c r="B10" s="18"/>
      <c r="C10" s="18"/>
      <c r="D10" s="18" t="s">
        <v>206</v>
      </c>
      <c r="E10" s="18" t="s">
        <v>207</v>
      </c>
      <c r="F10" s="18" t="s">
        <v>223</v>
      </c>
      <c r="G10" s="19">
        <f t="shared" ref="G10:G28" si="1">25.957*L10</f>
        <v>51.914000000000001</v>
      </c>
      <c r="H10" s="20">
        <v>41778</v>
      </c>
      <c r="I10" s="19" t="s">
        <v>235</v>
      </c>
      <c r="J10" s="19" t="s">
        <v>247</v>
      </c>
      <c r="K10" s="19" t="s">
        <v>208</v>
      </c>
      <c r="L10" s="19">
        <v>2</v>
      </c>
      <c r="M10" s="21" t="s">
        <v>198</v>
      </c>
      <c r="N10" s="21" t="s">
        <v>52</v>
      </c>
      <c r="O10" s="23" t="s">
        <v>643</v>
      </c>
    </row>
    <row r="11" spans="1:15" s="15" customFormat="1" ht="12.75" x14ac:dyDescent="0.15">
      <c r="A11" s="18" t="s">
        <v>243</v>
      </c>
      <c r="B11" s="18"/>
      <c r="C11" s="18"/>
      <c r="D11" s="18" t="s">
        <v>232</v>
      </c>
      <c r="E11" s="18" t="s">
        <v>244</v>
      </c>
      <c r="F11" s="18" t="s">
        <v>245</v>
      </c>
      <c r="G11" s="19">
        <f t="shared" si="1"/>
        <v>207.65600000000001</v>
      </c>
      <c r="H11" s="20">
        <v>41785</v>
      </c>
      <c r="I11" s="19" t="s">
        <v>184</v>
      </c>
      <c r="J11" s="19" t="s">
        <v>248</v>
      </c>
      <c r="K11" s="19" t="s">
        <v>237</v>
      </c>
      <c r="L11" s="19">
        <v>8</v>
      </c>
      <c r="M11" s="21" t="s">
        <v>252</v>
      </c>
      <c r="N11" s="21" t="s">
        <v>203</v>
      </c>
      <c r="O11" s="23" t="s">
        <v>644</v>
      </c>
    </row>
    <row r="12" spans="1:15" s="15" customFormat="1" ht="12.75" x14ac:dyDescent="0.15">
      <c r="A12" s="18" t="s">
        <v>243</v>
      </c>
      <c r="B12" s="18"/>
      <c r="C12" s="18"/>
      <c r="D12" s="18" t="s">
        <v>232</v>
      </c>
      <c r="E12" s="18" t="s">
        <v>244</v>
      </c>
      <c r="F12" s="18" t="s">
        <v>249</v>
      </c>
      <c r="G12" s="19">
        <f t="shared" si="1"/>
        <v>207.65600000000001</v>
      </c>
      <c r="H12" s="20">
        <v>41785</v>
      </c>
      <c r="I12" s="19" t="s">
        <v>184</v>
      </c>
      <c r="J12" s="19" t="s">
        <v>250</v>
      </c>
      <c r="K12" s="19" t="s">
        <v>237</v>
      </c>
      <c r="L12" s="19">
        <v>8</v>
      </c>
      <c r="M12" s="21" t="s">
        <v>252</v>
      </c>
      <c r="N12" s="21" t="s">
        <v>204</v>
      </c>
      <c r="O12" s="23" t="s">
        <v>645</v>
      </c>
    </row>
    <row r="13" spans="1:15" s="15" customFormat="1" ht="12.75" x14ac:dyDescent="0.15">
      <c r="A13" s="18" t="s">
        <v>243</v>
      </c>
      <c r="B13" s="18"/>
      <c r="C13" s="18"/>
      <c r="D13" s="18" t="s">
        <v>232</v>
      </c>
      <c r="E13" s="18" t="s">
        <v>244</v>
      </c>
      <c r="F13" s="18" t="s">
        <v>253</v>
      </c>
      <c r="G13" s="19">
        <f t="shared" si="1"/>
        <v>233.613</v>
      </c>
      <c r="H13" s="20">
        <v>41785</v>
      </c>
      <c r="I13" s="19" t="s">
        <v>184</v>
      </c>
      <c r="J13" s="19" t="s">
        <v>251</v>
      </c>
      <c r="K13" s="19" t="s">
        <v>237</v>
      </c>
      <c r="L13" s="19">
        <v>9</v>
      </c>
      <c r="M13" s="21" t="s">
        <v>252</v>
      </c>
      <c r="N13" s="21" t="s">
        <v>205</v>
      </c>
      <c r="O13" s="23" t="s">
        <v>646</v>
      </c>
    </row>
    <row r="14" spans="1:15" s="15" customFormat="1" ht="12.75" x14ac:dyDescent="0.15">
      <c r="A14" s="18" t="s">
        <v>334</v>
      </c>
      <c r="B14" s="18"/>
      <c r="C14" s="18"/>
      <c r="D14" s="18" t="s">
        <v>335</v>
      </c>
      <c r="E14" s="18" t="s">
        <v>336</v>
      </c>
      <c r="F14" s="18" t="s">
        <v>337</v>
      </c>
      <c r="G14" s="19">
        <f t="shared" si="1"/>
        <v>207.65600000000001</v>
      </c>
      <c r="H14" s="20">
        <v>41802</v>
      </c>
      <c r="I14" s="19" t="s">
        <v>184</v>
      </c>
      <c r="J14" s="19" t="s">
        <v>338</v>
      </c>
      <c r="K14" s="19" t="s">
        <v>15</v>
      </c>
      <c r="L14" s="19">
        <v>8</v>
      </c>
      <c r="M14" s="21" t="s">
        <v>454</v>
      </c>
      <c r="N14" s="21" t="s">
        <v>203</v>
      </c>
      <c r="O14" s="23" t="s">
        <v>647</v>
      </c>
    </row>
    <row r="15" spans="1:15" s="15" customFormat="1" ht="12.75" x14ac:dyDescent="0.15">
      <c r="A15" s="18" t="s">
        <v>334</v>
      </c>
      <c r="B15" s="18"/>
      <c r="C15" s="18"/>
      <c r="D15" s="18" t="s">
        <v>335</v>
      </c>
      <c r="E15" s="18" t="s">
        <v>336</v>
      </c>
      <c r="F15" s="18" t="s">
        <v>339</v>
      </c>
      <c r="G15" s="19">
        <f t="shared" si="1"/>
        <v>207.65600000000001</v>
      </c>
      <c r="H15" s="20">
        <v>41802</v>
      </c>
      <c r="I15" s="19" t="s">
        <v>333</v>
      </c>
      <c r="J15" s="19" t="s">
        <v>340</v>
      </c>
      <c r="K15" s="19" t="s">
        <v>341</v>
      </c>
      <c r="L15" s="19">
        <v>8</v>
      </c>
      <c r="M15" s="21" t="s">
        <v>454</v>
      </c>
      <c r="N15" s="21" t="s">
        <v>342</v>
      </c>
      <c r="O15" s="23" t="s">
        <v>648</v>
      </c>
    </row>
    <row r="16" spans="1:15" s="15" customFormat="1" ht="12.75" x14ac:dyDescent="0.15">
      <c r="A16" s="18" t="s">
        <v>77</v>
      </c>
      <c r="B16" s="18"/>
      <c r="C16" s="18"/>
      <c r="D16" s="18" t="s">
        <v>89</v>
      </c>
      <c r="E16" s="18" t="s">
        <v>207</v>
      </c>
      <c r="F16" s="18" t="s">
        <v>329</v>
      </c>
      <c r="G16" s="19">
        <f t="shared" si="1"/>
        <v>233.613</v>
      </c>
      <c r="H16" s="20">
        <v>41802</v>
      </c>
      <c r="I16" s="19" t="s">
        <v>333</v>
      </c>
      <c r="J16" s="19" t="s">
        <v>343</v>
      </c>
      <c r="K16" s="19" t="s">
        <v>15</v>
      </c>
      <c r="L16" s="19">
        <v>9</v>
      </c>
      <c r="M16" s="21" t="s">
        <v>454</v>
      </c>
      <c r="N16" s="21" t="s">
        <v>205</v>
      </c>
      <c r="O16" s="23" t="s">
        <v>649</v>
      </c>
    </row>
    <row r="17" spans="1:15" s="15" customFormat="1" ht="12.75" x14ac:dyDescent="0.15">
      <c r="A17" s="18" t="s">
        <v>77</v>
      </c>
      <c r="B17" s="18"/>
      <c r="C17" s="18"/>
      <c r="D17" s="18" t="s">
        <v>89</v>
      </c>
      <c r="E17" s="18" t="s">
        <v>207</v>
      </c>
      <c r="F17" s="18" t="s">
        <v>330</v>
      </c>
      <c r="G17" s="19">
        <f t="shared" si="1"/>
        <v>207.65600000000001</v>
      </c>
      <c r="H17" s="20">
        <v>41802</v>
      </c>
      <c r="I17" s="19" t="s">
        <v>333</v>
      </c>
      <c r="J17" s="19" t="s">
        <v>344</v>
      </c>
      <c r="K17" s="19" t="s">
        <v>15</v>
      </c>
      <c r="L17" s="19">
        <v>8</v>
      </c>
      <c r="M17" s="21" t="s">
        <v>455</v>
      </c>
      <c r="N17" s="21" t="s">
        <v>203</v>
      </c>
      <c r="O17" s="23" t="s">
        <v>650</v>
      </c>
    </row>
    <row r="18" spans="1:15" s="15" customFormat="1" ht="12.75" x14ac:dyDescent="0.15">
      <c r="A18" s="18" t="s">
        <v>77</v>
      </c>
      <c r="B18" s="18"/>
      <c r="C18" s="18"/>
      <c r="D18" s="18" t="s">
        <v>89</v>
      </c>
      <c r="E18" s="18" t="s">
        <v>207</v>
      </c>
      <c r="F18" s="18" t="s">
        <v>331</v>
      </c>
      <c r="G18" s="19">
        <f t="shared" si="1"/>
        <v>207.65600000000001</v>
      </c>
      <c r="H18" s="20">
        <v>41802</v>
      </c>
      <c r="I18" s="19" t="s">
        <v>333</v>
      </c>
      <c r="J18" s="19" t="s">
        <v>345</v>
      </c>
      <c r="K18" s="19" t="s">
        <v>15</v>
      </c>
      <c r="L18" s="19">
        <v>8</v>
      </c>
      <c r="M18" s="21" t="s">
        <v>455</v>
      </c>
      <c r="N18" s="21" t="s">
        <v>204</v>
      </c>
      <c r="O18" s="23" t="s">
        <v>651</v>
      </c>
    </row>
    <row r="19" spans="1:15" s="15" customFormat="1" ht="12.75" x14ac:dyDescent="0.15">
      <c r="A19" s="18" t="s">
        <v>77</v>
      </c>
      <c r="B19" s="18"/>
      <c r="C19" s="18"/>
      <c r="D19" s="18" t="s">
        <v>89</v>
      </c>
      <c r="E19" s="18" t="s">
        <v>207</v>
      </c>
      <c r="F19" s="18" t="s">
        <v>332</v>
      </c>
      <c r="G19" s="19">
        <f t="shared" si="1"/>
        <v>233.613</v>
      </c>
      <c r="H19" s="20">
        <v>41802</v>
      </c>
      <c r="I19" s="19" t="s">
        <v>333</v>
      </c>
      <c r="J19" s="19" t="s">
        <v>346</v>
      </c>
      <c r="K19" s="19" t="s">
        <v>15</v>
      </c>
      <c r="L19" s="19">
        <v>9</v>
      </c>
      <c r="M19" s="21" t="s">
        <v>455</v>
      </c>
      <c r="N19" s="21" t="s">
        <v>205</v>
      </c>
      <c r="O19" s="23" t="s">
        <v>652</v>
      </c>
    </row>
    <row r="20" spans="1:15" s="15" customFormat="1" ht="12.75" x14ac:dyDescent="0.15">
      <c r="A20" s="18" t="s">
        <v>412</v>
      </c>
      <c r="B20" s="18"/>
      <c r="C20" s="18"/>
      <c r="D20" s="18" t="s">
        <v>89</v>
      </c>
      <c r="E20" s="18" t="s">
        <v>207</v>
      </c>
      <c r="F20" s="18" t="s">
        <v>426</v>
      </c>
      <c r="G20" s="19">
        <f t="shared" si="1"/>
        <v>207.65600000000001</v>
      </c>
      <c r="H20" s="20">
        <v>41817</v>
      </c>
      <c r="I20" s="19" t="s">
        <v>84</v>
      </c>
      <c r="J20" s="19" t="s">
        <v>435</v>
      </c>
      <c r="K20" s="19" t="s">
        <v>15</v>
      </c>
      <c r="L20" s="19">
        <v>8</v>
      </c>
      <c r="M20" s="21" t="s">
        <v>465</v>
      </c>
      <c r="N20" s="21" t="s">
        <v>203</v>
      </c>
      <c r="O20" s="22" t="s">
        <v>653</v>
      </c>
    </row>
    <row r="21" spans="1:15" s="15" customFormat="1" ht="12.75" x14ac:dyDescent="0.15">
      <c r="A21" s="18" t="s">
        <v>627</v>
      </c>
      <c r="B21" s="18"/>
      <c r="C21" s="18"/>
      <c r="D21" s="18" t="s">
        <v>89</v>
      </c>
      <c r="E21" s="18" t="s">
        <v>207</v>
      </c>
      <c r="F21" s="18" t="s">
        <v>427</v>
      </c>
      <c r="G21" s="19">
        <f t="shared" si="1"/>
        <v>207.65600000000001</v>
      </c>
      <c r="H21" s="20">
        <v>41817</v>
      </c>
      <c r="I21" s="19" t="s">
        <v>84</v>
      </c>
      <c r="J21" s="19" t="s">
        <v>436</v>
      </c>
      <c r="K21" s="19" t="s">
        <v>15</v>
      </c>
      <c r="L21" s="19">
        <v>8</v>
      </c>
      <c r="M21" s="21" t="s">
        <v>465</v>
      </c>
      <c r="N21" s="21" t="s">
        <v>204</v>
      </c>
      <c r="O21" s="22" t="s">
        <v>654</v>
      </c>
    </row>
    <row r="22" spans="1:15" s="15" customFormat="1" ht="12.75" x14ac:dyDescent="0.15">
      <c r="A22" s="18" t="s">
        <v>412</v>
      </c>
      <c r="B22" s="18"/>
      <c r="C22" s="18"/>
      <c r="D22" s="18" t="s">
        <v>89</v>
      </c>
      <c r="E22" s="18" t="s">
        <v>207</v>
      </c>
      <c r="F22" s="18" t="s">
        <v>428</v>
      </c>
      <c r="G22" s="19">
        <f t="shared" si="1"/>
        <v>233.613</v>
      </c>
      <c r="H22" s="20">
        <v>41817</v>
      </c>
      <c r="I22" s="19" t="s">
        <v>84</v>
      </c>
      <c r="J22" s="19" t="s">
        <v>437</v>
      </c>
      <c r="K22" s="19" t="s">
        <v>15</v>
      </c>
      <c r="L22" s="19">
        <v>9</v>
      </c>
      <c r="M22" s="21" t="s">
        <v>465</v>
      </c>
      <c r="N22" s="21" t="s">
        <v>205</v>
      </c>
      <c r="O22" s="22" t="s">
        <v>655</v>
      </c>
    </row>
    <row r="23" spans="1:15" s="15" customFormat="1" ht="12.75" x14ac:dyDescent="0.15">
      <c r="A23" s="18" t="s">
        <v>412</v>
      </c>
      <c r="B23" s="18"/>
      <c r="C23" s="18"/>
      <c r="D23" s="18" t="s">
        <v>89</v>
      </c>
      <c r="E23" s="18" t="s">
        <v>207</v>
      </c>
      <c r="F23" s="18" t="s">
        <v>429</v>
      </c>
      <c r="G23" s="19">
        <f t="shared" si="1"/>
        <v>207.65600000000001</v>
      </c>
      <c r="H23" s="20">
        <v>41817</v>
      </c>
      <c r="I23" s="19" t="s">
        <v>84</v>
      </c>
      <c r="J23" s="19" t="s">
        <v>438</v>
      </c>
      <c r="K23" s="19" t="s">
        <v>15</v>
      </c>
      <c r="L23" s="19">
        <v>8</v>
      </c>
      <c r="M23" s="21" t="s">
        <v>466</v>
      </c>
      <c r="N23" s="21" t="s">
        <v>203</v>
      </c>
      <c r="O23" s="22" t="s">
        <v>656</v>
      </c>
    </row>
    <row r="24" spans="1:15" s="15" customFormat="1" ht="12.75" x14ac:dyDescent="0.15">
      <c r="A24" s="18" t="s">
        <v>412</v>
      </c>
      <c r="B24" s="18"/>
      <c r="C24" s="18"/>
      <c r="D24" s="18" t="s">
        <v>89</v>
      </c>
      <c r="E24" s="18" t="s">
        <v>207</v>
      </c>
      <c r="F24" s="18" t="s">
        <v>430</v>
      </c>
      <c r="G24" s="19">
        <f t="shared" si="1"/>
        <v>207.65600000000001</v>
      </c>
      <c r="H24" s="20">
        <v>41817</v>
      </c>
      <c r="I24" s="19" t="s">
        <v>84</v>
      </c>
      <c r="J24" s="19" t="s">
        <v>439</v>
      </c>
      <c r="K24" s="19" t="s">
        <v>15</v>
      </c>
      <c r="L24" s="19">
        <v>8</v>
      </c>
      <c r="M24" s="21" t="s">
        <v>466</v>
      </c>
      <c r="N24" s="21" t="s">
        <v>204</v>
      </c>
      <c r="O24" s="22" t="s">
        <v>657</v>
      </c>
    </row>
    <row r="25" spans="1:15" s="15" customFormat="1" ht="12.75" x14ac:dyDescent="0.15">
      <c r="A25" s="18" t="s">
        <v>412</v>
      </c>
      <c r="B25" s="18"/>
      <c r="C25" s="18"/>
      <c r="D25" s="18" t="s">
        <v>89</v>
      </c>
      <c r="E25" s="18" t="s">
        <v>207</v>
      </c>
      <c r="F25" s="18" t="s">
        <v>431</v>
      </c>
      <c r="G25" s="19">
        <f t="shared" si="1"/>
        <v>233.613</v>
      </c>
      <c r="H25" s="20">
        <v>41817</v>
      </c>
      <c r="I25" s="19" t="s">
        <v>84</v>
      </c>
      <c r="J25" s="19" t="s">
        <v>440</v>
      </c>
      <c r="K25" s="19" t="s">
        <v>15</v>
      </c>
      <c r="L25" s="19">
        <v>9</v>
      </c>
      <c r="M25" s="21" t="s">
        <v>466</v>
      </c>
      <c r="N25" s="21" t="s">
        <v>205</v>
      </c>
      <c r="O25" s="22" t="s">
        <v>658</v>
      </c>
    </row>
    <row r="26" spans="1:15" s="15" customFormat="1" ht="12.75" x14ac:dyDescent="0.15">
      <c r="A26" s="18" t="s">
        <v>412</v>
      </c>
      <c r="B26" s="18"/>
      <c r="C26" s="18"/>
      <c r="D26" s="18" t="s">
        <v>89</v>
      </c>
      <c r="E26" s="18" t="s">
        <v>207</v>
      </c>
      <c r="F26" s="18" t="s">
        <v>432</v>
      </c>
      <c r="G26" s="19">
        <f t="shared" si="1"/>
        <v>207.65600000000001</v>
      </c>
      <c r="H26" s="20">
        <v>41817</v>
      </c>
      <c r="I26" s="19" t="s">
        <v>84</v>
      </c>
      <c r="J26" s="19" t="s">
        <v>441</v>
      </c>
      <c r="K26" s="19" t="s">
        <v>15</v>
      </c>
      <c r="L26" s="19">
        <v>8</v>
      </c>
      <c r="M26" s="21" t="s">
        <v>473</v>
      </c>
      <c r="N26" s="27" t="s">
        <v>474</v>
      </c>
      <c r="O26" s="22" t="s">
        <v>659</v>
      </c>
    </row>
    <row r="27" spans="1:15" s="15" customFormat="1" ht="12.75" x14ac:dyDescent="0.15">
      <c r="A27" s="18" t="s">
        <v>412</v>
      </c>
      <c r="B27" s="18"/>
      <c r="C27" s="18"/>
      <c r="D27" s="18" t="s">
        <v>89</v>
      </c>
      <c r="E27" s="18" t="s">
        <v>207</v>
      </c>
      <c r="F27" s="18" t="s">
        <v>433</v>
      </c>
      <c r="G27" s="19">
        <f t="shared" si="1"/>
        <v>207.65600000000001</v>
      </c>
      <c r="H27" s="20">
        <v>41817</v>
      </c>
      <c r="I27" s="19" t="s">
        <v>84</v>
      </c>
      <c r="J27" s="19" t="s">
        <v>442</v>
      </c>
      <c r="K27" s="19" t="s">
        <v>15</v>
      </c>
      <c r="L27" s="19">
        <v>8</v>
      </c>
      <c r="M27" s="21" t="s">
        <v>473</v>
      </c>
      <c r="N27" s="27" t="s">
        <v>474</v>
      </c>
      <c r="O27" s="22" t="s">
        <v>660</v>
      </c>
    </row>
    <row r="28" spans="1:15" s="15" customFormat="1" ht="12.75" x14ac:dyDescent="0.15">
      <c r="A28" s="18" t="s">
        <v>413</v>
      </c>
      <c r="B28" s="18"/>
      <c r="C28" s="18"/>
      <c r="D28" s="18" t="s">
        <v>89</v>
      </c>
      <c r="E28" s="18" t="s">
        <v>207</v>
      </c>
      <c r="F28" s="18" t="s">
        <v>434</v>
      </c>
      <c r="G28" s="19">
        <f t="shared" si="1"/>
        <v>207.65600000000001</v>
      </c>
      <c r="H28" s="20">
        <v>41817</v>
      </c>
      <c r="I28" s="19" t="s">
        <v>185</v>
      </c>
      <c r="J28" s="19" t="s">
        <v>443</v>
      </c>
      <c r="K28" s="19" t="s">
        <v>15</v>
      </c>
      <c r="L28" s="19">
        <v>8</v>
      </c>
      <c r="M28" s="21" t="s">
        <v>473</v>
      </c>
      <c r="N28" s="27" t="s">
        <v>474</v>
      </c>
      <c r="O28" s="22" t="s">
        <v>661</v>
      </c>
    </row>
    <row r="29" spans="1:15" s="15" customFormat="1" ht="12.75" x14ac:dyDescent="0.15">
      <c r="A29" s="24" t="s">
        <v>707</v>
      </c>
      <c r="B29" s="18"/>
      <c r="C29" s="18"/>
      <c r="D29" s="18" t="s">
        <v>496</v>
      </c>
      <c r="E29" s="18" t="s">
        <v>492</v>
      </c>
      <c r="F29" s="18" t="s">
        <v>497</v>
      </c>
      <c r="G29" s="19">
        <f>5.249*L29</f>
        <v>20.995999999999999</v>
      </c>
      <c r="H29" s="20">
        <v>41842</v>
      </c>
      <c r="I29" s="19" t="s">
        <v>706</v>
      </c>
      <c r="J29" s="19" t="s">
        <v>493</v>
      </c>
      <c r="K29" s="19" t="s">
        <v>698</v>
      </c>
      <c r="L29" s="19">
        <v>4</v>
      </c>
      <c r="M29" s="21" t="s">
        <v>494</v>
      </c>
      <c r="N29" s="21" t="s">
        <v>495</v>
      </c>
      <c r="O29" s="22" t="s">
        <v>662</v>
      </c>
    </row>
    <row r="30" spans="1:15" s="15" customFormat="1" ht="12.75" x14ac:dyDescent="0.15">
      <c r="A30" s="18" t="s">
        <v>701</v>
      </c>
      <c r="B30" s="26"/>
      <c r="C30" s="18"/>
      <c r="D30" s="18" t="s">
        <v>702</v>
      </c>
      <c r="E30" s="18" t="s">
        <v>207</v>
      </c>
      <c r="F30" s="18" t="s">
        <v>709</v>
      </c>
      <c r="G30" s="19">
        <f>5.249*L30</f>
        <v>5.2489999999999997</v>
      </c>
      <c r="H30" s="20">
        <v>41894</v>
      </c>
      <c r="I30" s="19" t="s">
        <v>708</v>
      </c>
      <c r="J30" s="19" t="s">
        <v>703</v>
      </c>
      <c r="K30" s="19" t="s">
        <v>668</v>
      </c>
      <c r="L30" s="19">
        <v>1</v>
      </c>
      <c r="M30" s="21" t="s">
        <v>704</v>
      </c>
      <c r="N30" s="21" t="s">
        <v>705</v>
      </c>
      <c r="O30" s="22" t="s">
        <v>992</v>
      </c>
    </row>
    <row r="31" spans="1:15" s="15" customFormat="1" ht="12.75" x14ac:dyDescent="0.15">
      <c r="A31" s="18" t="s">
        <v>714</v>
      </c>
      <c r="B31" s="26"/>
      <c r="C31" s="18"/>
      <c r="D31" s="18" t="s">
        <v>702</v>
      </c>
      <c r="E31" s="18" t="s">
        <v>207</v>
      </c>
      <c r="F31" s="18" t="s">
        <v>716</v>
      </c>
      <c r="G31" s="19">
        <f>5.249*L31</f>
        <v>26.244999999999997</v>
      </c>
      <c r="H31" s="20">
        <v>41898</v>
      </c>
      <c r="I31" s="19" t="s">
        <v>715</v>
      </c>
      <c r="J31" s="19" t="s">
        <v>711</v>
      </c>
      <c r="K31" s="19" t="s">
        <v>668</v>
      </c>
      <c r="L31" s="19">
        <v>5</v>
      </c>
      <c r="M31" s="21" t="s">
        <v>712</v>
      </c>
      <c r="N31" s="21" t="s">
        <v>713</v>
      </c>
      <c r="O31" s="22" t="s">
        <v>993</v>
      </c>
    </row>
    <row r="32" spans="1:15" s="15" customFormat="1" ht="12.75" x14ac:dyDescent="0.15">
      <c r="A32" s="18" t="s">
        <v>19</v>
      </c>
      <c r="B32" s="18"/>
      <c r="C32" s="18"/>
      <c r="D32" s="18" t="s">
        <v>20</v>
      </c>
      <c r="E32" s="18" t="s">
        <v>21</v>
      </c>
      <c r="F32" s="18" t="s">
        <v>22</v>
      </c>
      <c r="G32" s="19">
        <f t="shared" ref="G32:G52" si="2">7.451*L32</f>
        <v>89.411999999999992</v>
      </c>
      <c r="H32" s="20">
        <v>41724</v>
      </c>
      <c r="I32" s="19" t="s">
        <v>34</v>
      </c>
      <c r="J32" s="19" t="s">
        <v>24</v>
      </c>
      <c r="K32" s="19" t="s">
        <v>25</v>
      </c>
      <c r="L32" s="19">
        <v>12</v>
      </c>
      <c r="M32" s="21" t="s">
        <v>32</v>
      </c>
      <c r="N32" s="21" t="s">
        <v>27</v>
      </c>
      <c r="O32" s="23"/>
    </row>
    <row r="33" spans="1:15" s="15" customFormat="1" ht="12.75" x14ac:dyDescent="0.15">
      <c r="A33" s="18" t="s">
        <v>28</v>
      </c>
      <c r="B33" s="18"/>
      <c r="C33" s="18"/>
      <c r="D33" s="18" t="s">
        <v>29</v>
      </c>
      <c r="E33" s="18" t="s">
        <v>30</v>
      </c>
      <c r="F33" s="18" t="s">
        <v>31</v>
      </c>
      <c r="G33" s="19">
        <f t="shared" si="2"/>
        <v>96.863</v>
      </c>
      <c r="H33" s="20">
        <v>41724</v>
      </c>
      <c r="I33" s="19" t="s">
        <v>108</v>
      </c>
      <c r="J33" s="19" t="s">
        <v>109</v>
      </c>
      <c r="K33" s="19" t="s">
        <v>25</v>
      </c>
      <c r="L33" s="19">
        <v>13</v>
      </c>
      <c r="M33" s="21" t="s">
        <v>26</v>
      </c>
      <c r="N33" s="21" t="s">
        <v>33</v>
      </c>
      <c r="O33" s="23"/>
    </row>
    <row r="34" spans="1:15" s="15" customFormat="1" ht="12.75" x14ac:dyDescent="0.15">
      <c r="A34" s="18" t="s">
        <v>105</v>
      </c>
      <c r="B34" s="18"/>
      <c r="C34" s="18"/>
      <c r="D34" s="18" t="s">
        <v>20</v>
      </c>
      <c r="E34" s="18" t="s">
        <v>106</v>
      </c>
      <c r="F34" s="18" t="s">
        <v>107</v>
      </c>
      <c r="G34" s="19">
        <f t="shared" si="2"/>
        <v>111.765</v>
      </c>
      <c r="H34" s="20">
        <v>41738</v>
      </c>
      <c r="I34" s="19" t="s">
        <v>23</v>
      </c>
      <c r="J34" s="19" t="s">
        <v>110</v>
      </c>
      <c r="K34" s="19" t="s">
        <v>111</v>
      </c>
      <c r="L34" s="19">
        <v>15</v>
      </c>
      <c r="M34" s="21" t="s">
        <v>114</v>
      </c>
      <c r="N34" s="21" t="s">
        <v>116</v>
      </c>
      <c r="O34" s="23"/>
    </row>
    <row r="35" spans="1:15" s="15" customFormat="1" ht="12.75" x14ac:dyDescent="0.15">
      <c r="A35" s="18" t="s">
        <v>105</v>
      </c>
      <c r="B35" s="18"/>
      <c r="C35" s="18"/>
      <c r="D35" s="18" t="s">
        <v>20</v>
      </c>
      <c r="E35" s="18" t="s">
        <v>106</v>
      </c>
      <c r="F35" s="18" t="s">
        <v>112</v>
      </c>
      <c r="G35" s="19">
        <f t="shared" si="2"/>
        <v>74.509999999999991</v>
      </c>
      <c r="H35" s="20">
        <v>41738</v>
      </c>
      <c r="I35" s="19" t="s">
        <v>23</v>
      </c>
      <c r="J35" s="19" t="s">
        <v>113</v>
      </c>
      <c r="K35" s="19" t="s">
        <v>111</v>
      </c>
      <c r="L35" s="19">
        <v>10</v>
      </c>
      <c r="M35" s="21" t="s">
        <v>115</v>
      </c>
      <c r="N35" s="21" t="s">
        <v>117</v>
      </c>
      <c r="O35" s="23"/>
    </row>
    <row r="36" spans="1:15" s="15" customFormat="1" ht="12.75" x14ac:dyDescent="0.15">
      <c r="A36" s="18" t="s">
        <v>159</v>
      </c>
      <c r="B36" s="18"/>
      <c r="C36" s="18"/>
      <c r="D36" s="18" t="s">
        <v>158</v>
      </c>
      <c r="E36" s="18" t="s">
        <v>163</v>
      </c>
      <c r="F36" s="18" t="s">
        <v>166</v>
      </c>
      <c r="G36" s="19">
        <f t="shared" si="2"/>
        <v>89.411999999999992</v>
      </c>
      <c r="H36" s="20">
        <v>41763</v>
      </c>
      <c r="I36" s="19" t="s">
        <v>161</v>
      </c>
      <c r="J36" s="19" t="s">
        <v>160</v>
      </c>
      <c r="K36" s="19" t="s">
        <v>137</v>
      </c>
      <c r="L36" s="19">
        <v>12</v>
      </c>
      <c r="M36" s="21" t="s">
        <v>168</v>
      </c>
      <c r="N36" s="21" t="s">
        <v>103</v>
      </c>
      <c r="O36" s="23"/>
    </row>
    <row r="37" spans="1:15" s="15" customFormat="1" ht="12.75" x14ac:dyDescent="0.15">
      <c r="A37" s="18" t="s">
        <v>159</v>
      </c>
      <c r="B37" s="18"/>
      <c r="C37" s="18"/>
      <c r="D37" s="18" t="s">
        <v>158</v>
      </c>
      <c r="E37" s="18" t="s">
        <v>163</v>
      </c>
      <c r="F37" s="18" t="s">
        <v>167</v>
      </c>
      <c r="G37" s="19">
        <f t="shared" si="2"/>
        <v>96.863</v>
      </c>
      <c r="H37" s="20">
        <v>41763</v>
      </c>
      <c r="I37" s="19" t="s">
        <v>161</v>
      </c>
      <c r="J37" s="19" t="s">
        <v>164</v>
      </c>
      <c r="K37" s="19" t="s">
        <v>99</v>
      </c>
      <c r="L37" s="19">
        <v>13</v>
      </c>
      <c r="M37" s="21" t="s">
        <v>162</v>
      </c>
      <c r="N37" s="21" t="s">
        <v>165</v>
      </c>
      <c r="O37" s="23"/>
    </row>
    <row r="38" spans="1:15" s="15" customFormat="1" ht="12.75" x14ac:dyDescent="0.15">
      <c r="A38" s="18" t="s">
        <v>159</v>
      </c>
      <c r="B38" s="18"/>
      <c r="C38" s="18"/>
      <c r="D38" s="18" t="s">
        <v>158</v>
      </c>
      <c r="E38" s="18" t="s">
        <v>163</v>
      </c>
      <c r="F38" s="18" t="s">
        <v>169</v>
      </c>
      <c r="G38" s="19">
        <f t="shared" si="2"/>
        <v>89.411999999999992</v>
      </c>
      <c r="H38" s="20">
        <v>41766</v>
      </c>
      <c r="I38" s="19" t="s">
        <v>161</v>
      </c>
      <c r="J38" s="19" t="s">
        <v>173</v>
      </c>
      <c r="K38" s="19" t="s">
        <v>15</v>
      </c>
      <c r="L38" s="19">
        <v>12</v>
      </c>
      <c r="M38" s="21" t="s">
        <v>176</v>
      </c>
      <c r="N38" s="21" t="s">
        <v>103</v>
      </c>
      <c r="O38" s="23"/>
    </row>
    <row r="39" spans="1:15" s="15" customFormat="1" ht="12.75" x14ac:dyDescent="0.15">
      <c r="A39" s="18" t="s">
        <v>159</v>
      </c>
      <c r="B39" s="18"/>
      <c r="C39" s="18"/>
      <c r="D39" s="18" t="s">
        <v>158</v>
      </c>
      <c r="E39" s="18" t="s">
        <v>163</v>
      </c>
      <c r="F39" s="18" t="s">
        <v>170</v>
      </c>
      <c r="G39" s="19">
        <f t="shared" si="2"/>
        <v>96.863</v>
      </c>
      <c r="H39" s="20">
        <v>41766</v>
      </c>
      <c r="I39" s="19" t="s">
        <v>161</v>
      </c>
      <c r="J39" s="19" t="s">
        <v>174</v>
      </c>
      <c r="K39" s="19" t="s">
        <v>15</v>
      </c>
      <c r="L39" s="19">
        <v>13</v>
      </c>
      <c r="M39" s="21" t="s">
        <v>176</v>
      </c>
      <c r="N39" s="21" t="s">
        <v>165</v>
      </c>
      <c r="O39" s="23"/>
    </row>
    <row r="40" spans="1:15" s="15" customFormat="1" ht="12.75" x14ac:dyDescent="0.15">
      <c r="A40" s="18" t="s">
        <v>159</v>
      </c>
      <c r="B40" s="18"/>
      <c r="C40" s="18"/>
      <c r="D40" s="18" t="s">
        <v>158</v>
      </c>
      <c r="E40" s="18" t="s">
        <v>163</v>
      </c>
      <c r="F40" s="18" t="s">
        <v>171</v>
      </c>
      <c r="G40" s="19">
        <f t="shared" si="2"/>
        <v>67.058999999999997</v>
      </c>
      <c r="H40" s="20">
        <v>41766</v>
      </c>
      <c r="I40" s="19" t="s">
        <v>161</v>
      </c>
      <c r="J40" s="19" t="s">
        <v>175</v>
      </c>
      <c r="K40" s="19" t="s">
        <v>15</v>
      </c>
      <c r="L40" s="19">
        <v>9</v>
      </c>
      <c r="M40" s="21" t="s">
        <v>177</v>
      </c>
      <c r="N40" s="21" t="s">
        <v>178</v>
      </c>
      <c r="O40" s="23"/>
    </row>
    <row r="41" spans="1:15" s="15" customFormat="1" ht="12.75" x14ac:dyDescent="0.15">
      <c r="A41" s="18" t="s">
        <v>159</v>
      </c>
      <c r="B41" s="18"/>
      <c r="C41" s="18"/>
      <c r="D41" s="18" t="s">
        <v>158</v>
      </c>
      <c r="E41" s="18" t="s">
        <v>163</v>
      </c>
      <c r="F41" s="18" t="s">
        <v>172</v>
      </c>
      <c r="G41" s="19">
        <f t="shared" si="2"/>
        <v>74.509999999999991</v>
      </c>
      <c r="H41" s="20">
        <v>41766</v>
      </c>
      <c r="I41" s="19" t="s">
        <v>34</v>
      </c>
      <c r="J41" s="19" t="s">
        <v>257</v>
      </c>
      <c r="K41" s="19" t="s">
        <v>15</v>
      </c>
      <c r="L41" s="19">
        <v>10</v>
      </c>
      <c r="M41" s="21" t="s">
        <v>177</v>
      </c>
      <c r="N41" s="21" t="s">
        <v>179</v>
      </c>
      <c r="O41" s="23"/>
    </row>
    <row r="42" spans="1:15" s="15" customFormat="1" ht="12.75" x14ac:dyDescent="0.15">
      <c r="A42" s="18" t="s">
        <v>19</v>
      </c>
      <c r="B42" s="18"/>
      <c r="C42" s="18"/>
      <c r="D42" s="18" t="s">
        <v>254</v>
      </c>
      <c r="E42" s="18" t="s">
        <v>255</v>
      </c>
      <c r="F42" s="18" t="s">
        <v>256</v>
      </c>
      <c r="G42" s="19">
        <f t="shared" si="2"/>
        <v>89.411999999999992</v>
      </c>
      <c r="H42" s="20">
        <v>41793</v>
      </c>
      <c r="I42" s="19" t="s">
        <v>23</v>
      </c>
      <c r="J42" s="19" t="s">
        <v>258</v>
      </c>
      <c r="K42" s="19" t="s">
        <v>259</v>
      </c>
      <c r="L42" s="19">
        <v>12</v>
      </c>
      <c r="M42" s="21" t="s">
        <v>260</v>
      </c>
      <c r="N42" s="21" t="s">
        <v>103</v>
      </c>
      <c r="O42" s="23"/>
    </row>
    <row r="43" spans="1:15" s="15" customFormat="1" ht="12.75" x14ac:dyDescent="0.15">
      <c r="A43" s="18" t="s">
        <v>19</v>
      </c>
      <c r="B43" s="18"/>
      <c r="C43" s="18"/>
      <c r="D43" s="18" t="s">
        <v>254</v>
      </c>
      <c r="E43" s="18" t="s">
        <v>255</v>
      </c>
      <c r="F43" s="18" t="s">
        <v>262</v>
      </c>
      <c r="G43" s="19">
        <f t="shared" si="2"/>
        <v>96.863</v>
      </c>
      <c r="H43" s="20">
        <v>41793</v>
      </c>
      <c r="I43" s="19" t="s">
        <v>23</v>
      </c>
      <c r="J43" s="19" t="s">
        <v>265</v>
      </c>
      <c r="K43" s="19" t="s">
        <v>259</v>
      </c>
      <c r="L43" s="19">
        <v>13</v>
      </c>
      <c r="M43" s="21" t="s">
        <v>260</v>
      </c>
      <c r="N43" s="21" t="s">
        <v>165</v>
      </c>
      <c r="O43" s="23"/>
    </row>
    <row r="44" spans="1:15" s="15" customFormat="1" ht="12.75" x14ac:dyDescent="0.15">
      <c r="A44" s="18" t="s">
        <v>19</v>
      </c>
      <c r="B44" s="18"/>
      <c r="C44" s="18"/>
      <c r="D44" s="18" t="s">
        <v>254</v>
      </c>
      <c r="E44" s="18" t="s">
        <v>255</v>
      </c>
      <c r="F44" s="18" t="s">
        <v>263</v>
      </c>
      <c r="G44" s="19">
        <f t="shared" si="2"/>
        <v>89.411999999999992</v>
      </c>
      <c r="H44" s="20">
        <v>41793</v>
      </c>
      <c r="I44" s="19" t="s">
        <v>23</v>
      </c>
      <c r="J44" s="19" t="s">
        <v>266</v>
      </c>
      <c r="K44" s="19" t="s">
        <v>259</v>
      </c>
      <c r="L44" s="19">
        <v>12</v>
      </c>
      <c r="M44" s="21" t="s">
        <v>261</v>
      </c>
      <c r="N44" s="21" t="s">
        <v>103</v>
      </c>
      <c r="O44" s="23"/>
    </row>
    <row r="45" spans="1:15" s="15" customFormat="1" ht="12.75" x14ac:dyDescent="0.15">
      <c r="A45" s="18" t="s">
        <v>19</v>
      </c>
      <c r="B45" s="18"/>
      <c r="C45" s="18"/>
      <c r="D45" s="18" t="s">
        <v>254</v>
      </c>
      <c r="E45" s="18" t="s">
        <v>255</v>
      </c>
      <c r="F45" s="18" t="s">
        <v>264</v>
      </c>
      <c r="G45" s="19">
        <f t="shared" si="2"/>
        <v>96.863</v>
      </c>
      <c r="H45" s="20">
        <v>41793</v>
      </c>
      <c r="I45" s="19" t="s">
        <v>23</v>
      </c>
      <c r="J45" s="19" t="s">
        <v>267</v>
      </c>
      <c r="K45" s="19" t="s">
        <v>259</v>
      </c>
      <c r="L45" s="19">
        <v>13</v>
      </c>
      <c r="M45" s="21" t="s">
        <v>261</v>
      </c>
      <c r="N45" s="21" t="s">
        <v>165</v>
      </c>
      <c r="O45" s="23"/>
    </row>
    <row r="46" spans="1:15" s="15" customFormat="1" ht="12.75" x14ac:dyDescent="0.15">
      <c r="A46" s="18" t="s">
        <v>159</v>
      </c>
      <c r="B46" s="18"/>
      <c r="C46" s="18"/>
      <c r="D46" s="18" t="s">
        <v>29</v>
      </c>
      <c r="E46" s="18" t="s">
        <v>268</v>
      </c>
      <c r="F46" s="18" t="s">
        <v>269</v>
      </c>
      <c r="G46" s="19">
        <f t="shared" si="2"/>
        <v>89.411999999999992</v>
      </c>
      <c r="H46" s="20">
        <v>41795</v>
      </c>
      <c r="I46" s="19" t="s">
        <v>23</v>
      </c>
      <c r="J46" s="19" t="s">
        <v>270</v>
      </c>
      <c r="K46" s="19" t="s">
        <v>259</v>
      </c>
      <c r="L46" s="19">
        <v>12</v>
      </c>
      <c r="M46" s="21" t="s">
        <v>277</v>
      </c>
      <c r="N46" s="21" t="s">
        <v>103</v>
      </c>
      <c r="O46" s="23"/>
    </row>
    <row r="47" spans="1:15" s="15" customFormat="1" ht="12.75" x14ac:dyDescent="0.15">
      <c r="A47" s="18" t="s">
        <v>159</v>
      </c>
      <c r="B47" s="18"/>
      <c r="C47" s="18"/>
      <c r="D47" s="18" t="s">
        <v>29</v>
      </c>
      <c r="E47" s="18" t="s">
        <v>268</v>
      </c>
      <c r="F47" s="18" t="s">
        <v>271</v>
      </c>
      <c r="G47" s="19">
        <f t="shared" si="2"/>
        <v>96.863</v>
      </c>
      <c r="H47" s="20">
        <v>41795</v>
      </c>
      <c r="I47" s="19" t="s">
        <v>23</v>
      </c>
      <c r="J47" s="19" t="s">
        <v>274</v>
      </c>
      <c r="K47" s="19" t="s">
        <v>259</v>
      </c>
      <c r="L47" s="19">
        <v>13</v>
      </c>
      <c r="M47" s="21" t="s">
        <v>277</v>
      </c>
      <c r="N47" s="21" t="s">
        <v>165</v>
      </c>
      <c r="O47" s="23"/>
    </row>
    <row r="48" spans="1:15" s="15" customFormat="1" ht="12.75" x14ac:dyDescent="0.15">
      <c r="A48" s="18" t="s">
        <v>159</v>
      </c>
      <c r="B48" s="18"/>
      <c r="C48" s="18"/>
      <c r="D48" s="18" t="s">
        <v>29</v>
      </c>
      <c r="E48" s="18" t="s">
        <v>268</v>
      </c>
      <c r="F48" s="18" t="s">
        <v>272</v>
      </c>
      <c r="G48" s="19">
        <f t="shared" si="2"/>
        <v>89.411999999999992</v>
      </c>
      <c r="H48" s="20">
        <v>41795</v>
      </c>
      <c r="I48" s="19" t="s">
        <v>23</v>
      </c>
      <c r="J48" s="19" t="s">
        <v>275</v>
      </c>
      <c r="K48" s="19" t="s">
        <v>259</v>
      </c>
      <c r="L48" s="19">
        <v>12</v>
      </c>
      <c r="M48" s="21" t="s">
        <v>278</v>
      </c>
      <c r="N48" s="21" t="s">
        <v>103</v>
      </c>
      <c r="O48" s="23"/>
    </row>
    <row r="49" spans="1:15" s="15" customFormat="1" ht="12.75" x14ac:dyDescent="0.15">
      <c r="A49" s="18" t="s">
        <v>159</v>
      </c>
      <c r="B49" s="18"/>
      <c r="C49" s="18"/>
      <c r="D49" s="18" t="s">
        <v>29</v>
      </c>
      <c r="E49" s="18" t="s">
        <v>268</v>
      </c>
      <c r="F49" s="18" t="s">
        <v>273</v>
      </c>
      <c r="G49" s="19">
        <f t="shared" si="2"/>
        <v>96.863</v>
      </c>
      <c r="H49" s="20">
        <v>41795</v>
      </c>
      <c r="I49" s="19" t="s">
        <v>23</v>
      </c>
      <c r="J49" s="19" t="s">
        <v>276</v>
      </c>
      <c r="K49" s="19" t="s">
        <v>259</v>
      </c>
      <c r="L49" s="19">
        <v>13</v>
      </c>
      <c r="M49" s="21" t="s">
        <v>278</v>
      </c>
      <c r="N49" s="21" t="s">
        <v>165</v>
      </c>
      <c r="O49" s="23"/>
    </row>
    <row r="50" spans="1:15" s="15" customFormat="1" ht="12.75" x14ac:dyDescent="0.15">
      <c r="A50" s="18" t="s">
        <v>28</v>
      </c>
      <c r="B50" s="18"/>
      <c r="C50" s="18"/>
      <c r="D50" s="18" t="s">
        <v>20</v>
      </c>
      <c r="E50" s="18" t="s">
        <v>21</v>
      </c>
      <c r="F50" s="18" t="s">
        <v>297</v>
      </c>
      <c r="G50" s="19">
        <f t="shared" si="2"/>
        <v>96.863</v>
      </c>
      <c r="H50" s="20">
        <v>41800</v>
      </c>
      <c r="I50" s="19" t="s">
        <v>23</v>
      </c>
      <c r="J50" s="19" t="s">
        <v>308</v>
      </c>
      <c r="K50" s="19" t="s">
        <v>15</v>
      </c>
      <c r="L50" s="19">
        <v>13</v>
      </c>
      <c r="M50" s="21" t="s">
        <v>306</v>
      </c>
      <c r="N50" s="21" t="s">
        <v>309</v>
      </c>
      <c r="O50" s="23"/>
    </row>
    <row r="51" spans="1:15" s="15" customFormat="1" ht="12.75" x14ac:dyDescent="0.15">
      <c r="A51" s="18" t="s">
        <v>28</v>
      </c>
      <c r="B51" s="18"/>
      <c r="C51" s="18"/>
      <c r="D51" s="18" t="s">
        <v>20</v>
      </c>
      <c r="E51" s="18" t="s">
        <v>21</v>
      </c>
      <c r="F51" s="18" t="s">
        <v>298</v>
      </c>
      <c r="G51" s="19">
        <f t="shared" si="2"/>
        <v>89.411999999999992</v>
      </c>
      <c r="H51" s="20">
        <v>41800</v>
      </c>
      <c r="I51" s="19" t="s">
        <v>23</v>
      </c>
      <c r="J51" s="19" t="s">
        <v>310</v>
      </c>
      <c r="K51" s="19" t="s">
        <v>15</v>
      </c>
      <c r="L51" s="19">
        <v>12</v>
      </c>
      <c r="M51" s="21" t="s">
        <v>311</v>
      </c>
      <c r="N51" s="21" t="s">
        <v>307</v>
      </c>
      <c r="O51" s="23"/>
    </row>
    <row r="52" spans="1:15" s="15" customFormat="1" ht="12.75" x14ac:dyDescent="0.15">
      <c r="A52" s="18" t="s">
        <v>28</v>
      </c>
      <c r="B52" s="18"/>
      <c r="C52" s="18"/>
      <c r="D52" s="18" t="s">
        <v>20</v>
      </c>
      <c r="E52" s="18" t="s">
        <v>21</v>
      </c>
      <c r="F52" s="18" t="s">
        <v>302</v>
      </c>
      <c r="G52" s="19">
        <f t="shared" si="2"/>
        <v>89.411999999999992</v>
      </c>
      <c r="H52" s="20">
        <v>41800</v>
      </c>
      <c r="I52" s="19" t="s">
        <v>23</v>
      </c>
      <c r="J52" s="19" t="s">
        <v>316</v>
      </c>
      <c r="K52" s="19" t="s">
        <v>15</v>
      </c>
      <c r="L52" s="19">
        <v>12</v>
      </c>
      <c r="M52" s="21" t="s">
        <v>317</v>
      </c>
      <c r="N52" s="21" t="s">
        <v>307</v>
      </c>
      <c r="O52" s="23"/>
    </row>
    <row r="53" spans="1:15" s="15" customFormat="1" ht="12.75" x14ac:dyDescent="0.15">
      <c r="A53" s="24" t="s">
        <v>35</v>
      </c>
      <c r="B53" s="18"/>
      <c r="C53" s="18"/>
      <c r="D53" s="18" t="s">
        <v>13</v>
      </c>
      <c r="E53" s="18" t="s">
        <v>14</v>
      </c>
      <c r="F53" s="18" t="s">
        <v>18</v>
      </c>
      <c r="G53" s="19">
        <f>7.986*L53</f>
        <v>79.86</v>
      </c>
      <c r="H53" s="20">
        <v>41712</v>
      </c>
      <c r="I53" s="19" t="s">
        <v>39</v>
      </c>
      <c r="J53" s="19" t="s">
        <v>40</v>
      </c>
      <c r="K53" s="19" t="s">
        <v>15</v>
      </c>
      <c r="L53" s="19">
        <v>10</v>
      </c>
      <c r="M53" s="21" t="s">
        <v>16</v>
      </c>
      <c r="N53" s="21" t="s">
        <v>17</v>
      </c>
      <c r="O53" s="23" t="s">
        <v>16</v>
      </c>
    </row>
    <row r="54" spans="1:15" s="15" customFormat="1" ht="12.75" x14ac:dyDescent="0.15">
      <c r="A54" s="18" t="s">
        <v>43</v>
      </c>
      <c r="B54" s="18"/>
      <c r="C54" s="18"/>
      <c r="D54" s="18" t="s">
        <v>36</v>
      </c>
      <c r="E54" s="18" t="s">
        <v>37</v>
      </c>
      <c r="F54" s="18" t="s">
        <v>38</v>
      </c>
      <c r="G54" s="19">
        <f>7.986*L54</f>
        <v>55.902000000000001</v>
      </c>
      <c r="H54" s="20">
        <v>41731</v>
      </c>
      <c r="I54" s="19" t="s">
        <v>144</v>
      </c>
      <c r="J54" s="19" t="s">
        <v>145</v>
      </c>
      <c r="K54" s="19" t="s">
        <v>41</v>
      </c>
      <c r="L54" s="19">
        <v>7</v>
      </c>
      <c r="M54" s="21" t="s">
        <v>42</v>
      </c>
      <c r="N54" s="21" t="s">
        <v>53</v>
      </c>
      <c r="O54" s="22" t="s">
        <v>42</v>
      </c>
    </row>
    <row r="55" spans="1:15" s="15" customFormat="1" ht="12.75" x14ac:dyDescent="0.15">
      <c r="A55" s="18" t="s">
        <v>46</v>
      </c>
      <c r="B55" s="18"/>
      <c r="C55" s="18"/>
      <c r="D55" s="18" t="s">
        <v>45</v>
      </c>
      <c r="E55" s="18" t="s">
        <v>37</v>
      </c>
      <c r="F55" s="18" t="s">
        <v>55</v>
      </c>
      <c r="G55" s="19">
        <f>7.986*L55</f>
        <v>15.972</v>
      </c>
      <c r="H55" s="20">
        <v>41731</v>
      </c>
      <c r="I55" s="19" t="s">
        <v>47</v>
      </c>
      <c r="J55" s="19" t="s">
        <v>48</v>
      </c>
      <c r="K55" s="19" t="s">
        <v>41</v>
      </c>
      <c r="L55" s="19">
        <v>2</v>
      </c>
      <c r="M55" s="21" t="s">
        <v>50</v>
      </c>
      <c r="N55" s="21" t="s">
        <v>52</v>
      </c>
      <c r="O55" s="22" t="s">
        <v>50</v>
      </c>
    </row>
    <row r="56" spans="1:15" s="15" customFormat="1" ht="12.75" x14ac:dyDescent="0.15">
      <c r="A56" s="18" t="s">
        <v>44</v>
      </c>
      <c r="B56" s="18"/>
      <c r="C56" s="18"/>
      <c r="D56" s="18" t="s">
        <v>45</v>
      </c>
      <c r="E56" s="18" t="s">
        <v>37</v>
      </c>
      <c r="F56" s="18" t="s">
        <v>49</v>
      </c>
      <c r="G56" s="19">
        <f>7.986*L56</f>
        <v>15.972</v>
      </c>
      <c r="H56" s="20">
        <v>41731</v>
      </c>
      <c r="I56" s="19" t="s">
        <v>56</v>
      </c>
      <c r="J56" s="19" t="s">
        <v>135</v>
      </c>
      <c r="K56" s="19" t="s">
        <v>41</v>
      </c>
      <c r="L56" s="19">
        <v>2</v>
      </c>
      <c r="M56" s="21" t="s">
        <v>51</v>
      </c>
      <c r="N56" s="21" t="s">
        <v>54</v>
      </c>
      <c r="O56" s="22" t="s">
        <v>51</v>
      </c>
    </row>
    <row r="57" spans="1:15" s="15" customFormat="1" ht="12.75" x14ac:dyDescent="0.15">
      <c r="A57" s="24" t="s">
        <v>62</v>
      </c>
      <c r="B57" s="18" t="s">
        <v>90</v>
      </c>
      <c r="C57" s="26" t="s">
        <v>94</v>
      </c>
      <c r="D57" s="18" t="s">
        <v>93</v>
      </c>
      <c r="E57" s="18" t="s">
        <v>37</v>
      </c>
      <c r="F57" s="18" t="s">
        <v>61</v>
      </c>
      <c r="G57" s="19">
        <f>2.462*L57</f>
        <v>22.158000000000001</v>
      </c>
      <c r="H57" s="20">
        <v>41731</v>
      </c>
      <c r="I57" s="19" t="s">
        <v>730</v>
      </c>
      <c r="J57" s="19" t="s">
        <v>57</v>
      </c>
      <c r="K57" s="19" t="s">
        <v>58</v>
      </c>
      <c r="L57" s="19">
        <v>9</v>
      </c>
      <c r="M57" s="21" t="s">
        <v>131</v>
      </c>
      <c r="N57" s="21" t="s">
        <v>60</v>
      </c>
      <c r="O57" s="22" t="s">
        <v>59</v>
      </c>
    </row>
    <row r="58" spans="1:15" s="15" customFormat="1" ht="12.75" x14ac:dyDescent="0.15">
      <c r="A58" s="18" t="s">
        <v>63</v>
      </c>
      <c r="B58" s="26" t="s">
        <v>91</v>
      </c>
      <c r="C58" s="18"/>
      <c r="D58" s="18" t="s">
        <v>64</v>
      </c>
      <c r="E58" s="18" t="s">
        <v>65</v>
      </c>
      <c r="F58" s="18" t="s">
        <v>66</v>
      </c>
      <c r="G58" s="19">
        <f>4.66*L58</f>
        <v>32.620000000000005</v>
      </c>
      <c r="H58" s="20">
        <v>41732</v>
      </c>
      <c r="I58" s="19" t="s">
        <v>67</v>
      </c>
      <c r="J58" s="19" t="s">
        <v>68</v>
      </c>
      <c r="K58" s="19" t="s">
        <v>69</v>
      </c>
      <c r="L58" s="19">
        <v>7</v>
      </c>
      <c r="M58" s="21" t="s">
        <v>73</v>
      </c>
      <c r="N58" s="21" t="s">
        <v>74</v>
      </c>
      <c r="O58" s="22" t="s">
        <v>118</v>
      </c>
    </row>
    <row r="59" spans="1:15" s="15" customFormat="1" ht="12.75" x14ac:dyDescent="0.15">
      <c r="A59" s="18" t="s">
        <v>63</v>
      </c>
      <c r="B59" s="26" t="s">
        <v>91</v>
      </c>
      <c r="C59" s="18"/>
      <c r="D59" s="18" t="s">
        <v>64</v>
      </c>
      <c r="E59" s="18" t="s">
        <v>65</v>
      </c>
      <c r="F59" s="18" t="s">
        <v>71</v>
      </c>
      <c r="G59" s="19">
        <f>4.66*L59</f>
        <v>37.28</v>
      </c>
      <c r="H59" s="20">
        <v>41732</v>
      </c>
      <c r="I59" s="19" t="s">
        <v>67</v>
      </c>
      <c r="J59" s="19" t="s">
        <v>72</v>
      </c>
      <c r="K59" s="19" t="s">
        <v>69</v>
      </c>
      <c r="L59" s="19">
        <v>8</v>
      </c>
      <c r="M59" s="21" t="s">
        <v>73</v>
      </c>
      <c r="N59" s="21" t="s">
        <v>75</v>
      </c>
      <c r="O59" s="22" t="s">
        <v>73</v>
      </c>
    </row>
    <row r="60" spans="1:15" s="15" customFormat="1" ht="12.75" x14ac:dyDescent="0.15">
      <c r="A60" s="25" t="s">
        <v>77</v>
      </c>
      <c r="B60" s="18" t="s">
        <v>90</v>
      </c>
      <c r="C60" s="18"/>
      <c r="D60" s="25" t="s">
        <v>89</v>
      </c>
      <c r="E60" s="18" t="s">
        <v>65</v>
      </c>
      <c r="F60" s="18" t="s">
        <v>76</v>
      </c>
      <c r="G60" s="19">
        <f>25.957*L60</f>
        <v>233.613</v>
      </c>
      <c r="H60" s="20">
        <v>41732</v>
      </c>
      <c r="I60" s="19" t="s">
        <v>130</v>
      </c>
      <c r="J60" s="19" t="s">
        <v>78</v>
      </c>
      <c r="K60" s="19" t="s">
        <v>69</v>
      </c>
      <c r="L60" s="19">
        <v>9</v>
      </c>
      <c r="M60" s="21" t="s">
        <v>80</v>
      </c>
      <c r="N60" s="21" t="s">
        <v>81</v>
      </c>
      <c r="O60" s="22" t="s">
        <v>80</v>
      </c>
    </row>
    <row r="61" spans="1:15" s="15" customFormat="1" ht="12.75" x14ac:dyDescent="0.15">
      <c r="A61" s="25" t="s">
        <v>77</v>
      </c>
      <c r="B61" s="18" t="s">
        <v>90</v>
      </c>
      <c r="C61" s="18"/>
      <c r="D61" s="25" t="s">
        <v>89</v>
      </c>
      <c r="E61" s="18" t="s">
        <v>65</v>
      </c>
      <c r="F61" s="18" t="s">
        <v>79</v>
      </c>
      <c r="G61" s="19">
        <f>25.957*L61</f>
        <v>233.613</v>
      </c>
      <c r="H61" s="20">
        <v>41732</v>
      </c>
      <c r="I61" s="19" t="s">
        <v>185</v>
      </c>
      <c r="J61" s="19" t="s">
        <v>186</v>
      </c>
      <c r="K61" s="19" t="s">
        <v>69</v>
      </c>
      <c r="L61" s="19">
        <v>9</v>
      </c>
      <c r="M61" s="21" t="s">
        <v>80</v>
      </c>
      <c r="N61" s="21" t="s">
        <v>82</v>
      </c>
      <c r="O61" s="22" t="s">
        <v>119</v>
      </c>
    </row>
    <row r="62" spans="1:15" s="15" customFormat="1" ht="12.75" x14ac:dyDescent="0.15">
      <c r="A62" s="25" t="s">
        <v>92</v>
      </c>
      <c r="B62" s="18" t="s">
        <v>90</v>
      </c>
      <c r="C62" s="18"/>
      <c r="D62" s="18" t="s">
        <v>779</v>
      </c>
      <c r="E62" s="18" t="s">
        <v>83</v>
      </c>
      <c r="F62" s="18" t="s">
        <v>88</v>
      </c>
      <c r="G62" s="19">
        <f>25.957*L62</f>
        <v>77.871000000000009</v>
      </c>
      <c r="H62" s="20">
        <v>41732</v>
      </c>
      <c r="I62" s="19" t="s">
        <v>84</v>
      </c>
      <c r="J62" s="19" t="s">
        <v>85</v>
      </c>
      <c r="K62" s="19" t="s">
        <v>69</v>
      </c>
      <c r="L62" s="19">
        <v>3</v>
      </c>
      <c r="M62" s="21" t="s">
        <v>86</v>
      </c>
      <c r="N62" s="21" t="s">
        <v>87</v>
      </c>
      <c r="O62" s="22" t="s">
        <v>86</v>
      </c>
    </row>
    <row r="63" spans="1:15" s="15" customFormat="1" ht="12.75" x14ac:dyDescent="0.15">
      <c r="A63" s="24" t="s">
        <v>62</v>
      </c>
      <c r="B63" s="26" t="s">
        <v>70</v>
      </c>
      <c r="C63" s="18"/>
      <c r="D63" s="18" t="s">
        <v>95</v>
      </c>
      <c r="E63" s="18" t="s">
        <v>96</v>
      </c>
      <c r="F63" s="18" t="s">
        <v>97</v>
      </c>
      <c r="G63" s="19">
        <f>2.462*L63</f>
        <v>29.544000000000004</v>
      </c>
      <c r="H63" s="20">
        <v>41738</v>
      </c>
      <c r="I63" s="19" t="s">
        <v>730</v>
      </c>
      <c r="J63" s="19" t="s">
        <v>98</v>
      </c>
      <c r="K63" s="19" t="s">
        <v>99</v>
      </c>
      <c r="L63" s="19">
        <v>12</v>
      </c>
      <c r="M63" s="21" t="s">
        <v>104</v>
      </c>
      <c r="N63" s="21" t="s">
        <v>103</v>
      </c>
      <c r="O63" s="23" t="s">
        <v>101</v>
      </c>
    </row>
    <row r="64" spans="1:15" s="15" customFormat="1" ht="12.75" x14ac:dyDescent="0.15">
      <c r="A64" s="24" t="s">
        <v>120</v>
      </c>
      <c r="B64" s="26" t="s">
        <v>124</v>
      </c>
      <c r="C64" s="18"/>
      <c r="D64" s="18" t="s">
        <v>95</v>
      </c>
      <c r="E64" s="18" t="s">
        <v>96</v>
      </c>
      <c r="F64" s="18" t="s">
        <v>100</v>
      </c>
      <c r="G64" s="19">
        <f>2.462*L64</f>
        <v>32.006</v>
      </c>
      <c r="H64" s="20">
        <v>41738</v>
      </c>
      <c r="I64" s="19" t="s">
        <v>730</v>
      </c>
      <c r="J64" s="19" t="s">
        <v>125</v>
      </c>
      <c r="K64" s="19" t="s">
        <v>99</v>
      </c>
      <c r="L64" s="19">
        <v>13</v>
      </c>
      <c r="M64" s="21" t="s">
        <v>101</v>
      </c>
      <c r="N64" s="21" t="s">
        <v>102</v>
      </c>
      <c r="O64" s="23" t="s">
        <v>156</v>
      </c>
    </row>
    <row r="65" spans="1:15" s="15" customFormat="1" ht="12.75" x14ac:dyDescent="0.15">
      <c r="A65" s="24" t="s">
        <v>62</v>
      </c>
      <c r="B65" s="26" t="s">
        <v>70</v>
      </c>
      <c r="C65" s="21" t="s">
        <v>491</v>
      </c>
      <c r="D65" s="18" t="s">
        <v>121</v>
      </c>
      <c r="E65" s="18" t="s">
        <v>122</v>
      </c>
      <c r="F65" s="18" t="s">
        <v>123</v>
      </c>
      <c r="G65" s="19">
        <f>2.462*L65</f>
        <v>9.8480000000000008</v>
      </c>
      <c r="H65" s="20">
        <v>41744</v>
      </c>
      <c r="I65" s="19" t="s">
        <v>730</v>
      </c>
      <c r="J65" s="19" t="s">
        <v>126</v>
      </c>
      <c r="K65" s="19" t="s">
        <v>127</v>
      </c>
      <c r="L65" s="19">
        <v>4</v>
      </c>
      <c r="M65" s="21" t="s">
        <v>129</v>
      </c>
      <c r="N65" s="21" t="s">
        <v>128</v>
      </c>
      <c r="O65" s="23" t="s">
        <v>157</v>
      </c>
    </row>
    <row r="66" spans="1:15" s="15" customFormat="1" ht="12.75" x14ac:dyDescent="0.15">
      <c r="A66" s="18" t="s">
        <v>143</v>
      </c>
      <c r="B66" s="18"/>
      <c r="C66" s="18"/>
      <c r="D66" s="18" t="s">
        <v>140</v>
      </c>
      <c r="E66" s="18" t="s">
        <v>141</v>
      </c>
      <c r="F66" s="18" t="s">
        <v>142</v>
      </c>
      <c r="G66" s="19">
        <f>7.986*L66</f>
        <v>39.93</v>
      </c>
      <c r="H66" s="20">
        <v>41752</v>
      </c>
      <c r="I66" s="19" t="s">
        <v>149</v>
      </c>
      <c r="J66" s="19" t="s">
        <v>146</v>
      </c>
      <c r="K66" s="19" t="s">
        <v>137</v>
      </c>
      <c r="L66" s="19">
        <v>5</v>
      </c>
      <c r="M66" s="21" t="s">
        <v>147</v>
      </c>
      <c r="N66" s="21" t="s">
        <v>148</v>
      </c>
      <c r="O66" s="23" t="s">
        <v>147</v>
      </c>
    </row>
    <row r="67" spans="1:15" s="15" customFormat="1" ht="12.75" x14ac:dyDescent="0.15">
      <c r="A67" s="24" t="s">
        <v>150</v>
      </c>
      <c r="B67" s="18"/>
      <c r="C67" s="18"/>
      <c r="D67" s="24" t="s">
        <v>151</v>
      </c>
      <c r="E67" s="18" t="s">
        <v>141</v>
      </c>
      <c r="F67" s="18" t="s">
        <v>152</v>
      </c>
      <c r="G67" s="19">
        <f>7.986*L67</f>
        <v>79.86</v>
      </c>
      <c r="H67" s="20">
        <v>41752</v>
      </c>
      <c r="I67" s="19" t="s">
        <v>155</v>
      </c>
      <c r="J67" s="19" t="s">
        <v>153</v>
      </c>
      <c r="K67" s="19" t="s">
        <v>137</v>
      </c>
      <c r="L67" s="19">
        <v>10</v>
      </c>
      <c r="M67" s="21" t="s">
        <v>154</v>
      </c>
      <c r="N67" s="21" t="s">
        <v>17</v>
      </c>
      <c r="O67" s="23" t="s">
        <v>154</v>
      </c>
    </row>
    <row r="68" spans="1:15" s="15" customFormat="1" ht="12.75" x14ac:dyDescent="0.15">
      <c r="A68" s="18" t="s">
        <v>181</v>
      </c>
      <c r="B68" s="18"/>
      <c r="C68" s="18"/>
      <c r="D68" s="18" t="s">
        <v>180</v>
      </c>
      <c r="E68" s="18" t="s">
        <v>182</v>
      </c>
      <c r="F68" s="18" t="s">
        <v>183</v>
      </c>
      <c r="G68" s="19">
        <f t="shared" ref="G68:G75" si="3">25.957*L68</f>
        <v>181.69900000000001</v>
      </c>
      <c r="H68" s="20">
        <v>41772</v>
      </c>
      <c r="I68" s="19" t="s">
        <v>184</v>
      </c>
      <c r="J68" s="19" t="s">
        <v>187</v>
      </c>
      <c r="K68" s="19" t="s">
        <v>188</v>
      </c>
      <c r="L68" s="19">
        <v>7</v>
      </c>
      <c r="M68" s="21" t="s">
        <v>198</v>
      </c>
      <c r="N68" s="21" t="s">
        <v>200</v>
      </c>
      <c r="O68" s="22" t="s">
        <v>198</v>
      </c>
    </row>
    <row r="69" spans="1:15" s="15" customFormat="1" ht="12.75" x14ac:dyDescent="0.15">
      <c r="A69" s="18" t="s">
        <v>181</v>
      </c>
      <c r="B69" s="18"/>
      <c r="C69" s="18"/>
      <c r="D69" s="18" t="s">
        <v>180</v>
      </c>
      <c r="E69" s="18" t="s">
        <v>182</v>
      </c>
      <c r="F69" s="18" t="s">
        <v>189</v>
      </c>
      <c r="G69" s="19">
        <f t="shared" si="3"/>
        <v>207.65600000000001</v>
      </c>
      <c r="H69" s="20">
        <v>41772</v>
      </c>
      <c r="I69" s="19" t="s">
        <v>184</v>
      </c>
      <c r="J69" s="19" t="s">
        <v>194</v>
      </c>
      <c r="K69" s="19" t="s">
        <v>188</v>
      </c>
      <c r="L69" s="19">
        <v>8</v>
      </c>
      <c r="M69" s="21" t="s">
        <v>198</v>
      </c>
      <c r="N69" s="21" t="s">
        <v>201</v>
      </c>
      <c r="O69" s="22" t="s">
        <v>283</v>
      </c>
    </row>
    <row r="70" spans="1:15" s="15" customFormat="1" ht="12.75" x14ac:dyDescent="0.15">
      <c r="A70" s="18" t="s">
        <v>181</v>
      </c>
      <c r="B70" s="18"/>
      <c r="C70" s="18"/>
      <c r="D70" s="18" t="s">
        <v>180</v>
      </c>
      <c r="E70" s="18" t="s">
        <v>182</v>
      </c>
      <c r="F70" s="18" t="s">
        <v>190</v>
      </c>
      <c r="G70" s="19">
        <f t="shared" si="3"/>
        <v>207.65600000000001</v>
      </c>
      <c r="H70" s="20">
        <v>41772</v>
      </c>
      <c r="I70" s="19" t="s">
        <v>184</v>
      </c>
      <c r="J70" s="19" t="s">
        <v>195</v>
      </c>
      <c r="K70" s="19" t="s">
        <v>188</v>
      </c>
      <c r="L70" s="19">
        <v>8</v>
      </c>
      <c r="M70" s="21" t="s">
        <v>198</v>
      </c>
      <c r="N70" s="21" t="s">
        <v>202</v>
      </c>
      <c r="O70" s="22" t="s">
        <v>284</v>
      </c>
    </row>
    <row r="71" spans="1:15" s="15" customFormat="1" ht="12.75" x14ac:dyDescent="0.15">
      <c r="A71" s="18" t="s">
        <v>181</v>
      </c>
      <c r="B71" s="18"/>
      <c r="C71" s="18"/>
      <c r="D71" s="18" t="s">
        <v>180</v>
      </c>
      <c r="E71" s="18" t="s">
        <v>182</v>
      </c>
      <c r="F71" s="18" t="s">
        <v>191</v>
      </c>
      <c r="G71" s="19">
        <f t="shared" si="3"/>
        <v>207.65600000000001</v>
      </c>
      <c r="H71" s="20">
        <v>41772</v>
      </c>
      <c r="I71" s="19" t="s">
        <v>184</v>
      </c>
      <c r="J71" s="19" t="s">
        <v>196</v>
      </c>
      <c r="K71" s="19" t="s">
        <v>188</v>
      </c>
      <c r="L71" s="19">
        <v>8</v>
      </c>
      <c r="M71" s="21" t="s">
        <v>199</v>
      </c>
      <c r="N71" s="21" t="s">
        <v>203</v>
      </c>
      <c r="O71" s="22" t="s">
        <v>199</v>
      </c>
    </row>
    <row r="72" spans="1:15" s="15" customFormat="1" ht="12.75" x14ac:dyDescent="0.15">
      <c r="A72" s="18" t="s">
        <v>181</v>
      </c>
      <c r="B72" s="18"/>
      <c r="C72" s="18"/>
      <c r="D72" s="18" t="s">
        <v>180</v>
      </c>
      <c r="E72" s="18" t="s">
        <v>182</v>
      </c>
      <c r="F72" s="18" t="s">
        <v>192</v>
      </c>
      <c r="G72" s="19">
        <f t="shared" si="3"/>
        <v>207.65600000000001</v>
      </c>
      <c r="H72" s="20">
        <v>41772</v>
      </c>
      <c r="I72" s="19" t="s">
        <v>184</v>
      </c>
      <c r="J72" s="19" t="s">
        <v>197</v>
      </c>
      <c r="K72" s="19" t="s">
        <v>188</v>
      </c>
      <c r="L72" s="19">
        <v>8</v>
      </c>
      <c r="M72" s="21" t="s">
        <v>199</v>
      </c>
      <c r="N72" s="21" t="s">
        <v>204</v>
      </c>
      <c r="O72" s="22" t="s">
        <v>285</v>
      </c>
    </row>
    <row r="73" spans="1:15" s="15" customFormat="1" ht="12.75" x14ac:dyDescent="0.15">
      <c r="A73" s="18" t="s">
        <v>181</v>
      </c>
      <c r="B73" s="18"/>
      <c r="C73" s="18"/>
      <c r="D73" s="18" t="s">
        <v>180</v>
      </c>
      <c r="E73" s="18" t="s">
        <v>182</v>
      </c>
      <c r="F73" s="18" t="s">
        <v>193</v>
      </c>
      <c r="G73" s="19">
        <f t="shared" si="3"/>
        <v>233.613</v>
      </c>
      <c r="H73" s="20">
        <v>41772</v>
      </c>
      <c r="I73" s="19" t="s">
        <v>235</v>
      </c>
      <c r="J73" s="19" t="s">
        <v>236</v>
      </c>
      <c r="K73" s="19" t="s">
        <v>188</v>
      </c>
      <c r="L73" s="19">
        <v>9</v>
      </c>
      <c r="M73" s="21" t="s">
        <v>199</v>
      </c>
      <c r="N73" s="21" t="s">
        <v>205</v>
      </c>
      <c r="O73" s="22" t="s">
        <v>286</v>
      </c>
    </row>
    <row r="74" spans="1:15" s="15" customFormat="1" ht="12.75" x14ac:dyDescent="0.15">
      <c r="A74" s="18" t="s">
        <v>231</v>
      </c>
      <c r="B74" s="18"/>
      <c r="C74" s="18"/>
      <c r="D74" s="18" t="s">
        <v>232</v>
      </c>
      <c r="E74" s="18" t="s">
        <v>233</v>
      </c>
      <c r="F74" s="18" t="s">
        <v>234</v>
      </c>
      <c r="G74" s="19">
        <f t="shared" si="3"/>
        <v>207.65600000000001</v>
      </c>
      <c r="H74" s="20">
        <v>41785</v>
      </c>
      <c r="I74" s="19" t="s">
        <v>184</v>
      </c>
      <c r="J74" s="19" t="s">
        <v>246</v>
      </c>
      <c r="K74" s="19" t="s">
        <v>237</v>
      </c>
      <c r="L74" s="19">
        <v>8</v>
      </c>
      <c r="M74" s="21" t="s">
        <v>240</v>
      </c>
      <c r="N74" s="21" t="s">
        <v>203</v>
      </c>
      <c r="O74" s="22" t="s">
        <v>240</v>
      </c>
    </row>
    <row r="75" spans="1:15" s="15" customFormat="1" ht="12.75" x14ac:dyDescent="0.15">
      <c r="A75" s="18" t="s">
        <v>231</v>
      </c>
      <c r="B75" s="18"/>
      <c r="C75" s="18"/>
      <c r="D75" s="18" t="s">
        <v>232</v>
      </c>
      <c r="E75" s="18" t="s">
        <v>233</v>
      </c>
      <c r="F75" s="18" t="s">
        <v>238</v>
      </c>
      <c r="G75" s="19">
        <f t="shared" si="3"/>
        <v>207.65600000000001</v>
      </c>
      <c r="H75" s="20">
        <v>41785</v>
      </c>
      <c r="I75" s="19" t="s">
        <v>184</v>
      </c>
      <c r="J75" s="19" t="s">
        <v>241</v>
      </c>
      <c r="K75" s="19" t="s">
        <v>237</v>
      </c>
      <c r="L75" s="19">
        <v>8</v>
      </c>
      <c r="M75" s="21" t="s">
        <v>240</v>
      </c>
      <c r="N75" s="21" t="s">
        <v>204</v>
      </c>
      <c r="O75" s="22" t="s">
        <v>287</v>
      </c>
    </row>
    <row r="76" spans="1:15" s="15" customFormat="1" ht="12.75" x14ac:dyDescent="0.15">
      <c r="A76" s="18" t="s">
        <v>319</v>
      </c>
      <c r="B76" s="26" t="s">
        <v>502</v>
      </c>
      <c r="C76" s="18"/>
      <c r="D76" s="18" t="s">
        <v>64</v>
      </c>
      <c r="E76" s="18" t="s">
        <v>14</v>
      </c>
      <c r="F76" s="18" t="s">
        <v>282</v>
      </c>
      <c r="G76" s="19">
        <f>4.66*L76</f>
        <v>13.98</v>
      </c>
      <c r="H76" s="20">
        <v>41795</v>
      </c>
      <c r="I76" s="19" t="s">
        <v>280</v>
      </c>
      <c r="J76" s="19" t="s">
        <v>320</v>
      </c>
      <c r="K76" s="19" t="s">
        <v>15</v>
      </c>
      <c r="L76" s="19">
        <v>3</v>
      </c>
      <c r="M76" s="21" t="s">
        <v>281</v>
      </c>
      <c r="N76" s="21" t="s">
        <v>321</v>
      </c>
      <c r="O76" s="23" t="s">
        <v>281</v>
      </c>
    </row>
    <row r="77" spans="1:15" s="15" customFormat="1" ht="12.75" x14ac:dyDescent="0.15">
      <c r="A77" s="18" t="s">
        <v>63</v>
      </c>
      <c r="B77" s="26" t="s">
        <v>91</v>
      </c>
      <c r="C77" s="18"/>
      <c r="D77" s="18" t="s">
        <v>64</v>
      </c>
      <c r="E77" s="18" t="s">
        <v>14</v>
      </c>
      <c r="F77" s="18" t="s">
        <v>322</v>
      </c>
      <c r="G77" s="19">
        <f>4.66*L77</f>
        <v>46.6</v>
      </c>
      <c r="H77" s="20">
        <v>41795</v>
      </c>
      <c r="I77" s="19" t="s">
        <v>280</v>
      </c>
      <c r="J77" s="19" t="s">
        <v>323</v>
      </c>
      <c r="K77" s="19" t="s">
        <v>15</v>
      </c>
      <c r="L77" s="19">
        <v>10</v>
      </c>
      <c r="M77" s="21" t="s">
        <v>279</v>
      </c>
      <c r="N77" s="21" t="s">
        <v>324</v>
      </c>
      <c r="O77" s="23" t="s">
        <v>279</v>
      </c>
    </row>
    <row r="78" spans="1:15" s="15" customFormat="1" ht="12.75" x14ac:dyDescent="0.15">
      <c r="A78" s="18" t="s">
        <v>334</v>
      </c>
      <c r="B78" s="18"/>
      <c r="C78" s="18"/>
      <c r="D78" s="18" t="s">
        <v>335</v>
      </c>
      <c r="E78" s="18" t="s">
        <v>350</v>
      </c>
      <c r="F78" s="18" t="s">
        <v>365</v>
      </c>
      <c r="G78" s="19">
        <f t="shared" ref="G78:G86" si="4">25.957*L78</f>
        <v>207.65600000000001</v>
      </c>
      <c r="H78" s="20">
        <v>41802</v>
      </c>
      <c r="I78" s="19" t="s">
        <v>184</v>
      </c>
      <c r="J78" s="19" t="s">
        <v>351</v>
      </c>
      <c r="K78" s="19" t="s">
        <v>341</v>
      </c>
      <c r="L78" s="19">
        <v>8</v>
      </c>
      <c r="M78" s="21" t="s">
        <v>456</v>
      </c>
      <c r="N78" s="21" t="s">
        <v>352</v>
      </c>
      <c r="O78" s="22" t="s">
        <v>524</v>
      </c>
    </row>
    <row r="79" spans="1:15" s="15" customFormat="1" ht="12.75" x14ac:dyDescent="0.15">
      <c r="A79" s="18" t="s">
        <v>77</v>
      </c>
      <c r="B79" s="18"/>
      <c r="C79" s="18"/>
      <c r="D79" s="18" t="s">
        <v>89</v>
      </c>
      <c r="E79" s="18" t="s">
        <v>14</v>
      </c>
      <c r="F79" s="18" t="s">
        <v>347</v>
      </c>
      <c r="G79" s="19">
        <f t="shared" si="4"/>
        <v>207.65600000000001</v>
      </c>
      <c r="H79" s="20">
        <v>41802</v>
      </c>
      <c r="I79" s="19" t="s">
        <v>184</v>
      </c>
      <c r="J79" s="19" t="s">
        <v>353</v>
      </c>
      <c r="K79" s="19" t="s">
        <v>15</v>
      </c>
      <c r="L79" s="19">
        <v>8</v>
      </c>
      <c r="M79" s="21" t="s">
        <v>456</v>
      </c>
      <c r="N79" s="21" t="s">
        <v>204</v>
      </c>
      <c r="O79" s="22" t="s">
        <v>525</v>
      </c>
    </row>
    <row r="80" spans="1:15" s="15" customFormat="1" ht="12.75" x14ac:dyDescent="0.15">
      <c r="A80" s="18" t="s">
        <v>77</v>
      </c>
      <c r="B80" s="18"/>
      <c r="C80" s="18"/>
      <c r="D80" s="18" t="s">
        <v>89</v>
      </c>
      <c r="E80" s="18" t="s">
        <v>14</v>
      </c>
      <c r="F80" s="18" t="s">
        <v>348</v>
      </c>
      <c r="G80" s="19">
        <f t="shared" si="4"/>
        <v>233.613</v>
      </c>
      <c r="H80" s="20">
        <v>41802</v>
      </c>
      <c r="I80" s="19" t="s">
        <v>333</v>
      </c>
      <c r="J80" s="19" t="s">
        <v>354</v>
      </c>
      <c r="K80" s="19" t="s">
        <v>15</v>
      </c>
      <c r="L80" s="19">
        <v>9</v>
      </c>
      <c r="M80" s="21" t="s">
        <v>456</v>
      </c>
      <c r="N80" s="21" t="s">
        <v>205</v>
      </c>
      <c r="O80" s="22" t="s">
        <v>526</v>
      </c>
    </row>
    <row r="81" spans="1:15" s="15" customFormat="1" ht="12.75" x14ac:dyDescent="0.15">
      <c r="A81" s="18" t="s">
        <v>77</v>
      </c>
      <c r="B81" s="18"/>
      <c r="C81" s="18"/>
      <c r="D81" s="18" t="s">
        <v>89</v>
      </c>
      <c r="E81" s="18" t="s">
        <v>14</v>
      </c>
      <c r="F81" s="18" t="s">
        <v>349</v>
      </c>
      <c r="G81" s="19">
        <f t="shared" si="4"/>
        <v>207.65600000000001</v>
      </c>
      <c r="H81" s="20">
        <v>41802</v>
      </c>
      <c r="I81" s="19" t="s">
        <v>184</v>
      </c>
      <c r="J81" s="19" t="s">
        <v>355</v>
      </c>
      <c r="K81" s="19" t="s">
        <v>15</v>
      </c>
      <c r="L81" s="19">
        <v>8</v>
      </c>
      <c r="M81" s="21" t="s">
        <v>457</v>
      </c>
      <c r="N81" s="21" t="s">
        <v>203</v>
      </c>
      <c r="O81" s="22" t="s">
        <v>527</v>
      </c>
    </row>
    <row r="82" spans="1:15" s="15" customFormat="1" ht="12.75" x14ac:dyDescent="0.15">
      <c r="A82" s="18" t="s">
        <v>77</v>
      </c>
      <c r="B82" s="18"/>
      <c r="C82" s="18"/>
      <c r="D82" s="18" t="s">
        <v>89</v>
      </c>
      <c r="E82" s="18" t="s">
        <v>14</v>
      </c>
      <c r="F82" s="18" t="s">
        <v>358</v>
      </c>
      <c r="G82" s="19">
        <f t="shared" si="4"/>
        <v>207.65600000000001</v>
      </c>
      <c r="H82" s="20">
        <v>41802</v>
      </c>
      <c r="I82" s="19" t="s">
        <v>184</v>
      </c>
      <c r="J82" s="19" t="s">
        <v>356</v>
      </c>
      <c r="K82" s="19" t="s">
        <v>15</v>
      </c>
      <c r="L82" s="19">
        <v>8</v>
      </c>
      <c r="M82" s="21" t="s">
        <v>457</v>
      </c>
      <c r="N82" s="21" t="s">
        <v>204</v>
      </c>
      <c r="O82" s="22" t="s">
        <v>528</v>
      </c>
    </row>
    <row r="83" spans="1:15" s="15" customFormat="1" ht="12.75" x14ac:dyDescent="0.15">
      <c r="A83" s="18" t="s">
        <v>77</v>
      </c>
      <c r="B83" s="18"/>
      <c r="C83" s="18"/>
      <c r="D83" s="18" t="s">
        <v>89</v>
      </c>
      <c r="E83" s="18" t="s">
        <v>14</v>
      </c>
      <c r="F83" s="18" t="s">
        <v>360</v>
      </c>
      <c r="G83" s="19">
        <f t="shared" si="4"/>
        <v>233.613</v>
      </c>
      <c r="H83" s="20">
        <v>41802</v>
      </c>
      <c r="I83" s="19" t="s">
        <v>184</v>
      </c>
      <c r="J83" s="19" t="s">
        <v>357</v>
      </c>
      <c r="K83" s="19" t="s">
        <v>15</v>
      </c>
      <c r="L83" s="19">
        <v>9</v>
      </c>
      <c r="M83" s="21" t="s">
        <v>457</v>
      </c>
      <c r="N83" s="21" t="s">
        <v>205</v>
      </c>
      <c r="O83" s="22" t="s">
        <v>529</v>
      </c>
    </row>
    <row r="84" spans="1:15" s="15" customFormat="1" ht="12.75" x14ac:dyDescent="0.15">
      <c r="A84" s="18" t="s">
        <v>77</v>
      </c>
      <c r="B84" s="18"/>
      <c r="C84" s="18"/>
      <c r="D84" s="18" t="s">
        <v>89</v>
      </c>
      <c r="E84" s="18" t="s">
        <v>14</v>
      </c>
      <c r="F84" s="18" t="s">
        <v>362</v>
      </c>
      <c r="G84" s="19">
        <f t="shared" si="4"/>
        <v>207.65600000000001</v>
      </c>
      <c r="H84" s="20">
        <v>41802</v>
      </c>
      <c r="I84" s="19" t="s">
        <v>184</v>
      </c>
      <c r="J84" s="19" t="s">
        <v>359</v>
      </c>
      <c r="K84" s="19" t="s">
        <v>15</v>
      </c>
      <c r="L84" s="19">
        <v>8</v>
      </c>
      <c r="M84" s="21" t="s">
        <v>458</v>
      </c>
      <c r="N84" s="21" t="s">
        <v>203</v>
      </c>
      <c r="O84" s="22" t="s">
        <v>530</v>
      </c>
    </row>
    <row r="85" spans="1:15" s="15" customFormat="1" ht="12.75" x14ac:dyDescent="0.15">
      <c r="A85" s="18" t="s">
        <v>77</v>
      </c>
      <c r="B85" s="18"/>
      <c r="C85" s="18"/>
      <c r="D85" s="18" t="s">
        <v>89</v>
      </c>
      <c r="E85" s="18" t="s">
        <v>14</v>
      </c>
      <c r="F85" s="18" t="s">
        <v>366</v>
      </c>
      <c r="G85" s="19">
        <f t="shared" si="4"/>
        <v>207.65600000000001</v>
      </c>
      <c r="H85" s="20">
        <v>41802</v>
      </c>
      <c r="I85" s="19" t="s">
        <v>184</v>
      </c>
      <c r="J85" s="19" t="s">
        <v>361</v>
      </c>
      <c r="K85" s="19" t="s">
        <v>15</v>
      </c>
      <c r="L85" s="19">
        <v>8</v>
      </c>
      <c r="M85" s="21" t="s">
        <v>458</v>
      </c>
      <c r="N85" s="21" t="s">
        <v>204</v>
      </c>
      <c r="O85" s="22" t="s">
        <v>531</v>
      </c>
    </row>
    <row r="86" spans="1:15" s="15" customFormat="1" ht="12.75" x14ac:dyDescent="0.15">
      <c r="A86" s="18" t="s">
        <v>77</v>
      </c>
      <c r="B86" s="18"/>
      <c r="C86" s="18"/>
      <c r="D86" s="18" t="s">
        <v>89</v>
      </c>
      <c r="E86" s="18" t="s">
        <v>14</v>
      </c>
      <c r="F86" s="18" t="s">
        <v>367</v>
      </c>
      <c r="G86" s="19">
        <f t="shared" si="4"/>
        <v>233.613</v>
      </c>
      <c r="H86" s="20">
        <v>41802</v>
      </c>
      <c r="I86" s="19" t="s">
        <v>364</v>
      </c>
      <c r="J86" s="19" t="s">
        <v>363</v>
      </c>
      <c r="K86" s="19" t="s">
        <v>15</v>
      </c>
      <c r="L86" s="19">
        <v>9</v>
      </c>
      <c r="M86" s="21" t="s">
        <v>458</v>
      </c>
      <c r="N86" s="21" t="s">
        <v>205</v>
      </c>
      <c r="O86" s="22" t="s">
        <v>532</v>
      </c>
    </row>
    <row r="87" spans="1:15" s="15" customFormat="1" ht="12.75" x14ac:dyDescent="0.15">
      <c r="A87" s="18" t="s">
        <v>120</v>
      </c>
      <c r="B87" s="18" t="s">
        <v>70</v>
      </c>
      <c r="C87" s="18"/>
      <c r="D87" s="18" t="s">
        <v>93</v>
      </c>
      <c r="E87" s="18" t="s">
        <v>37</v>
      </c>
      <c r="F87" s="18" t="s">
        <v>378</v>
      </c>
      <c r="G87" s="19">
        <f>2.462*L87</f>
        <v>61.550000000000004</v>
      </c>
      <c r="H87" s="20">
        <v>41808</v>
      </c>
      <c r="I87" s="19" t="s">
        <v>730</v>
      </c>
      <c r="J87" s="19" t="s">
        <v>368</v>
      </c>
      <c r="K87" s="19" t="s">
        <v>25</v>
      </c>
      <c r="L87" s="19">
        <v>25</v>
      </c>
      <c r="M87" s="21" t="s">
        <v>459</v>
      </c>
      <c r="N87" s="21" t="s">
        <v>379</v>
      </c>
      <c r="O87" s="22" t="s">
        <v>533</v>
      </c>
    </row>
    <row r="88" spans="1:15" s="15" customFormat="1" ht="12.75" x14ac:dyDescent="0.15">
      <c r="A88" s="18" t="s">
        <v>120</v>
      </c>
      <c r="B88" s="18" t="s">
        <v>70</v>
      </c>
      <c r="C88" s="18"/>
      <c r="D88" s="18" t="s">
        <v>93</v>
      </c>
      <c r="E88" s="18" t="s">
        <v>37</v>
      </c>
      <c r="F88" s="18" t="s">
        <v>380</v>
      </c>
      <c r="G88" s="19">
        <f>2.462*L88</f>
        <v>61.550000000000004</v>
      </c>
      <c r="H88" s="20">
        <v>41808</v>
      </c>
      <c r="I88" s="19" t="s">
        <v>730</v>
      </c>
      <c r="J88" s="19" t="s">
        <v>369</v>
      </c>
      <c r="K88" s="19" t="s">
        <v>25</v>
      </c>
      <c r="L88" s="19">
        <v>25</v>
      </c>
      <c r="M88" s="21" t="s">
        <v>460</v>
      </c>
      <c r="N88" s="21" t="s">
        <v>379</v>
      </c>
      <c r="O88" s="22" t="s">
        <v>534</v>
      </c>
    </row>
    <row r="89" spans="1:15" s="15" customFormat="1" ht="12.75" x14ac:dyDescent="0.15">
      <c r="A89" s="18" t="s">
        <v>120</v>
      </c>
      <c r="B89" s="18" t="s">
        <v>70</v>
      </c>
      <c r="C89" s="18"/>
      <c r="D89" s="18" t="s">
        <v>93</v>
      </c>
      <c r="E89" s="18" t="s">
        <v>37</v>
      </c>
      <c r="F89" s="18" t="s">
        <v>381</v>
      </c>
      <c r="G89" s="19">
        <f>2.462*L89</f>
        <v>61.550000000000004</v>
      </c>
      <c r="H89" s="20">
        <v>41808</v>
      </c>
      <c r="I89" s="19" t="s">
        <v>730</v>
      </c>
      <c r="J89" s="19" t="s">
        <v>370</v>
      </c>
      <c r="K89" s="19" t="s">
        <v>25</v>
      </c>
      <c r="L89" s="19">
        <v>25</v>
      </c>
      <c r="M89" s="21" t="s">
        <v>374</v>
      </c>
      <c r="N89" s="21" t="s">
        <v>379</v>
      </c>
      <c r="O89" s="22" t="s">
        <v>535</v>
      </c>
    </row>
    <row r="90" spans="1:15" s="15" customFormat="1" ht="12.75" x14ac:dyDescent="0.15">
      <c r="A90" s="18" t="s">
        <v>120</v>
      </c>
      <c r="B90" s="18" t="s">
        <v>70</v>
      </c>
      <c r="C90" s="18"/>
      <c r="D90" s="18" t="s">
        <v>93</v>
      </c>
      <c r="E90" s="18" t="s">
        <v>37</v>
      </c>
      <c r="F90" s="18" t="s">
        <v>382</v>
      </c>
      <c r="G90" s="19">
        <f>2.462*L90</f>
        <v>61.550000000000004</v>
      </c>
      <c r="H90" s="20">
        <v>41808</v>
      </c>
      <c r="I90" s="19" t="s">
        <v>730</v>
      </c>
      <c r="J90" s="19" t="s">
        <v>371</v>
      </c>
      <c r="K90" s="19" t="s">
        <v>25</v>
      </c>
      <c r="L90" s="19">
        <v>25</v>
      </c>
      <c r="M90" s="21" t="s">
        <v>375</v>
      </c>
      <c r="N90" s="21" t="s">
        <v>379</v>
      </c>
      <c r="O90" s="22" t="s">
        <v>536</v>
      </c>
    </row>
    <row r="91" spans="1:15" s="15" customFormat="1" ht="12.75" x14ac:dyDescent="0.15">
      <c r="A91" s="18" t="s">
        <v>120</v>
      </c>
      <c r="B91" s="18" t="s">
        <v>70</v>
      </c>
      <c r="C91" s="18"/>
      <c r="D91" s="18" t="s">
        <v>93</v>
      </c>
      <c r="E91" s="18" t="s">
        <v>37</v>
      </c>
      <c r="F91" s="18" t="s">
        <v>383</v>
      </c>
      <c r="G91" s="19">
        <f>2.462*L91</f>
        <v>61.550000000000004</v>
      </c>
      <c r="H91" s="20">
        <v>41808</v>
      </c>
      <c r="I91" s="19" t="s">
        <v>730</v>
      </c>
      <c r="J91" s="19" t="s">
        <v>372</v>
      </c>
      <c r="K91" s="19" t="s">
        <v>25</v>
      </c>
      <c r="L91" s="19">
        <v>25</v>
      </c>
      <c r="M91" s="21" t="s">
        <v>376</v>
      </c>
      <c r="N91" s="21" t="s">
        <v>379</v>
      </c>
      <c r="O91" s="22" t="s">
        <v>537</v>
      </c>
    </row>
    <row r="92" spans="1:15" s="15" customFormat="1" ht="12.75" x14ac:dyDescent="0.15">
      <c r="A92" s="18" t="s">
        <v>390</v>
      </c>
      <c r="B92" s="18"/>
      <c r="C92" s="18"/>
      <c r="D92" s="18" t="s">
        <v>391</v>
      </c>
      <c r="E92" s="18" t="s">
        <v>392</v>
      </c>
      <c r="F92" s="18" t="s">
        <v>385</v>
      </c>
      <c r="G92" s="19">
        <f t="shared" ref="G92:G97" si="5">25.957*L92</f>
        <v>207.65600000000001</v>
      </c>
      <c r="H92" s="20">
        <v>41808</v>
      </c>
      <c r="I92" s="19" t="s">
        <v>130</v>
      </c>
      <c r="J92" s="19" t="s">
        <v>393</v>
      </c>
      <c r="K92" s="19" t="s">
        <v>15</v>
      </c>
      <c r="L92" s="19">
        <v>8</v>
      </c>
      <c r="M92" s="21" t="s">
        <v>461</v>
      </c>
      <c r="N92" s="21" t="s">
        <v>203</v>
      </c>
      <c r="O92" s="22" t="s">
        <v>539</v>
      </c>
    </row>
    <row r="93" spans="1:15" s="15" customFormat="1" ht="12.75" x14ac:dyDescent="0.15">
      <c r="A93" s="18" t="s">
        <v>77</v>
      </c>
      <c r="B93" s="18"/>
      <c r="C93" s="18"/>
      <c r="D93" s="18" t="s">
        <v>89</v>
      </c>
      <c r="E93" s="18" t="s">
        <v>37</v>
      </c>
      <c r="F93" s="18" t="s">
        <v>386</v>
      </c>
      <c r="G93" s="19">
        <f t="shared" si="5"/>
        <v>207.65600000000001</v>
      </c>
      <c r="H93" s="20">
        <v>41808</v>
      </c>
      <c r="I93" s="19" t="s">
        <v>130</v>
      </c>
      <c r="J93" s="19" t="s">
        <v>394</v>
      </c>
      <c r="K93" s="19" t="s">
        <v>15</v>
      </c>
      <c r="L93" s="19">
        <v>8</v>
      </c>
      <c r="M93" s="21" t="s">
        <v>461</v>
      </c>
      <c r="N93" s="21" t="s">
        <v>204</v>
      </c>
      <c r="O93" s="22" t="s">
        <v>540</v>
      </c>
    </row>
    <row r="94" spans="1:15" s="15" customFormat="1" ht="12.75" x14ac:dyDescent="0.15">
      <c r="A94" s="18" t="s">
        <v>77</v>
      </c>
      <c r="B94" s="18"/>
      <c r="C94" s="18"/>
      <c r="D94" s="18" t="s">
        <v>89</v>
      </c>
      <c r="E94" s="18" t="s">
        <v>37</v>
      </c>
      <c r="F94" s="18" t="s">
        <v>387</v>
      </c>
      <c r="G94" s="19">
        <f t="shared" si="5"/>
        <v>233.613</v>
      </c>
      <c r="H94" s="20">
        <v>41808</v>
      </c>
      <c r="I94" s="19" t="s">
        <v>130</v>
      </c>
      <c r="J94" s="19" t="s">
        <v>395</v>
      </c>
      <c r="K94" s="19" t="s">
        <v>15</v>
      </c>
      <c r="L94" s="19">
        <v>9</v>
      </c>
      <c r="M94" s="21" t="s">
        <v>461</v>
      </c>
      <c r="N94" s="21" t="s">
        <v>205</v>
      </c>
      <c r="O94" s="22" t="s">
        <v>541</v>
      </c>
    </row>
    <row r="95" spans="1:15" s="15" customFormat="1" ht="12.75" x14ac:dyDescent="0.15">
      <c r="A95" s="18" t="s">
        <v>77</v>
      </c>
      <c r="B95" s="18"/>
      <c r="C95" s="18"/>
      <c r="D95" s="18" t="s">
        <v>89</v>
      </c>
      <c r="E95" s="18" t="s">
        <v>37</v>
      </c>
      <c r="F95" s="18" t="s">
        <v>388</v>
      </c>
      <c r="G95" s="19">
        <f t="shared" si="5"/>
        <v>181.69900000000001</v>
      </c>
      <c r="H95" s="20">
        <v>41808</v>
      </c>
      <c r="I95" s="19" t="s">
        <v>130</v>
      </c>
      <c r="J95" s="19" t="s">
        <v>396</v>
      </c>
      <c r="K95" s="19" t="s">
        <v>15</v>
      </c>
      <c r="L95" s="19">
        <v>7</v>
      </c>
      <c r="M95" s="21" t="s">
        <v>462</v>
      </c>
      <c r="N95" s="21" t="s">
        <v>398</v>
      </c>
      <c r="O95" s="22" t="s">
        <v>542</v>
      </c>
    </row>
    <row r="96" spans="1:15" s="15" customFormat="1" ht="12.75" x14ac:dyDescent="0.15">
      <c r="A96" s="18" t="s">
        <v>77</v>
      </c>
      <c r="B96" s="18"/>
      <c r="C96" s="18"/>
      <c r="D96" s="18" t="s">
        <v>89</v>
      </c>
      <c r="E96" s="18" t="s">
        <v>37</v>
      </c>
      <c r="F96" s="18" t="s">
        <v>389</v>
      </c>
      <c r="G96" s="19">
        <f t="shared" si="5"/>
        <v>181.69900000000001</v>
      </c>
      <c r="H96" s="20">
        <v>41808</v>
      </c>
      <c r="I96" s="19" t="s">
        <v>130</v>
      </c>
      <c r="J96" s="19" t="s">
        <v>397</v>
      </c>
      <c r="K96" s="19" t="s">
        <v>15</v>
      </c>
      <c r="L96" s="19">
        <v>7</v>
      </c>
      <c r="M96" s="21" t="s">
        <v>462</v>
      </c>
      <c r="N96" s="21" t="s">
        <v>399</v>
      </c>
      <c r="O96" s="22" t="s">
        <v>543</v>
      </c>
    </row>
    <row r="97" spans="1:15" s="15" customFormat="1" ht="12.75" x14ac:dyDescent="0.15">
      <c r="A97" s="18" t="s">
        <v>390</v>
      </c>
      <c r="B97" s="18"/>
      <c r="C97" s="18"/>
      <c r="D97" s="18" t="s">
        <v>391</v>
      </c>
      <c r="E97" s="18" t="s">
        <v>392</v>
      </c>
      <c r="F97" s="18" t="s">
        <v>400</v>
      </c>
      <c r="G97" s="19">
        <f t="shared" si="5"/>
        <v>181.69900000000001</v>
      </c>
      <c r="H97" s="20">
        <v>41808</v>
      </c>
      <c r="I97" s="19" t="s">
        <v>401</v>
      </c>
      <c r="J97" s="19" t="s">
        <v>402</v>
      </c>
      <c r="K97" s="19" t="s">
        <v>403</v>
      </c>
      <c r="L97" s="19">
        <v>7</v>
      </c>
      <c r="M97" s="21" t="s">
        <v>462</v>
      </c>
      <c r="N97" s="21" t="s">
        <v>404</v>
      </c>
      <c r="O97" s="22" t="s">
        <v>544</v>
      </c>
    </row>
    <row r="98" spans="1:15" s="15" customFormat="1" ht="12.75" x14ac:dyDescent="0.15">
      <c r="A98" s="18" t="s">
        <v>406</v>
      </c>
      <c r="B98" s="26" t="s">
        <v>91</v>
      </c>
      <c r="C98" s="18"/>
      <c r="D98" s="18" t="s">
        <v>405</v>
      </c>
      <c r="E98" s="18" t="s">
        <v>407</v>
      </c>
      <c r="F98" s="18" t="s">
        <v>408</v>
      </c>
      <c r="G98" s="19">
        <f>4.66*L98</f>
        <v>18.64</v>
      </c>
      <c r="H98" s="20">
        <v>41808</v>
      </c>
      <c r="I98" s="19" t="s">
        <v>280</v>
      </c>
      <c r="J98" s="19" t="s">
        <v>409</v>
      </c>
      <c r="K98" s="19" t="s">
        <v>15</v>
      </c>
      <c r="L98" s="19">
        <v>4</v>
      </c>
      <c r="M98" s="21" t="s">
        <v>410</v>
      </c>
      <c r="N98" s="21" t="s">
        <v>411</v>
      </c>
      <c r="O98" s="22" t="s">
        <v>628</v>
      </c>
    </row>
    <row r="99" spans="1:15" s="15" customFormat="1" ht="12.75" x14ac:dyDescent="0.15">
      <c r="A99" s="18" t="s">
        <v>413</v>
      </c>
      <c r="B99" s="18"/>
      <c r="C99" s="18"/>
      <c r="D99" s="18" t="s">
        <v>232</v>
      </c>
      <c r="E99" s="18" t="s">
        <v>122</v>
      </c>
      <c r="F99" s="18" t="s">
        <v>414</v>
      </c>
      <c r="G99" s="19">
        <f t="shared" ref="G99:G104" si="6">25.957*L99</f>
        <v>207.65600000000001</v>
      </c>
      <c r="H99" s="20">
        <v>41816</v>
      </c>
      <c r="I99" s="19" t="s">
        <v>84</v>
      </c>
      <c r="J99" s="19" t="s">
        <v>418</v>
      </c>
      <c r="K99" s="19" t="s">
        <v>15</v>
      </c>
      <c r="L99" s="19">
        <v>8</v>
      </c>
      <c r="M99" s="21" t="s">
        <v>463</v>
      </c>
      <c r="N99" s="21" t="s">
        <v>203</v>
      </c>
      <c r="O99" s="22" t="s">
        <v>545</v>
      </c>
    </row>
    <row r="100" spans="1:15" s="15" customFormat="1" ht="12.75" x14ac:dyDescent="0.15">
      <c r="A100" s="18" t="s">
        <v>413</v>
      </c>
      <c r="B100" s="18"/>
      <c r="C100" s="18"/>
      <c r="D100" s="18" t="s">
        <v>232</v>
      </c>
      <c r="E100" s="18" t="s">
        <v>122</v>
      </c>
      <c r="F100" s="18" t="s">
        <v>415</v>
      </c>
      <c r="G100" s="19">
        <f t="shared" si="6"/>
        <v>207.65600000000001</v>
      </c>
      <c r="H100" s="20">
        <v>41816</v>
      </c>
      <c r="I100" s="19" t="s">
        <v>84</v>
      </c>
      <c r="J100" s="19" t="s">
        <v>419</v>
      </c>
      <c r="K100" s="19" t="s">
        <v>15</v>
      </c>
      <c r="L100" s="19">
        <v>8</v>
      </c>
      <c r="M100" s="21" t="s">
        <v>463</v>
      </c>
      <c r="N100" s="21" t="s">
        <v>204</v>
      </c>
      <c r="O100" s="22" t="s">
        <v>546</v>
      </c>
    </row>
    <row r="101" spans="1:15" s="15" customFormat="1" ht="12.75" x14ac:dyDescent="0.15">
      <c r="A101" s="18" t="s">
        <v>413</v>
      </c>
      <c r="B101" s="18"/>
      <c r="C101" s="18"/>
      <c r="D101" s="18" t="s">
        <v>232</v>
      </c>
      <c r="E101" s="18" t="s">
        <v>122</v>
      </c>
      <c r="F101" s="18" t="s">
        <v>416</v>
      </c>
      <c r="G101" s="19">
        <f t="shared" si="6"/>
        <v>233.613</v>
      </c>
      <c r="H101" s="20">
        <v>41816</v>
      </c>
      <c r="I101" s="19" t="s">
        <v>84</v>
      </c>
      <c r="J101" s="19" t="s">
        <v>420</v>
      </c>
      <c r="K101" s="19" t="s">
        <v>15</v>
      </c>
      <c r="L101" s="19">
        <v>9</v>
      </c>
      <c r="M101" s="21" t="s">
        <v>463</v>
      </c>
      <c r="N101" s="21" t="s">
        <v>205</v>
      </c>
      <c r="O101" s="22" t="s">
        <v>547</v>
      </c>
    </row>
    <row r="102" spans="1:15" s="15" customFormat="1" ht="12.75" x14ac:dyDescent="0.15">
      <c r="A102" s="18" t="s">
        <v>413</v>
      </c>
      <c r="B102" s="18"/>
      <c r="C102" s="18"/>
      <c r="D102" s="18" t="s">
        <v>232</v>
      </c>
      <c r="E102" s="18" t="s">
        <v>122</v>
      </c>
      <c r="F102" s="18" t="s">
        <v>417</v>
      </c>
      <c r="G102" s="19">
        <f t="shared" si="6"/>
        <v>207.65600000000001</v>
      </c>
      <c r="H102" s="20">
        <v>41816</v>
      </c>
      <c r="I102" s="19" t="s">
        <v>84</v>
      </c>
      <c r="J102" s="19" t="s">
        <v>421</v>
      </c>
      <c r="K102" s="19" t="s">
        <v>15</v>
      </c>
      <c r="L102" s="19">
        <v>8</v>
      </c>
      <c r="M102" s="21" t="s">
        <v>464</v>
      </c>
      <c r="N102" s="21" t="s">
        <v>203</v>
      </c>
      <c r="O102" s="22" t="s">
        <v>548</v>
      </c>
    </row>
    <row r="103" spans="1:15" s="15" customFormat="1" ht="12.75" x14ac:dyDescent="0.15">
      <c r="A103" s="18" t="s">
        <v>413</v>
      </c>
      <c r="B103" s="18"/>
      <c r="C103" s="18"/>
      <c r="D103" s="18" t="s">
        <v>232</v>
      </c>
      <c r="E103" s="18" t="s">
        <v>122</v>
      </c>
      <c r="F103" s="18" t="s">
        <v>422</v>
      </c>
      <c r="G103" s="19">
        <f t="shared" si="6"/>
        <v>207.65600000000001</v>
      </c>
      <c r="H103" s="20">
        <v>41816</v>
      </c>
      <c r="I103" s="19" t="s">
        <v>84</v>
      </c>
      <c r="J103" s="19" t="s">
        <v>424</v>
      </c>
      <c r="K103" s="19" t="s">
        <v>15</v>
      </c>
      <c r="L103" s="19">
        <v>8</v>
      </c>
      <c r="M103" s="21" t="s">
        <v>464</v>
      </c>
      <c r="N103" s="21" t="s">
        <v>204</v>
      </c>
      <c r="O103" s="22" t="s">
        <v>549</v>
      </c>
    </row>
    <row r="104" spans="1:15" s="15" customFormat="1" ht="12.75" x14ac:dyDescent="0.15">
      <c r="A104" s="18" t="s">
        <v>563</v>
      </c>
      <c r="B104" s="18"/>
      <c r="C104" s="18"/>
      <c r="D104" s="18" t="s">
        <v>232</v>
      </c>
      <c r="E104" s="18" t="s">
        <v>122</v>
      </c>
      <c r="F104" s="18" t="s">
        <v>423</v>
      </c>
      <c r="G104" s="19">
        <f t="shared" si="6"/>
        <v>233.613</v>
      </c>
      <c r="H104" s="20">
        <v>41816</v>
      </c>
      <c r="I104" s="19" t="s">
        <v>84</v>
      </c>
      <c r="J104" s="19" t="s">
        <v>425</v>
      </c>
      <c r="K104" s="19" t="s">
        <v>15</v>
      </c>
      <c r="L104" s="19">
        <v>9</v>
      </c>
      <c r="M104" s="21" t="s">
        <v>464</v>
      </c>
      <c r="N104" s="21" t="s">
        <v>205</v>
      </c>
      <c r="O104" s="22" t="s">
        <v>550</v>
      </c>
    </row>
    <row r="105" spans="1:15" s="15" customFormat="1" ht="12.75" x14ac:dyDescent="0.15">
      <c r="A105" s="18" t="s">
        <v>487</v>
      </c>
      <c r="B105" s="26" t="s">
        <v>91</v>
      </c>
      <c r="C105" s="18"/>
      <c r="D105" s="18" t="s">
        <v>64</v>
      </c>
      <c r="E105" s="18" t="s">
        <v>14</v>
      </c>
      <c r="F105" s="18" t="s">
        <v>485</v>
      </c>
      <c r="G105" s="19">
        <f>4.66*L105</f>
        <v>60.58</v>
      </c>
      <c r="H105" s="20">
        <v>41821</v>
      </c>
      <c r="I105" s="19" t="s">
        <v>490</v>
      </c>
      <c r="J105" s="19" t="s">
        <v>486</v>
      </c>
      <c r="K105" s="19" t="s">
        <v>15</v>
      </c>
      <c r="L105" s="19">
        <v>13</v>
      </c>
      <c r="M105" s="21" t="s">
        <v>488</v>
      </c>
      <c r="N105" s="21" t="s">
        <v>489</v>
      </c>
      <c r="O105" s="22" t="s">
        <v>523</v>
      </c>
    </row>
    <row r="106" spans="1:15" s="15" customFormat="1" ht="12.75" x14ac:dyDescent="0.15">
      <c r="A106" s="18" t="s">
        <v>500</v>
      </c>
      <c r="B106" s="26" t="s">
        <v>70</v>
      </c>
      <c r="C106" s="18"/>
      <c r="D106" s="18" t="s">
        <v>498</v>
      </c>
      <c r="E106" s="18" t="s">
        <v>499</v>
      </c>
      <c r="F106" s="18" t="s">
        <v>501</v>
      </c>
      <c r="G106" s="19">
        <f>4.66*L106</f>
        <v>60.58</v>
      </c>
      <c r="H106" s="20">
        <v>41857</v>
      </c>
      <c r="I106" s="19" t="s">
        <v>506</v>
      </c>
      <c r="J106" s="19" t="s">
        <v>503</v>
      </c>
      <c r="K106" s="19" t="s">
        <v>99</v>
      </c>
      <c r="L106" s="19">
        <v>13</v>
      </c>
      <c r="M106" s="21" t="s">
        <v>504</v>
      </c>
      <c r="N106" s="21" t="s">
        <v>505</v>
      </c>
      <c r="O106" s="22" t="s">
        <v>610</v>
      </c>
    </row>
    <row r="107" spans="1:15" s="15" customFormat="1" ht="12.75" x14ac:dyDescent="0.15">
      <c r="A107" s="18" t="s">
        <v>507</v>
      </c>
      <c r="B107" s="26" t="s">
        <v>91</v>
      </c>
      <c r="C107" s="18"/>
      <c r="D107" s="18" t="s">
        <v>405</v>
      </c>
      <c r="E107" s="18" t="s">
        <v>508</v>
      </c>
      <c r="F107" s="18" t="s">
        <v>509</v>
      </c>
      <c r="G107" s="19">
        <f>4.66*L107</f>
        <v>55.92</v>
      </c>
      <c r="H107" s="20">
        <v>41857</v>
      </c>
      <c r="I107" s="19" t="s">
        <v>280</v>
      </c>
      <c r="J107" s="19" t="s">
        <v>510</v>
      </c>
      <c r="K107" s="19" t="s">
        <v>15</v>
      </c>
      <c r="L107" s="19">
        <v>12</v>
      </c>
      <c r="M107" s="21" t="s">
        <v>504</v>
      </c>
      <c r="N107" s="21" t="s">
        <v>515</v>
      </c>
      <c r="O107" s="22" t="s">
        <v>619</v>
      </c>
    </row>
    <row r="108" spans="1:15" s="15" customFormat="1" ht="12.75" x14ac:dyDescent="0.15">
      <c r="A108" s="18" t="s">
        <v>507</v>
      </c>
      <c r="B108" s="26" t="s">
        <v>91</v>
      </c>
      <c r="C108" s="18"/>
      <c r="D108" s="18" t="s">
        <v>405</v>
      </c>
      <c r="E108" s="18" t="s">
        <v>508</v>
      </c>
      <c r="F108" s="18" t="s">
        <v>511</v>
      </c>
      <c r="G108" s="19">
        <f>4.66*L108</f>
        <v>55.92</v>
      </c>
      <c r="H108" s="20">
        <v>41857</v>
      </c>
      <c r="I108" s="19" t="s">
        <v>280</v>
      </c>
      <c r="J108" s="19" t="s">
        <v>513</v>
      </c>
      <c r="K108" s="19" t="s">
        <v>15</v>
      </c>
      <c r="L108" s="19">
        <v>12</v>
      </c>
      <c r="M108" s="21" t="s">
        <v>516</v>
      </c>
      <c r="N108" s="21" t="s">
        <v>515</v>
      </c>
      <c r="O108" s="22" t="s">
        <v>516</v>
      </c>
    </row>
    <row r="109" spans="1:15" s="15" customFormat="1" ht="12.75" x14ac:dyDescent="0.15">
      <c r="A109" s="18" t="s">
        <v>63</v>
      </c>
      <c r="B109" s="26" t="s">
        <v>91</v>
      </c>
      <c r="C109" s="18"/>
      <c r="D109" s="18" t="s">
        <v>405</v>
      </c>
      <c r="E109" s="18" t="s">
        <v>508</v>
      </c>
      <c r="F109" s="18" t="s">
        <v>512</v>
      </c>
      <c r="G109" s="19">
        <f>4.66*L109</f>
        <v>60.58</v>
      </c>
      <c r="H109" s="20">
        <v>41857</v>
      </c>
      <c r="I109" s="19" t="s">
        <v>517</v>
      </c>
      <c r="J109" s="19" t="s">
        <v>514</v>
      </c>
      <c r="K109" s="19" t="s">
        <v>15</v>
      </c>
      <c r="L109" s="19">
        <v>13</v>
      </c>
      <c r="M109" s="21" t="s">
        <v>516</v>
      </c>
      <c r="N109" s="21" t="s">
        <v>505</v>
      </c>
      <c r="O109" s="22" t="s">
        <v>629</v>
      </c>
    </row>
    <row r="110" spans="1:15" s="15" customFormat="1" ht="12.75" x14ac:dyDescent="0.15">
      <c r="A110" s="24" t="s">
        <v>551</v>
      </c>
      <c r="B110" s="18"/>
      <c r="C110" s="18"/>
      <c r="D110" s="18" t="s">
        <v>518</v>
      </c>
      <c r="E110" s="18" t="s">
        <v>508</v>
      </c>
      <c r="F110" s="18" t="s">
        <v>519</v>
      </c>
      <c r="G110" s="19">
        <f>7.986*L110</f>
        <v>119.78999999999999</v>
      </c>
      <c r="H110" s="20">
        <v>41857</v>
      </c>
      <c r="I110" s="19" t="s">
        <v>520</v>
      </c>
      <c r="J110" s="19" t="s">
        <v>521</v>
      </c>
      <c r="K110" s="19" t="s">
        <v>99</v>
      </c>
      <c r="L110" s="19">
        <v>15</v>
      </c>
      <c r="M110" s="21" t="s">
        <v>731</v>
      </c>
      <c r="N110" s="21" t="s">
        <v>522</v>
      </c>
      <c r="O110" s="22" t="s">
        <v>611</v>
      </c>
    </row>
    <row r="111" spans="1:15" s="15" customFormat="1" ht="12.75" x14ac:dyDescent="0.15">
      <c r="A111" s="24" t="s">
        <v>552</v>
      </c>
      <c r="B111" s="18"/>
      <c r="C111" s="18"/>
      <c r="D111" s="18" t="s">
        <v>151</v>
      </c>
      <c r="E111" s="18" t="s">
        <v>554</v>
      </c>
      <c r="F111" s="18" t="s">
        <v>555</v>
      </c>
      <c r="G111" s="19">
        <f>7.986*L111</f>
        <v>15.972</v>
      </c>
      <c r="H111" s="20">
        <v>41864</v>
      </c>
      <c r="I111" s="19" t="s">
        <v>56</v>
      </c>
      <c r="J111" s="19" t="s">
        <v>557</v>
      </c>
      <c r="K111" s="19" t="s">
        <v>15</v>
      </c>
      <c r="L111" s="19">
        <v>2</v>
      </c>
      <c r="M111" s="21" t="s">
        <v>559</v>
      </c>
      <c r="N111" s="21" t="s">
        <v>560</v>
      </c>
      <c r="O111" s="22" t="s">
        <v>612</v>
      </c>
    </row>
    <row r="112" spans="1:15" s="15" customFormat="1" ht="12.75" x14ac:dyDescent="0.15">
      <c r="A112" s="18" t="s">
        <v>552</v>
      </c>
      <c r="B112" s="18"/>
      <c r="C112" s="18"/>
      <c r="D112" s="18" t="s">
        <v>553</v>
      </c>
      <c r="E112" s="18" t="s">
        <v>554</v>
      </c>
      <c r="F112" s="18" t="s">
        <v>556</v>
      </c>
      <c r="G112" s="19">
        <f>7.986*L112</f>
        <v>31.943999999999999</v>
      </c>
      <c r="H112" s="20">
        <v>41864</v>
      </c>
      <c r="I112" s="19" t="s">
        <v>56</v>
      </c>
      <c r="J112" s="19" t="s">
        <v>558</v>
      </c>
      <c r="K112" s="19" t="s">
        <v>15</v>
      </c>
      <c r="L112" s="19">
        <v>4</v>
      </c>
      <c r="M112" s="21" t="s">
        <v>561</v>
      </c>
      <c r="N112" s="21" t="s">
        <v>562</v>
      </c>
      <c r="O112" s="22" t="s">
        <v>613</v>
      </c>
    </row>
    <row r="113" spans="1:15" s="15" customFormat="1" ht="12.75" x14ac:dyDescent="0.15">
      <c r="A113" s="18" t="s">
        <v>63</v>
      </c>
      <c r="B113" s="26" t="s">
        <v>91</v>
      </c>
      <c r="C113" s="18"/>
      <c r="D113" s="18" t="s">
        <v>405</v>
      </c>
      <c r="E113" s="18" t="s">
        <v>65</v>
      </c>
      <c r="F113" s="18" t="s">
        <v>568</v>
      </c>
      <c r="G113" s="19">
        <f>4.66*L113</f>
        <v>55.92</v>
      </c>
      <c r="H113" s="20">
        <v>41869</v>
      </c>
      <c r="I113" s="19" t="s">
        <v>280</v>
      </c>
      <c r="J113" s="19" t="s">
        <v>565</v>
      </c>
      <c r="K113" s="19" t="s">
        <v>15</v>
      </c>
      <c r="L113" s="19">
        <v>12</v>
      </c>
      <c r="M113" s="21" t="s">
        <v>567</v>
      </c>
      <c r="N113" s="21" t="s">
        <v>103</v>
      </c>
      <c r="O113" s="22" t="s">
        <v>567</v>
      </c>
    </row>
    <row r="114" spans="1:15" s="15" customFormat="1" ht="12.75" x14ac:dyDescent="0.15">
      <c r="A114" s="18" t="s">
        <v>552</v>
      </c>
      <c r="B114" s="26"/>
      <c r="C114" s="18"/>
      <c r="D114" s="18" t="s">
        <v>569</v>
      </c>
      <c r="E114" s="18" t="s">
        <v>65</v>
      </c>
      <c r="F114" s="18" t="s">
        <v>570</v>
      </c>
      <c r="G114" s="19">
        <f>7.986*L114</f>
        <v>15.972</v>
      </c>
      <c r="H114" s="20">
        <v>41869</v>
      </c>
      <c r="I114" s="19" t="s">
        <v>574</v>
      </c>
      <c r="J114" s="19" t="s">
        <v>571</v>
      </c>
      <c r="K114" s="19" t="s">
        <v>15</v>
      </c>
      <c r="L114" s="19">
        <v>2</v>
      </c>
      <c r="M114" s="21" t="s">
        <v>572</v>
      </c>
      <c r="N114" s="21" t="s">
        <v>573</v>
      </c>
      <c r="O114" s="22" t="s">
        <v>614</v>
      </c>
    </row>
    <row r="115" spans="1:15" s="15" customFormat="1" ht="12.75" x14ac:dyDescent="0.15">
      <c r="A115" s="18" t="s">
        <v>575</v>
      </c>
      <c r="B115" s="26" t="s">
        <v>91</v>
      </c>
      <c r="C115" s="18"/>
      <c r="D115" s="18" t="s">
        <v>576</v>
      </c>
      <c r="E115" s="18" t="s">
        <v>577</v>
      </c>
      <c r="F115" s="18" t="s">
        <v>593</v>
      </c>
      <c r="G115" s="19">
        <f t="shared" ref="G115:G126" si="7">4.66*L115</f>
        <v>55.92</v>
      </c>
      <c r="H115" s="20">
        <v>41870</v>
      </c>
      <c r="I115" s="19" t="s">
        <v>280</v>
      </c>
      <c r="J115" s="19" t="s">
        <v>582</v>
      </c>
      <c r="K115" s="19" t="s">
        <v>15</v>
      </c>
      <c r="L115" s="19">
        <v>12</v>
      </c>
      <c r="M115" s="21" t="s">
        <v>684</v>
      </c>
      <c r="N115" s="21" t="s">
        <v>103</v>
      </c>
      <c r="O115" s="22" t="s">
        <v>587</v>
      </c>
    </row>
    <row r="116" spans="1:15" s="15" customFormat="1" ht="12.75" x14ac:dyDescent="0.15">
      <c r="A116" s="18" t="s">
        <v>575</v>
      </c>
      <c r="B116" s="26" t="s">
        <v>91</v>
      </c>
      <c r="C116" s="18"/>
      <c r="D116" s="18" t="s">
        <v>576</v>
      </c>
      <c r="E116" s="18" t="s">
        <v>577</v>
      </c>
      <c r="F116" s="18" t="s">
        <v>578</v>
      </c>
      <c r="G116" s="19">
        <f t="shared" si="7"/>
        <v>60.58</v>
      </c>
      <c r="H116" s="20">
        <v>41870</v>
      </c>
      <c r="I116" s="19" t="s">
        <v>280</v>
      </c>
      <c r="J116" s="19" t="s">
        <v>583</v>
      </c>
      <c r="K116" s="19" t="s">
        <v>15</v>
      </c>
      <c r="L116" s="19">
        <v>13</v>
      </c>
      <c r="M116" s="21" t="s">
        <v>684</v>
      </c>
      <c r="N116" s="21" t="s">
        <v>165</v>
      </c>
      <c r="O116" s="22" t="s">
        <v>631</v>
      </c>
    </row>
    <row r="117" spans="1:15" s="15" customFormat="1" ht="12.75" x14ac:dyDescent="0.15">
      <c r="A117" s="18" t="s">
        <v>575</v>
      </c>
      <c r="B117" s="26" t="s">
        <v>91</v>
      </c>
      <c r="C117" s="18"/>
      <c r="D117" s="18" t="s">
        <v>576</v>
      </c>
      <c r="E117" s="18" t="s">
        <v>577</v>
      </c>
      <c r="F117" s="18" t="s">
        <v>579</v>
      </c>
      <c r="G117" s="19">
        <f t="shared" si="7"/>
        <v>55.92</v>
      </c>
      <c r="H117" s="20">
        <v>41870</v>
      </c>
      <c r="I117" s="19" t="s">
        <v>280</v>
      </c>
      <c r="J117" s="19" t="s">
        <v>584</v>
      </c>
      <c r="K117" s="19" t="s">
        <v>15</v>
      </c>
      <c r="L117" s="19">
        <v>12</v>
      </c>
      <c r="M117" s="21" t="s">
        <v>685</v>
      </c>
      <c r="N117" s="21" t="s">
        <v>590</v>
      </c>
      <c r="O117" s="22" t="s">
        <v>588</v>
      </c>
    </row>
    <row r="118" spans="1:15" s="15" customFormat="1" ht="12.75" x14ac:dyDescent="0.15">
      <c r="A118" s="18" t="s">
        <v>575</v>
      </c>
      <c r="B118" s="26" t="s">
        <v>91</v>
      </c>
      <c r="C118" s="18"/>
      <c r="D118" s="18" t="s">
        <v>576</v>
      </c>
      <c r="E118" s="18" t="s">
        <v>577</v>
      </c>
      <c r="F118" s="18" t="s">
        <v>580</v>
      </c>
      <c r="G118" s="19">
        <f t="shared" si="7"/>
        <v>55.92</v>
      </c>
      <c r="H118" s="20">
        <v>41870</v>
      </c>
      <c r="I118" s="19" t="s">
        <v>280</v>
      </c>
      <c r="J118" s="19" t="s">
        <v>585</v>
      </c>
      <c r="K118" s="19" t="s">
        <v>15</v>
      </c>
      <c r="L118" s="19">
        <v>12</v>
      </c>
      <c r="M118" s="21" t="s">
        <v>685</v>
      </c>
      <c r="N118" s="21" t="s">
        <v>591</v>
      </c>
      <c r="O118" s="22" t="s">
        <v>637</v>
      </c>
    </row>
    <row r="119" spans="1:15" s="15" customFormat="1" ht="12.75" x14ac:dyDescent="0.15">
      <c r="A119" s="18" t="s">
        <v>63</v>
      </c>
      <c r="B119" s="26" t="s">
        <v>91</v>
      </c>
      <c r="C119" s="18"/>
      <c r="D119" s="18" t="s">
        <v>576</v>
      </c>
      <c r="E119" s="18" t="s">
        <v>577</v>
      </c>
      <c r="F119" s="18" t="s">
        <v>581</v>
      </c>
      <c r="G119" s="19">
        <f t="shared" si="7"/>
        <v>60.58</v>
      </c>
      <c r="H119" s="20">
        <v>41870</v>
      </c>
      <c r="I119" s="19" t="s">
        <v>280</v>
      </c>
      <c r="J119" s="19" t="s">
        <v>586</v>
      </c>
      <c r="K119" s="19" t="s">
        <v>15</v>
      </c>
      <c r="L119" s="19">
        <v>13</v>
      </c>
      <c r="M119" s="21" t="s">
        <v>686</v>
      </c>
      <c r="N119" s="21" t="s">
        <v>592</v>
      </c>
      <c r="O119" s="22" t="s">
        <v>589</v>
      </c>
    </row>
    <row r="120" spans="1:15" s="15" customFormat="1" ht="12.75" x14ac:dyDescent="0.15">
      <c r="A120" s="18" t="s">
        <v>594</v>
      </c>
      <c r="B120" s="26" t="s">
        <v>70</v>
      </c>
      <c r="C120" s="18"/>
      <c r="D120" s="18" t="s">
        <v>576</v>
      </c>
      <c r="E120" s="18" t="s">
        <v>577</v>
      </c>
      <c r="F120" s="18" t="s">
        <v>609</v>
      </c>
      <c r="G120" s="19">
        <f t="shared" si="7"/>
        <v>55.92</v>
      </c>
      <c r="H120" s="20">
        <v>41870</v>
      </c>
      <c r="I120" s="19" t="s">
        <v>280</v>
      </c>
      <c r="J120" s="19" t="s">
        <v>599</v>
      </c>
      <c r="K120" s="19" t="s">
        <v>99</v>
      </c>
      <c r="L120" s="19">
        <v>12</v>
      </c>
      <c r="M120" s="21" t="s">
        <v>686</v>
      </c>
      <c r="N120" s="21" t="s">
        <v>591</v>
      </c>
      <c r="O120" s="22" t="s">
        <v>638</v>
      </c>
    </row>
    <row r="121" spans="1:15" s="15" customFormat="1" ht="12.75" x14ac:dyDescent="0.15">
      <c r="A121" s="18" t="s">
        <v>594</v>
      </c>
      <c r="B121" s="26" t="s">
        <v>70</v>
      </c>
      <c r="C121" s="18"/>
      <c r="D121" s="18" t="s">
        <v>576</v>
      </c>
      <c r="E121" s="18" t="s">
        <v>577</v>
      </c>
      <c r="F121" s="18" t="s">
        <v>595</v>
      </c>
      <c r="G121" s="19">
        <f t="shared" si="7"/>
        <v>55.92</v>
      </c>
      <c r="H121" s="20">
        <v>41870</v>
      </c>
      <c r="I121" s="19" t="s">
        <v>280</v>
      </c>
      <c r="J121" s="19" t="s">
        <v>600</v>
      </c>
      <c r="K121" s="19" t="s">
        <v>99</v>
      </c>
      <c r="L121" s="19">
        <v>12</v>
      </c>
      <c r="M121" s="21" t="s">
        <v>687</v>
      </c>
      <c r="N121" s="21" t="s">
        <v>607</v>
      </c>
      <c r="O121" s="22" t="s">
        <v>604</v>
      </c>
    </row>
    <row r="122" spans="1:15" s="15" customFormat="1" ht="12.75" x14ac:dyDescent="0.15">
      <c r="A122" s="18" t="s">
        <v>773</v>
      </c>
      <c r="B122" s="26" t="s">
        <v>70</v>
      </c>
      <c r="C122" s="18"/>
      <c r="D122" s="18" t="s">
        <v>576</v>
      </c>
      <c r="E122" s="18" t="s">
        <v>577</v>
      </c>
      <c r="F122" s="18" t="s">
        <v>596</v>
      </c>
      <c r="G122" s="19">
        <f t="shared" si="7"/>
        <v>60.58</v>
      </c>
      <c r="H122" s="20">
        <v>41870</v>
      </c>
      <c r="I122" s="19" t="s">
        <v>280</v>
      </c>
      <c r="J122" s="19" t="s">
        <v>601</v>
      </c>
      <c r="K122" s="19" t="s">
        <v>99</v>
      </c>
      <c r="L122" s="19">
        <v>13</v>
      </c>
      <c r="M122" s="21" t="s">
        <v>687</v>
      </c>
      <c r="N122" s="21" t="s">
        <v>165</v>
      </c>
      <c r="O122" s="22" t="s">
        <v>639</v>
      </c>
    </row>
    <row r="123" spans="1:15" s="15" customFormat="1" ht="12.75" x14ac:dyDescent="0.15">
      <c r="A123" s="18" t="s">
        <v>594</v>
      </c>
      <c r="B123" s="26" t="s">
        <v>70</v>
      </c>
      <c r="C123" s="18"/>
      <c r="D123" s="18" t="s">
        <v>576</v>
      </c>
      <c r="E123" s="18" t="s">
        <v>577</v>
      </c>
      <c r="F123" s="18" t="s">
        <v>598</v>
      </c>
      <c r="G123" s="19">
        <f t="shared" si="7"/>
        <v>55.92</v>
      </c>
      <c r="H123" s="20">
        <v>41870</v>
      </c>
      <c r="I123" s="19" t="s">
        <v>280</v>
      </c>
      <c r="J123" s="19" t="s">
        <v>603</v>
      </c>
      <c r="K123" s="19" t="s">
        <v>99</v>
      </c>
      <c r="L123" s="19">
        <v>12</v>
      </c>
      <c r="M123" s="21" t="s">
        <v>634</v>
      </c>
      <c r="N123" s="21" t="s">
        <v>607</v>
      </c>
      <c r="O123" s="22" t="s">
        <v>606</v>
      </c>
    </row>
    <row r="124" spans="1:15" s="15" customFormat="1" ht="12.75" x14ac:dyDescent="0.15">
      <c r="A124" s="18" t="s">
        <v>594</v>
      </c>
      <c r="B124" s="26" t="s">
        <v>70</v>
      </c>
      <c r="C124" s="18"/>
      <c r="D124" s="18" t="s">
        <v>576</v>
      </c>
      <c r="E124" s="18" t="s">
        <v>577</v>
      </c>
      <c r="F124" s="18" t="s">
        <v>615</v>
      </c>
      <c r="G124" s="19">
        <f t="shared" si="7"/>
        <v>55.92</v>
      </c>
      <c r="H124" s="20">
        <v>41871</v>
      </c>
      <c r="I124" s="19" t="s">
        <v>280</v>
      </c>
      <c r="J124" s="19" t="s">
        <v>732</v>
      </c>
      <c r="K124" s="19" t="s">
        <v>41</v>
      </c>
      <c r="L124" s="19">
        <v>12</v>
      </c>
      <c r="M124" s="21" t="s">
        <v>689</v>
      </c>
      <c r="N124" s="21" t="s">
        <v>607</v>
      </c>
      <c r="O124" s="22" t="s">
        <v>618</v>
      </c>
    </row>
    <row r="125" spans="1:15" s="15" customFormat="1" ht="12.75" x14ac:dyDescent="0.15">
      <c r="A125" s="18" t="s">
        <v>673</v>
      </c>
      <c r="B125" s="26" t="s">
        <v>70</v>
      </c>
      <c r="C125" s="18"/>
      <c r="D125" s="18" t="s">
        <v>665</v>
      </c>
      <c r="E125" s="18" t="s">
        <v>666</v>
      </c>
      <c r="F125" s="18" t="s">
        <v>677</v>
      </c>
      <c r="G125" s="19">
        <f t="shared" si="7"/>
        <v>37.28</v>
      </c>
      <c r="H125" s="20">
        <v>41894</v>
      </c>
      <c r="I125" s="19" t="s">
        <v>280</v>
      </c>
      <c r="J125" s="19" t="s">
        <v>667</v>
      </c>
      <c r="K125" s="19" t="s">
        <v>15</v>
      </c>
      <c r="L125" s="19">
        <v>8</v>
      </c>
      <c r="M125" s="21" t="s">
        <v>690</v>
      </c>
      <c r="N125" s="21" t="s">
        <v>674</v>
      </c>
      <c r="O125" s="22" t="s">
        <v>801</v>
      </c>
    </row>
    <row r="126" spans="1:15" s="15" customFormat="1" ht="12.75" x14ac:dyDescent="0.15">
      <c r="A126" s="18" t="s">
        <v>664</v>
      </c>
      <c r="B126" s="26" t="s">
        <v>70</v>
      </c>
      <c r="C126" s="18"/>
      <c r="D126" s="18" t="s">
        <v>665</v>
      </c>
      <c r="E126" s="18" t="s">
        <v>666</v>
      </c>
      <c r="F126" s="18" t="s">
        <v>669</v>
      </c>
      <c r="G126" s="19">
        <f t="shared" si="7"/>
        <v>18.64</v>
      </c>
      <c r="H126" s="20">
        <v>41894</v>
      </c>
      <c r="I126" s="19" t="s">
        <v>280</v>
      </c>
      <c r="J126" s="19" t="s">
        <v>671</v>
      </c>
      <c r="K126" s="19" t="s">
        <v>15</v>
      </c>
      <c r="L126" s="19">
        <v>4</v>
      </c>
      <c r="M126" s="21" t="s">
        <v>813</v>
      </c>
      <c r="N126" s="21" t="s">
        <v>675</v>
      </c>
      <c r="O126" s="22" t="s">
        <v>811</v>
      </c>
    </row>
    <row r="127" spans="1:15" s="15" customFormat="1" ht="12.75" x14ac:dyDescent="0.15">
      <c r="A127" s="18" t="s">
        <v>683</v>
      </c>
      <c r="B127" s="26"/>
      <c r="C127" s="18"/>
      <c r="D127" s="18" t="s">
        <v>734</v>
      </c>
      <c r="E127" s="18" t="s">
        <v>666</v>
      </c>
      <c r="F127" s="18" t="s">
        <v>679</v>
      </c>
      <c r="G127" s="19">
        <f>7.986*L127</f>
        <v>71.873999999999995</v>
      </c>
      <c r="H127" s="20">
        <v>41894</v>
      </c>
      <c r="I127" s="19" t="s">
        <v>56</v>
      </c>
      <c r="J127" s="19" t="s">
        <v>681</v>
      </c>
      <c r="K127" s="19" t="s">
        <v>15</v>
      </c>
      <c r="L127" s="19">
        <v>9</v>
      </c>
      <c r="M127" s="21" t="s">
        <v>692</v>
      </c>
      <c r="N127" s="21" t="s">
        <v>693</v>
      </c>
      <c r="O127" s="22" t="s">
        <v>803</v>
      </c>
    </row>
    <row r="128" spans="1:15" s="15" customFormat="1" ht="12.75" x14ac:dyDescent="0.15">
      <c r="A128" s="18" t="s">
        <v>798</v>
      </c>
      <c r="B128" s="26" t="s">
        <v>91</v>
      </c>
      <c r="C128" s="18"/>
      <c r="D128" s="18" t="s">
        <v>718</v>
      </c>
      <c r="E128" s="18" t="s">
        <v>719</v>
      </c>
      <c r="F128" s="18" t="s">
        <v>720</v>
      </c>
      <c r="G128" s="19">
        <f>4.66*L128</f>
        <v>55.92</v>
      </c>
      <c r="H128" s="20">
        <v>41905</v>
      </c>
      <c r="I128" s="19" t="s">
        <v>280</v>
      </c>
      <c r="J128" s="19" t="s">
        <v>723</v>
      </c>
      <c r="K128" s="19" t="s">
        <v>15</v>
      </c>
      <c r="L128" s="19">
        <v>12</v>
      </c>
      <c r="M128" s="21" t="s">
        <v>726</v>
      </c>
      <c r="N128" s="21" t="s">
        <v>103</v>
      </c>
      <c r="O128" s="22" t="s">
        <v>726</v>
      </c>
    </row>
    <row r="129" spans="1:15" s="15" customFormat="1" ht="12.75" x14ac:dyDescent="0.15">
      <c r="A129" s="18" t="s">
        <v>717</v>
      </c>
      <c r="B129" s="26" t="s">
        <v>91</v>
      </c>
      <c r="C129" s="18"/>
      <c r="D129" s="18" t="s">
        <v>718</v>
      </c>
      <c r="E129" s="18" t="s">
        <v>719</v>
      </c>
      <c r="F129" s="18" t="s">
        <v>721</v>
      </c>
      <c r="G129" s="19">
        <f>4.66*L129</f>
        <v>60.58</v>
      </c>
      <c r="H129" s="20">
        <v>41905</v>
      </c>
      <c r="I129" s="19" t="s">
        <v>280</v>
      </c>
      <c r="J129" s="19" t="s">
        <v>724</v>
      </c>
      <c r="K129" s="19" t="s">
        <v>15</v>
      </c>
      <c r="L129" s="19">
        <v>13</v>
      </c>
      <c r="M129" s="21" t="s">
        <v>726</v>
      </c>
      <c r="N129" s="21" t="s">
        <v>165</v>
      </c>
      <c r="O129" s="22" t="s">
        <v>806</v>
      </c>
    </row>
    <row r="130" spans="1:15" s="15" customFormat="1" ht="12.75" x14ac:dyDescent="0.15">
      <c r="A130" s="18" t="s">
        <v>798</v>
      </c>
      <c r="B130" s="26" t="s">
        <v>91</v>
      </c>
      <c r="C130" s="18"/>
      <c r="D130" s="18" t="s">
        <v>735</v>
      </c>
      <c r="E130" s="18" t="s">
        <v>736</v>
      </c>
      <c r="F130" s="18" t="s">
        <v>739</v>
      </c>
      <c r="G130" s="19">
        <f>4.66*L130</f>
        <v>41.94</v>
      </c>
      <c r="H130" s="20">
        <v>41911</v>
      </c>
      <c r="I130" s="19" t="s">
        <v>744</v>
      </c>
      <c r="J130" s="19" t="s">
        <v>740</v>
      </c>
      <c r="K130" s="19" t="s">
        <v>15</v>
      </c>
      <c r="L130" s="19">
        <v>9</v>
      </c>
      <c r="M130" s="21" t="s">
        <v>741</v>
      </c>
      <c r="N130" s="21" t="s">
        <v>743</v>
      </c>
      <c r="O130" s="22" t="s">
        <v>809</v>
      </c>
    </row>
    <row r="131" spans="1:15" s="15" customFormat="1" ht="12.75" x14ac:dyDescent="0.15">
      <c r="A131" s="24" t="s">
        <v>787</v>
      </c>
      <c r="B131" s="26"/>
      <c r="C131" s="26" t="s">
        <v>926</v>
      </c>
      <c r="D131" s="18" t="s">
        <v>799</v>
      </c>
      <c r="E131" s="18" t="s">
        <v>788</v>
      </c>
      <c r="F131" s="18" t="s">
        <v>789</v>
      </c>
      <c r="G131" s="19">
        <f>4.66*L131</f>
        <v>23.3</v>
      </c>
      <c r="H131" s="20">
        <v>41933</v>
      </c>
      <c r="I131" s="19" t="s">
        <v>853</v>
      </c>
      <c r="J131" s="19" t="s">
        <v>790</v>
      </c>
      <c r="K131" s="19" t="s">
        <v>791</v>
      </c>
      <c r="L131" s="19">
        <v>5</v>
      </c>
      <c r="M131" s="21" t="s">
        <v>850</v>
      </c>
      <c r="N131" s="21" t="s">
        <v>792</v>
      </c>
      <c r="O131" s="22" t="s">
        <v>869</v>
      </c>
    </row>
    <row r="132" spans="1:15" s="15" customFormat="1" ht="12.75" x14ac:dyDescent="0.15">
      <c r="A132" s="18" t="s">
        <v>774</v>
      </c>
      <c r="B132" s="26" t="s">
        <v>772</v>
      </c>
      <c r="C132" s="26" t="s">
        <v>91</v>
      </c>
      <c r="D132" s="18" t="s">
        <v>840</v>
      </c>
      <c r="E132" s="18" t="s">
        <v>841</v>
      </c>
      <c r="F132" s="18" t="s">
        <v>843</v>
      </c>
      <c r="G132" s="19">
        <f>4.66*L132</f>
        <v>37.28</v>
      </c>
      <c r="H132" s="20">
        <v>41957</v>
      </c>
      <c r="I132" s="19" t="s">
        <v>847</v>
      </c>
      <c r="J132" s="19" t="s">
        <v>844</v>
      </c>
      <c r="K132" s="19" t="s">
        <v>58</v>
      </c>
      <c r="L132" s="19">
        <v>8</v>
      </c>
      <c r="M132" s="21" t="s">
        <v>889</v>
      </c>
      <c r="N132" s="21" t="s">
        <v>846</v>
      </c>
      <c r="O132" s="22" t="s">
        <v>915</v>
      </c>
    </row>
    <row r="133" spans="1:15" s="15" customFormat="1" ht="12.75" x14ac:dyDescent="0.15">
      <c r="A133" s="18" t="s">
        <v>120</v>
      </c>
      <c r="B133" s="18" t="s">
        <v>70</v>
      </c>
      <c r="C133" s="18"/>
      <c r="D133" s="18" t="s">
        <v>93</v>
      </c>
      <c r="E133" s="18" t="s">
        <v>37</v>
      </c>
      <c r="F133" s="18" t="s">
        <v>384</v>
      </c>
      <c r="G133" s="19">
        <f>2.462*L133</f>
        <v>61.550000000000004</v>
      </c>
      <c r="H133" s="20">
        <v>41808</v>
      </c>
      <c r="I133" s="19" t="s">
        <v>892</v>
      </c>
      <c r="J133" s="19" t="s">
        <v>373</v>
      </c>
      <c r="K133" s="19" t="s">
        <v>25</v>
      </c>
      <c r="L133" s="19">
        <v>25</v>
      </c>
      <c r="M133" s="21" t="s">
        <v>377</v>
      </c>
      <c r="N133" s="21" t="s">
        <v>379</v>
      </c>
      <c r="O133" s="22" t="s">
        <v>538</v>
      </c>
    </row>
    <row r="134" spans="1:15" s="15" customFormat="1" ht="12.75" x14ac:dyDescent="0.15">
      <c r="A134" s="24" t="s">
        <v>774</v>
      </c>
      <c r="B134" s="26" t="s">
        <v>772</v>
      </c>
      <c r="C134" s="26" t="s">
        <v>91</v>
      </c>
      <c r="D134" s="18" t="s">
        <v>766</v>
      </c>
      <c r="E134" s="18" t="s">
        <v>767</v>
      </c>
      <c r="F134" s="18" t="s">
        <v>768</v>
      </c>
      <c r="G134" s="19">
        <f>4.66*L134</f>
        <v>37.28</v>
      </c>
      <c r="H134" s="20">
        <v>41920</v>
      </c>
      <c r="I134" s="19" t="s">
        <v>771</v>
      </c>
      <c r="J134" s="19" t="s">
        <v>769</v>
      </c>
      <c r="K134" s="19" t="s">
        <v>15</v>
      </c>
      <c r="L134" s="19">
        <v>8</v>
      </c>
      <c r="M134" s="21" t="s">
        <v>812</v>
      </c>
      <c r="N134" s="21" t="s">
        <v>770</v>
      </c>
      <c r="O134" s="22" t="s">
        <v>829</v>
      </c>
    </row>
    <row r="135" spans="1:15" s="15" customFormat="1" ht="12.75" x14ac:dyDescent="0.15">
      <c r="A135" s="9" t="s">
        <v>752</v>
      </c>
      <c r="B135" s="16"/>
      <c r="C135" s="9"/>
      <c r="D135" s="9" t="s">
        <v>1020</v>
      </c>
      <c r="E135" s="30" t="s">
        <v>755</v>
      </c>
      <c r="F135" s="9" t="s">
        <v>1021</v>
      </c>
      <c r="G135" s="10">
        <f t="shared" ref="G135:G140" si="8">14.88*L135</f>
        <v>193.44</v>
      </c>
      <c r="H135" s="11">
        <v>41911</v>
      </c>
      <c r="I135" s="12" t="s">
        <v>1022</v>
      </c>
      <c r="J135" s="12" t="s">
        <v>1023</v>
      </c>
      <c r="K135" s="10" t="s">
        <v>1024</v>
      </c>
      <c r="L135" s="12">
        <v>13</v>
      </c>
      <c r="M135" s="13" t="s">
        <v>1025</v>
      </c>
      <c r="N135" s="13" t="s">
        <v>102</v>
      </c>
      <c r="O135" s="17" t="s">
        <v>994</v>
      </c>
    </row>
    <row r="136" spans="1:15" s="15" customFormat="1" ht="12.75" x14ac:dyDescent="0.15">
      <c r="A136" s="9" t="s">
        <v>752</v>
      </c>
      <c r="B136" s="16"/>
      <c r="C136" s="9"/>
      <c r="D136" s="9" t="s">
        <v>753</v>
      </c>
      <c r="E136" s="30" t="s">
        <v>755</v>
      </c>
      <c r="F136" s="9" t="s">
        <v>1019</v>
      </c>
      <c r="G136" s="10">
        <f t="shared" si="8"/>
        <v>119.04</v>
      </c>
      <c r="H136" s="11">
        <v>41928</v>
      </c>
      <c r="I136" s="12" t="s">
        <v>222</v>
      </c>
      <c r="J136" s="12" t="s">
        <v>784</v>
      </c>
      <c r="K136" s="10" t="s">
        <v>15</v>
      </c>
      <c r="L136" s="12">
        <v>8</v>
      </c>
      <c r="M136" s="13" t="s">
        <v>785</v>
      </c>
      <c r="N136" s="13" t="s">
        <v>786</v>
      </c>
      <c r="O136" s="17" t="s">
        <v>995</v>
      </c>
    </row>
    <row r="137" spans="1:15" s="15" customFormat="1" ht="12.75" x14ac:dyDescent="0.15">
      <c r="A137" s="9" t="s">
        <v>855</v>
      </c>
      <c r="B137" s="16"/>
      <c r="C137" s="9"/>
      <c r="D137" s="9" t="s">
        <v>856</v>
      </c>
      <c r="E137" s="30" t="s">
        <v>755</v>
      </c>
      <c r="F137" s="9" t="s">
        <v>1026</v>
      </c>
      <c r="G137" s="10">
        <f t="shared" si="8"/>
        <v>178.56</v>
      </c>
      <c r="H137" s="11">
        <v>41962</v>
      </c>
      <c r="I137" s="12" t="s">
        <v>222</v>
      </c>
      <c r="J137" s="12" t="s">
        <v>858</v>
      </c>
      <c r="K137" s="10" t="s">
        <v>668</v>
      </c>
      <c r="L137" s="12">
        <v>12</v>
      </c>
      <c r="M137" s="13" t="s">
        <v>860</v>
      </c>
      <c r="N137" s="13" t="s">
        <v>861</v>
      </c>
      <c r="O137" s="17" t="s">
        <v>997</v>
      </c>
    </row>
    <row r="138" spans="1:15" s="15" customFormat="1" ht="12.75" x14ac:dyDescent="0.15">
      <c r="A138" s="9" t="s">
        <v>855</v>
      </c>
      <c r="B138" s="16"/>
      <c r="C138" s="9"/>
      <c r="D138" s="9" t="s">
        <v>856</v>
      </c>
      <c r="E138" s="30" t="s">
        <v>755</v>
      </c>
      <c r="F138" s="9" t="s">
        <v>857</v>
      </c>
      <c r="G138" s="10">
        <f t="shared" si="8"/>
        <v>193.44</v>
      </c>
      <c r="H138" s="11">
        <v>41962</v>
      </c>
      <c r="I138" s="12" t="s">
        <v>764</v>
      </c>
      <c r="J138" s="12" t="s">
        <v>859</v>
      </c>
      <c r="K138" s="10" t="s">
        <v>15</v>
      </c>
      <c r="L138" s="12">
        <v>13</v>
      </c>
      <c r="M138" s="13" t="s">
        <v>860</v>
      </c>
      <c r="N138" s="13" t="s">
        <v>862</v>
      </c>
      <c r="O138" s="17" t="s">
        <v>998</v>
      </c>
    </row>
    <row r="139" spans="1:15" s="15" customFormat="1" ht="12.75" x14ac:dyDescent="0.15">
      <c r="A139" s="29" t="s">
        <v>940</v>
      </c>
      <c r="B139" s="16"/>
      <c r="C139" s="9"/>
      <c r="D139" s="9" t="s">
        <v>927</v>
      </c>
      <c r="E139" s="30" t="s">
        <v>755</v>
      </c>
      <c r="F139" s="9" t="s">
        <v>928</v>
      </c>
      <c r="G139" s="10">
        <f t="shared" si="8"/>
        <v>148.80000000000001</v>
      </c>
      <c r="H139" s="11">
        <v>41982</v>
      </c>
      <c r="I139" s="12" t="s">
        <v>944</v>
      </c>
      <c r="J139" s="12" t="s">
        <v>941</v>
      </c>
      <c r="K139" s="10" t="s">
        <v>15</v>
      </c>
      <c r="L139" s="12">
        <v>10</v>
      </c>
      <c r="M139" s="13" t="s">
        <v>942</v>
      </c>
      <c r="N139" s="13" t="s">
        <v>943</v>
      </c>
      <c r="O139" s="17" t="s">
        <v>996</v>
      </c>
    </row>
    <row r="140" spans="1:15" s="15" customFormat="1" ht="12.75" x14ac:dyDescent="0.15">
      <c r="A140" s="29" t="s">
        <v>970</v>
      </c>
      <c r="B140" s="16"/>
      <c r="C140" s="9"/>
      <c r="D140" s="9" t="s">
        <v>969</v>
      </c>
      <c r="E140" s="30" t="s">
        <v>755</v>
      </c>
      <c r="F140" s="9" t="s">
        <v>971</v>
      </c>
      <c r="G140" s="10">
        <f t="shared" si="8"/>
        <v>29.76</v>
      </c>
      <c r="H140" s="11">
        <v>41989</v>
      </c>
      <c r="I140" s="12" t="s">
        <v>973</v>
      </c>
      <c r="J140" s="12" t="s">
        <v>974</v>
      </c>
      <c r="K140" s="10" t="s">
        <v>15</v>
      </c>
      <c r="L140" s="12">
        <v>2</v>
      </c>
      <c r="M140" s="13" t="s">
        <v>972</v>
      </c>
      <c r="N140" s="13" t="s">
        <v>975</v>
      </c>
      <c r="O140" s="17"/>
    </row>
    <row r="141" spans="1:15" s="15" customFormat="1" ht="12.75" x14ac:dyDescent="0.15">
      <c r="A141" s="29" t="s">
        <v>821</v>
      </c>
      <c r="B141" s="16"/>
      <c r="C141" s="9"/>
      <c r="D141" s="9" t="s">
        <v>814</v>
      </c>
      <c r="E141" s="9" t="s">
        <v>815</v>
      </c>
      <c r="F141" s="9" t="s">
        <v>816</v>
      </c>
      <c r="G141" s="10">
        <f>5.249*L141</f>
        <v>41.991999999999997</v>
      </c>
      <c r="H141" s="11">
        <v>41939</v>
      </c>
      <c r="I141" s="12" t="s">
        <v>822</v>
      </c>
      <c r="J141" s="12" t="s">
        <v>817</v>
      </c>
      <c r="K141" s="10" t="s">
        <v>818</v>
      </c>
      <c r="L141" s="12">
        <v>8</v>
      </c>
      <c r="M141" s="13" t="s">
        <v>819</v>
      </c>
      <c r="N141" s="13" t="s">
        <v>820</v>
      </c>
      <c r="O141" s="17" t="s">
        <v>988</v>
      </c>
    </row>
    <row r="142" spans="1:15" s="15" customFormat="1" ht="12.75" x14ac:dyDescent="0.15">
      <c r="A142" s="9" t="s">
        <v>907</v>
      </c>
      <c r="B142" s="16"/>
      <c r="C142" s="9"/>
      <c r="D142" s="9" t="s">
        <v>908</v>
      </c>
      <c r="E142" s="9" t="s">
        <v>909</v>
      </c>
      <c r="F142" s="9" t="s">
        <v>910</v>
      </c>
      <c r="G142" s="10">
        <f>5.249*L142</f>
        <v>57.738999999999997</v>
      </c>
      <c r="H142" s="11">
        <v>41977</v>
      </c>
      <c r="I142" s="12" t="s">
        <v>822</v>
      </c>
      <c r="J142" s="12" t="s">
        <v>911</v>
      </c>
      <c r="K142" s="10" t="s">
        <v>15</v>
      </c>
      <c r="L142" s="12">
        <v>11</v>
      </c>
      <c r="M142" s="13" t="s">
        <v>912</v>
      </c>
      <c r="N142" s="13" t="s">
        <v>913</v>
      </c>
      <c r="O142" s="17" t="s">
        <v>989</v>
      </c>
    </row>
    <row r="143" spans="1:15" s="15" customFormat="1" ht="12.75" x14ac:dyDescent="0.15">
      <c r="A143" s="9" t="s">
        <v>945</v>
      </c>
      <c r="B143" s="16"/>
      <c r="C143" s="9"/>
      <c r="D143" s="9" t="s">
        <v>946</v>
      </c>
      <c r="E143" s="9" t="s">
        <v>947</v>
      </c>
      <c r="F143" s="9" t="s">
        <v>948</v>
      </c>
      <c r="G143" s="10">
        <v>52.49</v>
      </c>
      <c r="H143" s="11">
        <v>41983</v>
      </c>
      <c r="I143" s="12" t="s">
        <v>950</v>
      </c>
      <c r="J143" s="12" t="s">
        <v>951</v>
      </c>
      <c r="K143" s="10" t="s">
        <v>69</v>
      </c>
      <c r="L143" s="12">
        <v>10</v>
      </c>
      <c r="M143" s="13" t="s">
        <v>949</v>
      </c>
      <c r="N143" s="13" t="s">
        <v>943</v>
      </c>
      <c r="O143" s="17" t="s">
        <v>990</v>
      </c>
    </row>
    <row r="144" spans="1:15" s="15" customFormat="1" ht="12.75" x14ac:dyDescent="0.15">
      <c r="A144" s="9" t="s">
        <v>976</v>
      </c>
      <c r="B144" s="16"/>
      <c r="C144" s="9"/>
      <c r="D144" s="9" t="s">
        <v>946</v>
      </c>
      <c r="E144" s="9" t="s">
        <v>977</v>
      </c>
      <c r="F144" s="9" t="s">
        <v>978</v>
      </c>
      <c r="G144" s="10">
        <f>5.249*L144</f>
        <v>20.995999999999999</v>
      </c>
      <c r="H144" s="11">
        <v>41989</v>
      </c>
      <c r="I144" s="12" t="s">
        <v>981</v>
      </c>
      <c r="J144" s="12" t="s">
        <v>979</v>
      </c>
      <c r="K144" s="10" t="s">
        <v>980</v>
      </c>
      <c r="L144" s="12">
        <v>4</v>
      </c>
      <c r="M144" s="13" t="s">
        <v>982</v>
      </c>
      <c r="N144" s="13" t="s">
        <v>983</v>
      </c>
      <c r="O144" s="17" t="s">
        <v>991</v>
      </c>
    </row>
    <row r="145" spans="1:15" s="15" customFormat="1" ht="12.75" x14ac:dyDescent="0.15">
      <c r="A145" s="9" t="s">
        <v>28</v>
      </c>
      <c r="B145" s="8"/>
      <c r="C145" s="9"/>
      <c r="D145" s="9" t="s">
        <v>20</v>
      </c>
      <c r="E145" s="9" t="s">
        <v>21</v>
      </c>
      <c r="F145" s="9" t="s">
        <v>294</v>
      </c>
      <c r="G145" s="10">
        <f t="shared" ref="G145:G161" si="9">7.451*L145</f>
        <v>89.411999999999992</v>
      </c>
      <c r="H145" s="11">
        <v>41800</v>
      </c>
      <c r="I145" s="12" t="s">
        <v>23</v>
      </c>
      <c r="J145" s="12" t="s">
        <v>325</v>
      </c>
      <c r="K145" s="10" t="s">
        <v>15</v>
      </c>
      <c r="L145" s="12">
        <v>12</v>
      </c>
      <c r="M145" s="13" t="s">
        <v>304</v>
      </c>
      <c r="N145" s="13" t="s">
        <v>307</v>
      </c>
      <c r="O145" s="14"/>
    </row>
    <row r="146" spans="1:15" s="15" customFormat="1" ht="12.75" x14ac:dyDescent="0.15">
      <c r="A146" s="9" t="s">
        <v>28</v>
      </c>
      <c r="B146" s="8"/>
      <c r="C146" s="9"/>
      <c r="D146" s="9" t="s">
        <v>20</v>
      </c>
      <c r="E146" s="9" t="s">
        <v>21</v>
      </c>
      <c r="F146" s="9" t="s">
        <v>295</v>
      </c>
      <c r="G146" s="10">
        <f t="shared" si="9"/>
        <v>96.863</v>
      </c>
      <c r="H146" s="11">
        <v>41800</v>
      </c>
      <c r="I146" s="12" t="s">
        <v>23</v>
      </c>
      <c r="J146" s="12" t="s">
        <v>326</v>
      </c>
      <c r="K146" s="10" t="s">
        <v>15</v>
      </c>
      <c r="L146" s="12">
        <v>13</v>
      </c>
      <c r="M146" s="13" t="s">
        <v>327</v>
      </c>
      <c r="N146" s="13" t="s">
        <v>309</v>
      </c>
      <c r="O146" s="14"/>
    </row>
    <row r="147" spans="1:15" s="15" customFormat="1" ht="12.75" x14ac:dyDescent="0.15">
      <c r="A147" s="9" t="s">
        <v>28</v>
      </c>
      <c r="B147" s="8"/>
      <c r="C147" s="9"/>
      <c r="D147" s="9" t="s">
        <v>20</v>
      </c>
      <c r="E147" s="9" t="s">
        <v>21</v>
      </c>
      <c r="F147" s="9" t="s">
        <v>296</v>
      </c>
      <c r="G147" s="10">
        <f t="shared" si="9"/>
        <v>89.411999999999992</v>
      </c>
      <c r="H147" s="11">
        <v>41800</v>
      </c>
      <c r="I147" s="12" t="s">
        <v>23</v>
      </c>
      <c r="J147" s="12" t="s">
        <v>305</v>
      </c>
      <c r="K147" s="10" t="s">
        <v>15</v>
      </c>
      <c r="L147" s="12">
        <v>12</v>
      </c>
      <c r="M147" s="13" t="s">
        <v>306</v>
      </c>
      <c r="N147" s="13" t="s">
        <v>307</v>
      </c>
      <c r="O147" s="14"/>
    </row>
    <row r="148" spans="1:15" s="15" customFormat="1" ht="12.75" x14ac:dyDescent="0.15">
      <c r="A148" s="9" t="s">
        <v>28</v>
      </c>
      <c r="B148" s="8"/>
      <c r="C148" s="9"/>
      <c r="D148" s="9" t="s">
        <v>20</v>
      </c>
      <c r="E148" s="9" t="s">
        <v>21</v>
      </c>
      <c r="F148" s="9" t="s">
        <v>299</v>
      </c>
      <c r="G148" s="10">
        <f t="shared" si="9"/>
        <v>96.863</v>
      </c>
      <c r="H148" s="11">
        <v>41800</v>
      </c>
      <c r="I148" s="12" t="s">
        <v>23</v>
      </c>
      <c r="J148" s="12" t="s">
        <v>312</v>
      </c>
      <c r="K148" s="10" t="s">
        <v>15</v>
      </c>
      <c r="L148" s="12">
        <v>13</v>
      </c>
      <c r="M148" s="13" t="s">
        <v>311</v>
      </c>
      <c r="N148" s="13" t="s">
        <v>309</v>
      </c>
      <c r="O148" s="14"/>
    </row>
    <row r="149" spans="1:15" s="15" customFormat="1" ht="12.75" x14ac:dyDescent="0.15">
      <c r="A149" s="9" t="s">
        <v>28</v>
      </c>
      <c r="B149" s="8"/>
      <c r="C149" s="9"/>
      <c r="D149" s="9" t="s">
        <v>20</v>
      </c>
      <c r="E149" s="9" t="s">
        <v>21</v>
      </c>
      <c r="F149" s="9" t="s">
        <v>300</v>
      </c>
      <c r="G149" s="10">
        <f t="shared" si="9"/>
        <v>89.411999999999992</v>
      </c>
      <c r="H149" s="11">
        <v>41800</v>
      </c>
      <c r="I149" s="12" t="s">
        <v>23</v>
      </c>
      <c r="J149" s="12" t="s">
        <v>313</v>
      </c>
      <c r="K149" s="10" t="s">
        <v>15</v>
      </c>
      <c r="L149" s="12">
        <v>12</v>
      </c>
      <c r="M149" s="13" t="s">
        <v>314</v>
      </c>
      <c r="N149" s="13" t="s">
        <v>307</v>
      </c>
      <c r="O149" s="14"/>
    </row>
    <row r="150" spans="1:15" s="15" customFormat="1" ht="12.75" x14ac:dyDescent="0.15">
      <c r="A150" s="9" t="s">
        <v>28</v>
      </c>
      <c r="B150" s="8"/>
      <c r="C150" s="9"/>
      <c r="D150" s="9" t="s">
        <v>20</v>
      </c>
      <c r="E150" s="9" t="s">
        <v>21</v>
      </c>
      <c r="F150" s="9" t="s">
        <v>301</v>
      </c>
      <c r="G150" s="10">
        <f t="shared" si="9"/>
        <v>96.863</v>
      </c>
      <c r="H150" s="11">
        <v>41800</v>
      </c>
      <c r="I150" s="12" t="s">
        <v>23</v>
      </c>
      <c r="J150" s="12" t="s">
        <v>315</v>
      </c>
      <c r="K150" s="10" t="s">
        <v>15</v>
      </c>
      <c r="L150" s="12">
        <v>13</v>
      </c>
      <c r="M150" s="13" t="s">
        <v>314</v>
      </c>
      <c r="N150" s="13" t="s">
        <v>309</v>
      </c>
      <c r="O150" s="14"/>
    </row>
    <row r="151" spans="1:15" s="15" customFormat="1" ht="12.75" x14ac:dyDescent="0.15">
      <c r="A151" s="9" t="s">
        <v>28</v>
      </c>
      <c r="B151" s="8"/>
      <c r="C151" s="9"/>
      <c r="D151" s="9" t="s">
        <v>20</v>
      </c>
      <c r="E151" s="9" t="s">
        <v>21</v>
      </c>
      <c r="F151" s="9" t="s">
        <v>303</v>
      </c>
      <c r="G151" s="10">
        <f t="shared" si="9"/>
        <v>96.863</v>
      </c>
      <c r="H151" s="11">
        <v>41800</v>
      </c>
      <c r="I151" s="12" t="s">
        <v>328</v>
      </c>
      <c r="J151" s="12" t="s">
        <v>318</v>
      </c>
      <c r="K151" s="10" t="s">
        <v>15</v>
      </c>
      <c r="L151" s="12">
        <v>13</v>
      </c>
      <c r="M151" s="13" t="s">
        <v>317</v>
      </c>
      <c r="N151" s="13" t="s">
        <v>309</v>
      </c>
      <c r="O151" s="14"/>
    </row>
    <row r="152" spans="1:15" s="15" customFormat="1" ht="12.75" x14ac:dyDescent="0.15">
      <c r="A152" s="9" t="s">
        <v>444</v>
      </c>
      <c r="B152" s="8"/>
      <c r="C152" s="9"/>
      <c r="D152" s="9" t="s">
        <v>20</v>
      </c>
      <c r="E152" s="9" t="s">
        <v>21</v>
      </c>
      <c r="F152" s="9" t="s">
        <v>445</v>
      </c>
      <c r="G152" s="10">
        <f t="shared" si="9"/>
        <v>89.411999999999992</v>
      </c>
      <c r="H152" s="11">
        <v>41817</v>
      </c>
      <c r="I152" s="12" t="s">
        <v>328</v>
      </c>
      <c r="J152" s="12" t="s">
        <v>475</v>
      </c>
      <c r="K152" s="10" t="s">
        <v>15</v>
      </c>
      <c r="L152" s="12">
        <v>12</v>
      </c>
      <c r="M152" s="13" t="s">
        <v>467</v>
      </c>
      <c r="N152" s="13" t="s">
        <v>307</v>
      </c>
      <c r="O152" s="17"/>
    </row>
    <row r="153" spans="1:15" s="15" customFormat="1" ht="12.75" x14ac:dyDescent="0.15">
      <c r="A153" s="9" t="s">
        <v>444</v>
      </c>
      <c r="B153" s="8"/>
      <c r="C153" s="9"/>
      <c r="D153" s="9" t="s">
        <v>20</v>
      </c>
      <c r="E153" s="9" t="s">
        <v>21</v>
      </c>
      <c r="F153" s="9" t="s">
        <v>446</v>
      </c>
      <c r="G153" s="10">
        <f t="shared" si="9"/>
        <v>96.863</v>
      </c>
      <c r="H153" s="11">
        <v>41817</v>
      </c>
      <c r="I153" s="12" t="s">
        <v>328</v>
      </c>
      <c r="J153" s="12" t="s">
        <v>476</v>
      </c>
      <c r="K153" s="10" t="s">
        <v>15</v>
      </c>
      <c r="L153" s="12">
        <v>13</v>
      </c>
      <c r="M153" s="13" t="s">
        <v>467</v>
      </c>
      <c r="N153" s="13" t="s">
        <v>309</v>
      </c>
      <c r="O153" s="17"/>
    </row>
    <row r="154" spans="1:15" s="15" customFormat="1" ht="12.75" x14ac:dyDescent="0.15">
      <c r="A154" s="9" t="s">
        <v>444</v>
      </c>
      <c r="B154" s="8"/>
      <c r="C154" s="9"/>
      <c r="D154" s="9" t="s">
        <v>20</v>
      </c>
      <c r="E154" s="9" t="s">
        <v>21</v>
      </c>
      <c r="F154" s="9" t="s">
        <v>447</v>
      </c>
      <c r="G154" s="10">
        <f t="shared" si="9"/>
        <v>89.411999999999992</v>
      </c>
      <c r="H154" s="11">
        <v>41817</v>
      </c>
      <c r="I154" s="12" t="s">
        <v>328</v>
      </c>
      <c r="J154" s="12" t="s">
        <v>477</v>
      </c>
      <c r="K154" s="10" t="s">
        <v>15</v>
      </c>
      <c r="L154" s="12">
        <v>12</v>
      </c>
      <c r="M154" s="13" t="s">
        <v>468</v>
      </c>
      <c r="N154" s="13" t="s">
        <v>307</v>
      </c>
      <c r="O154" s="17"/>
    </row>
    <row r="155" spans="1:15" s="15" customFormat="1" ht="12.75" x14ac:dyDescent="0.15">
      <c r="A155" s="9" t="s">
        <v>444</v>
      </c>
      <c r="B155" s="8"/>
      <c r="C155" s="9"/>
      <c r="D155" s="9" t="s">
        <v>20</v>
      </c>
      <c r="E155" s="9" t="s">
        <v>21</v>
      </c>
      <c r="F155" s="9" t="s">
        <v>448</v>
      </c>
      <c r="G155" s="10">
        <f t="shared" si="9"/>
        <v>96.863</v>
      </c>
      <c r="H155" s="11">
        <v>41817</v>
      </c>
      <c r="I155" s="12" t="s">
        <v>328</v>
      </c>
      <c r="J155" s="12" t="s">
        <v>478</v>
      </c>
      <c r="K155" s="10" t="s">
        <v>15</v>
      </c>
      <c r="L155" s="12">
        <v>13</v>
      </c>
      <c r="M155" s="13" t="s">
        <v>468</v>
      </c>
      <c r="N155" s="13" t="s">
        <v>309</v>
      </c>
      <c r="O155" s="17"/>
    </row>
    <row r="156" spans="1:15" s="15" customFormat="1" ht="12.75" x14ac:dyDescent="0.15">
      <c r="A156" s="9" t="s">
        <v>444</v>
      </c>
      <c r="B156" s="8"/>
      <c r="C156" s="9"/>
      <c r="D156" s="9" t="s">
        <v>20</v>
      </c>
      <c r="E156" s="9" t="s">
        <v>21</v>
      </c>
      <c r="F156" s="9" t="s">
        <v>449</v>
      </c>
      <c r="G156" s="10">
        <f t="shared" si="9"/>
        <v>89.411999999999992</v>
      </c>
      <c r="H156" s="11">
        <v>41817</v>
      </c>
      <c r="I156" s="12" t="s">
        <v>328</v>
      </c>
      <c r="J156" s="12" t="s">
        <v>479</v>
      </c>
      <c r="K156" s="10" t="s">
        <v>15</v>
      </c>
      <c r="L156" s="12">
        <v>12</v>
      </c>
      <c r="M156" s="13" t="s">
        <v>469</v>
      </c>
      <c r="N156" s="13" t="s">
        <v>307</v>
      </c>
      <c r="O156" s="17"/>
    </row>
    <row r="157" spans="1:15" s="15" customFormat="1" ht="12.75" x14ac:dyDescent="0.15">
      <c r="A157" s="9" t="s">
        <v>444</v>
      </c>
      <c r="B157" s="8"/>
      <c r="C157" s="9"/>
      <c r="D157" s="9" t="s">
        <v>20</v>
      </c>
      <c r="E157" s="9" t="s">
        <v>21</v>
      </c>
      <c r="F157" s="9" t="s">
        <v>450</v>
      </c>
      <c r="G157" s="10">
        <f t="shared" si="9"/>
        <v>96.863</v>
      </c>
      <c r="H157" s="11">
        <v>41817</v>
      </c>
      <c r="I157" s="12" t="s">
        <v>328</v>
      </c>
      <c r="J157" s="12" t="s">
        <v>480</v>
      </c>
      <c r="K157" s="10" t="s">
        <v>15</v>
      </c>
      <c r="L157" s="12">
        <v>13</v>
      </c>
      <c r="M157" s="13" t="s">
        <v>469</v>
      </c>
      <c r="N157" s="13" t="s">
        <v>309</v>
      </c>
      <c r="O157" s="17"/>
    </row>
    <row r="158" spans="1:15" s="15" customFormat="1" ht="12.75" x14ac:dyDescent="0.15">
      <c r="A158" s="9" t="s">
        <v>444</v>
      </c>
      <c r="B158" s="8"/>
      <c r="C158" s="9"/>
      <c r="D158" s="9" t="s">
        <v>20</v>
      </c>
      <c r="E158" s="9" t="s">
        <v>21</v>
      </c>
      <c r="F158" s="9" t="s">
        <v>451</v>
      </c>
      <c r="G158" s="10">
        <f t="shared" si="9"/>
        <v>89.411999999999992</v>
      </c>
      <c r="H158" s="11">
        <v>41817</v>
      </c>
      <c r="I158" s="12" t="s">
        <v>328</v>
      </c>
      <c r="J158" s="12" t="s">
        <v>481</v>
      </c>
      <c r="K158" s="10" t="s">
        <v>15</v>
      </c>
      <c r="L158" s="12">
        <v>12</v>
      </c>
      <c r="M158" s="13" t="s">
        <v>470</v>
      </c>
      <c r="N158" s="13" t="s">
        <v>307</v>
      </c>
      <c r="O158" s="17"/>
    </row>
    <row r="159" spans="1:15" s="15" customFormat="1" ht="12.75" x14ac:dyDescent="0.15">
      <c r="A159" s="9" t="s">
        <v>444</v>
      </c>
      <c r="B159" s="8"/>
      <c r="C159" s="9"/>
      <c r="D159" s="9" t="s">
        <v>20</v>
      </c>
      <c r="E159" s="9" t="s">
        <v>21</v>
      </c>
      <c r="F159" s="9" t="s">
        <v>452</v>
      </c>
      <c r="G159" s="10">
        <f t="shared" si="9"/>
        <v>96.863</v>
      </c>
      <c r="H159" s="11">
        <v>41817</v>
      </c>
      <c r="I159" s="12" t="s">
        <v>328</v>
      </c>
      <c r="J159" s="12" t="s">
        <v>482</v>
      </c>
      <c r="K159" s="10" t="s">
        <v>15</v>
      </c>
      <c r="L159" s="12">
        <v>13</v>
      </c>
      <c r="M159" s="13" t="s">
        <v>470</v>
      </c>
      <c r="N159" s="13" t="s">
        <v>309</v>
      </c>
      <c r="O159" s="17"/>
    </row>
    <row r="160" spans="1:15" s="15" customFormat="1" ht="12.75" x14ac:dyDescent="0.15">
      <c r="A160" s="9" t="s">
        <v>444</v>
      </c>
      <c r="B160" s="8"/>
      <c r="C160" s="9"/>
      <c r="D160" s="9" t="s">
        <v>20</v>
      </c>
      <c r="E160" s="9" t="s">
        <v>21</v>
      </c>
      <c r="F160" s="9" t="s">
        <v>453</v>
      </c>
      <c r="G160" s="10">
        <f t="shared" si="9"/>
        <v>89.411999999999992</v>
      </c>
      <c r="H160" s="11">
        <v>41817</v>
      </c>
      <c r="I160" s="12" t="s">
        <v>328</v>
      </c>
      <c r="J160" s="12" t="s">
        <v>483</v>
      </c>
      <c r="K160" s="10" t="s">
        <v>15</v>
      </c>
      <c r="L160" s="12">
        <v>12</v>
      </c>
      <c r="M160" s="13" t="s">
        <v>471</v>
      </c>
      <c r="N160" s="13" t="s">
        <v>307</v>
      </c>
      <c r="O160" s="17"/>
    </row>
    <row r="161" spans="1:15" s="15" customFormat="1" ht="12.75" x14ac:dyDescent="0.15">
      <c r="A161" s="9" t="s">
        <v>28</v>
      </c>
      <c r="B161" s="8"/>
      <c r="C161" s="9"/>
      <c r="D161" s="9" t="s">
        <v>20</v>
      </c>
      <c r="E161" s="9" t="s">
        <v>21</v>
      </c>
      <c r="F161" s="9" t="s">
        <v>1027</v>
      </c>
      <c r="G161" s="10">
        <f t="shared" si="9"/>
        <v>96.863</v>
      </c>
      <c r="H161" s="11">
        <v>41817</v>
      </c>
      <c r="I161" s="12" t="s">
        <v>472</v>
      </c>
      <c r="J161" s="12" t="s">
        <v>484</v>
      </c>
      <c r="K161" s="10" t="s">
        <v>15</v>
      </c>
      <c r="L161" s="12">
        <v>13</v>
      </c>
      <c r="M161" s="13" t="s">
        <v>471</v>
      </c>
      <c r="N161" s="13" t="s">
        <v>309</v>
      </c>
      <c r="O161" s="17"/>
    </row>
    <row r="162" spans="1:15" s="15" customFormat="1" ht="12.75" x14ac:dyDescent="0.15">
      <c r="A162" s="9" t="s">
        <v>132</v>
      </c>
      <c r="B162" s="8"/>
      <c r="C162" s="9"/>
      <c r="D162" s="9" t="s">
        <v>45</v>
      </c>
      <c r="E162" s="9" t="s">
        <v>133</v>
      </c>
      <c r="F162" s="9" t="s">
        <v>134</v>
      </c>
      <c r="G162" s="10">
        <f>7.986*L162</f>
        <v>79.86</v>
      </c>
      <c r="H162" s="11">
        <v>41752</v>
      </c>
      <c r="I162" s="12" t="s">
        <v>139</v>
      </c>
      <c r="J162" s="12" t="s">
        <v>136</v>
      </c>
      <c r="K162" s="10" t="s">
        <v>137</v>
      </c>
      <c r="L162" s="12">
        <v>10</v>
      </c>
      <c r="M162" s="13" t="s">
        <v>138</v>
      </c>
      <c r="N162" s="13" t="s">
        <v>117</v>
      </c>
      <c r="O162" s="14" t="s">
        <v>138</v>
      </c>
    </row>
    <row r="163" spans="1:15" s="15" customFormat="1" ht="12.75" x14ac:dyDescent="0.15">
      <c r="A163" s="9" t="s">
        <v>231</v>
      </c>
      <c r="B163" s="8"/>
      <c r="C163" s="9"/>
      <c r="D163" s="9" t="s">
        <v>232</v>
      </c>
      <c r="E163" s="9" t="s">
        <v>233</v>
      </c>
      <c r="F163" s="9" t="s">
        <v>239</v>
      </c>
      <c r="G163" s="10">
        <f>25.957*L163</f>
        <v>233.613</v>
      </c>
      <c r="H163" s="11">
        <v>41785</v>
      </c>
      <c r="I163" s="12" t="s">
        <v>184</v>
      </c>
      <c r="J163" s="12" t="s">
        <v>242</v>
      </c>
      <c r="K163" s="10" t="s">
        <v>237</v>
      </c>
      <c r="L163" s="12">
        <v>9</v>
      </c>
      <c r="M163" s="13" t="s">
        <v>240</v>
      </c>
      <c r="N163" s="13" t="s">
        <v>205</v>
      </c>
      <c r="O163" s="17" t="s">
        <v>288</v>
      </c>
    </row>
    <row r="164" spans="1:15" s="15" customFormat="1" ht="12.75" x14ac:dyDescent="0.15">
      <c r="A164" s="9" t="s">
        <v>63</v>
      </c>
      <c r="B164" s="16" t="s">
        <v>91</v>
      </c>
      <c r="C164" s="9"/>
      <c r="D164" s="9" t="s">
        <v>953</v>
      </c>
      <c r="E164" s="9" t="s">
        <v>65</v>
      </c>
      <c r="F164" s="9" t="s">
        <v>564</v>
      </c>
      <c r="G164" s="10">
        <f t="shared" ref="G164:G169" si="10">4.66*L164</f>
        <v>60.58</v>
      </c>
      <c r="H164" s="11">
        <v>41869</v>
      </c>
      <c r="I164" s="12" t="s">
        <v>280</v>
      </c>
      <c r="J164" s="12" t="s">
        <v>566</v>
      </c>
      <c r="K164" s="10" t="s">
        <v>15</v>
      </c>
      <c r="L164" s="12">
        <v>13</v>
      </c>
      <c r="M164" s="13" t="s">
        <v>567</v>
      </c>
      <c r="N164" s="13" t="s">
        <v>165</v>
      </c>
      <c r="O164" s="17" t="s">
        <v>630</v>
      </c>
    </row>
    <row r="165" spans="1:15" s="15" customFormat="1" ht="12.75" x14ac:dyDescent="0.15">
      <c r="A165" s="9" t="s">
        <v>594</v>
      </c>
      <c r="B165" s="16" t="s">
        <v>70</v>
      </c>
      <c r="C165" s="9"/>
      <c r="D165" s="9" t="s">
        <v>576</v>
      </c>
      <c r="E165" s="9" t="s">
        <v>577</v>
      </c>
      <c r="F165" s="9" t="s">
        <v>597</v>
      </c>
      <c r="G165" s="10">
        <f t="shared" si="10"/>
        <v>23.3</v>
      </c>
      <c r="H165" s="11">
        <v>41870</v>
      </c>
      <c r="I165" s="12" t="s">
        <v>280</v>
      </c>
      <c r="J165" s="12" t="s">
        <v>602</v>
      </c>
      <c r="K165" s="10" t="s">
        <v>99</v>
      </c>
      <c r="L165" s="12">
        <v>5</v>
      </c>
      <c r="M165" s="13" t="s">
        <v>688</v>
      </c>
      <c r="N165" s="13" t="s">
        <v>608</v>
      </c>
      <c r="O165" s="17" t="s">
        <v>605</v>
      </c>
    </row>
    <row r="166" spans="1:15" s="15" customFormat="1" ht="12.75" x14ac:dyDescent="0.15">
      <c r="A166" s="28" t="s">
        <v>636</v>
      </c>
      <c r="B166" s="16" t="s">
        <v>70</v>
      </c>
      <c r="C166" s="9"/>
      <c r="D166" s="9" t="s">
        <v>632</v>
      </c>
      <c r="E166" s="9" t="s">
        <v>122</v>
      </c>
      <c r="F166" s="9" t="s">
        <v>882</v>
      </c>
      <c r="G166" s="10">
        <f t="shared" si="10"/>
        <v>60.58</v>
      </c>
      <c r="H166" s="11">
        <v>41884</v>
      </c>
      <c r="I166" s="12" t="s">
        <v>490</v>
      </c>
      <c r="J166" s="12" t="s">
        <v>633</v>
      </c>
      <c r="K166" s="10" t="s">
        <v>99</v>
      </c>
      <c r="L166" s="12">
        <v>13</v>
      </c>
      <c r="M166" s="13" t="s">
        <v>634</v>
      </c>
      <c r="N166" s="13" t="s">
        <v>635</v>
      </c>
      <c r="O166" s="17" t="s">
        <v>640</v>
      </c>
    </row>
    <row r="167" spans="1:15" s="15" customFormat="1" ht="12.75" x14ac:dyDescent="0.15">
      <c r="A167" s="9" t="s">
        <v>319</v>
      </c>
      <c r="B167" s="16" t="s">
        <v>70</v>
      </c>
      <c r="C167" s="9"/>
      <c r="D167" s="9" t="s">
        <v>576</v>
      </c>
      <c r="E167" s="9" t="s">
        <v>577</v>
      </c>
      <c r="F167" s="9" t="s">
        <v>616</v>
      </c>
      <c r="G167" s="10">
        <f t="shared" si="10"/>
        <v>60.58</v>
      </c>
      <c r="H167" s="11">
        <v>41871</v>
      </c>
      <c r="I167" s="12" t="s">
        <v>517</v>
      </c>
      <c r="J167" s="12" t="s">
        <v>617</v>
      </c>
      <c r="K167" s="10" t="s">
        <v>41</v>
      </c>
      <c r="L167" s="12">
        <v>13</v>
      </c>
      <c r="M167" s="13" t="s">
        <v>689</v>
      </c>
      <c r="N167" s="13" t="s">
        <v>165</v>
      </c>
      <c r="O167" s="17" t="s">
        <v>642</v>
      </c>
    </row>
    <row r="168" spans="1:15" s="15" customFormat="1" ht="12.75" x14ac:dyDescent="0.15">
      <c r="A168" s="28" t="s">
        <v>641</v>
      </c>
      <c r="B168" s="16" t="s">
        <v>70</v>
      </c>
      <c r="C168" s="9"/>
      <c r="D168" s="9" t="s">
        <v>620</v>
      </c>
      <c r="E168" s="9" t="s">
        <v>577</v>
      </c>
      <c r="F168" s="9" t="s">
        <v>621</v>
      </c>
      <c r="G168" s="10">
        <f t="shared" si="10"/>
        <v>37.28</v>
      </c>
      <c r="H168" s="11">
        <v>41877</v>
      </c>
      <c r="I168" s="12" t="s">
        <v>626</v>
      </c>
      <c r="J168" s="12" t="s">
        <v>622</v>
      </c>
      <c r="K168" s="10" t="s">
        <v>623</v>
      </c>
      <c r="L168" s="12">
        <v>8</v>
      </c>
      <c r="M168" s="13" t="s">
        <v>624</v>
      </c>
      <c r="N168" s="13" t="s">
        <v>625</v>
      </c>
      <c r="O168" s="17" t="s">
        <v>800</v>
      </c>
    </row>
    <row r="169" spans="1:15" s="15" customFormat="1" ht="12.75" x14ac:dyDescent="0.15">
      <c r="A169" s="9" t="s">
        <v>838</v>
      </c>
      <c r="B169" s="16" t="s">
        <v>70</v>
      </c>
      <c r="C169" s="9"/>
      <c r="D169" s="9" t="s">
        <v>665</v>
      </c>
      <c r="E169" s="9" t="s">
        <v>666</v>
      </c>
      <c r="F169" s="9" t="s">
        <v>670</v>
      </c>
      <c r="G169" s="10">
        <f t="shared" si="10"/>
        <v>9.32</v>
      </c>
      <c r="H169" s="11">
        <v>41894</v>
      </c>
      <c r="I169" s="12" t="s">
        <v>280</v>
      </c>
      <c r="J169" s="12" t="s">
        <v>672</v>
      </c>
      <c r="K169" s="10" t="s">
        <v>15</v>
      </c>
      <c r="L169" s="12">
        <v>2</v>
      </c>
      <c r="M169" s="13" t="s">
        <v>691</v>
      </c>
      <c r="N169" s="13" t="s">
        <v>676</v>
      </c>
      <c r="O169" s="17" t="s">
        <v>802</v>
      </c>
    </row>
    <row r="170" spans="1:15" s="15" customFormat="1" ht="12.75" x14ac:dyDescent="0.15">
      <c r="A170" s="9" t="s">
        <v>678</v>
      </c>
      <c r="B170" s="16"/>
      <c r="C170" s="9"/>
      <c r="D170" s="9" t="s">
        <v>569</v>
      </c>
      <c r="E170" s="9" t="s">
        <v>666</v>
      </c>
      <c r="F170" s="9" t="s">
        <v>680</v>
      </c>
      <c r="G170" s="10">
        <f>7.986*L170</f>
        <v>71.873999999999995</v>
      </c>
      <c r="H170" s="11">
        <v>41894</v>
      </c>
      <c r="I170" s="12" t="s">
        <v>56</v>
      </c>
      <c r="J170" s="12" t="s">
        <v>682</v>
      </c>
      <c r="K170" s="10" t="s">
        <v>15</v>
      </c>
      <c r="L170" s="12">
        <v>9</v>
      </c>
      <c r="M170" s="13" t="s">
        <v>692</v>
      </c>
      <c r="N170" s="13" t="s">
        <v>694</v>
      </c>
      <c r="O170" s="17" t="s">
        <v>804</v>
      </c>
    </row>
    <row r="171" spans="1:15" s="15" customFormat="1" ht="12.75" x14ac:dyDescent="0.15">
      <c r="A171" s="29" t="s">
        <v>710</v>
      </c>
      <c r="B171" s="16"/>
      <c r="C171" s="9"/>
      <c r="D171" s="9" t="s">
        <v>569</v>
      </c>
      <c r="E171" s="9" t="s">
        <v>695</v>
      </c>
      <c r="F171" s="9" t="s">
        <v>696</v>
      </c>
      <c r="G171" s="10">
        <f>7.986*L171</f>
        <v>39.93</v>
      </c>
      <c r="H171" s="11">
        <v>41894</v>
      </c>
      <c r="I171" s="12" t="s">
        <v>733</v>
      </c>
      <c r="J171" s="12" t="s">
        <v>697</v>
      </c>
      <c r="K171" s="10" t="s">
        <v>698</v>
      </c>
      <c r="L171" s="12">
        <v>5</v>
      </c>
      <c r="M171" s="13" t="s">
        <v>699</v>
      </c>
      <c r="N171" s="13" t="s">
        <v>700</v>
      </c>
      <c r="O171" s="17" t="s">
        <v>805</v>
      </c>
    </row>
    <row r="172" spans="1:15" s="15" customFormat="1" ht="12.75" x14ac:dyDescent="0.15">
      <c r="A172" s="9" t="s">
        <v>717</v>
      </c>
      <c r="B172" s="16" t="s">
        <v>91</v>
      </c>
      <c r="C172" s="9"/>
      <c r="D172" s="9" t="s">
        <v>718</v>
      </c>
      <c r="E172" s="9" t="s">
        <v>719</v>
      </c>
      <c r="F172" s="9" t="s">
        <v>722</v>
      </c>
      <c r="G172" s="10">
        <f>4.66*L172</f>
        <v>23.3</v>
      </c>
      <c r="H172" s="11">
        <v>41905</v>
      </c>
      <c r="I172" s="12" t="s">
        <v>280</v>
      </c>
      <c r="J172" s="12" t="s">
        <v>725</v>
      </c>
      <c r="K172" s="10" t="s">
        <v>15</v>
      </c>
      <c r="L172" s="12">
        <v>5</v>
      </c>
      <c r="M172" s="13" t="s">
        <v>727</v>
      </c>
      <c r="N172" s="13" t="s">
        <v>728</v>
      </c>
      <c r="O172" s="17" t="s">
        <v>807</v>
      </c>
    </row>
    <row r="173" spans="1:15" s="15" customFormat="1" ht="12.75" x14ac:dyDescent="0.15">
      <c r="A173" s="9" t="s">
        <v>717</v>
      </c>
      <c r="B173" s="16" t="s">
        <v>91</v>
      </c>
      <c r="C173" s="9"/>
      <c r="D173" s="9" t="s">
        <v>735</v>
      </c>
      <c r="E173" s="9" t="s">
        <v>736</v>
      </c>
      <c r="F173" s="9" t="s">
        <v>737</v>
      </c>
      <c r="G173" s="10">
        <f>4.66*L173</f>
        <v>41.94</v>
      </c>
      <c r="H173" s="11">
        <v>41911</v>
      </c>
      <c r="I173" s="12" t="s">
        <v>280</v>
      </c>
      <c r="J173" s="12" t="s">
        <v>738</v>
      </c>
      <c r="K173" s="10" t="s">
        <v>15</v>
      </c>
      <c r="L173" s="12">
        <v>9</v>
      </c>
      <c r="M173" s="13" t="s">
        <v>741</v>
      </c>
      <c r="N173" s="13" t="s">
        <v>742</v>
      </c>
      <c r="O173" s="17" t="s">
        <v>808</v>
      </c>
    </row>
    <row r="174" spans="1:15" s="15" customFormat="1" ht="12.75" x14ac:dyDescent="0.15">
      <c r="A174" s="9" t="s">
        <v>745</v>
      </c>
      <c r="B174" s="16"/>
      <c r="C174" s="9"/>
      <c r="D174" s="9" t="s">
        <v>518</v>
      </c>
      <c r="E174" s="9" t="s">
        <v>65</v>
      </c>
      <c r="F174" s="9" t="s">
        <v>746</v>
      </c>
      <c r="G174" s="10">
        <f>7.986*L174</f>
        <v>39.93</v>
      </c>
      <c r="H174" s="11">
        <v>41911</v>
      </c>
      <c r="I174" s="12" t="s">
        <v>751</v>
      </c>
      <c r="J174" s="12" t="s">
        <v>747</v>
      </c>
      <c r="K174" s="10" t="s">
        <v>748</v>
      </c>
      <c r="L174" s="12">
        <v>5</v>
      </c>
      <c r="M174" s="13" t="s">
        <v>749</v>
      </c>
      <c r="N174" s="13" t="s">
        <v>750</v>
      </c>
      <c r="O174" s="17" t="s">
        <v>765</v>
      </c>
    </row>
    <row r="175" spans="1:15" s="15" customFormat="1" ht="12.75" x14ac:dyDescent="0.15">
      <c r="A175" s="9" t="s">
        <v>775</v>
      </c>
      <c r="B175" s="16"/>
      <c r="C175" s="9"/>
      <c r="D175" s="9" t="s">
        <v>778</v>
      </c>
      <c r="E175" s="9" t="s">
        <v>776</v>
      </c>
      <c r="F175" s="9" t="s">
        <v>777</v>
      </c>
      <c r="G175" s="10">
        <f>25.957*L175</f>
        <v>103.828</v>
      </c>
      <c r="H175" s="11">
        <v>41928</v>
      </c>
      <c r="I175" s="12" t="s">
        <v>781</v>
      </c>
      <c r="J175" s="12" t="s">
        <v>780</v>
      </c>
      <c r="K175" s="10" t="s">
        <v>15</v>
      </c>
      <c r="L175" s="12">
        <v>4</v>
      </c>
      <c r="M175" s="13" t="s">
        <v>782</v>
      </c>
      <c r="N175" s="13" t="s">
        <v>783</v>
      </c>
      <c r="O175" s="17" t="s">
        <v>810</v>
      </c>
    </row>
    <row r="176" spans="1:15" s="15" customFormat="1" ht="12.75" x14ac:dyDescent="0.15">
      <c r="A176" s="29" t="s">
        <v>797</v>
      </c>
      <c r="B176" s="16"/>
      <c r="C176" s="16" t="s">
        <v>91</v>
      </c>
      <c r="D176" s="9" t="s">
        <v>793</v>
      </c>
      <c r="E176" s="9" t="s">
        <v>788</v>
      </c>
      <c r="F176" s="9" t="s">
        <v>794</v>
      </c>
      <c r="G176" s="10">
        <f>2.462*L176</f>
        <v>12.31</v>
      </c>
      <c r="H176" s="11">
        <v>41933</v>
      </c>
      <c r="I176" s="12" t="s">
        <v>852</v>
      </c>
      <c r="J176" s="12" t="s">
        <v>795</v>
      </c>
      <c r="K176" s="10" t="s">
        <v>791</v>
      </c>
      <c r="L176" s="12">
        <v>5</v>
      </c>
      <c r="M176" s="13" t="s">
        <v>873</v>
      </c>
      <c r="N176" s="13" t="s">
        <v>796</v>
      </c>
      <c r="O176" s="17" t="s">
        <v>870</v>
      </c>
    </row>
    <row r="177" spans="1:15" s="15" customFormat="1" ht="12.75" x14ac:dyDescent="0.15">
      <c r="A177" s="9" t="s">
        <v>828</v>
      </c>
      <c r="B177" s="16" t="s">
        <v>772</v>
      </c>
      <c r="C177" s="16" t="s">
        <v>91</v>
      </c>
      <c r="D177" s="9" t="s">
        <v>823</v>
      </c>
      <c r="E177" s="9" t="s">
        <v>824</v>
      </c>
      <c r="F177" s="9" t="s">
        <v>825</v>
      </c>
      <c r="G177" s="10">
        <f>4.66*L177</f>
        <v>9.32</v>
      </c>
      <c r="H177" s="11">
        <v>41940</v>
      </c>
      <c r="I177" s="12" t="s">
        <v>771</v>
      </c>
      <c r="J177" s="12" t="s">
        <v>826</v>
      </c>
      <c r="K177" s="10" t="s">
        <v>15</v>
      </c>
      <c r="L177" s="12">
        <v>2</v>
      </c>
      <c r="M177" s="13" t="s">
        <v>837</v>
      </c>
      <c r="N177" s="13" t="s">
        <v>827</v>
      </c>
      <c r="O177" s="17" t="s">
        <v>871</v>
      </c>
    </row>
    <row r="178" spans="1:15" s="15" customFormat="1" ht="12.75" x14ac:dyDescent="0.15">
      <c r="A178" s="29" t="s">
        <v>833</v>
      </c>
      <c r="B178" s="16" t="s">
        <v>834</v>
      </c>
      <c r="C178" s="31"/>
      <c r="D178" s="9" t="s">
        <v>830</v>
      </c>
      <c r="E178" s="9" t="s">
        <v>831</v>
      </c>
      <c r="F178" s="9" t="s">
        <v>832</v>
      </c>
      <c r="G178" s="10">
        <f>2.462*L178</f>
        <v>24.62</v>
      </c>
      <c r="H178" s="11">
        <v>41946</v>
      </c>
      <c r="I178" s="12" t="s">
        <v>854</v>
      </c>
      <c r="J178" s="12" t="s">
        <v>835</v>
      </c>
      <c r="K178" s="10" t="s">
        <v>836</v>
      </c>
      <c r="L178" s="12">
        <v>10</v>
      </c>
      <c r="M178" s="13" t="s">
        <v>851</v>
      </c>
      <c r="N178" s="13" t="s">
        <v>117</v>
      </c>
      <c r="O178" s="17" t="s">
        <v>872</v>
      </c>
    </row>
    <row r="179" spans="1:15" s="15" customFormat="1" ht="12.75" x14ac:dyDescent="0.15">
      <c r="A179" s="9" t="s">
        <v>839</v>
      </c>
      <c r="B179" s="16" t="s">
        <v>772</v>
      </c>
      <c r="C179" s="16" t="s">
        <v>91</v>
      </c>
      <c r="D179" s="9" t="s">
        <v>840</v>
      </c>
      <c r="E179" s="9" t="s">
        <v>841</v>
      </c>
      <c r="F179" s="9" t="s">
        <v>848</v>
      </c>
      <c r="G179" s="10">
        <f>4.66*L179</f>
        <v>32.620000000000005</v>
      </c>
      <c r="H179" s="11">
        <v>41957</v>
      </c>
      <c r="I179" s="12" t="s">
        <v>771</v>
      </c>
      <c r="J179" s="12" t="s">
        <v>842</v>
      </c>
      <c r="K179" s="10" t="s">
        <v>58</v>
      </c>
      <c r="L179" s="12">
        <v>7</v>
      </c>
      <c r="M179" s="13" t="s">
        <v>888</v>
      </c>
      <c r="N179" s="13" t="s">
        <v>845</v>
      </c>
      <c r="O179" s="17" t="s">
        <v>914</v>
      </c>
    </row>
    <row r="180" spans="1:15" s="15" customFormat="1" ht="12.75" x14ac:dyDescent="0.15">
      <c r="A180" s="9" t="s">
        <v>641</v>
      </c>
      <c r="B180" s="16" t="s">
        <v>70</v>
      </c>
      <c r="C180" s="16"/>
      <c r="D180" s="9" t="s">
        <v>865</v>
      </c>
      <c r="E180" s="9" t="s">
        <v>863</v>
      </c>
      <c r="F180" s="9" t="s">
        <v>864</v>
      </c>
      <c r="G180" s="10">
        <f>4.66*L180</f>
        <v>46.6</v>
      </c>
      <c r="H180" s="11">
        <v>41962</v>
      </c>
      <c r="I180" s="12" t="s">
        <v>867</v>
      </c>
      <c r="J180" s="12" t="s">
        <v>866</v>
      </c>
      <c r="K180" s="10" t="s">
        <v>41</v>
      </c>
      <c r="L180" s="12">
        <v>10</v>
      </c>
      <c r="M180" s="13" t="s">
        <v>890</v>
      </c>
      <c r="N180" s="13" t="s">
        <v>868</v>
      </c>
      <c r="O180" s="17" t="s">
        <v>967</v>
      </c>
    </row>
    <row r="181" spans="1:15" s="15" customFormat="1" ht="12.75" x14ac:dyDescent="0.15">
      <c r="A181" s="9" t="s">
        <v>874</v>
      </c>
      <c r="B181" s="16"/>
      <c r="C181" s="16" t="s">
        <v>91</v>
      </c>
      <c r="D181" s="9" t="s">
        <v>875</v>
      </c>
      <c r="E181" s="9" t="s">
        <v>876</v>
      </c>
      <c r="F181" s="9" t="s">
        <v>877</v>
      </c>
      <c r="G181" s="10">
        <f>2.462*L181</f>
        <v>32.006</v>
      </c>
      <c r="H181" s="11">
        <v>41963</v>
      </c>
      <c r="I181" s="12" t="s">
        <v>880</v>
      </c>
      <c r="J181" s="12" t="s">
        <v>878</v>
      </c>
      <c r="K181" s="10" t="s">
        <v>879</v>
      </c>
      <c r="L181" s="12">
        <v>13</v>
      </c>
      <c r="M181" s="13" t="s">
        <v>916</v>
      </c>
      <c r="N181" s="13" t="s">
        <v>881</v>
      </c>
      <c r="O181" s="17" t="s">
        <v>952</v>
      </c>
    </row>
    <row r="182" spans="1:15" s="15" customFormat="1" ht="12.75" x14ac:dyDescent="0.15">
      <c r="A182" s="9" t="s">
        <v>774</v>
      </c>
      <c r="B182" s="16" t="s">
        <v>886</v>
      </c>
      <c r="C182" s="16" t="s">
        <v>91</v>
      </c>
      <c r="D182" s="9" t="s">
        <v>883</v>
      </c>
      <c r="E182" s="9" t="s">
        <v>884</v>
      </c>
      <c r="F182" s="9" t="s">
        <v>1018</v>
      </c>
      <c r="G182" s="10">
        <f>4.66*L182</f>
        <v>93.2</v>
      </c>
      <c r="H182" s="11">
        <v>41968</v>
      </c>
      <c r="I182" s="12" t="s">
        <v>771</v>
      </c>
      <c r="J182" s="12" t="s">
        <v>885</v>
      </c>
      <c r="K182" s="10" t="s">
        <v>58</v>
      </c>
      <c r="L182" s="12">
        <v>20</v>
      </c>
      <c r="M182" s="13" t="s">
        <v>891</v>
      </c>
      <c r="N182" s="13" t="s">
        <v>887</v>
      </c>
      <c r="O182" s="17" t="s">
        <v>968</v>
      </c>
    </row>
    <row r="183" spans="1:15" s="15" customFormat="1" ht="12.75" x14ac:dyDescent="0.15">
      <c r="A183" s="9" t="s">
        <v>833</v>
      </c>
      <c r="B183" s="16" t="s">
        <v>834</v>
      </c>
      <c r="C183" s="9"/>
      <c r="D183" s="9" t="s">
        <v>893</v>
      </c>
      <c r="E183" s="9" t="s">
        <v>894</v>
      </c>
      <c r="F183" s="9" t="s">
        <v>895</v>
      </c>
      <c r="G183" s="10">
        <f>2.462*L183</f>
        <v>32.006</v>
      </c>
      <c r="H183" s="11">
        <v>41975</v>
      </c>
      <c r="I183" s="12" t="s">
        <v>852</v>
      </c>
      <c r="J183" s="12" t="s">
        <v>900</v>
      </c>
      <c r="K183" s="10" t="s">
        <v>791</v>
      </c>
      <c r="L183" s="12">
        <v>13</v>
      </c>
      <c r="M183" s="13" t="s">
        <v>851</v>
      </c>
      <c r="N183" s="13" t="s">
        <v>904</v>
      </c>
      <c r="O183" s="17" t="s">
        <v>984</v>
      </c>
    </row>
    <row r="184" spans="1:15" s="15" customFormat="1" ht="12.75" x14ac:dyDescent="0.15">
      <c r="A184" s="9" t="s">
        <v>833</v>
      </c>
      <c r="B184" s="16" t="s">
        <v>834</v>
      </c>
      <c r="C184" s="9"/>
      <c r="D184" s="9" t="s">
        <v>893</v>
      </c>
      <c r="E184" s="9" t="s">
        <v>894</v>
      </c>
      <c r="F184" s="9" t="s">
        <v>896</v>
      </c>
      <c r="G184" s="10">
        <f>2.462*L184</f>
        <v>4.9240000000000004</v>
      </c>
      <c r="H184" s="11">
        <v>41975</v>
      </c>
      <c r="I184" s="12" t="s">
        <v>852</v>
      </c>
      <c r="J184" s="12" t="s">
        <v>898</v>
      </c>
      <c r="K184" s="10" t="s">
        <v>791</v>
      </c>
      <c r="L184" s="12">
        <v>2</v>
      </c>
      <c r="M184" s="13" t="s">
        <v>903</v>
      </c>
      <c r="N184" s="13" t="s">
        <v>905</v>
      </c>
      <c r="O184" s="17" t="s">
        <v>985</v>
      </c>
    </row>
    <row r="185" spans="1:15" s="15" customFormat="1" ht="12.75" x14ac:dyDescent="0.15">
      <c r="A185" s="9" t="s">
        <v>833</v>
      </c>
      <c r="B185" s="16" t="s">
        <v>834</v>
      </c>
      <c r="C185" s="9"/>
      <c r="D185" s="9" t="s">
        <v>893</v>
      </c>
      <c r="E185" s="9" t="s">
        <v>894</v>
      </c>
      <c r="F185" s="9" t="s">
        <v>897</v>
      </c>
      <c r="G185" s="10">
        <f>2.462*L185</f>
        <v>29.544000000000004</v>
      </c>
      <c r="H185" s="11">
        <v>41975</v>
      </c>
      <c r="I185" s="12" t="s">
        <v>852</v>
      </c>
      <c r="J185" s="12" t="s">
        <v>899</v>
      </c>
      <c r="K185" s="10" t="s">
        <v>791</v>
      </c>
      <c r="L185" s="12">
        <v>12</v>
      </c>
      <c r="M185" s="13" t="s">
        <v>917</v>
      </c>
      <c r="N185" s="13" t="s">
        <v>27</v>
      </c>
      <c r="O185" s="17" t="s">
        <v>986</v>
      </c>
    </row>
    <row r="186" spans="1:15" s="15" customFormat="1" ht="12.75" x14ac:dyDescent="0.15">
      <c r="A186" s="9" t="s">
        <v>833</v>
      </c>
      <c r="B186" s="16" t="s">
        <v>834</v>
      </c>
      <c r="C186" s="9"/>
      <c r="D186" s="9" t="s">
        <v>121</v>
      </c>
      <c r="E186" s="9" t="s">
        <v>894</v>
      </c>
      <c r="F186" s="9" t="s">
        <v>901</v>
      </c>
      <c r="G186" s="10">
        <f>2.462*L186</f>
        <v>32.006</v>
      </c>
      <c r="H186" s="11">
        <v>41975</v>
      </c>
      <c r="I186" s="12" t="s">
        <v>852</v>
      </c>
      <c r="J186" s="12" t="s">
        <v>902</v>
      </c>
      <c r="K186" s="10" t="s">
        <v>791</v>
      </c>
      <c r="L186" s="12">
        <v>13</v>
      </c>
      <c r="M186" s="13" t="s">
        <v>917</v>
      </c>
      <c r="N186" s="13" t="s">
        <v>906</v>
      </c>
      <c r="O186" s="17" t="s">
        <v>987</v>
      </c>
    </row>
    <row r="187" spans="1:15" s="15" customFormat="1" ht="12.75" x14ac:dyDescent="0.15">
      <c r="A187" s="9" t="s">
        <v>918</v>
      </c>
      <c r="B187" s="16"/>
      <c r="C187" s="30" t="s">
        <v>70</v>
      </c>
      <c r="D187" s="9" t="s">
        <v>919</v>
      </c>
      <c r="E187" s="9" t="s">
        <v>920</v>
      </c>
      <c r="F187" s="9" t="s">
        <v>921</v>
      </c>
      <c r="G187" s="10">
        <f>4.66*L187</f>
        <v>46.6</v>
      </c>
      <c r="H187" s="11">
        <v>41981</v>
      </c>
      <c r="I187" s="12" t="s">
        <v>922</v>
      </c>
      <c r="J187" s="12" t="s">
        <v>923</v>
      </c>
      <c r="K187" s="10" t="s">
        <v>924</v>
      </c>
      <c r="L187" s="12">
        <v>10</v>
      </c>
      <c r="M187" s="13" t="s">
        <v>925</v>
      </c>
      <c r="N187" s="13" t="s">
        <v>868</v>
      </c>
      <c r="O187" s="17"/>
    </row>
    <row r="188" spans="1:15" s="15" customFormat="1" ht="12.75" x14ac:dyDescent="0.15">
      <c r="A188" s="29" t="s">
        <v>929</v>
      </c>
      <c r="B188" s="16"/>
      <c r="C188" s="30" t="s">
        <v>70</v>
      </c>
      <c r="D188" s="9" t="s">
        <v>875</v>
      </c>
      <c r="E188" s="9" t="s">
        <v>930</v>
      </c>
      <c r="F188" s="9" t="s">
        <v>931</v>
      </c>
      <c r="G188" s="10">
        <f>2.462*L188</f>
        <v>12.31</v>
      </c>
      <c r="H188" s="11">
        <v>41982</v>
      </c>
      <c r="I188" s="12" t="s">
        <v>933</v>
      </c>
      <c r="J188" s="12" t="s">
        <v>932</v>
      </c>
      <c r="K188" s="10" t="s">
        <v>15</v>
      </c>
      <c r="L188" s="12">
        <v>5</v>
      </c>
      <c r="M188" s="13" t="s">
        <v>934</v>
      </c>
      <c r="N188" s="13" t="s">
        <v>935</v>
      </c>
      <c r="O188" s="17" t="s">
        <v>1015</v>
      </c>
    </row>
    <row r="189" spans="1:15" s="15" customFormat="1" ht="12.75" x14ac:dyDescent="0.15">
      <c r="A189" s="9" t="s">
        <v>936</v>
      </c>
      <c r="B189" s="16"/>
      <c r="C189" s="30" t="s">
        <v>70</v>
      </c>
      <c r="D189" s="9" t="s">
        <v>875</v>
      </c>
      <c r="E189" s="9" t="s">
        <v>930</v>
      </c>
      <c r="F189" s="9" t="s">
        <v>937</v>
      </c>
      <c r="G189" s="10">
        <f>2.462*L189</f>
        <v>39.392000000000003</v>
      </c>
      <c r="H189" s="11">
        <v>41982</v>
      </c>
      <c r="I189" s="12" t="s">
        <v>852</v>
      </c>
      <c r="J189" s="12" t="s">
        <v>938</v>
      </c>
      <c r="K189" s="10" t="s">
        <v>791</v>
      </c>
      <c r="L189" s="12">
        <v>16</v>
      </c>
      <c r="M189" s="13" t="s">
        <v>934</v>
      </c>
      <c r="N189" s="13" t="s">
        <v>939</v>
      </c>
      <c r="O189" s="17" t="s">
        <v>1016</v>
      </c>
    </row>
    <row r="190" spans="1:15" s="15" customFormat="1" ht="12.75" x14ac:dyDescent="0.15">
      <c r="A190" s="9" t="s">
        <v>956</v>
      </c>
      <c r="B190" s="16"/>
      <c r="C190" s="30" t="s">
        <v>70</v>
      </c>
      <c r="D190" s="9" t="s">
        <v>875</v>
      </c>
      <c r="E190" s="9" t="s">
        <v>957</v>
      </c>
      <c r="F190" s="9" t="s">
        <v>958</v>
      </c>
      <c r="G190" s="10">
        <f>2.462*L190</f>
        <v>32.006</v>
      </c>
      <c r="H190" s="11">
        <v>41982</v>
      </c>
      <c r="I190" s="12" t="s">
        <v>852</v>
      </c>
      <c r="J190" s="12" t="s">
        <v>959</v>
      </c>
      <c r="K190" s="10" t="s">
        <v>791</v>
      </c>
      <c r="L190" s="12">
        <v>13</v>
      </c>
      <c r="M190" s="13" t="s">
        <v>963</v>
      </c>
      <c r="N190" s="13" t="s">
        <v>964</v>
      </c>
      <c r="O190" s="17"/>
    </row>
    <row r="191" spans="1:15" s="15" customFormat="1" ht="12.75" x14ac:dyDescent="0.15">
      <c r="A191" s="9" t="s">
        <v>966</v>
      </c>
      <c r="B191" s="16"/>
      <c r="C191" s="30" t="s">
        <v>70</v>
      </c>
      <c r="D191" s="9" t="s">
        <v>875</v>
      </c>
      <c r="E191" s="9" t="s">
        <v>957</v>
      </c>
      <c r="F191" s="9" t="s">
        <v>960</v>
      </c>
      <c r="G191" s="10">
        <f>2.462*L191</f>
        <v>29.544000000000004</v>
      </c>
      <c r="H191" s="11">
        <v>41982</v>
      </c>
      <c r="I191" s="12" t="s">
        <v>852</v>
      </c>
      <c r="J191" s="12" t="s">
        <v>961</v>
      </c>
      <c r="K191" s="10" t="s">
        <v>962</v>
      </c>
      <c r="L191" s="12">
        <v>12</v>
      </c>
      <c r="M191" s="13" t="s">
        <v>963</v>
      </c>
      <c r="N191" s="13" t="s">
        <v>965</v>
      </c>
      <c r="O191" s="17" t="s">
        <v>1017</v>
      </c>
    </row>
    <row r="192" spans="1:15" s="15" customFormat="1" ht="12.75" x14ac:dyDescent="0.15">
      <c r="A192" s="9" t="s">
        <v>999</v>
      </c>
      <c r="B192" s="16" t="s">
        <v>70</v>
      </c>
      <c r="C192" s="9"/>
      <c r="D192" s="9" t="s">
        <v>1000</v>
      </c>
      <c r="E192" s="9" t="s">
        <v>1001</v>
      </c>
      <c r="F192" s="9" t="s">
        <v>1002</v>
      </c>
      <c r="G192" s="10">
        <f t="shared" ref="G192:G193" si="11">4.66*L192</f>
        <v>32.620000000000005</v>
      </c>
      <c r="H192" s="11">
        <v>41996</v>
      </c>
      <c r="I192" s="12" t="s">
        <v>867</v>
      </c>
      <c r="J192" s="12" t="s">
        <v>1003</v>
      </c>
      <c r="K192" s="10" t="s">
        <v>1004</v>
      </c>
      <c r="L192" s="12">
        <v>7</v>
      </c>
      <c r="M192" s="13" t="s">
        <v>1008</v>
      </c>
      <c r="N192" s="13" t="s">
        <v>845</v>
      </c>
      <c r="O192" s="17"/>
    </row>
    <row r="193" spans="1:15" s="15" customFormat="1" ht="12.75" x14ac:dyDescent="0.15">
      <c r="A193" s="9" t="s">
        <v>999</v>
      </c>
      <c r="B193" s="16" t="s">
        <v>70</v>
      </c>
      <c r="C193" s="9"/>
      <c r="D193" s="9" t="s">
        <v>1000</v>
      </c>
      <c r="E193" s="9" t="s">
        <v>1001</v>
      </c>
      <c r="F193" s="9" t="s">
        <v>1005</v>
      </c>
      <c r="G193" s="10">
        <f t="shared" si="11"/>
        <v>32.620000000000005</v>
      </c>
      <c r="H193" s="11">
        <v>41996</v>
      </c>
      <c r="I193" s="12" t="s">
        <v>1007</v>
      </c>
      <c r="J193" s="12" t="s">
        <v>1006</v>
      </c>
      <c r="K193" s="10" t="s">
        <v>1004</v>
      </c>
      <c r="L193" s="12">
        <v>7</v>
      </c>
      <c r="M193" s="13" t="s">
        <v>1008</v>
      </c>
      <c r="N193" s="13" t="s">
        <v>1009</v>
      </c>
      <c r="O193" s="17"/>
    </row>
    <row r="194" spans="1:15" s="15" customFormat="1" ht="12.75" x14ac:dyDescent="0.15">
      <c r="A194" s="9" t="s">
        <v>940</v>
      </c>
      <c r="B194" s="16"/>
      <c r="C194" s="9"/>
      <c r="D194" s="9" t="s">
        <v>927</v>
      </c>
      <c r="E194" s="30" t="s">
        <v>755</v>
      </c>
      <c r="F194" s="9" t="s">
        <v>1010</v>
      </c>
      <c r="G194" s="10">
        <f t="shared" ref="G194:G195" si="12">14.88*L194</f>
        <v>178.56</v>
      </c>
      <c r="H194" s="11">
        <v>41996</v>
      </c>
      <c r="I194" s="12" t="s">
        <v>944</v>
      </c>
      <c r="J194" s="12" t="s">
        <v>1011</v>
      </c>
      <c r="K194" s="10" t="s">
        <v>15</v>
      </c>
      <c r="L194" s="12">
        <v>12</v>
      </c>
      <c r="M194" s="13" t="s">
        <v>1014</v>
      </c>
      <c r="N194" s="13" t="s">
        <v>861</v>
      </c>
      <c r="O194" s="17"/>
    </row>
    <row r="195" spans="1:15" s="15" customFormat="1" ht="12.75" x14ac:dyDescent="0.15">
      <c r="A195" s="9" t="s">
        <v>940</v>
      </c>
      <c r="B195" s="16"/>
      <c r="C195" s="9"/>
      <c r="D195" s="9" t="s">
        <v>927</v>
      </c>
      <c r="E195" s="30" t="s">
        <v>755</v>
      </c>
      <c r="F195" s="9" t="s">
        <v>1012</v>
      </c>
      <c r="G195" s="10">
        <f t="shared" si="12"/>
        <v>193.44</v>
      </c>
      <c r="H195" s="11">
        <v>41996</v>
      </c>
      <c r="I195" s="12" t="s">
        <v>944</v>
      </c>
      <c r="J195" s="12" t="s">
        <v>1013</v>
      </c>
      <c r="K195" s="10" t="s">
        <v>15</v>
      </c>
      <c r="L195" s="12">
        <v>13</v>
      </c>
      <c r="M195" s="13" t="s">
        <v>1014</v>
      </c>
      <c r="N195" s="13" t="s">
        <v>102</v>
      </c>
      <c r="O195" s="17"/>
    </row>
    <row r="196" spans="1:15" s="15" customFormat="1" ht="12.75" x14ac:dyDescent="0.15">
      <c r="A196" s="9"/>
      <c r="B196" s="16"/>
      <c r="C196" s="9"/>
      <c r="D196" s="9"/>
      <c r="E196" s="9"/>
      <c r="F196" s="9"/>
      <c r="G196" s="10"/>
      <c r="H196" s="11"/>
      <c r="I196" s="12"/>
      <c r="J196" s="12"/>
      <c r="K196" s="10"/>
      <c r="L196" s="12"/>
      <c r="M196" s="13"/>
      <c r="N196" s="13"/>
      <c r="O196" s="17"/>
    </row>
    <row r="197" spans="1:15" s="15" customFormat="1" ht="12.75" x14ac:dyDescent="0.15">
      <c r="A197" s="9"/>
      <c r="B197" s="16"/>
      <c r="C197" s="9"/>
      <c r="D197" s="9"/>
      <c r="E197" s="9"/>
      <c r="F197" s="9"/>
      <c r="G197" s="10"/>
      <c r="H197" s="11"/>
      <c r="I197" s="12"/>
      <c r="J197" s="12"/>
      <c r="K197" s="10"/>
      <c r="L197" s="12"/>
      <c r="M197" s="13"/>
      <c r="N197" s="13"/>
      <c r="O197" s="17"/>
    </row>
    <row r="198" spans="1:15" s="15" customFormat="1" ht="12.75" x14ac:dyDescent="0.15">
      <c r="A198" s="9"/>
      <c r="B198" s="16"/>
      <c r="C198" s="9"/>
      <c r="D198" s="9"/>
      <c r="E198" s="9"/>
      <c r="F198" s="9"/>
      <c r="G198" s="10"/>
      <c r="H198" s="11"/>
      <c r="I198" s="12"/>
      <c r="J198" s="12"/>
      <c r="K198" s="10"/>
      <c r="L198" s="12"/>
      <c r="M198" s="13"/>
      <c r="N198" s="13"/>
      <c r="O198" s="17"/>
    </row>
    <row r="199" spans="1:15" s="15" customFormat="1" ht="12.75" x14ac:dyDescent="0.15">
      <c r="A199" s="9"/>
      <c r="B199" s="16"/>
      <c r="C199" s="9"/>
      <c r="D199" s="9"/>
      <c r="E199" s="9"/>
      <c r="F199" s="9"/>
      <c r="G199" s="10"/>
      <c r="H199" s="11"/>
      <c r="I199" s="12"/>
      <c r="J199" s="12"/>
      <c r="K199" s="10"/>
      <c r="L199" s="12"/>
      <c r="M199" s="13"/>
      <c r="N199" s="13"/>
      <c r="O199" s="17"/>
    </row>
    <row r="200" spans="1:15" s="15" customFormat="1" ht="12.75" x14ac:dyDescent="0.15">
      <c r="A200" s="9"/>
      <c r="B200" s="16"/>
      <c r="C200" s="9"/>
      <c r="D200" s="9"/>
      <c r="E200" s="9"/>
      <c r="F200" s="9"/>
      <c r="G200" s="10"/>
      <c r="H200" s="11"/>
      <c r="I200" s="12"/>
      <c r="J200" s="12"/>
      <c r="K200" s="10"/>
      <c r="L200" s="12"/>
      <c r="M200" s="13"/>
      <c r="N200" s="13"/>
      <c r="O200" s="17"/>
    </row>
    <row r="201" spans="1:15" s="15" customFormat="1" ht="12.75" x14ac:dyDescent="0.15">
      <c r="A201" s="9"/>
      <c r="B201" s="16"/>
      <c r="C201" s="9"/>
      <c r="D201" s="9"/>
      <c r="E201" s="9"/>
      <c r="F201" s="9"/>
      <c r="G201" s="10"/>
      <c r="H201" s="11"/>
      <c r="I201" s="12"/>
      <c r="J201" s="12"/>
      <c r="K201" s="10"/>
      <c r="L201" s="12"/>
      <c r="M201" s="13"/>
      <c r="N201" s="13"/>
      <c r="O201" s="17"/>
    </row>
    <row r="202" spans="1:15" s="15" customFormat="1" ht="12.75" x14ac:dyDescent="0.15">
      <c r="A202" s="9"/>
      <c r="B202" s="16"/>
      <c r="C202" s="9"/>
      <c r="D202" s="9"/>
      <c r="E202" s="9"/>
      <c r="F202" s="9"/>
      <c r="G202" s="10"/>
      <c r="H202" s="11"/>
      <c r="I202" s="12"/>
      <c r="J202" s="12"/>
      <c r="K202" s="10"/>
      <c r="L202" s="12"/>
      <c r="M202" s="13"/>
      <c r="N202" s="13"/>
      <c r="O202" s="17"/>
    </row>
  </sheetData>
  <autoFilter ref="A1:O195"/>
  <sortState ref="A49:AD168">
    <sortCondition sortBy="cellColor" ref="E2:E168" dxfId="112"/>
    <sortCondition ref="F2:F168"/>
  </sortState>
  <phoneticPr fontId="4" type="noConversion"/>
  <conditionalFormatting sqref="J1">
    <cfRule type="duplicateValues" dxfId="111" priority="197"/>
    <cfRule type="duplicateValues" dxfId="110" priority="198"/>
    <cfRule type="duplicateValues" dxfId="109" priority="199"/>
  </conditionalFormatting>
  <conditionalFormatting sqref="F1">
    <cfRule type="duplicateValues" dxfId="108" priority="195"/>
    <cfRule type="duplicateValues" dxfId="107" priority="196"/>
  </conditionalFormatting>
  <conditionalFormatting sqref="F1">
    <cfRule type="duplicateValues" dxfId="106" priority="194" stopIfTrue="1"/>
  </conditionalFormatting>
  <conditionalFormatting sqref="J1">
    <cfRule type="duplicateValues" dxfId="105" priority="193" stopIfTrue="1"/>
  </conditionalFormatting>
  <conditionalFormatting sqref="F3">
    <cfRule type="duplicateValues" dxfId="104" priority="190" stopIfTrue="1"/>
    <cfRule type="duplicateValues" dxfId="103" priority="191" stopIfTrue="1"/>
  </conditionalFormatting>
  <conditionalFormatting sqref="J3">
    <cfRule type="duplicateValues" dxfId="102" priority="186" stopIfTrue="1"/>
    <cfRule type="duplicateValues" dxfId="101" priority="187" stopIfTrue="1"/>
  </conditionalFormatting>
  <conditionalFormatting sqref="F2">
    <cfRule type="duplicateValues" dxfId="100" priority="170" stopIfTrue="1"/>
    <cfRule type="duplicateValues" dxfId="99" priority="171" stopIfTrue="1"/>
  </conditionalFormatting>
  <conditionalFormatting sqref="J2">
    <cfRule type="duplicateValues" dxfId="98" priority="166" stopIfTrue="1"/>
    <cfRule type="duplicateValues" dxfId="97" priority="167" stopIfTrue="1"/>
  </conditionalFormatting>
  <conditionalFormatting sqref="F5">
    <cfRule type="duplicateValues" dxfId="96" priority="150" stopIfTrue="1"/>
    <cfRule type="duplicateValues" dxfId="95" priority="151" stopIfTrue="1"/>
  </conditionalFormatting>
  <conditionalFormatting sqref="J5">
    <cfRule type="duplicateValues" dxfId="94" priority="146" stopIfTrue="1"/>
    <cfRule type="duplicateValues" dxfId="93" priority="147" stopIfTrue="1"/>
  </conditionalFormatting>
  <conditionalFormatting sqref="F30 F6 F38">
    <cfRule type="duplicateValues" dxfId="92" priority="122" stopIfTrue="1"/>
    <cfRule type="duplicateValues" dxfId="91" priority="123" stopIfTrue="1"/>
  </conditionalFormatting>
  <conditionalFormatting sqref="J30 J6 J38">
    <cfRule type="duplicateValues" dxfId="90" priority="120" stopIfTrue="1"/>
    <cfRule type="duplicateValues" dxfId="89" priority="121" stopIfTrue="1"/>
  </conditionalFormatting>
  <conditionalFormatting sqref="F40 F20:F21 F30">
    <cfRule type="duplicateValues" dxfId="88" priority="118" stopIfTrue="1"/>
    <cfRule type="duplicateValues" dxfId="87" priority="119" stopIfTrue="1"/>
  </conditionalFormatting>
  <conditionalFormatting sqref="J40 J20:J21 J30">
    <cfRule type="duplicateValues" dxfId="86" priority="116" stopIfTrue="1"/>
    <cfRule type="duplicateValues" dxfId="85" priority="117" stopIfTrue="1"/>
  </conditionalFormatting>
  <conditionalFormatting sqref="J31:J32 J7:J8">
    <cfRule type="duplicateValues" dxfId="84" priority="108" stopIfTrue="1"/>
    <cfRule type="duplicateValues" dxfId="83" priority="109" stopIfTrue="1"/>
  </conditionalFormatting>
  <conditionalFormatting sqref="F16:F18 F22 F35">
    <cfRule type="duplicateValues" dxfId="82" priority="302" stopIfTrue="1"/>
    <cfRule type="duplicateValues" dxfId="81" priority="303" stopIfTrue="1"/>
  </conditionalFormatting>
  <conditionalFormatting sqref="J16:J18 J22 J35">
    <cfRule type="duplicateValues" dxfId="80" priority="306" stopIfTrue="1"/>
    <cfRule type="duplicateValues" dxfId="79" priority="307" stopIfTrue="1"/>
  </conditionalFormatting>
  <conditionalFormatting sqref="F57:F65 F28 F45:F52">
    <cfRule type="duplicateValues" dxfId="78" priority="64" stopIfTrue="1"/>
    <cfRule type="duplicateValues" dxfId="77" priority="65" stopIfTrue="1"/>
  </conditionalFormatting>
  <conditionalFormatting sqref="J28 J45:J46">
    <cfRule type="duplicateValues" dxfId="76" priority="62" stopIfTrue="1"/>
    <cfRule type="duplicateValues" dxfId="75" priority="63" stopIfTrue="1"/>
  </conditionalFormatting>
  <conditionalFormatting sqref="J184:J1048576 J1:J182">
    <cfRule type="duplicateValues" dxfId="74" priority="31"/>
    <cfRule type="duplicateValues" dxfId="73" priority="60"/>
    <cfRule type="duplicateValues" dxfId="72" priority="61"/>
  </conditionalFormatting>
  <conditionalFormatting sqref="F68:F71">
    <cfRule type="duplicateValues" dxfId="71" priority="58" stopIfTrue="1"/>
    <cfRule type="duplicateValues" dxfId="70" priority="59" stopIfTrue="1"/>
  </conditionalFormatting>
  <conditionalFormatting sqref="J83:J89 J29 J68:J77">
    <cfRule type="duplicateValues" dxfId="69" priority="56" stopIfTrue="1"/>
    <cfRule type="duplicateValues" dxfId="68" priority="57" stopIfTrue="1"/>
  </conditionalFormatting>
  <conditionalFormatting sqref="F70:F77 F29 F37 F82:F89 F117:F125 F98">
    <cfRule type="duplicateValues" dxfId="67" priority="54" stopIfTrue="1"/>
    <cfRule type="duplicateValues" dxfId="66" priority="55" stopIfTrue="1"/>
  </conditionalFormatting>
  <conditionalFormatting sqref="J82:J89 J44 J29 J37 J70:J77">
    <cfRule type="duplicateValues" dxfId="65" priority="52" stopIfTrue="1"/>
    <cfRule type="duplicateValues" dxfId="64" priority="53" stopIfTrue="1"/>
  </conditionalFormatting>
  <conditionalFormatting sqref="F72:F77 F29 F37 F82:F89 F117:F125 F98">
    <cfRule type="duplicateValues" dxfId="63" priority="50" stopIfTrue="1"/>
    <cfRule type="duplicateValues" dxfId="62" priority="51" stopIfTrue="1"/>
  </conditionalFormatting>
  <conditionalFormatting sqref="J82:J89 J44 J29 J37 J72:J77">
    <cfRule type="duplicateValues" dxfId="61" priority="48" stopIfTrue="1"/>
    <cfRule type="duplicateValues" dxfId="60" priority="49" stopIfTrue="1"/>
  </conditionalFormatting>
  <conditionalFormatting sqref="F37">
    <cfRule type="duplicateValues" dxfId="59" priority="46" stopIfTrue="1"/>
    <cfRule type="duplicateValues" dxfId="58" priority="47" stopIfTrue="1"/>
  </conditionalFormatting>
  <conditionalFormatting sqref="J37 J44">
    <cfRule type="duplicateValues" dxfId="57" priority="44" stopIfTrue="1"/>
    <cfRule type="duplicateValues" dxfId="56" priority="45" stopIfTrue="1"/>
  </conditionalFormatting>
  <conditionalFormatting sqref="F75:F77 F84:F89 F117:F125 F98">
    <cfRule type="duplicateValues" dxfId="55" priority="38" stopIfTrue="1"/>
    <cfRule type="duplicateValues" dxfId="54" priority="39" stopIfTrue="1"/>
  </conditionalFormatting>
  <conditionalFormatting sqref="J84:J89 J75:J77">
    <cfRule type="duplicateValues" dxfId="53" priority="36" stopIfTrue="1"/>
    <cfRule type="duplicateValues" dxfId="52" priority="37" stopIfTrue="1"/>
  </conditionalFormatting>
  <conditionalFormatting sqref="F31:F32 F7:F14">
    <cfRule type="duplicateValues" dxfId="51" priority="351" stopIfTrue="1"/>
    <cfRule type="duplicateValues" dxfId="50" priority="352" stopIfTrue="1"/>
  </conditionalFormatting>
  <conditionalFormatting sqref="J10:J14">
    <cfRule type="duplicateValues" dxfId="49" priority="371" stopIfTrue="1"/>
    <cfRule type="duplicateValues" dxfId="48" priority="372" stopIfTrue="1"/>
  </conditionalFormatting>
  <conditionalFormatting sqref="F10:F14">
    <cfRule type="duplicateValues" dxfId="47" priority="375" stopIfTrue="1"/>
    <cfRule type="duplicateValues" dxfId="46" priority="376" stopIfTrue="1"/>
  </conditionalFormatting>
  <conditionalFormatting sqref="F11:F14">
    <cfRule type="duplicateValues" dxfId="45" priority="379" stopIfTrue="1"/>
    <cfRule type="duplicateValues" dxfId="44" priority="380" stopIfTrue="1"/>
  </conditionalFormatting>
  <conditionalFormatting sqref="J11:J14">
    <cfRule type="duplicateValues" dxfId="43" priority="383" stopIfTrue="1"/>
    <cfRule type="duplicateValues" dxfId="42" priority="384" stopIfTrue="1"/>
  </conditionalFormatting>
  <conditionalFormatting sqref="J47">
    <cfRule type="duplicateValues" dxfId="41" priority="29" stopIfTrue="1"/>
    <cfRule type="duplicateValues" dxfId="40" priority="30" stopIfTrue="1"/>
  </conditionalFormatting>
  <conditionalFormatting sqref="J57:J65 J48:J52">
    <cfRule type="duplicateValues" dxfId="39" priority="27" stopIfTrue="1"/>
    <cfRule type="duplicateValues" dxfId="38" priority="28" stopIfTrue="1"/>
  </conditionalFormatting>
  <conditionalFormatting sqref="J43 J53:J55 J90:J94 J100:J105">
    <cfRule type="duplicateValues" dxfId="37" priority="25" stopIfTrue="1"/>
    <cfRule type="duplicateValues" dxfId="36" priority="26" stopIfTrue="1"/>
  </conditionalFormatting>
  <conditionalFormatting sqref="F13:F18 F34:F35">
    <cfRule type="duplicateValues" dxfId="35" priority="513" stopIfTrue="1"/>
    <cfRule type="duplicateValues" dxfId="34" priority="514" stopIfTrue="1"/>
  </conditionalFormatting>
  <conditionalFormatting sqref="J13:J18 J34:J35">
    <cfRule type="duplicateValues" dxfId="33" priority="519" stopIfTrue="1"/>
    <cfRule type="duplicateValues" dxfId="32" priority="520" stopIfTrue="1"/>
  </conditionalFormatting>
  <conditionalFormatting sqref="J44">
    <cfRule type="duplicateValues" dxfId="31" priority="21" stopIfTrue="1"/>
    <cfRule type="duplicateValues" dxfId="30" priority="22" stopIfTrue="1"/>
  </conditionalFormatting>
  <conditionalFormatting sqref="F19 F80:F81 F53:F56 F23:F27 F43:F44 F36 F90:F94 F100:F110">
    <cfRule type="duplicateValues" dxfId="29" priority="586" stopIfTrue="1"/>
    <cfRule type="duplicateValues" dxfId="28" priority="587" stopIfTrue="1"/>
  </conditionalFormatting>
  <conditionalFormatting sqref="J80:J81 J19 J23:J27 J36">
    <cfRule type="duplicateValues" dxfId="27" priority="594" stopIfTrue="1"/>
    <cfRule type="duplicateValues" dxfId="26" priority="595" stopIfTrue="1"/>
  </conditionalFormatting>
  <conditionalFormatting sqref="F135 F41 F21 F4">
    <cfRule type="duplicateValues" dxfId="25" priority="631" stopIfTrue="1"/>
    <cfRule type="duplicateValues" dxfId="24" priority="632" stopIfTrue="1"/>
  </conditionalFormatting>
  <conditionalFormatting sqref="J135 J41 J21 J4">
    <cfRule type="duplicateValues" dxfId="23" priority="639" stopIfTrue="1"/>
    <cfRule type="duplicateValues" dxfId="22" priority="640" stopIfTrue="1"/>
  </conditionalFormatting>
  <conditionalFormatting sqref="J102:J105 J78:J79 J54:J55 J33 J9:J14 J42">
    <cfRule type="duplicateValues" dxfId="21" priority="686" stopIfTrue="1"/>
    <cfRule type="duplicateValues" dxfId="20" priority="687" stopIfTrue="1"/>
  </conditionalFormatting>
  <conditionalFormatting sqref="F78:F79 F33 F9:F14 F42">
    <cfRule type="duplicateValues" dxfId="19" priority="694" stopIfTrue="1"/>
    <cfRule type="duplicateValues" dxfId="18" priority="695" stopIfTrue="1"/>
  </conditionalFormatting>
  <conditionalFormatting sqref="J106:J116 J56">
    <cfRule type="duplicateValues" dxfId="17" priority="1718" stopIfTrue="1"/>
    <cfRule type="duplicateValues" dxfId="16" priority="1719" stopIfTrue="1"/>
  </conditionalFormatting>
  <conditionalFormatting sqref="F184:F202 F39 F57:F67 F95:F99 F136:F182 F111:F134">
    <cfRule type="duplicateValues" dxfId="15" priority="2704" stopIfTrue="1"/>
    <cfRule type="duplicateValues" dxfId="14" priority="2705" stopIfTrue="1"/>
  </conditionalFormatting>
  <conditionalFormatting sqref="J184:J202 J39 J57:J67 J95:J99 J136:J182 J111:J134">
    <cfRule type="duplicateValues" dxfId="13" priority="2714" stopIfTrue="1"/>
    <cfRule type="duplicateValues" dxfId="12" priority="2715" stopIfTrue="1"/>
  </conditionalFormatting>
  <conditionalFormatting sqref="J183">
    <cfRule type="duplicateValues" dxfId="11" priority="9"/>
    <cfRule type="duplicateValues" dxfId="10" priority="10"/>
    <cfRule type="duplicateValues" dxfId="9" priority="11"/>
  </conditionalFormatting>
  <conditionalFormatting sqref="F183">
    <cfRule type="duplicateValues" dxfId="8" priority="7" stopIfTrue="1"/>
    <cfRule type="duplicateValues" dxfId="7" priority="8" stopIfTrue="1"/>
  </conditionalFormatting>
  <conditionalFormatting sqref="J183">
    <cfRule type="duplicateValues" dxfId="6" priority="5" stopIfTrue="1"/>
    <cfRule type="duplicateValues" dxfId="5" priority="6" stopIfTrue="1"/>
  </conditionalFormatting>
  <conditionalFormatting sqref="F135">
    <cfRule type="duplicateValues" dxfId="4" priority="3" stopIfTrue="1"/>
    <cfRule type="duplicateValues" dxfId="3" priority="4" stopIfTrue="1"/>
  </conditionalFormatting>
  <conditionalFormatting sqref="J135">
    <cfRule type="duplicateValues" dxfId="2" priority="1" stopIfTrue="1"/>
    <cfRule type="duplicateValues" dxfId="1" priority="2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wenwen_bao</dc:creator>
  <cp:lastModifiedBy>Shuaijie_Li</cp:lastModifiedBy>
  <dcterms:created xsi:type="dcterms:W3CDTF">2014-03-14T08:19:08Z</dcterms:created>
  <dcterms:modified xsi:type="dcterms:W3CDTF">2016-10-24T11:00:46Z</dcterms:modified>
</cp:coreProperties>
</file>
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2190" yWindow="630" windowWidth="25320" windowHeight="9930"/>
  </bookViews>
  <sheets>
    <sheet name="国内work order" sheetId="1" r:id="rId1"/>
  </sheets>
  <definedNames>
    <definedName name="_xlnm._FilterDatabase" localSheetId="0" hidden="1">'国内work order'!$A$1:$O$3524</definedName>
    <definedName name="_xlnm.Print_Area" localSheetId="0">'国内work order'!$A$1:N1</definedName>
  </definedNames>
  <calcPr calcId="144525"/>
</workbook>
</file>

<file path=xl/calcChain.xml><?xml version="1.0" encoding="utf-8"?>
<calcChain xmlns="http://schemas.openxmlformats.org/spreadsheetml/2006/main">
  <c r="G3269" i="1" l="1"/>
  <c r="G3069" i="1"/>
  <c r="G3498" i="1" l="1"/>
  <c r="G3497" i="1"/>
  <c r="G3496" i="1"/>
  <c r="G3495" i="1"/>
  <c r="G3494" i="1"/>
  <c r="G3493" i="1"/>
  <c r="G3492" i="1"/>
  <c r="G3491" i="1"/>
  <c r="G3490" i="1"/>
  <c r="G3489" i="1"/>
  <c r="G3487" i="1"/>
  <c r="G3488" i="1"/>
  <c r="G3486" i="1"/>
  <c r="G3485" i="1"/>
  <c r="G3376" i="1"/>
  <c r="G3375" i="1"/>
  <c r="G3484" i="1"/>
  <c r="G3483" i="1"/>
  <c r="G3482" i="1"/>
  <c r="G3481" i="1"/>
  <c r="G3480" i="1"/>
  <c r="G3479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11" i="1"/>
  <c r="G3477" i="1"/>
  <c r="G3476" i="1"/>
  <c r="G3475" i="1"/>
  <c r="G3470" i="1"/>
  <c r="G3469" i="1"/>
  <c r="G3468" i="1"/>
  <c r="G3467" i="1"/>
  <c r="G3466" i="1"/>
  <c r="G3465" i="1"/>
  <c r="G3464" i="1"/>
  <c r="G3457" i="1"/>
  <c r="G3456" i="1"/>
  <c r="G3455" i="1"/>
  <c r="G3244" i="1"/>
  <c r="G3454" i="1"/>
  <c r="G3453" i="1"/>
  <c r="G3452" i="1"/>
  <c r="G3450" i="1" l="1"/>
  <c r="G3451" i="1"/>
  <c r="G3449" i="1"/>
  <c r="G3448" i="1"/>
  <c r="G3447" i="1"/>
  <c r="G3446" i="1"/>
  <c r="G3445" i="1"/>
  <c r="G3426" i="1"/>
  <c r="G3444" i="1"/>
  <c r="G3443" i="1"/>
  <c r="G3440" i="1"/>
  <c r="G3441" i="1"/>
  <c r="G3442" i="1"/>
  <c r="G3439" i="1"/>
  <c r="G3424" i="1"/>
  <c r="G3425" i="1"/>
  <c r="G3423" i="1"/>
  <c r="G3395" i="1"/>
  <c r="G3422" i="1"/>
  <c r="G3421" i="1"/>
  <c r="G3420" i="1"/>
  <c r="G3419" i="1"/>
  <c r="G3418" i="1"/>
  <c r="G3417" i="1"/>
  <c r="G3416" i="1"/>
  <c r="G3415" i="1"/>
  <c r="G3414" i="1"/>
  <c r="G3413" i="1"/>
  <c r="G3370" i="1"/>
  <c r="G2982" i="1"/>
  <c r="G3371" i="1"/>
  <c r="G3410" i="1"/>
  <c r="G3408" i="1" l="1"/>
  <c r="G3409" i="1"/>
  <c r="G3401" i="1" l="1"/>
  <c r="G3400" i="1"/>
  <c r="G3399" i="1"/>
  <c r="G3398" i="1"/>
  <c r="G3391" i="1"/>
  <c r="G3397" i="1"/>
  <c r="G3396" i="1"/>
  <c r="G3393" i="1"/>
  <c r="G3394" i="1"/>
  <c r="G3392" i="1"/>
  <c r="G3390" i="1"/>
  <c r="G3389" i="1"/>
  <c r="G3388" i="1"/>
  <c r="G3387" i="1"/>
  <c r="G3379" i="1" l="1"/>
  <c r="G3378" i="1"/>
  <c r="G3374" i="1" l="1"/>
  <c r="G3373" i="1"/>
  <c r="G3372" i="1"/>
  <c r="G2981" i="1"/>
  <c r="G2980" i="1"/>
  <c r="G2979" i="1"/>
  <c r="G2906" i="1"/>
  <c r="G2905" i="1"/>
  <c r="G3353" i="1" l="1"/>
  <c r="G3352" i="1"/>
  <c r="G3303" i="1"/>
  <c r="G3369" i="1"/>
  <c r="G3368" i="1"/>
  <c r="G3367" i="1"/>
  <c r="G3366" i="1"/>
  <c r="G3365" i="1"/>
  <c r="G3364" i="1"/>
  <c r="G3363" i="1"/>
  <c r="G3362" i="1"/>
  <c r="G3361" i="1"/>
  <c r="G3358" i="1"/>
  <c r="G3359" i="1"/>
  <c r="G3360" i="1"/>
  <c r="G3357" i="1"/>
  <c r="G3356" i="1"/>
  <c r="G3355" i="1"/>
  <c r="G3342" i="1"/>
  <c r="G3341" i="1"/>
  <c r="G3340" i="1"/>
  <c r="G2977" i="1"/>
  <c r="G2976" i="1"/>
  <c r="G2975" i="1"/>
  <c r="G2974" i="1"/>
  <c r="G2973" i="1"/>
  <c r="G2972" i="1"/>
  <c r="G2964" i="1"/>
  <c r="G3306" i="1"/>
  <c r="G3305" i="1"/>
  <c r="G3304" i="1"/>
  <c r="G2968" i="1"/>
  <c r="G2967" i="1"/>
  <c r="G3302" i="1"/>
  <c r="G3301" i="1"/>
  <c r="G3300" i="1"/>
  <c r="G3299" i="1"/>
  <c r="G3298" i="1"/>
  <c r="G3243" i="1"/>
  <c r="G3297" i="1"/>
  <c r="G3296" i="1"/>
  <c r="G3295" i="1"/>
  <c r="G3294" i="1"/>
  <c r="G3293" i="1"/>
  <c r="G3292" i="1"/>
  <c r="G3291" i="1"/>
  <c r="G3290" i="1"/>
  <c r="G2963" i="1"/>
  <c r="G3289" i="1"/>
  <c r="G3288" i="1"/>
  <c r="G3287" i="1"/>
  <c r="G2966" i="1"/>
  <c r="G3286" i="1"/>
  <c r="G3285" i="1"/>
  <c r="G2965" i="1"/>
  <c r="G3284" i="1"/>
  <c r="G3283" i="1"/>
  <c r="G3282" i="1"/>
  <c r="G3281" i="1"/>
  <c r="G2962" i="1"/>
  <c r="G2961" i="1"/>
  <c r="G296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2971" i="1"/>
  <c r="G3326" i="1"/>
  <c r="G3325" i="1"/>
  <c r="G3308" i="1"/>
  <c r="G3309" i="1"/>
  <c r="G2969" i="1"/>
  <c r="G2970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07" i="1"/>
  <c r="G3280" i="1"/>
  <c r="G2959" i="1"/>
  <c r="G3279" i="1"/>
  <c r="G3278" i="1"/>
  <c r="G2958" i="1"/>
  <c r="G3277" i="1"/>
  <c r="G3276" i="1"/>
  <c r="G3275" i="1"/>
  <c r="G3274" i="1"/>
  <c r="G3273" i="1"/>
  <c r="G3272" i="1"/>
  <c r="G3271" i="1"/>
  <c r="G3270" i="1"/>
  <c r="G2957" i="1" l="1"/>
  <c r="G2956" i="1"/>
  <c r="G3264" i="1" l="1"/>
  <c r="G2955" i="1"/>
  <c r="G2954" i="1"/>
  <c r="G2953" i="1"/>
  <c r="G2950" i="1"/>
  <c r="G3263" i="1"/>
  <c r="G3262" i="1"/>
  <c r="G3261" i="1"/>
  <c r="G3260" i="1"/>
  <c r="G2949" i="1"/>
  <c r="G2948" i="1"/>
  <c r="G3259" i="1"/>
  <c r="G3258" i="1"/>
  <c r="G3257" i="1"/>
  <c r="G3256" i="1"/>
  <c r="G2952" i="1"/>
  <c r="G3255" i="1"/>
  <c r="G3254" i="1"/>
  <c r="G3253" i="1"/>
  <c r="G3252" i="1"/>
  <c r="G3251" i="1"/>
  <c r="G3250" i="1"/>
  <c r="G3249" i="1"/>
  <c r="G3248" i="1"/>
  <c r="G3247" i="1"/>
  <c r="G3246" i="1"/>
  <c r="G3245" i="1"/>
  <c r="G3242" i="1"/>
  <c r="G3241" i="1"/>
  <c r="G3240" i="1"/>
  <c r="G2947" i="1"/>
  <c r="G3239" i="1"/>
  <c r="G2946" i="1"/>
  <c r="G2945" i="1"/>
  <c r="G3238" i="1"/>
  <c r="G2944" i="1"/>
  <c r="G2943" i="1"/>
  <c r="G2941" i="1"/>
  <c r="G2942" i="1"/>
  <c r="G3237" i="1"/>
  <c r="G2940" i="1"/>
  <c r="G3236" i="1"/>
  <c r="G3235" i="1"/>
  <c r="G2790" i="1"/>
  <c r="G3234" i="1"/>
  <c r="G3233" i="1" l="1"/>
  <c r="G3232" i="1"/>
  <c r="G3231" i="1"/>
  <c r="G2928" i="1"/>
  <c r="G3230" i="1"/>
  <c r="G3229" i="1"/>
  <c r="G3228" i="1"/>
  <c r="G3222" i="1"/>
  <c r="G3223" i="1"/>
  <c r="G2925" i="1"/>
  <c r="G2930" i="1"/>
  <c r="G2931" i="1"/>
  <c r="G2932" i="1"/>
  <c r="G2933" i="1"/>
  <c r="G2934" i="1"/>
  <c r="G2926" i="1"/>
  <c r="G3224" i="1"/>
  <c r="G2935" i="1"/>
  <c r="G3225" i="1"/>
  <c r="G2936" i="1"/>
  <c r="G2937" i="1"/>
  <c r="G3226" i="1"/>
  <c r="G2927" i="1"/>
  <c r="G2938" i="1"/>
  <c r="G2939" i="1"/>
  <c r="G3227" i="1"/>
  <c r="G2924" i="1"/>
  <c r="G2929" i="1"/>
  <c r="G3207" i="1"/>
  <c r="G3206" i="1"/>
  <c r="G2904" i="1"/>
  <c r="G2903" i="1"/>
  <c r="G3205" i="1"/>
  <c r="G3204" i="1"/>
  <c r="G3203" i="1"/>
  <c r="G3202" i="1"/>
  <c r="G3201" i="1"/>
  <c r="G3200" i="1"/>
  <c r="G3199" i="1"/>
  <c r="G2919" i="1"/>
  <c r="G3221" i="1"/>
  <c r="G2918" i="1"/>
  <c r="G2917" i="1"/>
  <c r="G2916" i="1"/>
  <c r="G3220" i="1"/>
  <c r="G2915" i="1"/>
  <c r="G2914" i="1"/>
  <c r="G2913" i="1"/>
  <c r="G2912" i="1"/>
  <c r="G2911" i="1"/>
  <c r="G2923" i="1"/>
  <c r="G2910" i="1"/>
  <c r="G2909" i="1"/>
  <c r="G2908" i="1"/>
  <c r="G2922" i="1"/>
  <c r="G3219" i="1"/>
  <c r="G2920" i="1" l="1"/>
  <c r="G3208" i="1"/>
  <c r="G3209" i="1"/>
  <c r="G3210" i="1"/>
  <c r="G3211" i="1"/>
  <c r="G3212" i="1"/>
  <c r="G3213" i="1"/>
  <c r="G3214" i="1"/>
  <c r="G2921" i="1"/>
  <c r="G3215" i="1"/>
  <c r="G3216" i="1"/>
  <c r="G3217" i="1"/>
  <c r="G3218" i="1"/>
  <c r="G2907" i="1"/>
  <c r="G3198" i="1"/>
  <c r="G3197" i="1"/>
  <c r="G2902" i="1"/>
  <c r="G3196" i="1"/>
  <c r="G3195" i="1"/>
  <c r="G3190" i="1" l="1"/>
  <c r="G3189" i="1"/>
  <c r="G3187" i="1"/>
  <c r="G3042" i="1"/>
  <c r="G3186" i="1"/>
  <c r="G3185" i="1"/>
  <c r="G3184" i="1"/>
  <c r="G2893" i="1"/>
  <c r="G2891" i="1"/>
  <c r="G2890" i="1"/>
  <c r="G2889" i="1"/>
  <c r="G2888" i="1"/>
  <c r="G2887" i="1"/>
  <c r="G3183" i="1"/>
  <c r="G2886" i="1"/>
  <c r="G3182" i="1"/>
  <c r="G3181" i="1"/>
  <c r="G3180" i="1"/>
  <c r="G2885" i="1"/>
  <c r="G2884" i="1"/>
  <c r="G2883" i="1"/>
  <c r="G2892" i="1"/>
  <c r="G3171" i="1" l="1"/>
  <c r="G3170" i="1"/>
  <c r="G3169" i="1"/>
  <c r="G3168" i="1"/>
  <c r="G2876" i="1"/>
  <c r="G2873" i="1" l="1"/>
  <c r="G2872" i="1"/>
  <c r="G2875" i="1"/>
  <c r="G2821" i="1" l="1"/>
  <c r="G3162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22" i="1"/>
  <c r="G2807" i="1"/>
  <c r="G2806" i="1"/>
  <c r="G2805" i="1"/>
  <c r="G2804" i="1"/>
  <c r="G3161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3147" i="1"/>
  <c r="G2780" i="1"/>
  <c r="G2779" i="1"/>
  <c r="G3146" i="1"/>
  <c r="G3145" i="1"/>
  <c r="G2778" i="1"/>
  <c r="G2777" i="1"/>
  <c r="G2776" i="1"/>
  <c r="G2775" i="1"/>
  <c r="G2774" i="1"/>
  <c r="G2773" i="1"/>
  <c r="G2772" i="1"/>
  <c r="G3139" i="1"/>
  <c r="G2680" i="1"/>
  <c r="G2679" i="1"/>
  <c r="G2668" i="1"/>
  <c r="G2659" i="1"/>
  <c r="G2658" i="1"/>
  <c r="G2657" i="1"/>
  <c r="G2656" i="1"/>
  <c r="G2655" i="1"/>
  <c r="G2654" i="1"/>
  <c r="G2653" i="1"/>
  <c r="G2652" i="1"/>
  <c r="G2651" i="1"/>
  <c r="G2650" i="1"/>
  <c r="G2633" i="1"/>
  <c r="G2632" i="1"/>
  <c r="G2631" i="1"/>
  <c r="G2630" i="1"/>
  <c r="G2601" i="1"/>
  <c r="G2600" i="1"/>
  <c r="G2599" i="1"/>
  <c r="G2598" i="1"/>
  <c r="G2597" i="1"/>
  <c r="G2596" i="1"/>
  <c r="G2595" i="1"/>
  <c r="G2602" i="1"/>
  <c r="G2594" i="1"/>
  <c r="G3104" i="1"/>
  <c r="G3103" i="1"/>
  <c r="G2593" i="1"/>
  <c r="G2592" i="1"/>
  <c r="G2575" i="1"/>
  <c r="G2564" i="1"/>
  <c r="G2563" i="1"/>
  <c r="G2562" i="1"/>
  <c r="G2561" i="1"/>
  <c r="G2560" i="1"/>
  <c r="G2558" i="1"/>
  <c r="G2551" i="1"/>
  <c r="G2550" i="1"/>
  <c r="G2466" i="1"/>
  <c r="G2422" i="1"/>
  <c r="G2428" i="1"/>
  <c r="G2427" i="1"/>
  <c r="G2426" i="1"/>
  <c r="G2390" i="1"/>
  <c r="G2278" i="1"/>
  <c r="G2166" i="1"/>
  <c r="G2878" i="1"/>
  <c r="G2877" i="1"/>
  <c r="G2882" i="1"/>
  <c r="G2993" i="1"/>
  <c r="G2874" i="1"/>
  <c r="G3174" i="1"/>
  <c r="G2871" i="1"/>
  <c r="G3173" i="1"/>
  <c r="G2870" i="1"/>
  <c r="G3172" i="1"/>
  <c r="G2869" i="1"/>
  <c r="G2866" i="1"/>
  <c r="G2865" i="1"/>
  <c r="G2864" i="1"/>
  <c r="G2863" i="1"/>
  <c r="G2862" i="1"/>
  <c r="G2861" i="1"/>
  <c r="G3167" i="1"/>
  <c r="G2860" i="1"/>
  <c r="G2857" i="1"/>
  <c r="G3165" i="1"/>
  <c r="G2850" i="1"/>
  <c r="G3163" i="1"/>
  <c r="G2849" i="1"/>
  <c r="G2848" i="1"/>
  <c r="G2859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58" i="1"/>
  <c r="G2827" i="1"/>
  <c r="G2826" i="1"/>
  <c r="G2825" i="1"/>
  <c r="G3152" i="1"/>
  <c r="G3151" i="1"/>
  <c r="G3150" i="1"/>
  <c r="G2788" i="1"/>
  <c r="G2787" i="1"/>
  <c r="G2786" i="1"/>
  <c r="G2785" i="1"/>
  <c r="G3149" i="1"/>
  <c r="G2784" i="1"/>
  <c r="G3148" i="1"/>
  <c r="G2789" i="1"/>
  <c r="G2783" i="1"/>
  <c r="G2766" i="1"/>
  <c r="G2765" i="1"/>
  <c r="G2764" i="1"/>
  <c r="G2763" i="1"/>
  <c r="G2782" i="1"/>
  <c r="G2762" i="1"/>
  <c r="G2761" i="1"/>
  <c r="G2781" i="1"/>
  <c r="G2760" i="1"/>
  <c r="G3143" i="1"/>
  <c r="G3142" i="1"/>
  <c r="G2759" i="1"/>
  <c r="G2758" i="1"/>
  <c r="G2757" i="1"/>
  <c r="G3141" i="1"/>
  <c r="G2756" i="1"/>
  <c r="G2755" i="1"/>
  <c r="G2754" i="1"/>
  <c r="G2753" i="1"/>
  <c r="G3140" i="1"/>
  <c r="G2744" i="1"/>
  <c r="G2743" i="1"/>
  <c r="G3133" i="1"/>
  <c r="G3132" i="1"/>
  <c r="G3131" i="1"/>
  <c r="G2735" i="1"/>
  <c r="G2734" i="1"/>
  <c r="G3128" i="1"/>
  <c r="G2733" i="1"/>
  <c r="G2732" i="1"/>
  <c r="G3127" i="1"/>
  <c r="G2731" i="1"/>
  <c r="G3126" i="1"/>
  <c r="G2730" i="1"/>
  <c r="G2729" i="1"/>
  <c r="G3125" i="1"/>
  <c r="G2728" i="1"/>
  <c r="G2727" i="1"/>
  <c r="G2726" i="1"/>
  <c r="G2725" i="1"/>
  <c r="G2724" i="1"/>
  <c r="G2723" i="1"/>
  <c r="G3124" i="1"/>
  <c r="G2722" i="1"/>
  <c r="G3123" i="1"/>
  <c r="G3122" i="1"/>
  <c r="G2721" i="1"/>
  <c r="G3121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3118" i="1"/>
  <c r="G2692" i="1"/>
  <c r="G3117" i="1"/>
  <c r="G2691" i="1"/>
  <c r="G2690" i="1"/>
  <c r="G2689" i="1"/>
  <c r="G2688" i="1"/>
  <c r="G2687" i="1"/>
  <c r="G2686" i="1"/>
  <c r="G2720" i="1"/>
  <c r="G2685" i="1"/>
  <c r="G2684" i="1"/>
  <c r="G3116" i="1"/>
  <c r="G2678" i="1"/>
  <c r="G2677" i="1"/>
  <c r="G2676" i="1"/>
  <c r="G2675" i="1"/>
  <c r="G2674" i="1"/>
  <c r="G2667" i="1"/>
  <c r="G2666" i="1"/>
  <c r="G2665" i="1"/>
  <c r="G2664" i="1"/>
  <c r="G2663" i="1"/>
  <c r="G2662" i="1"/>
  <c r="G3114" i="1"/>
  <c r="G2638" i="1"/>
  <c r="G2637" i="1"/>
  <c r="G3110" i="1"/>
  <c r="G2636" i="1"/>
  <c r="G2635" i="1"/>
  <c r="G3109" i="1"/>
  <c r="G2628" i="1"/>
  <c r="G2627" i="1"/>
  <c r="G2626" i="1"/>
  <c r="G2625" i="1"/>
  <c r="G3108" i="1"/>
  <c r="G2624" i="1"/>
  <c r="G3107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3106" i="1"/>
  <c r="G2606" i="1"/>
  <c r="G2605" i="1"/>
  <c r="G2604" i="1"/>
  <c r="G2603" i="1"/>
  <c r="G3094" i="1"/>
  <c r="G2574" i="1"/>
  <c r="G2573" i="1"/>
  <c r="G2572" i="1"/>
  <c r="G2571" i="1"/>
  <c r="G3093" i="1"/>
  <c r="G3092" i="1"/>
  <c r="G2576" i="1"/>
  <c r="G3091" i="1"/>
  <c r="G2570" i="1"/>
  <c r="G3090" i="1"/>
  <c r="G2569" i="1"/>
  <c r="G2568" i="1"/>
  <c r="G2567" i="1"/>
  <c r="G3089" i="1"/>
  <c r="G2566" i="1"/>
  <c r="G2565" i="1"/>
  <c r="G3088" i="1"/>
  <c r="G3084" i="1"/>
  <c r="G2548" i="1"/>
  <c r="G3083" i="1"/>
  <c r="G2547" i="1"/>
  <c r="G2546" i="1"/>
  <c r="G2545" i="1"/>
  <c r="G2543" i="1"/>
  <c r="G2541" i="1"/>
  <c r="G2540" i="1"/>
  <c r="G2539" i="1"/>
  <c r="G2538" i="1"/>
  <c r="G2536" i="1"/>
  <c r="G2535" i="1"/>
  <c r="G2533" i="1"/>
  <c r="G2530" i="1"/>
  <c r="G2529" i="1"/>
  <c r="G2528" i="1"/>
  <c r="G3077" i="1"/>
  <c r="G3076" i="1"/>
  <c r="G2509" i="1"/>
  <c r="G2508" i="1"/>
  <c r="G3075" i="1"/>
  <c r="G2507" i="1"/>
  <c r="G2506" i="1"/>
  <c r="G2505" i="1"/>
  <c r="G2504" i="1"/>
  <c r="G2503" i="1"/>
  <c r="G2500" i="1"/>
  <c r="G2499" i="1"/>
  <c r="G2497" i="1"/>
  <c r="G2494" i="1"/>
  <c r="G2490" i="1"/>
  <c r="G3072" i="1"/>
  <c r="G3071" i="1"/>
  <c r="G2489" i="1"/>
  <c r="G3070" i="1"/>
  <c r="G3068" i="1"/>
  <c r="G3067" i="1"/>
  <c r="G2488" i="1"/>
  <c r="G2487" i="1"/>
  <c r="G3066" i="1"/>
  <c r="G3065" i="1"/>
  <c r="G3064" i="1"/>
  <c r="G2484" i="1"/>
  <c r="G2483" i="1"/>
  <c r="G3063" i="1"/>
  <c r="G2481" i="1"/>
  <c r="G2480" i="1"/>
  <c r="G3060" i="1"/>
  <c r="G3059" i="1"/>
  <c r="G2452" i="1"/>
  <c r="G2450" i="1"/>
  <c r="G3058" i="1"/>
  <c r="G2449" i="1"/>
  <c r="G2448" i="1"/>
  <c r="G2447" i="1"/>
  <c r="G2446" i="1"/>
  <c r="G2445" i="1"/>
  <c r="G2444" i="1"/>
  <c r="G3057" i="1"/>
  <c r="G3056" i="1"/>
  <c r="G2439" i="1"/>
  <c r="G2435" i="1"/>
  <c r="G3055" i="1"/>
  <c r="G2429" i="1"/>
  <c r="G2412" i="1"/>
  <c r="G2408" i="1"/>
  <c r="G2406" i="1"/>
  <c r="G2398" i="1"/>
  <c r="G2397" i="1"/>
  <c r="G2395" i="1"/>
  <c r="G2374" i="1"/>
  <c r="G2371" i="1"/>
  <c r="G2368" i="1"/>
  <c r="G2365" i="1"/>
  <c r="G3052" i="1"/>
  <c r="G3051" i="1"/>
  <c r="G3050" i="1"/>
  <c r="G2349" i="1"/>
  <c r="G3049" i="1"/>
  <c r="G2343" i="1"/>
  <c r="G2341" i="1"/>
  <c r="G2340" i="1"/>
  <c r="G2327" i="1"/>
  <c r="G2326" i="1"/>
  <c r="G3048" i="1"/>
  <c r="G2322" i="1"/>
  <c r="G3047" i="1"/>
  <c r="G2320" i="1"/>
  <c r="G3046" i="1"/>
  <c r="G2316" i="1"/>
  <c r="G3045" i="1"/>
  <c r="G3044" i="1"/>
  <c r="G2299" i="1"/>
  <c r="G2287" i="1"/>
  <c r="G3034" i="1"/>
  <c r="G3033" i="1"/>
  <c r="G2293" i="1"/>
  <c r="G3032" i="1"/>
  <c r="G2292" i="1"/>
  <c r="G2291" i="1"/>
  <c r="G2285" i="1"/>
  <c r="G3031" i="1"/>
  <c r="G3030" i="1"/>
  <c r="G2262" i="1"/>
  <c r="G3029" i="1"/>
  <c r="G2257" i="1"/>
  <c r="G2246" i="1"/>
  <c r="G2244" i="1"/>
  <c r="G2239" i="1"/>
  <c r="G2227" i="1"/>
  <c r="G2191" i="1"/>
  <c r="G2180" i="1"/>
  <c r="G2171" i="1"/>
  <c r="G3023" i="1"/>
  <c r="G2122" i="1"/>
  <c r="G2121" i="1"/>
  <c r="G3021" i="1"/>
  <c r="G2096" i="1"/>
  <c r="G2080" i="1"/>
  <c r="G2073" i="1"/>
  <c r="G2070" i="1"/>
  <c r="G3019" i="1"/>
  <c r="G2043" i="1"/>
  <c r="G2033" i="1"/>
  <c r="G3016" i="1"/>
  <c r="G2026" i="1"/>
  <c r="G3014" i="1"/>
  <c r="G2025" i="1"/>
  <c r="G3013" i="1"/>
  <c r="G2005" i="1"/>
  <c r="G3012" i="1"/>
  <c r="G1989" i="1"/>
  <c r="G1960" i="1"/>
  <c r="G1942" i="1"/>
  <c r="G3007" i="1"/>
  <c r="G3006" i="1"/>
  <c r="G1896" i="1"/>
  <c r="G1877" i="1"/>
  <c r="G1863" i="1"/>
  <c r="G1854" i="1"/>
  <c r="G3004" i="1"/>
  <c r="G1848" i="1"/>
  <c r="G1766" i="1"/>
  <c r="G2998" i="1"/>
  <c r="G1602" i="1"/>
  <c r="G1561" i="1"/>
  <c r="G1560" i="1"/>
  <c r="G1565" i="1"/>
  <c r="G1486" i="1"/>
  <c r="G1450" i="1"/>
  <c r="G1395" i="1"/>
  <c r="G2994" i="1"/>
  <c r="G1345" i="1"/>
  <c r="G1281" i="1"/>
  <c r="G1168" i="1"/>
  <c r="G1124" i="1"/>
  <c r="G3160" i="1"/>
  <c r="G3159" i="1"/>
  <c r="G3158" i="1"/>
  <c r="G3157" i="1"/>
  <c r="G3156" i="1"/>
  <c r="G3155" i="1"/>
  <c r="G3113" i="1"/>
  <c r="G2648" i="1"/>
  <c r="G2647" i="1"/>
  <c r="G3112" i="1"/>
  <c r="G3105" i="1"/>
  <c r="G2634" i="1"/>
  <c r="G2526" i="1"/>
  <c r="G3082" i="1"/>
  <c r="G2479" i="1"/>
  <c r="G2478" i="1"/>
  <c r="G3062" i="1"/>
  <c r="G3061" i="1"/>
  <c r="G2476" i="1"/>
  <c r="G2431" i="1"/>
  <c r="G2430" i="1"/>
  <c r="G2352" i="1"/>
  <c r="G2282" i="1"/>
  <c r="G2280" i="1"/>
  <c r="G3020" i="1"/>
  <c r="G3010" i="1"/>
  <c r="G3009" i="1"/>
  <c r="G3008" i="1"/>
  <c r="G2990" i="1"/>
  <c r="G2989" i="1"/>
  <c r="G2986" i="1"/>
  <c r="G2629" i="1"/>
  <c r="G2591" i="1"/>
  <c r="G2590" i="1"/>
  <c r="G2589" i="1"/>
  <c r="G2559" i="1"/>
  <c r="G2557" i="1"/>
  <c r="G2556" i="1"/>
  <c r="G2555" i="1"/>
  <c r="G2554" i="1"/>
  <c r="G2553" i="1"/>
  <c r="G2552" i="1"/>
  <c r="G2496" i="1"/>
  <c r="G2495" i="1"/>
  <c r="G2470" i="1"/>
  <c r="G2469" i="1"/>
  <c r="G2468" i="1"/>
  <c r="G2467" i="1"/>
  <c r="G2425" i="1"/>
  <c r="G2424" i="1"/>
  <c r="G2423" i="1"/>
  <c r="G2421" i="1"/>
  <c r="G2420" i="1"/>
  <c r="G2419" i="1"/>
  <c r="G2418" i="1"/>
  <c r="G2396" i="1"/>
  <c r="G2391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38" i="1"/>
  <c r="G2337" i="1"/>
  <c r="G2336" i="1"/>
  <c r="G2335" i="1"/>
  <c r="G2334" i="1"/>
  <c r="G2333" i="1"/>
  <c r="G2332" i="1"/>
  <c r="G2331" i="1"/>
  <c r="G2330" i="1"/>
  <c r="G2329" i="1"/>
  <c r="G2277" i="1"/>
  <c r="G2276" i="1"/>
  <c r="G2275" i="1"/>
  <c r="G2274" i="1"/>
  <c r="G2273" i="1"/>
  <c r="G2272" i="1"/>
  <c r="G2271" i="1"/>
  <c r="G2270" i="1"/>
  <c r="G2269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68" i="1"/>
  <c r="G2167" i="1"/>
  <c r="G2165" i="1"/>
  <c r="G2164" i="1"/>
  <c r="G2163" i="1"/>
  <c r="G2162" i="1"/>
  <c r="G2161" i="1"/>
  <c r="G2160" i="1"/>
  <c r="G2133" i="1"/>
  <c r="G2132" i="1"/>
  <c r="G2131" i="1"/>
  <c r="G2130" i="1"/>
  <c r="G2129" i="1"/>
  <c r="G2128" i="1"/>
  <c r="G2127" i="1"/>
  <c r="G2126" i="1"/>
  <c r="G2125" i="1"/>
  <c r="G2124" i="1"/>
  <c r="G2123" i="1"/>
  <c r="G2085" i="1"/>
  <c r="G2084" i="1"/>
  <c r="G2083" i="1"/>
  <c r="G2082" i="1"/>
  <c r="G2081" i="1"/>
  <c r="G2056" i="1"/>
  <c r="G2055" i="1"/>
  <c r="G2024" i="1"/>
  <c r="G2023" i="1"/>
  <c r="G2022" i="1"/>
  <c r="G2021" i="1"/>
  <c r="G2020" i="1"/>
  <c r="G2019" i="1"/>
  <c r="G2018" i="1"/>
  <c r="G2017" i="1"/>
  <c r="G2016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69" i="1"/>
  <c r="G1968" i="1"/>
  <c r="G1967" i="1"/>
  <c r="G1966" i="1"/>
  <c r="G1965" i="1"/>
  <c r="G1964" i="1"/>
  <c r="G1959" i="1"/>
  <c r="G1958" i="1"/>
  <c r="G1957" i="1"/>
  <c r="G1956" i="1"/>
  <c r="G1955" i="1"/>
  <c r="G1954" i="1"/>
  <c r="G1941" i="1"/>
  <c r="G1940" i="1"/>
  <c r="G1939" i="1"/>
  <c r="G1938" i="1"/>
  <c r="G1937" i="1"/>
  <c r="G1936" i="1"/>
  <c r="G1935" i="1"/>
  <c r="G1934" i="1"/>
  <c r="G1908" i="1"/>
  <c r="G1907" i="1"/>
  <c r="G1906" i="1"/>
  <c r="G1905" i="1"/>
  <c r="G1884" i="1"/>
  <c r="G1883" i="1"/>
  <c r="G1882" i="1"/>
  <c r="G1881" i="1"/>
  <c r="G1880" i="1"/>
  <c r="G1879" i="1"/>
  <c r="G1846" i="1"/>
  <c r="G1845" i="1"/>
  <c r="G1844" i="1"/>
  <c r="G1843" i="1"/>
  <c r="G1842" i="1"/>
  <c r="G1841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61" i="1"/>
  <c r="G1760" i="1"/>
  <c r="G1759" i="1"/>
  <c r="G1758" i="1"/>
  <c r="G1754" i="1"/>
  <c r="G1753" i="1"/>
  <c r="G1752" i="1"/>
  <c r="G1751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07" i="1"/>
  <c r="G1706" i="1"/>
  <c r="G1705" i="1"/>
  <c r="G1704" i="1"/>
  <c r="G1682" i="1"/>
  <c r="G1681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05" i="1"/>
  <c r="G1504" i="1"/>
  <c r="G1503" i="1"/>
  <c r="G1502" i="1"/>
  <c r="G1501" i="1"/>
  <c r="G1500" i="1"/>
  <c r="G1499" i="1"/>
  <c r="G1498" i="1"/>
  <c r="G1497" i="1"/>
  <c r="G1472" i="1"/>
  <c r="G1471" i="1"/>
  <c r="G1470" i="1"/>
  <c r="G1469" i="1"/>
  <c r="G1468" i="1"/>
  <c r="G1459" i="1"/>
  <c r="G1458" i="1"/>
  <c r="G1449" i="1"/>
  <c r="G1448" i="1"/>
  <c r="G1447" i="1"/>
  <c r="G1446" i="1"/>
  <c r="G1445" i="1"/>
  <c r="G1444" i="1"/>
  <c r="G1443" i="1"/>
  <c r="G1442" i="1"/>
  <c r="G1441" i="1"/>
  <c r="G1440" i="1"/>
  <c r="G1439" i="1"/>
  <c r="G1394" i="1"/>
  <c r="G1393" i="1"/>
  <c r="G1392" i="1"/>
  <c r="G1391" i="1"/>
  <c r="G1390" i="1"/>
  <c r="G1389" i="1"/>
  <c r="G1388" i="1"/>
  <c r="G1387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61" i="1"/>
  <c r="G1260" i="1"/>
  <c r="G1258" i="1"/>
  <c r="G1249" i="1"/>
  <c r="G1248" i="1"/>
  <c r="G1246" i="1"/>
  <c r="G1245" i="1"/>
  <c r="G1244" i="1"/>
  <c r="G1243" i="1"/>
  <c r="G1242" i="1"/>
  <c r="G1241" i="1"/>
  <c r="G1240" i="1"/>
  <c r="G1239" i="1"/>
  <c r="G1238" i="1"/>
  <c r="G1237" i="1"/>
  <c r="G1215" i="1"/>
  <c r="G1213" i="1"/>
  <c r="G1212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51" i="1"/>
  <c r="G1150" i="1"/>
  <c r="G1149" i="1"/>
  <c r="G1148" i="1"/>
  <c r="G1147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980" i="1"/>
  <c r="G979" i="1"/>
  <c r="G978" i="1"/>
  <c r="G977" i="1"/>
  <c r="G929" i="1"/>
  <c r="G928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71" i="1"/>
  <c r="G870" i="1"/>
  <c r="G869" i="1"/>
  <c r="G868" i="1"/>
  <c r="G844" i="1"/>
  <c r="G843" i="1"/>
  <c r="G842" i="1"/>
  <c r="G841" i="1"/>
  <c r="G840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670" i="1"/>
  <c r="G669" i="1"/>
  <c r="G668" i="1"/>
  <c r="G667" i="1"/>
  <c r="G666" i="1"/>
  <c r="G66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489" i="1"/>
  <c r="G488" i="1"/>
  <c r="G487" i="1"/>
  <c r="G478" i="1"/>
  <c r="G477" i="1"/>
  <c r="G476" i="1"/>
  <c r="G475" i="1"/>
  <c r="G474" i="1"/>
  <c r="G473" i="1"/>
  <c r="G472" i="1"/>
  <c r="G471" i="1"/>
  <c r="G454" i="1"/>
  <c r="G453" i="1"/>
  <c r="G452" i="1"/>
  <c r="G451" i="1"/>
  <c r="G450" i="1"/>
  <c r="G449" i="1"/>
  <c r="G448" i="1"/>
  <c r="G447" i="1"/>
  <c r="G446" i="1"/>
  <c r="G373" i="1"/>
  <c r="G372" i="1"/>
  <c r="G371" i="1"/>
  <c r="G370" i="1"/>
  <c r="G369" i="1"/>
  <c r="G368" i="1"/>
  <c r="G304" i="1"/>
  <c r="G303" i="1"/>
  <c r="G302" i="1"/>
  <c r="G301" i="1"/>
  <c r="G300" i="1"/>
  <c r="G287" i="1"/>
  <c r="G286" i="1"/>
  <c r="G285" i="1"/>
  <c r="G284" i="1"/>
  <c r="G283" i="1"/>
  <c r="G282" i="1"/>
  <c r="G281" i="1"/>
  <c r="G280" i="1"/>
  <c r="G279" i="1"/>
  <c r="G266" i="1"/>
  <c r="G265" i="1"/>
  <c r="G264" i="1"/>
  <c r="G230" i="1"/>
  <c r="G229" i="1"/>
  <c r="G228" i="1"/>
  <c r="G227" i="1"/>
  <c r="G226" i="1"/>
  <c r="G225" i="1"/>
  <c r="G172" i="1"/>
  <c r="G128" i="1"/>
  <c r="G127" i="1"/>
  <c r="G126" i="1"/>
  <c r="G125" i="1"/>
  <c r="G124" i="1"/>
  <c r="G123" i="1"/>
  <c r="G72" i="1"/>
  <c r="G51" i="1"/>
  <c r="G50" i="1"/>
  <c r="G49" i="1"/>
  <c r="G2544" i="1"/>
  <c r="G2542" i="1"/>
  <c r="G2537" i="1"/>
  <c r="G2534" i="1"/>
  <c r="G2532" i="1"/>
  <c r="G2531" i="1"/>
  <c r="G2527" i="1"/>
  <c r="G2502" i="1"/>
  <c r="G2501" i="1"/>
  <c r="G2498" i="1"/>
  <c r="G2493" i="1"/>
  <c r="G2492" i="1"/>
  <c r="G2491" i="1"/>
  <c r="G2486" i="1"/>
  <c r="G2485" i="1"/>
  <c r="G2482" i="1"/>
  <c r="G2475" i="1"/>
  <c r="G2474" i="1"/>
  <c r="G2473" i="1"/>
  <c r="G2472" i="1"/>
  <c r="G2453" i="1"/>
  <c r="G2451" i="1"/>
  <c r="G2443" i="1"/>
  <c r="G2442" i="1"/>
  <c r="G2441" i="1"/>
  <c r="G2440" i="1"/>
  <c r="G2438" i="1"/>
  <c r="G2437" i="1"/>
  <c r="G2436" i="1"/>
  <c r="G2434" i="1"/>
  <c r="G2433" i="1"/>
  <c r="G2432" i="1"/>
  <c r="G2413" i="1"/>
  <c r="G2411" i="1"/>
  <c r="G2410" i="1"/>
  <c r="G2409" i="1"/>
  <c r="G2407" i="1"/>
  <c r="G2394" i="1"/>
  <c r="G2393" i="1"/>
  <c r="G2392" i="1"/>
  <c r="G2375" i="1"/>
  <c r="G2373" i="1"/>
  <c r="G2372" i="1"/>
  <c r="G2370" i="1"/>
  <c r="G2369" i="1"/>
  <c r="G2367" i="1"/>
  <c r="G2366" i="1"/>
  <c r="G2351" i="1"/>
  <c r="G2350" i="1"/>
  <c r="G2348" i="1"/>
  <c r="G2347" i="1"/>
  <c r="G2346" i="1"/>
  <c r="G2345" i="1"/>
  <c r="G2344" i="1"/>
  <c r="G2342" i="1"/>
  <c r="G2339" i="1"/>
  <c r="G2325" i="1"/>
  <c r="G2324" i="1"/>
  <c r="G2323" i="1"/>
  <c r="G2321" i="1"/>
  <c r="G2319" i="1"/>
  <c r="G2318" i="1"/>
  <c r="G2317" i="1"/>
  <c r="G2300" i="1"/>
  <c r="G2294" i="1"/>
  <c r="G2290" i="1"/>
  <c r="G2286" i="1"/>
  <c r="G2284" i="1"/>
  <c r="G2283" i="1"/>
  <c r="G2268" i="1"/>
  <c r="G2267" i="1"/>
  <c r="G2266" i="1"/>
  <c r="G2265" i="1"/>
  <c r="G2264" i="1"/>
  <c r="G2263" i="1"/>
  <c r="G2261" i="1"/>
  <c r="G2260" i="1"/>
  <c r="G2259" i="1"/>
  <c r="G2258" i="1"/>
  <c r="G2256" i="1"/>
  <c r="G2255" i="1"/>
  <c r="G2254" i="1"/>
  <c r="G2248" i="1"/>
  <c r="G2247" i="1"/>
  <c r="G2245" i="1"/>
  <c r="G2243" i="1"/>
  <c r="G2242" i="1"/>
  <c r="G2241" i="1"/>
  <c r="G2240" i="1"/>
  <c r="G2238" i="1"/>
  <c r="G2230" i="1"/>
  <c r="G2229" i="1"/>
  <c r="G2228" i="1"/>
  <c r="G2226" i="1"/>
  <c r="G2190" i="1"/>
  <c r="G2189" i="1"/>
  <c r="G2188" i="1"/>
  <c r="G2187" i="1"/>
  <c r="G2186" i="1"/>
  <c r="G2185" i="1"/>
  <c r="G2184" i="1"/>
  <c r="G2183" i="1"/>
  <c r="G2182" i="1"/>
  <c r="G2181" i="1"/>
  <c r="G2179" i="1"/>
  <c r="G2178" i="1"/>
  <c r="G2177" i="1"/>
  <c r="G2176" i="1"/>
  <c r="G2175" i="1"/>
  <c r="G2174" i="1"/>
  <c r="G2173" i="1"/>
  <c r="G2172" i="1"/>
  <c r="G2170" i="1"/>
  <c r="G2159" i="1"/>
  <c r="G2152" i="1"/>
  <c r="G2151" i="1"/>
  <c r="G2150" i="1"/>
  <c r="G2148" i="1"/>
  <c r="G2142" i="1"/>
  <c r="G2141" i="1"/>
  <c r="G2140" i="1"/>
  <c r="G2139" i="1"/>
  <c r="G2138" i="1"/>
  <c r="G2137" i="1"/>
  <c r="G2136" i="1"/>
  <c r="G213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099" i="1"/>
  <c r="G2098" i="1"/>
  <c r="G2097" i="1"/>
  <c r="G2095" i="1"/>
  <c r="G2094" i="1"/>
  <c r="G2091" i="1"/>
  <c r="G2090" i="1"/>
  <c r="G2089" i="1"/>
  <c r="G2088" i="1"/>
  <c r="G2079" i="1"/>
  <c r="G2078" i="1"/>
  <c r="G2077" i="1"/>
  <c r="G2076" i="1"/>
  <c r="G2075" i="1"/>
  <c r="G2074" i="1"/>
  <c r="G2072" i="1"/>
  <c r="G2071" i="1"/>
  <c r="G2069" i="1"/>
  <c r="G2068" i="1"/>
  <c r="G2067" i="1"/>
  <c r="G2065" i="1"/>
  <c r="G2064" i="1"/>
  <c r="G2063" i="1"/>
  <c r="G2062" i="1"/>
  <c r="G2061" i="1"/>
  <c r="G2060" i="1"/>
  <c r="G2059" i="1"/>
  <c r="G2058" i="1"/>
  <c r="G2057" i="1"/>
  <c r="G2051" i="1"/>
  <c r="G2050" i="1"/>
  <c r="G2049" i="1"/>
  <c r="G2048" i="1"/>
  <c r="G2047" i="1"/>
  <c r="G2046" i="1"/>
  <c r="G2045" i="1"/>
  <c r="G2044" i="1"/>
  <c r="G2042" i="1"/>
  <c r="G2032" i="1"/>
  <c r="G2031" i="1"/>
  <c r="G2030" i="1"/>
  <c r="G2029" i="1"/>
  <c r="G2028" i="1"/>
  <c r="G2015" i="1"/>
  <c r="G2014" i="1"/>
  <c r="G2013" i="1"/>
  <c r="G2012" i="1"/>
  <c r="G2011" i="1"/>
  <c r="G2010" i="1"/>
  <c r="G2009" i="1"/>
  <c r="G2008" i="1"/>
  <c r="G2007" i="1"/>
  <c r="G2006" i="1"/>
  <c r="G2004" i="1"/>
  <c r="G2003" i="1"/>
  <c r="G2002" i="1"/>
  <c r="G2001" i="1"/>
  <c r="G2000" i="1"/>
  <c r="G1999" i="1"/>
  <c r="G1998" i="1"/>
  <c r="G1997" i="1"/>
  <c r="G1996" i="1"/>
  <c r="G1995" i="1"/>
  <c r="G1994" i="1"/>
  <c r="G1962" i="1"/>
  <c r="G1961" i="1"/>
  <c r="G1953" i="1"/>
  <c r="G1952" i="1"/>
  <c r="G1951" i="1"/>
  <c r="G1950" i="1"/>
  <c r="G1949" i="1"/>
  <c r="G1948" i="1"/>
  <c r="G1947" i="1"/>
  <c r="G1946" i="1"/>
  <c r="G1945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01" i="1"/>
  <c r="G1900" i="1"/>
  <c r="G1899" i="1"/>
  <c r="G1898" i="1"/>
  <c r="G1897" i="1"/>
  <c r="G1895" i="1"/>
  <c r="G1894" i="1"/>
  <c r="G1893" i="1"/>
  <c r="G1892" i="1"/>
  <c r="G1891" i="1"/>
  <c r="G1890" i="1"/>
  <c r="G1889" i="1"/>
  <c r="G1888" i="1"/>
  <c r="G1887" i="1"/>
  <c r="G1886" i="1"/>
  <c r="G1885" i="1"/>
  <c r="G1878" i="1"/>
  <c r="G1876" i="1"/>
  <c r="G1875" i="1"/>
  <c r="G1874" i="1"/>
  <c r="G1873" i="1"/>
  <c r="G1872" i="1"/>
  <c r="G1869" i="1"/>
  <c r="G1868" i="1"/>
  <c r="G1864" i="1"/>
  <c r="G1862" i="1"/>
  <c r="G1861" i="1"/>
  <c r="G1860" i="1"/>
  <c r="G1859" i="1"/>
  <c r="G1858" i="1"/>
  <c r="G1857" i="1"/>
  <c r="G1856" i="1"/>
  <c r="G1855" i="1"/>
  <c r="G1853" i="1"/>
  <c r="G1852" i="1"/>
  <c r="G1851" i="1"/>
  <c r="G1850" i="1"/>
  <c r="G1849" i="1"/>
  <c r="G1847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5" i="1"/>
  <c r="G1728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1" i="1"/>
  <c r="G1698" i="1"/>
  <c r="G1697" i="1"/>
  <c r="G1696" i="1"/>
  <c r="G1695" i="1"/>
  <c r="G1694" i="1"/>
  <c r="G1693" i="1"/>
  <c r="G1692" i="1"/>
  <c r="G1686" i="1"/>
  <c r="G1685" i="1"/>
  <c r="G1684" i="1"/>
  <c r="G1683" i="1"/>
  <c r="G1653" i="1"/>
  <c r="G1652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62" i="1"/>
  <c r="G1559" i="1"/>
  <c r="G1558" i="1"/>
  <c r="G1556" i="1"/>
  <c r="G1555" i="1"/>
  <c r="G1554" i="1"/>
  <c r="G1553" i="1"/>
  <c r="G1552" i="1"/>
  <c r="G1551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496" i="1"/>
  <c r="G1495" i="1"/>
  <c r="G1490" i="1"/>
  <c r="G1489" i="1"/>
  <c r="G1488" i="1"/>
  <c r="G1487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67" i="1"/>
  <c r="G1466" i="1"/>
  <c r="G1457" i="1"/>
  <c r="G1456" i="1"/>
  <c r="G1455" i="1"/>
  <c r="G1454" i="1"/>
  <c r="G1453" i="1"/>
  <c r="G1437" i="1"/>
  <c r="G1436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06" i="1"/>
  <c r="G1405" i="1"/>
  <c r="G1404" i="1"/>
  <c r="G1403" i="1"/>
  <c r="G1402" i="1"/>
  <c r="G1401" i="1"/>
  <c r="G1400" i="1"/>
  <c r="G1399" i="1"/>
  <c r="G1398" i="1"/>
  <c r="G1397" i="1"/>
  <c r="G1396" i="1"/>
  <c r="G1386" i="1"/>
  <c r="G1385" i="1"/>
  <c r="G1384" i="1"/>
  <c r="G1383" i="1"/>
  <c r="G1382" i="1"/>
  <c r="G1381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4" i="1"/>
  <c r="G1263" i="1"/>
  <c r="G1262" i="1"/>
  <c r="G1259" i="1"/>
  <c r="G1257" i="1"/>
  <c r="G1255" i="1"/>
  <c r="G1254" i="1"/>
  <c r="G1253" i="1"/>
  <c r="G1252" i="1"/>
  <c r="G1251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178" i="1"/>
  <c r="G1177" i="1"/>
  <c r="G1176" i="1"/>
  <c r="G1175" i="1"/>
  <c r="G1174" i="1"/>
  <c r="G1173" i="1"/>
  <c r="G1172" i="1"/>
  <c r="G1171" i="1"/>
  <c r="G1170" i="1"/>
  <c r="G1169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46" i="1"/>
  <c r="G1145" i="1"/>
  <c r="G1144" i="1"/>
  <c r="G1143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00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26" i="1"/>
  <c r="G1025" i="1"/>
  <c r="G1024" i="1"/>
  <c r="G1023" i="1"/>
  <c r="G1022" i="1"/>
  <c r="G1021" i="1"/>
  <c r="G1020" i="1"/>
  <c r="G1019" i="1"/>
  <c r="G1018" i="1"/>
  <c r="G1017" i="1"/>
  <c r="G1015" i="1"/>
  <c r="G1014" i="1"/>
  <c r="G1013" i="1"/>
  <c r="G1012" i="1"/>
  <c r="G1011" i="1"/>
  <c r="G1010" i="1"/>
  <c r="G1009" i="1"/>
  <c r="G991" i="1"/>
  <c r="G990" i="1"/>
  <c r="G989" i="1"/>
  <c r="G988" i="1"/>
  <c r="G987" i="1"/>
  <c r="G986" i="1"/>
  <c r="G985" i="1"/>
  <c r="G984" i="1"/>
  <c r="G983" i="1"/>
  <c r="G982" i="1"/>
  <c r="G981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2" i="1"/>
  <c r="G921" i="1"/>
  <c r="G920" i="1"/>
  <c r="G919" i="1"/>
  <c r="G882" i="1"/>
  <c r="G881" i="1"/>
  <c r="G880" i="1"/>
  <c r="G879" i="1"/>
  <c r="G875" i="1"/>
  <c r="G874" i="1"/>
  <c r="G873" i="1"/>
  <c r="G872" i="1"/>
  <c r="G867" i="1"/>
  <c r="G864" i="1"/>
  <c r="G863" i="1"/>
  <c r="G862" i="1"/>
  <c r="G861" i="1"/>
  <c r="G860" i="1"/>
  <c r="G859" i="1"/>
  <c r="G858" i="1"/>
  <c r="G857" i="1"/>
  <c r="G856" i="1"/>
  <c r="G855" i="1"/>
  <c r="G854" i="1"/>
  <c r="G846" i="1"/>
  <c r="G845" i="1"/>
  <c r="G839" i="1"/>
  <c r="G838" i="1"/>
  <c r="G837" i="1"/>
  <c r="G836" i="1"/>
  <c r="G835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55" i="1"/>
  <c r="G754" i="1"/>
  <c r="G753" i="1"/>
  <c r="G752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08" i="1"/>
  <c r="G702" i="1"/>
  <c r="G701" i="1"/>
  <c r="G693" i="1"/>
  <c r="G692" i="1"/>
  <c r="G691" i="1"/>
  <c r="G690" i="1"/>
  <c r="G672" i="1"/>
  <c r="G671" i="1"/>
  <c r="G659" i="1"/>
  <c r="G658" i="1"/>
  <c r="G657" i="1"/>
  <c r="G656" i="1"/>
  <c r="G655" i="1"/>
  <c r="G654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12" i="1"/>
  <c r="G611" i="1"/>
  <c r="G610" i="1"/>
  <c r="G609" i="1"/>
  <c r="G608" i="1"/>
  <c r="G607" i="1"/>
  <c r="G606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482" i="1"/>
  <c r="G481" i="1"/>
  <c r="G480" i="1"/>
  <c r="G479" i="1"/>
  <c r="G464" i="1"/>
  <c r="G463" i="1"/>
  <c r="G462" i="1"/>
  <c r="G461" i="1"/>
  <c r="G460" i="1"/>
  <c r="G459" i="1"/>
  <c r="G458" i="1"/>
  <c r="G457" i="1"/>
  <c r="G456" i="1"/>
  <c r="G455" i="1"/>
  <c r="G445" i="1"/>
  <c r="G444" i="1"/>
  <c r="G443" i="1"/>
  <c r="G442" i="1"/>
  <c r="G441" i="1"/>
  <c r="G440" i="1"/>
  <c r="G439" i="1"/>
  <c r="G438" i="1"/>
  <c r="G437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3" i="1"/>
  <c r="G412" i="1"/>
  <c r="G411" i="1"/>
  <c r="G410" i="1"/>
  <c r="G409" i="1"/>
  <c r="G406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65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75" i="1"/>
  <c r="G274" i="1"/>
  <c r="G273" i="1"/>
  <c r="G272" i="1"/>
  <c r="G271" i="1"/>
  <c r="G270" i="1"/>
  <c r="G269" i="1"/>
  <c r="G268" i="1"/>
  <c r="G267" i="1"/>
  <c r="G263" i="1"/>
  <c r="G252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24" i="1"/>
  <c r="G223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7" i="1"/>
  <c r="G186" i="1"/>
  <c r="G185" i="1"/>
  <c r="G184" i="1"/>
  <c r="G183" i="1"/>
  <c r="G181" i="1"/>
  <c r="G180" i="1"/>
  <c r="G179" i="1"/>
  <c r="G178" i="1"/>
  <c r="G177" i="1"/>
  <c r="G176" i="1"/>
  <c r="G175" i="1"/>
  <c r="G174" i="1"/>
  <c r="G17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1" i="1"/>
  <c r="G119" i="1"/>
  <c r="G116" i="1"/>
  <c r="G115" i="1"/>
  <c r="G114" i="1"/>
  <c r="G113" i="1"/>
  <c r="G112" i="1"/>
  <c r="G111" i="1"/>
  <c r="G109" i="1"/>
  <c r="G108" i="1"/>
  <c r="G102" i="1"/>
  <c r="G101" i="1"/>
  <c r="G100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3" i="1"/>
  <c r="G52" i="1"/>
  <c r="G48" i="1"/>
  <c r="G47" i="1"/>
  <c r="G46" i="1"/>
  <c r="G45" i="1"/>
  <c r="G44" i="1"/>
  <c r="G43" i="1"/>
  <c r="G42" i="1"/>
  <c r="G41" i="1"/>
  <c r="G39" i="1"/>
  <c r="G38" i="1"/>
  <c r="G37" i="1"/>
  <c r="G36" i="1"/>
  <c r="G35" i="1"/>
  <c r="G34" i="1"/>
  <c r="G33" i="1"/>
  <c r="G32" i="1"/>
  <c r="G31" i="1"/>
  <c r="G30" i="1"/>
  <c r="G29" i="1"/>
  <c r="G28" i="1"/>
  <c r="G26" i="1"/>
  <c r="G25" i="1"/>
  <c r="G24" i="1"/>
  <c r="G23" i="1"/>
  <c r="G22" i="1"/>
  <c r="G21" i="1"/>
  <c r="G20" i="1"/>
  <c r="G19" i="1"/>
  <c r="G18" i="1"/>
  <c r="G16" i="1"/>
  <c r="G12" i="1"/>
  <c r="G11" i="1"/>
  <c r="G10" i="1"/>
  <c r="G8" i="1"/>
  <c r="G7" i="1"/>
  <c r="G6" i="1"/>
  <c r="G3" i="1"/>
  <c r="G2477" i="1"/>
  <c r="G2353" i="1"/>
  <c r="G2315" i="1"/>
  <c r="G2314" i="1"/>
  <c r="G2313" i="1"/>
  <c r="G2312" i="1"/>
  <c r="G2281" i="1"/>
  <c r="G2279" i="1"/>
  <c r="G2149" i="1"/>
  <c r="G2102" i="1"/>
  <c r="G1944" i="1"/>
  <c r="G1943" i="1"/>
  <c r="G1589" i="1"/>
  <c r="G1588" i="1"/>
  <c r="G1587" i="1"/>
  <c r="G1285" i="1"/>
  <c r="G1284" i="1"/>
  <c r="G1283" i="1"/>
  <c r="G1282" i="1"/>
  <c r="G1008" i="1"/>
  <c r="G653" i="1"/>
  <c r="G652" i="1"/>
  <c r="G222" i="1"/>
</calcChain>
</file>

<file path=xl/sharedStrings.xml><?xml version="1.0" encoding="utf-8"?>
<sst xmlns="http://schemas.openxmlformats.org/spreadsheetml/2006/main" count="35848" uniqueCount="13507">
  <si>
    <t>PartNumber</t>
  </si>
  <si>
    <t>notice</t>
  </si>
  <si>
    <t>waferhistory</t>
  </si>
  <si>
    <t>waferver.</t>
  </si>
  <si>
    <t>Site</t>
  </si>
  <si>
    <t>OrderNO#</t>
  </si>
  <si>
    <t>Qty.(K)</t>
  </si>
  <si>
    <t>IssuedDate</t>
  </si>
  <si>
    <t>Packagetype</t>
  </si>
  <si>
    <t>TopMark</t>
  </si>
  <si>
    <t>wafersite</t>
  </si>
  <si>
    <t>wafer（pcs）</t>
  </si>
  <si>
    <t>Wafer Lot#</t>
  </si>
  <si>
    <t>WaferIDs</t>
  </si>
  <si>
    <t>SY7802PHC</t>
  </si>
  <si>
    <r>
      <rPr>
        <sz val="10"/>
        <rFont val="Arial"/>
        <family val="2"/>
        <charset val="134"/>
      </rPr>
      <t>Marcom</t>
    </r>
    <r>
      <rPr>
        <sz val="10"/>
        <rFont val="宋体"/>
        <family val="3"/>
        <charset val="134"/>
      </rPr>
      <t>需要</t>
    </r>
  </si>
  <si>
    <t>B19A0</t>
  </si>
  <si>
    <t>NFME</t>
  </si>
  <si>
    <t>GE00011</t>
  </si>
  <si>
    <t>CSP1.92*1.92-16</t>
  </si>
  <si>
    <t>WW3YA</t>
  </si>
  <si>
    <t>HJTC</t>
  </si>
  <si>
    <t>N8HS8+N8HS8.04</t>
  </si>
  <si>
    <t>2#+5#~6#</t>
  </si>
  <si>
    <r>
      <rPr>
        <sz val="10"/>
        <rFont val="宋体"/>
        <family val="3"/>
        <charset val="134"/>
      </rPr>
      <t>工厂误将</t>
    </r>
    <r>
      <rPr>
        <sz val="10"/>
        <rFont val="Arial"/>
        <family val="2"/>
        <charset val="134"/>
      </rPr>
      <t>GE00011</t>
    </r>
    <r>
      <rPr>
        <sz val="10"/>
        <rFont val="宋体"/>
        <family val="3"/>
        <charset val="134"/>
      </rPr>
      <t>和</t>
    </r>
    <r>
      <rPr>
        <sz val="10"/>
        <rFont val="Arial"/>
        <family val="2"/>
        <charset val="134"/>
      </rPr>
      <t>GE00012</t>
    </r>
    <r>
      <rPr>
        <sz val="10"/>
        <rFont val="宋体"/>
        <family val="3"/>
        <charset val="134"/>
      </rPr>
      <t>两个订单并成一个</t>
    </r>
  </si>
  <si>
    <t>SY6880CPGC</t>
  </si>
  <si>
    <t>C23C0</t>
  </si>
  <si>
    <t>GE00013</t>
  </si>
  <si>
    <t>CSP2*1.8-12</t>
  </si>
  <si>
    <t>YH3ZA</t>
  </si>
  <si>
    <t>N8RFS</t>
  </si>
  <si>
    <t>1#~3#</t>
  </si>
  <si>
    <t>GF00003</t>
  </si>
  <si>
    <t>WW4DA</t>
  </si>
  <si>
    <t>N92M5</t>
  </si>
  <si>
    <t>1#~10#</t>
  </si>
  <si>
    <t>GF00004</t>
  </si>
  <si>
    <t>YH4DA</t>
  </si>
  <si>
    <t>N8FJF.05</t>
  </si>
  <si>
    <t>6#</t>
  </si>
  <si>
    <t>GF00005</t>
  </si>
  <si>
    <t>WW4GA</t>
  </si>
  <si>
    <t>11#~21#</t>
  </si>
  <si>
    <t>GF00006</t>
  </si>
  <si>
    <t>WW4IA</t>
  </si>
  <si>
    <t>N92M5.03</t>
  </si>
  <si>
    <t>22#~25#</t>
  </si>
  <si>
    <t>SYR827BPKC</t>
  </si>
  <si>
    <t>A58B2</t>
  </si>
  <si>
    <t>GF00007</t>
  </si>
  <si>
    <t>CSP1.56*1.96-20</t>
  </si>
  <si>
    <t>Ab4IA</t>
  </si>
  <si>
    <t>N962F.01</t>
  </si>
  <si>
    <t>7#~11#</t>
  </si>
  <si>
    <t>SYR827CPKC</t>
  </si>
  <si>
    <t>A58C1</t>
  </si>
  <si>
    <t>GF00008</t>
  </si>
  <si>
    <t>Bc4IA</t>
  </si>
  <si>
    <t>N962F.02</t>
  </si>
  <si>
    <t>1#~5#</t>
  </si>
  <si>
    <t>SY9702QOC</t>
  </si>
  <si>
    <t>K10B1</t>
  </si>
  <si>
    <t>GF00009</t>
  </si>
  <si>
    <t>QFN2*3-13(FC)</t>
  </si>
  <si>
    <t>ZN4IA</t>
  </si>
  <si>
    <t>N8PFN.08</t>
  </si>
  <si>
    <t>14#~16#</t>
  </si>
  <si>
    <t xml:space="preserve"> </t>
  </si>
  <si>
    <t>SY6818PLC</t>
  </si>
  <si>
    <t>C28A0</t>
  </si>
  <si>
    <t>GF00010</t>
  </si>
  <si>
    <t>CSP1.73*1.73-12</t>
  </si>
  <si>
    <t>ZQ4KA</t>
  </si>
  <si>
    <t>N9F8M</t>
  </si>
  <si>
    <t>1#-6#</t>
  </si>
  <si>
    <t>GF00011</t>
  </si>
  <si>
    <t>ZQ4KB</t>
  </si>
  <si>
    <t>N9FSH</t>
  </si>
  <si>
    <t>1#-12#</t>
  </si>
  <si>
    <t>GF00012</t>
  </si>
  <si>
    <t>ZQ4KC</t>
  </si>
  <si>
    <t>13#-25#</t>
  </si>
  <si>
    <t>Marcom需要</t>
  </si>
  <si>
    <t>GF00014</t>
  </si>
  <si>
    <t>ZQ4OB</t>
  </si>
  <si>
    <t>N9KQY</t>
  </si>
  <si>
    <t>GF00015</t>
  </si>
  <si>
    <t>ZQ4OC</t>
  </si>
  <si>
    <t>SYR828PKC</t>
  </si>
  <si>
    <t>GF00019</t>
  </si>
  <si>
    <t>Bc4PA</t>
  </si>
  <si>
    <t>N9FCL</t>
  </si>
  <si>
    <t>GF00020</t>
  </si>
  <si>
    <t>ZQ4QA</t>
  </si>
  <si>
    <t>N9KR0.01</t>
  </si>
  <si>
    <t>13#-23#</t>
  </si>
  <si>
    <t>SYR827PKC</t>
  </si>
  <si>
    <t>GF00021</t>
  </si>
  <si>
    <t xml:space="preserve">CSP1.56*1.96-20 </t>
  </si>
  <si>
    <t>Ab4RA</t>
  </si>
  <si>
    <t>N9FCK</t>
  </si>
  <si>
    <t>GF00023</t>
  </si>
  <si>
    <t>Bc4RA</t>
  </si>
  <si>
    <t>GF00025</t>
  </si>
  <si>
    <t>ZQ4SA</t>
  </si>
  <si>
    <t>N9RTF</t>
  </si>
  <si>
    <t>GF00026</t>
  </si>
  <si>
    <t>ZQ4SB</t>
  </si>
  <si>
    <t>GF00027</t>
  </si>
  <si>
    <t>ZQ4SC</t>
  </si>
  <si>
    <t>N9RTH</t>
  </si>
  <si>
    <t>7#-15#</t>
  </si>
  <si>
    <t>GF00028</t>
  </si>
  <si>
    <t>ZQ4SD</t>
  </si>
  <si>
    <t>16#~25#</t>
  </si>
  <si>
    <t>GF00030</t>
  </si>
  <si>
    <t>Bc4SA</t>
  </si>
  <si>
    <t>N9FCJ.02</t>
  </si>
  <si>
    <t>5#-13#</t>
  </si>
  <si>
    <t>GF00034</t>
  </si>
  <si>
    <t>YH4UB</t>
  </si>
  <si>
    <t>N9632</t>
  </si>
  <si>
    <t>SY58004FAC</t>
  </si>
  <si>
    <t>E02G1+A3X01A</t>
  </si>
  <si>
    <t>JCET</t>
  </si>
  <si>
    <t>HE00367</t>
  </si>
  <si>
    <t>SO8</t>
  </si>
  <si>
    <t>ALP3FA</t>
  </si>
  <si>
    <t>ASMC</t>
  </si>
  <si>
    <t>2+6</t>
  </si>
  <si>
    <t>N81Q6+SJ006400</t>
  </si>
  <si>
    <t>14#~15#+19#~24#</t>
  </si>
  <si>
    <t>N81Q6;SJ006400</t>
  </si>
  <si>
    <t>SY8020LDCC</t>
  </si>
  <si>
    <t>D</t>
  </si>
  <si>
    <t>A11A1</t>
  </si>
  <si>
    <t>HE00457</t>
  </si>
  <si>
    <t>DFN3*3-12</t>
  </si>
  <si>
    <t>LX3GA</t>
  </si>
  <si>
    <t>N7RLN</t>
  </si>
  <si>
    <t>7#~16#</t>
  </si>
  <si>
    <t>N7RLN-1</t>
  </si>
  <si>
    <t>SYB592FAC</t>
  </si>
  <si>
    <t>E02T2+A3X04A</t>
  </si>
  <si>
    <t>HE01082</t>
  </si>
  <si>
    <r>
      <rPr>
        <sz val="10"/>
        <rFont val="Arial"/>
        <family val="2"/>
        <charset val="134"/>
      </rPr>
      <t>SO8(</t>
    </r>
    <r>
      <rPr>
        <sz val="10"/>
        <rFont val="宋体"/>
        <family val="3"/>
        <charset val="134"/>
      </rPr>
      <t>金铜混打</t>
    </r>
    <r>
      <rPr>
        <sz val="10"/>
        <rFont val="Arial"/>
        <family val="2"/>
        <charset val="134"/>
      </rPr>
      <t>)</t>
    </r>
  </si>
  <si>
    <t>AIY3LB</t>
  </si>
  <si>
    <t>9+13</t>
  </si>
  <si>
    <t>N87L6+SJ024600</t>
  </si>
  <si>
    <t>13#~21#+13#~25#</t>
  </si>
  <si>
    <t>N87L6;SJ024600</t>
  </si>
  <si>
    <t>HE01113</t>
  </si>
  <si>
    <t>AIY3LI</t>
  </si>
  <si>
    <t>8+12</t>
  </si>
  <si>
    <t>N87T3+SJ017200</t>
  </si>
  <si>
    <t>10#~17#+1#~6#,8#~13#</t>
  </si>
  <si>
    <t>N87T3;SJ017200</t>
  </si>
  <si>
    <t>SY7065QMC</t>
  </si>
  <si>
    <t>Bumping</t>
  </si>
  <si>
    <t>B16C0</t>
  </si>
  <si>
    <t>HE01287</t>
  </si>
  <si>
    <t>QFN2*2-10</t>
  </si>
  <si>
    <t>RC3OA</t>
  </si>
  <si>
    <t>N8C1W</t>
  </si>
  <si>
    <t>1#~12#</t>
  </si>
  <si>
    <t>HE01288</t>
  </si>
  <si>
    <t>RC3OB</t>
  </si>
  <si>
    <t>13#~25#</t>
  </si>
  <si>
    <t>N8C1W-1</t>
  </si>
  <si>
    <t>SY7201ABC</t>
  </si>
  <si>
    <t>B07L1</t>
  </si>
  <si>
    <t>HE01342</t>
  </si>
  <si>
    <t>SOT23-6</t>
  </si>
  <si>
    <t>DQ3PA</t>
  </si>
  <si>
    <t>N875T</t>
  </si>
  <si>
    <t>SY6288D20AAC</t>
  </si>
  <si>
    <t>C11D1</t>
  </si>
  <si>
    <t>HE01347</t>
  </si>
  <si>
    <r>
      <rPr>
        <sz val="10"/>
        <rFont val="Arial"/>
        <family val="2"/>
        <charset val="134"/>
      </rP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</si>
  <si>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RE3OA</t>
  </si>
  <si>
    <t>N7K1T.08</t>
  </si>
  <si>
    <r>
      <rPr>
        <sz val="10"/>
        <rFont val="Arial"/>
        <family val="2"/>
        <charset val="134"/>
      </rPr>
      <t>4#(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</t>
    </r>
  </si>
  <si>
    <t>N7K1T.08-1</t>
  </si>
  <si>
    <t>SY8660DPC</t>
  </si>
  <si>
    <t>I14A0</t>
  </si>
  <si>
    <t>HE01354</t>
  </si>
  <si>
    <t>DFN3*3-14</t>
  </si>
  <si>
    <t>LQ3PA</t>
  </si>
  <si>
    <t>N8FSK</t>
  </si>
  <si>
    <t>5#~6#</t>
  </si>
  <si>
    <t>SY8053DBC</t>
  </si>
  <si>
    <t>A25A1</t>
  </si>
  <si>
    <t>HE01355</t>
  </si>
  <si>
    <t>DFN3*3-10</t>
  </si>
  <si>
    <t>VE3PA</t>
  </si>
  <si>
    <t>N85K0</t>
  </si>
  <si>
    <t>4#~5#</t>
  </si>
  <si>
    <t>N85K0-1</t>
  </si>
  <si>
    <t>SY8246ADNC</t>
  </si>
  <si>
    <t>A10B1</t>
  </si>
  <si>
    <t>HE01362</t>
  </si>
  <si>
    <t>DFN3×4-12</t>
  </si>
  <si>
    <t>AIE3PA</t>
  </si>
  <si>
    <t>N8GNT</t>
  </si>
  <si>
    <t>15# ~20#</t>
  </si>
  <si>
    <t>SYK735FAC</t>
  </si>
  <si>
    <t>余片处理</t>
  </si>
  <si>
    <t>E02T2+A2X02A</t>
  </si>
  <si>
    <t>HE01363</t>
  </si>
  <si>
    <r>
      <rPr>
        <sz val="10"/>
        <rFont val="Arial"/>
        <family val="2"/>
        <charset val="134"/>
      </rP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</si>
  <si>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AJM3PF</t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</si>
  <si>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+50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</si>
  <si>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+(SJ024900+SJ025200)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</si>
  <si>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+(1#~25#+1#~25#)</t>
    </r>
  </si>
  <si>
    <t>N7LWF.06;(SJ024900+SJ025200)</t>
  </si>
  <si>
    <t>SY58202FAC</t>
  </si>
  <si>
    <t>E02G1+A1X02A</t>
  </si>
  <si>
    <t>HE01365</t>
  </si>
  <si>
    <t>AIG3PA</t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</si>
  <si>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+6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</si>
  <si>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+(SJ018000+EP274500)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</si>
  <si>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+(18#~25#+21#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</t>
    </r>
  </si>
  <si>
    <t>N81Q2.02;SJ018000</t>
  </si>
  <si>
    <t>SY58281AAC</t>
  </si>
  <si>
    <t>E14A1+A3X03A</t>
  </si>
  <si>
    <t>HE01366</t>
  </si>
  <si>
    <t>UK3PA</t>
  </si>
  <si>
    <t>6+10</t>
  </si>
  <si>
    <t>N8GMP+SJ041504</t>
  </si>
  <si>
    <t>1#~6#+1#,2#,4#~11#</t>
  </si>
  <si>
    <t>SJ041504;N8GMP</t>
  </si>
  <si>
    <t>HE01370</t>
  </si>
  <si>
    <t>LX3PA</t>
  </si>
  <si>
    <t>N8635</t>
  </si>
  <si>
    <t>8#~14#</t>
  </si>
  <si>
    <t>N8635-1</t>
  </si>
  <si>
    <t>SY58294AFAC</t>
  </si>
  <si>
    <t>E02TD0+A3X01A</t>
  </si>
  <si>
    <t>HE01375</t>
  </si>
  <si>
    <t>AMM3PA</t>
  </si>
  <si>
    <t>6+17</t>
  </si>
  <si>
    <t>N84GL+(SJ023600+SJ028100)</t>
  </si>
  <si>
    <t>6#~11#+(15#~25#+1#~6#)</t>
  </si>
  <si>
    <t>N84GL;(SJ023600+SJ028100)</t>
  </si>
  <si>
    <t>SYH634DFC</t>
  </si>
  <si>
    <t>A52G0</t>
  </si>
  <si>
    <t>HE01388</t>
  </si>
  <si>
    <t>DFN2*2-8</t>
  </si>
  <si>
    <t>UW3QA</t>
  </si>
  <si>
    <t>N8H6T.06</t>
  </si>
  <si>
    <t>18#~19#</t>
  </si>
  <si>
    <t>N8H6T.06-1</t>
  </si>
  <si>
    <t>SYH634LDFC</t>
  </si>
  <si>
    <t>HE01389</t>
  </si>
  <si>
    <t>UV3QA</t>
  </si>
  <si>
    <t>20#~21#</t>
  </si>
  <si>
    <t>N8H6T.06-2</t>
  </si>
  <si>
    <t>SY8079AAC</t>
  </si>
  <si>
    <t>HE01390</t>
  </si>
  <si>
    <t>SOT23-5L</t>
  </si>
  <si>
    <t>UH3QA</t>
  </si>
  <si>
    <t>22#~23#</t>
  </si>
  <si>
    <t>SY8702AABC</t>
  </si>
  <si>
    <t>B07EA0</t>
  </si>
  <si>
    <t>HE01396</t>
  </si>
  <si>
    <r>
      <rPr>
        <sz val="10"/>
        <rFont val="Arial"/>
        <family val="2"/>
        <charset val="134"/>
      </rP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</si>
  <si>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UD3QA</t>
  </si>
  <si>
    <t>N8H6C</t>
  </si>
  <si>
    <t>1#~2#</t>
  </si>
  <si>
    <t>SY7301ADC</t>
  </si>
  <si>
    <t>B40L1</t>
  </si>
  <si>
    <t>HE01416</t>
  </si>
  <si>
    <t>TSOT23-6</t>
  </si>
  <si>
    <t>RY3QA</t>
  </si>
  <si>
    <t>N8HC4</t>
  </si>
  <si>
    <t>SY8205FCC</t>
  </si>
  <si>
    <t>A10A2</t>
  </si>
  <si>
    <t>HE01422</t>
  </si>
  <si>
    <t>SO8E</t>
  </si>
  <si>
    <t>AHH3QA</t>
  </si>
  <si>
    <t>N8565</t>
  </si>
  <si>
    <t>1#~25#</t>
  </si>
  <si>
    <t>SY8113ADC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</si>
  <si>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</si>
  <si>
    <t>A32A2</t>
  </si>
  <si>
    <t>HE01435</t>
  </si>
  <si>
    <t>TSOT-23-6L(12R)</t>
  </si>
  <si>
    <t>ML3QC</t>
  </si>
  <si>
    <t>N862H</t>
  </si>
  <si>
    <t>N862H-1</t>
  </si>
  <si>
    <t>SY7113ABC</t>
  </si>
  <si>
    <t>B17S0</t>
  </si>
  <si>
    <t>HE01440</t>
  </si>
  <si>
    <t>NM3RB</t>
  </si>
  <si>
    <t>N8GNL</t>
  </si>
  <si>
    <t>11#~15#</t>
  </si>
  <si>
    <t>HE01441</t>
  </si>
  <si>
    <t>NM3RC</t>
  </si>
  <si>
    <t>N8GNL-1</t>
  </si>
  <si>
    <t>HE01450</t>
  </si>
  <si>
    <t>ALP3RA</t>
  </si>
  <si>
    <t>2+5</t>
  </si>
  <si>
    <t>N881P+SJ028100</t>
  </si>
  <si>
    <t>24#~25#+7#~11#</t>
  </si>
  <si>
    <t>N881P;SJ028100</t>
  </si>
  <si>
    <t>SY5013FAC</t>
  </si>
  <si>
    <t>E02H0</t>
  </si>
  <si>
    <t>HE01458</t>
  </si>
  <si>
    <t>AGH3RA</t>
  </si>
  <si>
    <t>N7QSL.02</t>
  </si>
  <si>
    <t>SY5002BABC</t>
  </si>
  <si>
    <t>E02CB2</t>
  </si>
  <si>
    <t>HE01462</t>
  </si>
  <si>
    <t>QS3RA</t>
  </si>
  <si>
    <t>N8GWM.01</t>
  </si>
  <si>
    <t>1#</t>
  </si>
  <si>
    <t>SY5806FAC</t>
  </si>
  <si>
    <t>E02S1</t>
  </si>
  <si>
    <t>HE01463</t>
  </si>
  <si>
    <t>ALH3RA</t>
  </si>
  <si>
    <t>N8GWM.02</t>
  </si>
  <si>
    <t>18#~20#</t>
  </si>
  <si>
    <t>N8GWM.02-1</t>
  </si>
  <si>
    <t>SY8080AAC</t>
  </si>
  <si>
    <t>A11G0</t>
  </si>
  <si>
    <t>HE01466</t>
  </si>
  <si>
    <t>PV3RA</t>
  </si>
  <si>
    <t>N7S17.01</t>
  </si>
  <si>
    <t>SY8081ADQC</t>
  </si>
  <si>
    <t>A11J0</t>
  </si>
  <si>
    <t>HE01467</t>
  </si>
  <si>
    <t>DFN1.5*1.5-6</t>
  </si>
  <si>
    <t>QY3RA</t>
  </si>
  <si>
    <t>N7S6S.02</t>
  </si>
  <si>
    <t>4#</t>
  </si>
  <si>
    <t>N7S6S.02-1</t>
  </si>
  <si>
    <t>SY8081BDQC</t>
  </si>
  <si>
    <t>A11K0</t>
  </si>
  <si>
    <t>HE01468</t>
  </si>
  <si>
    <t>QB3RA</t>
  </si>
  <si>
    <t>N7S6S.03</t>
  </si>
  <si>
    <t>23#</t>
  </si>
  <si>
    <t>N7S6S.03-1</t>
  </si>
  <si>
    <t>SY8081DDQC</t>
  </si>
  <si>
    <t>A11L0</t>
  </si>
  <si>
    <t>HE01469</t>
  </si>
  <si>
    <t>DFN1.5×1.5-6</t>
  </si>
  <si>
    <t>QD3RA</t>
  </si>
  <si>
    <t>N7S6Q.01</t>
  </si>
  <si>
    <t>2#</t>
  </si>
  <si>
    <t>N7S6Q.01-1</t>
  </si>
  <si>
    <t>SY8081EDQC</t>
  </si>
  <si>
    <t>A11M0</t>
  </si>
  <si>
    <t>HE01470</t>
  </si>
  <si>
    <t>RL3RA</t>
  </si>
  <si>
    <t>N7S6Q.02</t>
  </si>
  <si>
    <t>N7S6Q.02-1</t>
  </si>
  <si>
    <t>SY8081FDQC</t>
  </si>
  <si>
    <t>A11N0</t>
  </si>
  <si>
    <t>HE01471</t>
  </si>
  <si>
    <t>RM3RA</t>
  </si>
  <si>
    <t>N7S6Q.03</t>
  </si>
  <si>
    <t>N7S6Q.03-1</t>
  </si>
  <si>
    <t>SY8232FAC</t>
  </si>
  <si>
    <t>A46F0</t>
  </si>
  <si>
    <t>HE01474</t>
  </si>
  <si>
    <t>AIU3RA</t>
  </si>
  <si>
    <t>N8CWG.01</t>
  </si>
  <si>
    <t>21#~23#</t>
  </si>
  <si>
    <t>SY7706QDC</t>
  </si>
  <si>
    <t>B24A0</t>
  </si>
  <si>
    <t>HE01475</t>
  </si>
  <si>
    <t>QFN3*3-16</t>
  </si>
  <si>
    <t>AGU3RA</t>
  </si>
  <si>
    <t>N8978.04</t>
  </si>
  <si>
    <t>6#~8#</t>
  </si>
  <si>
    <t>SY8003EDFC</t>
  </si>
  <si>
    <t>A25I0</t>
  </si>
  <si>
    <t>HE01476</t>
  </si>
  <si>
    <t>DFN2x2-8</t>
  </si>
  <si>
    <t>VC3RA</t>
  </si>
  <si>
    <t>N8HGS.02</t>
  </si>
  <si>
    <t>SY58291FAC</t>
  </si>
  <si>
    <t>E02T2+A3X03A</t>
  </si>
  <si>
    <t>HE01479</t>
  </si>
  <si>
    <t>AJU3RB</t>
  </si>
  <si>
    <t>8+9</t>
  </si>
  <si>
    <t>N88RJ+SJ043100</t>
  </si>
  <si>
    <t>14#~21#+15#~23#</t>
  </si>
  <si>
    <t>N88RJ;SJ043100</t>
  </si>
  <si>
    <t>SYA105ABC</t>
  </si>
  <si>
    <t>A21A1</t>
  </si>
  <si>
    <t>HE01483</t>
  </si>
  <si>
    <t>HT3RB</t>
  </si>
  <si>
    <t>N82CN</t>
  </si>
  <si>
    <t>7#~12#</t>
  </si>
  <si>
    <t>N82CN-1</t>
  </si>
  <si>
    <t>吕政试验片</t>
  </si>
  <si>
    <t>HE01510</t>
  </si>
  <si>
    <t>NM3RD</t>
  </si>
  <si>
    <t>N8GNL.01</t>
  </si>
  <si>
    <t>8#,9#</t>
  </si>
  <si>
    <t>SYK871FCC</t>
  </si>
  <si>
    <t>B07J0</t>
  </si>
  <si>
    <t>HE01513</t>
  </si>
  <si>
    <t>AEP3RA</t>
  </si>
  <si>
    <t>N88K3</t>
  </si>
  <si>
    <t>13#~15#</t>
  </si>
  <si>
    <t>N88K3-1</t>
  </si>
  <si>
    <t>SY5802FAC</t>
  </si>
  <si>
    <t>E02B3</t>
  </si>
  <si>
    <t>HE01525</t>
  </si>
  <si>
    <t>AEF3SA</t>
  </si>
  <si>
    <t>N89HK</t>
  </si>
  <si>
    <t>16#</t>
  </si>
  <si>
    <t>N89HK-2</t>
  </si>
  <si>
    <t>SY8016DEC</t>
  </si>
  <si>
    <t>A11I0</t>
  </si>
  <si>
    <t>HE01540</t>
  </si>
  <si>
    <t>DFN2*2-6</t>
  </si>
  <si>
    <t>QV3SA</t>
  </si>
  <si>
    <t>N8634.02</t>
  </si>
  <si>
    <t>11#~12#</t>
  </si>
  <si>
    <t>SYW232DFC</t>
  </si>
  <si>
    <t>HE01541</t>
  </si>
  <si>
    <t>HU3SA</t>
  </si>
  <si>
    <t>N85JY</t>
  </si>
  <si>
    <t>12#~22#</t>
  </si>
  <si>
    <t>N85JY-1</t>
  </si>
  <si>
    <t>HE01548</t>
  </si>
  <si>
    <t>ML3SA</t>
  </si>
  <si>
    <t>N87TF.01</t>
  </si>
  <si>
    <t>SY6883ABC</t>
  </si>
  <si>
    <t>C08B5</t>
  </si>
  <si>
    <t>HE01550</t>
  </si>
  <si>
    <t>RP3SA</t>
  </si>
  <si>
    <t>N7QCT.09</t>
  </si>
  <si>
    <t>6#~11#</t>
  </si>
  <si>
    <t>HE01562</t>
  </si>
  <si>
    <t>AEF3TA</t>
  </si>
  <si>
    <t>17#~19#</t>
  </si>
  <si>
    <t>N89HK-3</t>
  </si>
  <si>
    <t>SY8003ADFC</t>
  </si>
  <si>
    <t>A25C1</t>
  </si>
  <si>
    <t>HE01563</t>
  </si>
  <si>
    <t>KW3TA</t>
  </si>
  <si>
    <t>N85G5</t>
  </si>
  <si>
    <t>1#~8#</t>
  </si>
  <si>
    <t>SY7801DCC</t>
  </si>
  <si>
    <t>B17M0+C03D0</t>
  </si>
  <si>
    <t>HE01565</t>
  </si>
  <si>
    <t>RS3TA</t>
  </si>
  <si>
    <t>2+1</t>
  </si>
  <si>
    <t>N882N.02+N87TM</t>
  </si>
  <si>
    <t>22#~23#+25#</t>
  </si>
  <si>
    <t>N87TM;N882N.02</t>
  </si>
  <si>
    <t>SY8711FCC</t>
  </si>
  <si>
    <t>HE01566</t>
  </si>
  <si>
    <t>AEP3TA</t>
  </si>
  <si>
    <t>N88K3-2</t>
  </si>
  <si>
    <t>SYHV78ABC</t>
  </si>
  <si>
    <t>B18FA0</t>
  </si>
  <si>
    <t>HE01576</t>
  </si>
  <si>
    <t>TW3TA</t>
  </si>
  <si>
    <t>N86NP.09</t>
  </si>
  <si>
    <t>SY8100AABC</t>
  </si>
  <si>
    <t>HE01581</t>
  </si>
  <si>
    <t>HB3TB</t>
  </si>
  <si>
    <t>N82CL</t>
  </si>
  <si>
    <t>SY8204FCC</t>
  </si>
  <si>
    <t>HE01594</t>
  </si>
  <si>
    <r>
      <rPr>
        <sz val="10"/>
        <rFont val="Arial"/>
        <family val="2"/>
        <charset val="134"/>
      </rP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</si>
  <si>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AHI3TA</t>
  </si>
  <si>
    <t>N814R.01</t>
  </si>
  <si>
    <t>HE01597</t>
  </si>
  <si>
    <t>AHH3TA</t>
  </si>
  <si>
    <t>N8GNS</t>
  </si>
  <si>
    <t>HE01616</t>
  </si>
  <si>
    <t>AEF3TB</t>
  </si>
  <si>
    <t>20#~22#</t>
  </si>
  <si>
    <t>N89HK-4</t>
  </si>
  <si>
    <t>SYLS27ABC</t>
  </si>
  <si>
    <t>B07E1</t>
  </si>
  <si>
    <t>HE01624</t>
  </si>
  <si>
    <t>DR3TA</t>
  </si>
  <si>
    <t>N8H69</t>
  </si>
  <si>
    <t>1#~9#</t>
  </si>
  <si>
    <t>HE01625</t>
  </si>
  <si>
    <t>RY3TA</t>
  </si>
  <si>
    <t>N8HC0</t>
  </si>
  <si>
    <t>HE01626</t>
  </si>
  <si>
    <t>RY3TB</t>
  </si>
  <si>
    <t>10#~18#</t>
  </si>
  <si>
    <t>N8HC0-1</t>
  </si>
  <si>
    <t>SY8233FCC</t>
  </si>
  <si>
    <t>A46A0</t>
  </si>
  <si>
    <t>HE01630</t>
  </si>
  <si>
    <t>AIV3TA</t>
  </si>
  <si>
    <t>N88MM</t>
  </si>
  <si>
    <t>13#~20#</t>
  </si>
  <si>
    <t>N88MM-1</t>
  </si>
  <si>
    <t>SY7304DBC</t>
  </si>
  <si>
    <t>B18C1</t>
  </si>
  <si>
    <t>HE01640</t>
  </si>
  <si>
    <r>
      <rPr>
        <sz val="10"/>
        <rFont val="Arial"/>
        <family val="2"/>
        <charset val="134"/>
      </rP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</si>
  <si>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VI3TA</t>
  </si>
  <si>
    <t>N86NP.06</t>
  </si>
  <si>
    <t>12#</t>
  </si>
  <si>
    <t>N86NP.06-1</t>
  </si>
  <si>
    <t>SY7204DBC</t>
  </si>
  <si>
    <t>B18B0</t>
  </si>
  <si>
    <t>HE01641</t>
  </si>
  <si>
    <t>RD3TA</t>
  </si>
  <si>
    <t>N86NP.08</t>
  </si>
  <si>
    <t>SY8707ABC</t>
  </si>
  <si>
    <r>
      <rPr>
        <sz val="10"/>
        <rFont val="Arial"/>
        <family val="2"/>
        <charset val="134"/>
      </rPr>
      <t>Marcom</t>
    </r>
    <r>
      <rPr>
        <sz val="10"/>
        <rFont val="宋体"/>
        <family val="3"/>
        <charset val="134"/>
      </rPr>
      <t>需要</t>
    </r>
    <r>
      <rPr>
        <sz val="10"/>
        <rFont val="Arial"/>
        <family val="2"/>
        <charset val="134"/>
      </rPr>
      <t>30K</t>
    </r>
  </si>
  <si>
    <t>HE01642</t>
  </si>
  <si>
    <t>TW3TC</t>
  </si>
  <si>
    <t>N8N0H</t>
  </si>
  <si>
    <t>N8N0H-2</t>
  </si>
  <si>
    <t>SYDH87ABC</t>
  </si>
  <si>
    <t>HE01643</t>
  </si>
  <si>
    <t>TW3TD</t>
  </si>
  <si>
    <t>20#~23#</t>
  </si>
  <si>
    <t>N8N0H-1</t>
  </si>
  <si>
    <t>SY7301AADC</t>
  </si>
  <si>
    <t>B40LA0</t>
  </si>
  <si>
    <t>HE01644</t>
  </si>
  <si>
    <t>WG3TA</t>
  </si>
  <si>
    <t>N8JP4</t>
  </si>
  <si>
    <t>N8JP4-1</t>
  </si>
  <si>
    <t>SY7301ADBC</t>
  </si>
  <si>
    <t>HE01645</t>
  </si>
  <si>
    <t>WR3TA</t>
  </si>
  <si>
    <t>3#~4#</t>
  </si>
  <si>
    <t>SY50103AFAC</t>
  </si>
  <si>
    <t>E02CE0+A2X01A</t>
  </si>
  <si>
    <t>HE01647</t>
  </si>
  <si>
    <t>AQN3TA</t>
  </si>
  <si>
    <t>1+3</t>
  </si>
  <si>
    <t>N8C79.01+SJ036700</t>
  </si>
  <si>
    <t>10#+19#~21#</t>
  </si>
  <si>
    <t>N8C79.01;SJ036700</t>
  </si>
  <si>
    <t>SY58106AFAC</t>
  </si>
  <si>
    <t>E02GC0+A2X06B</t>
  </si>
  <si>
    <t>HE01661</t>
  </si>
  <si>
    <t>AQT3UA</t>
  </si>
  <si>
    <t>1+5</t>
  </si>
  <si>
    <t>N8C79.04+EP321500</t>
  </si>
  <si>
    <t>8#+10#~14#</t>
  </si>
  <si>
    <t>EP321500;N8C79.04-1</t>
  </si>
  <si>
    <t>SYPH28A1ABC</t>
  </si>
  <si>
    <t>E02Q1</t>
  </si>
  <si>
    <t>HE01672</t>
  </si>
  <si>
    <t>MH3UA</t>
  </si>
  <si>
    <t>N8LF5.02</t>
  </si>
  <si>
    <t>11#~20#</t>
  </si>
  <si>
    <t>SY8081DQC</t>
  </si>
  <si>
    <t>A11D0</t>
  </si>
  <si>
    <t>HE01675</t>
  </si>
  <si>
    <t>MN3UA</t>
  </si>
  <si>
    <t>N7MW2.01</t>
  </si>
  <si>
    <t>24#,25#</t>
  </si>
  <si>
    <t>HE01676</t>
  </si>
  <si>
    <t>HB3UA</t>
  </si>
  <si>
    <t>N8PFS</t>
  </si>
  <si>
    <t>HE01677</t>
  </si>
  <si>
    <t>HB3UB</t>
  </si>
  <si>
    <t>N8PFS-1</t>
  </si>
  <si>
    <t>SY7063QMC</t>
  </si>
  <si>
    <t>B23D0</t>
  </si>
  <si>
    <t>HE01678</t>
  </si>
  <si>
    <t>UJ3UB</t>
  </si>
  <si>
    <t>N8Q7Y</t>
  </si>
  <si>
    <t>16#~21#</t>
  </si>
  <si>
    <t>HE01695</t>
  </si>
  <si>
    <t>ML3VB</t>
  </si>
  <si>
    <t>N87TC</t>
  </si>
  <si>
    <t>N87TC-1</t>
  </si>
  <si>
    <t>SY7066QMC</t>
  </si>
  <si>
    <t>B23A2</t>
  </si>
  <si>
    <t>HE01697</t>
  </si>
  <si>
    <t>MG3VA</t>
  </si>
  <si>
    <t>N8Q81</t>
  </si>
  <si>
    <t>1#~10#,12#</t>
  </si>
  <si>
    <t>SY5802AFAC</t>
  </si>
  <si>
    <t>E02J1</t>
  </si>
  <si>
    <t>HE01702</t>
  </si>
  <si>
    <t>AHK3VA</t>
  </si>
  <si>
    <t>N8LF4.04</t>
  </si>
  <si>
    <t>SY5800DFAC</t>
  </si>
  <si>
    <t>E02U1</t>
  </si>
  <si>
    <t>HE01703</t>
  </si>
  <si>
    <t>AHS3VA</t>
  </si>
  <si>
    <t>N8QMA.03</t>
  </si>
  <si>
    <t>16#~17#</t>
  </si>
  <si>
    <t>SY5810BABC</t>
  </si>
  <si>
    <t>闭环</t>
  </si>
  <si>
    <t>E02FB0</t>
  </si>
  <si>
    <t>HE01704</t>
  </si>
  <si>
    <t>PR3VA</t>
  </si>
  <si>
    <t>N8M20</t>
  </si>
  <si>
    <t>19#~20#</t>
  </si>
  <si>
    <t>N8M20-2</t>
  </si>
  <si>
    <t>SY5813ABC</t>
  </si>
  <si>
    <t>HE01705</t>
  </si>
  <si>
    <t>HQ3VA</t>
  </si>
  <si>
    <t>21#~22#</t>
  </si>
  <si>
    <t>N8M20-1</t>
  </si>
  <si>
    <t>SY5011FAC</t>
  </si>
  <si>
    <t>E02L0</t>
  </si>
  <si>
    <t>HE01706</t>
  </si>
  <si>
    <t>SOP8</t>
  </si>
  <si>
    <t>AJE3VA</t>
  </si>
  <si>
    <t>N87FC</t>
  </si>
  <si>
    <t>13#~14#</t>
  </si>
  <si>
    <t>N87FC-1</t>
  </si>
  <si>
    <t>SY8061DEC</t>
  </si>
  <si>
    <t>HE01708</t>
  </si>
  <si>
    <t>LH3VA</t>
  </si>
  <si>
    <t xml:space="preserve">N8FWW </t>
  </si>
  <si>
    <t>14#~17#</t>
  </si>
  <si>
    <t>N8FWW-2</t>
  </si>
  <si>
    <t>HE01709</t>
  </si>
  <si>
    <t>HU3VA</t>
  </si>
  <si>
    <t>N8H9A</t>
  </si>
  <si>
    <t>1#~11#</t>
  </si>
  <si>
    <t>SY8002AABC</t>
  </si>
  <si>
    <t>HE01715</t>
  </si>
  <si>
    <t>KG3VI</t>
  </si>
  <si>
    <t>N8N0W</t>
  </si>
  <si>
    <t>SY8722FCC</t>
  </si>
  <si>
    <t>B07Q0+B07E1</t>
  </si>
  <si>
    <t>HE01719</t>
  </si>
  <si>
    <t>AIS3VA</t>
  </si>
  <si>
    <t>10+10</t>
  </si>
  <si>
    <t>N8C24.02+N8LGJ</t>
  </si>
  <si>
    <t>6#~15#+1#~10#</t>
  </si>
  <si>
    <t>N8C24.02;N8LGJ</t>
  </si>
  <si>
    <t>SYLE21FCC</t>
  </si>
  <si>
    <t>HE01720</t>
  </si>
  <si>
    <t>AIS3VB</t>
  </si>
  <si>
    <t>2+2</t>
  </si>
  <si>
    <t>N8A3F+N8H69</t>
  </si>
  <si>
    <t>24#~25#+10#~11#</t>
  </si>
  <si>
    <t>N8A3F;N8H69</t>
  </si>
  <si>
    <t>HE01721</t>
  </si>
  <si>
    <t>DR3VA</t>
  </si>
  <si>
    <t>N8LGJ</t>
  </si>
  <si>
    <t>SYLS37ABC</t>
  </si>
  <si>
    <t>HE01723</t>
  </si>
  <si>
    <t>EF3VB</t>
  </si>
  <si>
    <t>N8H6F</t>
  </si>
  <si>
    <t>1#~4#</t>
  </si>
  <si>
    <t>SY5800AFAC</t>
  </si>
  <si>
    <t>HE01731</t>
  </si>
  <si>
    <t>AFB3WA</t>
  </si>
  <si>
    <t>23#~25#</t>
  </si>
  <si>
    <t>N89HK-5</t>
  </si>
  <si>
    <t>SY8089AAC</t>
  </si>
  <si>
    <t>HE01732</t>
  </si>
  <si>
    <t>JX3WA</t>
  </si>
  <si>
    <t>12#~13#</t>
  </si>
  <si>
    <t>N8H9A-1</t>
  </si>
  <si>
    <t>SY58203AFAC</t>
  </si>
  <si>
    <t>E02GA0+A1X01A</t>
  </si>
  <si>
    <t>HE01734</t>
  </si>
  <si>
    <t>AMY3WA</t>
  </si>
  <si>
    <t>N8QMA.04+(SJ005300+SJ005800)</t>
  </si>
  <si>
    <t>18#+(24#~25#+25#)</t>
  </si>
  <si>
    <t>N8QMA.04;(SJ005300+SJ005800)</t>
  </si>
  <si>
    <t>SYD264AFAC</t>
  </si>
  <si>
    <t>E02TD0+A2X01A</t>
  </si>
  <si>
    <t>HE01736</t>
  </si>
  <si>
    <t>AMJ3WB</t>
  </si>
  <si>
    <t>N8LF5.03+(SJ036300+SJ036700)</t>
  </si>
  <si>
    <t>4#~5#+(25#+22#~25#)</t>
  </si>
  <si>
    <t>N8LF5.03;(SJ036300+SJ036700)</t>
  </si>
  <si>
    <t>SY58592AFAC</t>
  </si>
  <si>
    <t>E02TE1+A2X04A</t>
  </si>
  <si>
    <t>HE01737</t>
  </si>
  <si>
    <t>AOZ3WA</t>
  </si>
  <si>
    <t>2+3</t>
  </si>
  <si>
    <t>N8QMA.02+SJ035100</t>
  </si>
  <si>
    <t>11#~12#+23#~25#</t>
  </si>
  <si>
    <t>N8QMA.02;SJ035100</t>
  </si>
  <si>
    <t>SY58292AFAC</t>
  </si>
  <si>
    <t>E02TE1+A3X04A</t>
  </si>
  <si>
    <t>HE01739</t>
  </si>
  <si>
    <t>AOX3WA</t>
  </si>
  <si>
    <t>1+1</t>
  </si>
  <si>
    <t>N8QMA.02+SJ032500</t>
  </si>
  <si>
    <t>14#+25#</t>
  </si>
  <si>
    <t>N8QMA.02;SJ032500</t>
  </si>
  <si>
    <t>SY58591AFAC</t>
  </si>
  <si>
    <t>E02TE1+A2X03A</t>
  </si>
  <si>
    <t>HE01740</t>
  </si>
  <si>
    <t>APA3WA</t>
  </si>
  <si>
    <t>N8QMA.02+EP285400</t>
  </si>
  <si>
    <t>15#+2#</t>
  </si>
  <si>
    <t>N8QMA.02;EP285400</t>
  </si>
  <si>
    <t>SY8003CDFC</t>
  </si>
  <si>
    <t>A25J0</t>
  </si>
  <si>
    <t>HE01747</t>
  </si>
  <si>
    <t>VB3WA</t>
  </si>
  <si>
    <t>N8N0T.03</t>
  </si>
  <si>
    <t>10#~15#</t>
  </si>
  <si>
    <t>N8N0T.03-1</t>
  </si>
  <si>
    <t>HE01759</t>
  </si>
  <si>
    <t>AHI3WA</t>
  </si>
  <si>
    <t>N8HS2</t>
  </si>
  <si>
    <t>SYPH04A1FAC</t>
  </si>
  <si>
    <t>E02DA0</t>
  </si>
  <si>
    <t>HE01760</t>
  </si>
  <si>
    <t>AKL3WA</t>
  </si>
  <si>
    <t>N7NAF.07</t>
  </si>
  <si>
    <t>SYDH67FAC</t>
  </si>
  <si>
    <t>E02CD0+A5X03A</t>
  </si>
  <si>
    <t>HE01761</t>
  </si>
  <si>
    <t>AKW3WA</t>
  </si>
  <si>
    <t>5+5</t>
  </si>
  <si>
    <t>N8H6G+SJ045100</t>
  </si>
  <si>
    <t>17#~21#+1#~4#,6#</t>
  </si>
  <si>
    <t>N8H6G;SJ045100</t>
  </si>
  <si>
    <t>SY58296AFAC</t>
  </si>
  <si>
    <t>E02TJ0+A3X06B</t>
  </si>
  <si>
    <t>HE01768</t>
  </si>
  <si>
    <t>AQJ3WA</t>
  </si>
  <si>
    <t>N8QMC.02+EP321500</t>
  </si>
  <si>
    <t>15#+1#~5#</t>
  </si>
  <si>
    <t>EP321500;N8QMC.02-1</t>
  </si>
  <si>
    <t>SY58295AFAC</t>
  </si>
  <si>
    <t>E02TJ0+A3X07A</t>
  </si>
  <si>
    <t>HE01769</t>
  </si>
  <si>
    <t>AQI3WA</t>
  </si>
  <si>
    <t>1+4</t>
  </si>
  <si>
    <t>N8QMC.02+EP321600</t>
  </si>
  <si>
    <t>16#+1#~4#</t>
  </si>
  <si>
    <t>EP321600;N8QMC.02</t>
  </si>
  <si>
    <t>SY58105AFAC</t>
  </si>
  <si>
    <t>E02GC0+A2X07A</t>
  </si>
  <si>
    <t>HE01774</t>
  </si>
  <si>
    <t>AQG3WA</t>
  </si>
  <si>
    <t>1+2</t>
  </si>
  <si>
    <t>N8QM8+EP321600</t>
  </si>
  <si>
    <t>24#+20#~21#</t>
  </si>
  <si>
    <t>EP321600;N8QM8</t>
  </si>
  <si>
    <t>SY8292ABC</t>
  </si>
  <si>
    <t>A55A0</t>
  </si>
  <si>
    <t>HE01775</t>
  </si>
  <si>
    <t>HD3WA</t>
  </si>
  <si>
    <t>N8QCP</t>
  </si>
  <si>
    <t>5#</t>
  </si>
  <si>
    <t>SY5820ABC</t>
  </si>
  <si>
    <t>E02FE0</t>
  </si>
  <si>
    <t>HE01779</t>
  </si>
  <si>
    <t>TB3WA</t>
  </si>
  <si>
    <t>N7W61.04</t>
  </si>
  <si>
    <t>10#</t>
  </si>
  <si>
    <t>N7W61.04-1</t>
  </si>
  <si>
    <t>HE01791</t>
  </si>
  <si>
    <r>
      <rPr>
        <sz val="10"/>
        <rFont val="Arial"/>
        <family val="2"/>
        <charset val="134"/>
      </rPr>
      <t>SOP8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</si>
  <si>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AJE3WA</t>
  </si>
  <si>
    <t>15#</t>
  </si>
  <si>
    <t>N87FC-2</t>
  </si>
  <si>
    <t>SYLS83FAC</t>
  </si>
  <si>
    <t>HE01794</t>
  </si>
  <si>
    <t>AJM3WN</t>
  </si>
  <si>
    <t>5+10</t>
  </si>
  <si>
    <t>(N89NA+N89HA)+SJ033800</t>
  </si>
  <si>
    <r>
      <rPr>
        <sz val="10"/>
        <rFont val="Arial"/>
        <family val="2"/>
        <charset val="134"/>
      </rPr>
      <t>(22#~25#+25#)+15#~23#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25#</t>
    </r>
  </si>
  <si>
    <t>(N89NA+N89HA);SJ033800</t>
  </si>
  <si>
    <t>SY8002BABC</t>
  </si>
  <si>
    <t>A25F0</t>
  </si>
  <si>
    <t>HE01795</t>
  </si>
  <si>
    <t>NT3WB</t>
  </si>
  <si>
    <t>N8S34</t>
  </si>
  <si>
    <t>SY5824AABC</t>
  </si>
  <si>
    <t>E02QB0</t>
  </si>
  <si>
    <t>HE01800</t>
  </si>
  <si>
    <t>TC3WA</t>
  </si>
  <si>
    <t>N7W61.05</t>
  </si>
  <si>
    <t>8#</t>
  </si>
  <si>
    <t>N7W61.05-1</t>
  </si>
  <si>
    <t>HE01801</t>
  </si>
  <si>
    <t>AHS3WB</t>
  </si>
  <si>
    <t>N8QM8.03</t>
  </si>
  <si>
    <t>1#~6#</t>
  </si>
  <si>
    <t>SY8105ADC</t>
  </si>
  <si>
    <t>A38B0</t>
  </si>
  <si>
    <t>HE01803</t>
  </si>
  <si>
    <t>NY3XA</t>
  </si>
  <si>
    <t>N7Y32.19</t>
  </si>
  <si>
    <t>SY9701ADPC</t>
  </si>
  <si>
    <t>K10A1</t>
  </si>
  <si>
    <t>HE01804</t>
  </si>
  <si>
    <t>WQ3XA</t>
  </si>
  <si>
    <t>N868P.10</t>
  </si>
  <si>
    <t>7#~15#</t>
  </si>
  <si>
    <t>SY7630QCC</t>
  </si>
  <si>
    <t>I01A1</t>
  </si>
  <si>
    <t>HE01816</t>
  </si>
  <si>
    <t>ADY3XA</t>
  </si>
  <si>
    <t>N8C1P</t>
  </si>
  <si>
    <t>SYT513FAC</t>
  </si>
  <si>
    <t>E02CC0+A2X01A</t>
  </si>
  <si>
    <t>HE01821</t>
  </si>
  <si>
    <t>AMQ3XA</t>
  </si>
  <si>
    <t>9+25</t>
  </si>
  <si>
    <t>N89NC+SJ037000</t>
  </si>
  <si>
    <t>1#~9#+1#~25#</t>
  </si>
  <si>
    <t>N89NC;SJ037000</t>
  </si>
  <si>
    <t>SY50103BFAC</t>
  </si>
  <si>
    <t>E02CF0+A2X01A</t>
  </si>
  <si>
    <t>HE01824</t>
  </si>
  <si>
    <t>APS3XA</t>
  </si>
  <si>
    <t>N8M21+SJ036900</t>
  </si>
  <si>
    <t>1#~6#+1#~6#,8#~10#,12#~17#,19#~20#</t>
  </si>
  <si>
    <t>N8M21;SJ036900</t>
  </si>
  <si>
    <t>SY8071AAC</t>
  </si>
  <si>
    <t>A11E0</t>
  </si>
  <si>
    <t>HE01825</t>
  </si>
  <si>
    <t>NA3XA</t>
  </si>
  <si>
    <t>N8FWT.03</t>
  </si>
  <si>
    <t>3#~9#</t>
  </si>
  <si>
    <t>SY58200FAC</t>
  </si>
  <si>
    <t>E02G1+A1X03A</t>
  </si>
  <si>
    <t>HE01830</t>
  </si>
  <si>
    <t>ALJ3XA</t>
  </si>
  <si>
    <t>6+7</t>
  </si>
  <si>
    <t>(N871K+N871K.08)+EP291900</t>
  </si>
  <si>
    <t>(25#+4,9,12,17,20#)+8#,9#,11#,12#,14#-16#</t>
  </si>
  <si>
    <t>(N871K+N871K.08);EP291900</t>
  </si>
  <si>
    <t>HE01832</t>
  </si>
  <si>
    <t>PR3XB</t>
  </si>
  <si>
    <t>N8QMC</t>
  </si>
  <si>
    <t>24#~25#</t>
  </si>
  <si>
    <t>N8QMC-1</t>
  </si>
  <si>
    <t>SYH113ADC</t>
  </si>
  <si>
    <r>
      <rPr>
        <sz val="10"/>
        <rFont val="宋体"/>
        <family val="3"/>
        <charset val="134"/>
      </rPr>
      <t>已做好</t>
    </r>
    <r>
      <rPr>
        <sz val="10"/>
        <rFont val="Arial"/>
        <family val="2"/>
        <charset val="134"/>
      </rPr>
      <t>Bumping</t>
    </r>
    <r>
      <rPr>
        <sz val="10"/>
        <rFont val="宋体"/>
        <family val="3"/>
        <charset val="134"/>
      </rPr>
      <t>，工程</t>
    </r>
    <r>
      <rPr>
        <sz val="10"/>
        <rFont val="Arial"/>
        <family val="2"/>
        <charset val="134"/>
      </rPr>
      <t>wafer,Marcom</t>
    </r>
    <r>
      <rPr>
        <sz val="10"/>
        <rFont val="宋体"/>
        <family val="3"/>
        <charset val="134"/>
      </rPr>
      <t>需要</t>
    </r>
  </si>
  <si>
    <t>A62A0</t>
  </si>
  <si>
    <t>HE01833</t>
  </si>
  <si>
    <t>WC3XA</t>
  </si>
  <si>
    <t>N8R20</t>
  </si>
  <si>
    <r>
      <rPr>
        <sz val="10"/>
        <rFont val="Arial"/>
        <family val="2"/>
        <charset val="134"/>
      </rPr>
      <t>5#(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)~6#(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</t>
    </r>
  </si>
  <si>
    <t>N8R20-1</t>
  </si>
  <si>
    <t>SY8003DFC</t>
  </si>
  <si>
    <t>HE01835</t>
  </si>
  <si>
    <t>JD3XB</t>
  </si>
  <si>
    <t>N8S35</t>
  </si>
  <si>
    <t>N8S35-1</t>
  </si>
  <si>
    <t>HE01836</t>
  </si>
  <si>
    <t>JD3XC</t>
  </si>
  <si>
    <t>N8S35.01</t>
  </si>
  <si>
    <t>SY5800BFAC</t>
  </si>
  <si>
    <t>E02R2</t>
  </si>
  <si>
    <t>HE01837</t>
  </si>
  <si>
    <t>AGB3XA</t>
  </si>
  <si>
    <t>N89NK</t>
  </si>
  <si>
    <t>6#~15#</t>
  </si>
  <si>
    <t>N89NK-1</t>
  </si>
  <si>
    <t>HE01838</t>
  </si>
  <si>
    <t>AGB3XB</t>
  </si>
  <si>
    <t>N89NK-2</t>
  </si>
  <si>
    <t>HE01839</t>
  </si>
  <si>
    <t>AGB3XC</t>
  </si>
  <si>
    <t>N8A8Y</t>
  </si>
  <si>
    <t>HE01840</t>
  </si>
  <si>
    <t>DQ3XA</t>
  </si>
  <si>
    <t>N8C28</t>
  </si>
  <si>
    <t>N8C28-1</t>
  </si>
  <si>
    <t>HE01841</t>
  </si>
  <si>
    <t>DQ3XB</t>
  </si>
  <si>
    <t>N8C28-2</t>
  </si>
  <si>
    <t>HE01842</t>
  </si>
  <si>
    <t>DQ3XC</t>
  </si>
  <si>
    <t>N8C25</t>
  </si>
  <si>
    <t>HE01843</t>
  </si>
  <si>
    <t>AHS3XA</t>
  </si>
  <si>
    <t>N8QM8.03-1</t>
  </si>
  <si>
    <t>HE01844</t>
  </si>
  <si>
    <t>TB3XA</t>
  </si>
  <si>
    <t>N8QMH</t>
  </si>
  <si>
    <t>8#~9#</t>
  </si>
  <si>
    <t>SY8060DCC</t>
  </si>
  <si>
    <t>HE01845</t>
  </si>
  <si>
    <r>
      <rPr>
        <sz val="10"/>
        <rFont val="Arial"/>
        <family val="2"/>
        <charset val="134"/>
      </rP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</si>
  <si>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LX3XA</t>
  </si>
  <si>
    <t>N8FWW</t>
  </si>
  <si>
    <t>N8FWW-4</t>
  </si>
  <si>
    <t>HE01846</t>
  </si>
  <si>
    <t>NT3XA</t>
  </si>
  <si>
    <t>9#~16#</t>
  </si>
  <si>
    <t>N8S34-1</t>
  </si>
  <si>
    <t>HE01847</t>
  </si>
  <si>
    <t>NT3XB</t>
  </si>
  <si>
    <t>17#~25#</t>
  </si>
  <si>
    <t>N8S34-2</t>
  </si>
  <si>
    <t>SY8069FAC</t>
  </si>
  <si>
    <t>A25B0</t>
  </si>
  <si>
    <t>HE01848</t>
  </si>
  <si>
    <t>ALK3XA</t>
  </si>
  <si>
    <t>N7S6P.02</t>
  </si>
  <si>
    <t>N7S6P.02-1</t>
  </si>
  <si>
    <t>SY7312AABC</t>
  </si>
  <si>
    <t>B28U1</t>
  </si>
  <si>
    <t>HE01849</t>
  </si>
  <si>
    <r>
      <rPr>
        <sz val="10"/>
        <rFont val="Arial"/>
        <family val="2"/>
        <charset val="134"/>
      </rP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</si>
  <si>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WE3XA</t>
  </si>
  <si>
    <t>N8RJW</t>
  </si>
  <si>
    <t>16#~19#</t>
  </si>
  <si>
    <t>N8RJW-1</t>
  </si>
  <si>
    <t>HE01850</t>
  </si>
  <si>
    <r>
      <rPr>
        <sz val="10"/>
        <rFont val="Arial"/>
        <family val="2"/>
        <charset val="134"/>
      </rP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</si>
  <si>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WG3XA</t>
  </si>
  <si>
    <t>N8A91.01</t>
  </si>
  <si>
    <t>25#</t>
  </si>
  <si>
    <t>N8A91.01-1</t>
  </si>
  <si>
    <t>SY8120BABC</t>
  </si>
  <si>
    <t>A36A2</t>
  </si>
  <si>
    <t>HE01851</t>
  </si>
  <si>
    <t>NB3XA</t>
  </si>
  <si>
    <t>N8F7Y</t>
  </si>
  <si>
    <t>N8F7Y-2</t>
  </si>
  <si>
    <t>HE01852</t>
  </si>
  <si>
    <t>NB3XB</t>
  </si>
  <si>
    <t>N8L17</t>
  </si>
  <si>
    <t>HE01853</t>
  </si>
  <si>
    <t>NB3XC</t>
  </si>
  <si>
    <t>N8L17-1</t>
  </si>
  <si>
    <t>HE01854</t>
  </si>
  <si>
    <t>NB3XD</t>
  </si>
  <si>
    <t>N8HS5.01</t>
  </si>
  <si>
    <t>HE01855</t>
  </si>
  <si>
    <t>NB3XE</t>
  </si>
  <si>
    <t>N8L16</t>
  </si>
  <si>
    <t>HE01856</t>
  </si>
  <si>
    <t>NB3XF</t>
  </si>
  <si>
    <t>N8L16-1</t>
  </si>
  <si>
    <t>HE01857</t>
  </si>
  <si>
    <t>NB3XG</t>
  </si>
  <si>
    <t>N8L7K</t>
  </si>
  <si>
    <t>HE01858</t>
  </si>
  <si>
    <t>AIU3XA</t>
  </si>
  <si>
    <t>N8CWG.03</t>
  </si>
  <si>
    <t>14#~15#</t>
  </si>
  <si>
    <t>HE01859</t>
  </si>
  <si>
    <t>AJM3XA</t>
  </si>
  <si>
    <t>12+24</t>
  </si>
  <si>
    <t>N89N6+SJ033700</t>
  </si>
  <si>
    <t>1#~12#+1#~24#</t>
  </si>
  <si>
    <t>N89N6;SJ033700</t>
  </si>
  <si>
    <t>HE01860</t>
  </si>
  <si>
    <t>AJM3XB</t>
  </si>
  <si>
    <t>13+26</t>
  </si>
  <si>
    <t>N89N6+(SJ046100+SJ033700)</t>
  </si>
  <si>
    <t>13#~25#+(1#~25#+25#)</t>
  </si>
  <si>
    <t>N89N6;(SJ046100+SJ033700)</t>
  </si>
  <si>
    <t>HE01861</t>
  </si>
  <si>
    <t>AJM3XC</t>
  </si>
  <si>
    <t>N89NF+SJ046600</t>
  </si>
  <si>
    <t>1#~12#+2#~25#</t>
  </si>
  <si>
    <t>N89NF;SJ046600</t>
  </si>
  <si>
    <t>HE01862</t>
  </si>
  <si>
    <t>AJM3XD</t>
  </si>
  <si>
    <t>N89NF+(SJ045500+SJ046600)</t>
  </si>
  <si>
    <t>13#~25#+(1#~25#+1#)</t>
  </si>
  <si>
    <t>N89NF;(SJ045500+SJ046600)</t>
  </si>
  <si>
    <t>HE01863</t>
  </si>
  <si>
    <t>AJM3XE</t>
  </si>
  <si>
    <t>N89S4+SJ034100</t>
  </si>
  <si>
    <t>1#~12#+1#~23#,25#</t>
  </si>
  <si>
    <t>N89S4;SJ034100</t>
  </si>
  <si>
    <t>HE01864</t>
  </si>
  <si>
    <t>AJM3XF</t>
  </si>
  <si>
    <t>N89S4+(SJ046500+SJ033900)</t>
  </si>
  <si>
    <t>N89S4;(SJ046500+SJ033900)</t>
  </si>
  <si>
    <t>HE01865</t>
  </si>
  <si>
    <t>AJM3XG</t>
  </si>
  <si>
    <t>N89N8+SJ046400</t>
  </si>
  <si>
    <t>1#~12#+1#~2#,4#~25#</t>
  </si>
  <si>
    <t>N89N8;SJ046400</t>
  </si>
  <si>
    <t>HE01866</t>
  </si>
  <si>
    <t>AJM3XH</t>
  </si>
  <si>
    <t>N89N8+(SJ034200+SJ033900)</t>
  </si>
  <si>
    <t>13#~25#+(1#~22#,25#+1#~3#)</t>
  </si>
  <si>
    <t>N89N8;(SJ034200+SJ033900)</t>
  </si>
  <si>
    <t>HE01867</t>
  </si>
  <si>
    <t>AJM3XI</t>
  </si>
  <si>
    <t>N89NM+SJ046200</t>
  </si>
  <si>
    <t>N89NM;SJ046200</t>
  </si>
  <si>
    <t>HE01868</t>
  </si>
  <si>
    <t>AJM3XJ</t>
  </si>
  <si>
    <t>N89NM+(SJ046000+SJ033900)</t>
  </si>
  <si>
    <t>13#~25#+(1#~11#,13#~24#+4#~6#)</t>
  </si>
  <si>
    <t>N89NM;(SJ046000+SJ033900)</t>
  </si>
  <si>
    <t>HE01869</t>
  </si>
  <si>
    <t>AJM3XK</t>
  </si>
  <si>
    <t>8+16</t>
  </si>
  <si>
    <t>N89S2+SJ033900</t>
  </si>
  <si>
    <t>8#~15#+7#~17#,19#~23#</t>
  </si>
  <si>
    <t>N89S2;SJ033900</t>
  </si>
  <si>
    <t>HE01870</t>
  </si>
  <si>
    <t>AJM3XL</t>
  </si>
  <si>
    <t>N89NH+SJ046300</t>
  </si>
  <si>
    <t>N89NH;SJ046300</t>
  </si>
  <si>
    <t>SYK491FAC</t>
  </si>
  <si>
    <t>HE01871</t>
  </si>
  <si>
    <t>AJU3XA</t>
  </si>
  <si>
    <t>10+11</t>
  </si>
  <si>
    <t>N89S2+SJ043200</t>
  </si>
  <si>
    <t>16#~25#+7#~17#</t>
  </si>
  <si>
    <t>N89S2;SJ043200</t>
  </si>
  <si>
    <t>HE01872</t>
  </si>
  <si>
    <t>AJU3XB</t>
  </si>
  <si>
    <t>N89NH+(SJ043200+SJ041502)</t>
  </si>
  <si>
    <t>13#~20#+(18#~25#+3#)</t>
  </si>
  <si>
    <t>N89NH;(SJ043200+SJ041502)</t>
  </si>
  <si>
    <t>SY58293AFAC</t>
  </si>
  <si>
    <t>E02TD0+A3X02A</t>
  </si>
  <si>
    <t>HE01873</t>
  </si>
  <si>
    <t>AML3XE</t>
  </si>
  <si>
    <t>N8LF5.03+SJ031300</t>
  </si>
  <si>
    <r>
      <rPr>
        <sz val="10"/>
        <rFont val="Arial"/>
        <family val="2"/>
        <charset val="134"/>
      </rPr>
      <t>6#~10#+15#~22#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24#~25#</t>
    </r>
  </si>
  <si>
    <t>N8LF5.03;SJ031300</t>
  </si>
  <si>
    <t>HE01874</t>
  </si>
  <si>
    <t>AML3XF</t>
  </si>
  <si>
    <t>N8QM7+SJ031600</t>
  </si>
  <si>
    <t>N8QM7;SJ031600</t>
  </si>
  <si>
    <t>HE01875</t>
  </si>
  <si>
    <t>AML3XG</t>
  </si>
  <si>
    <t>N8QM7+(SJ031400+SJ031600)</t>
  </si>
  <si>
    <t>N8QM7;(SJ031400+SJ031600)</t>
  </si>
  <si>
    <t>HE01876</t>
  </si>
  <si>
    <t>AQI3XA</t>
  </si>
  <si>
    <t>18#+5#~7#</t>
  </si>
  <si>
    <t>N8QMC.02;EP321600</t>
  </si>
  <si>
    <t>HE01877</t>
  </si>
  <si>
    <t>AOX3XA</t>
  </si>
  <si>
    <t>5+7</t>
  </si>
  <si>
    <t>N8QM8.02+(SJ032900+SJ017200)</t>
  </si>
  <si>
    <t>17#~21#+(4#~10#+1#)</t>
  </si>
  <si>
    <t>N8QM8.02;SJ032900</t>
  </si>
  <si>
    <t>SY8089AAAC</t>
  </si>
  <si>
    <t>HE01878</t>
  </si>
  <si>
    <t>KV3YA</t>
  </si>
  <si>
    <t>N8S37</t>
  </si>
  <si>
    <t>HE01879</t>
  </si>
  <si>
    <t>KV3YB</t>
  </si>
  <si>
    <t>N8S37-1</t>
  </si>
  <si>
    <t>HE01880</t>
  </si>
  <si>
    <t>KV3YC</t>
  </si>
  <si>
    <t>N8S36</t>
  </si>
  <si>
    <t>HE01881</t>
  </si>
  <si>
    <t>KV3YD</t>
  </si>
  <si>
    <t>N8S36-1</t>
  </si>
  <si>
    <t>HE01882</t>
  </si>
  <si>
    <t>HB3YA</t>
  </si>
  <si>
    <t>N8TF3</t>
  </si>
  <si>
    <t>HE01883</t>
  </si>
  <si>
    <t>HB3YB</t>
  </si>
  <si>
    <t>N8TF3-1</t>
  </si>
  <si>
    <t>HE01884</t>
  </si>
  <si>
    <t>HB3YC</t>
  </si>
  <si>
    <t>N8TF4</t>
  </si>
  <si>
    <t>9#~19#</t>
  </si>
  <si>
    <t>SYT020ABC</t>
  </si>
  <si>
    <t>HE01885</t>
  </si>
  <si>
    <t>HB3YD</t>
  </si>
  <si>
    <t xml:space="preserve">N8TF4 </t>
  </si>
  <si>
    <t>20#~25#</t>
  </si>
  <si>
    <t>N8TF4-1</t>
  </si>
  <si>
    <t>SY8121ABC</t>
  </si>
  <si>
    <t>A21B1</t>
  </si>
  <si>
    <t>HE01886</t>
  </si>
  <si>
    <t>JW3YA</t>
  </si>
  <si>
    <t>N8TF4.01</t>
  </si>
  <si>
    <t>SYH112ADC</t>
  </si>
  <si>
    <t>A62B0</t>
  </si>
  <si>
    <t>HE01887</t>
  </si>
  <si>
    <t>QE3YA</t>
  </si>
  <si>
    <t>N8R20.03</t>
  </si>
  <si>
    <t>SY7065AQMC</t>
  </si>
  <si>
    <t>B23E1</t>
  </si>
  <si>
    <t>HE01888</t>
  </si>
  <si>
    <t>VL3YA</t>
  </si>
  <si>
    <t>N8TJK.03</t>
  </si>
  <si>
    <t>SY8868QMC</t>
  </si>
  <si>
    <t>A42B3</t>
  </si>
  <si>
    <t>HE01889</t>
  </si>
  <si>
    <t>QFN2x2-10</t>
  </si>
  <si>
    <t>KT3YA</t>
  </si>
  <si>
    <t>N8TJN</t>
  </si>
  <si>
    <t>11#~17#</t>
  </si>
  <si>
    <t>HE01890</t>
  </si>
  <si>
    <t>KT3YB</t>
  </si>
  <si>
    <t>18#~25#</t>
  </si>
  <si>
    <t>N8TJN-1</t>
  </si>
  <si>
    <t>B23C0</t>
  </si>
  <si>
    <t>HE01891</t>
  </si>
  <si>
    <t>RC3YA</t>
  </si>
  <si>
    <t>N8TJK</t>
  </si>
  <si>
    <t>HE01892</t>
  </si>
  <si>
    <t>RC3YB</t>
  </si>
  <si>
    <t>N8TJK-1</t>
  </si>
  <si>
    <t>退货重测</t>
  </si>
  <si>
    <t>HE01893</t>
  </si>
  <si>
    <t>N8718;(SJ028500+SJ023600)/N81Q6;SJ006400</t>
  </si>
  <si>
    <t>SY8120ABC</t>
  </si>
  <si>
    <t>HE01894</t>
  </si>
  <si>
    <t>HT3YA</t>
  </si>
  <si>
    <t>N8TT3</t>
  </si>
  <si>
    <t>HE01895</t>
  </si>
  <si>
    <t>HT3YB</t>
  </si>
  <si>
    <t>N8TT3-1</t>
  </si>
  <si>
    <t>HE01896</t>
  </si>
  <si>
    <t>MG3YA</t>
  </si>
  <si>
    <t>N8TF5</t>
  </si>
  <si>
    <t>HE01897</t>
  </si>
  <si>
    <t>MG3YB</t>
  </si>
  <si>
    <t>N8TF5-1</t>
  </si>
  <si>
    <t>HE01898</t>
  </si>
  <si>
    <t>VL3YB</t>
  </si>
  <si>
    <t>N8W0P</t>
  </si>
  <si>
    <t>HE01899</t>
  </si>
  <si>
    <t>VL3YC</t>
  </si>
  <si>
    <t>N8W0P-1</t>
  </si>
  <si>
    <t>SY8088AAC</t>
  </si>
  <si>
    <t>A11C0</t>
  </si>
  <si>
    <t>HE01900</t>
  </si>
  <si>
    <r>
      <rPr>
        <sz val="10"/>
        <rFont val="Arial"/>
        <family val="2"/>
        <charset val="134"/>
      </rPr>
      <t>LD3Y</t>
    </r>
    <r>
      <rPr>
        <u/>
        <sz val="10"/>
        <rFont val="Arial"/>
        <family val="2"/>
        <charset val="134"/>
      </rPr>
      <t>L</t>
    </r>
  </si>
  <si>
    <t>N8F93</t>
  </si>
  <si>
    <t>HE01901</t>
  </si>
  <si>
    <r>
      <rPr>
        <sz val="10"/>
        <rFont val="Arial"/>
        <family val="2"/>
        <charset val="134"/>
      </rPr>
      <t>LD3Y</t>
    </r>
    <r>
      <rPr>
        <u/>
        <sz val="10"/>
        <rFont val="Arial"/>
        <family val="2"/>
        <charset val="134"/>
      </rPr>
      <t>M</t>
    </r>
  </si>
  <si>
    <t>N8F93-1</t>
  </si>
  <si>
    <t>HE01902</t>
  </si>
  <si>
    <r>
      <rPr>
        <sz val="10"/>
        <rFont val="Arial"/>
        <family val="2"/>
        <charset val="134"/>
      </rPr>
      <t>LD3Y</t>
    </r>
    <r>
      <rPr>
        <u/>
        <sz val="10"/>
        <rFont val="Arial"/>
        <family val="2"/>
        <charset val="134"/>
      </rPr>
      <t>N</t>
    </r>
  </si>
  <si>
    <t>13#~18#</t>
  </si>
  <si>
    <t>N8F93-2</t>
  </si>
  <si>
    <t>HE01903</t>
  </si>
  <si>
    <r>
      <rPr>
        <sz val="10"/>
        <rFont val="Arial"/>
        <family val="2"/>
        <charset val="134"/>
      </rPr>
      <t>LD3Y</t>
    </r>
    <r>
      <rPr>
        <u/>
        <sz val="10"/>
        <rFont val="Arial"/>
        <family val="2"/>
        <charset val="134"/>
      </rPr>
      <t>O</t>
    </r>
  </si>
  <si>
    <t>19#~25#</t>
  </si>
  <si>
    <t>N8F93-3</t>
  </si>
  <si>
    <t>HE01904</t>
  </si>
  <si>
    <t>TW3YA</t>
  </si>
  <si>
    <t>N8N0H-3</t>
  </si>
  <si>
    <t>HE01905</t>
  </si>
  <si>
    <t>TW3YB</t>
  </si>
  <si>
    <t>N8N0G</t>
  </si>
  <si>
    <t>1#~15#</t>
  </si>
  <si>
    <t>SY8121BABC</t>
  </si>
  <si>
    <t>A21D0</t>
  </si>
  <si>
    <t>HE01906</t>
  </si>
  <si>
    <t>TV3YA</t>
  </si>
  <si>
    <t>N8CNF.01</t>
  </si>
  <si>
    <t>11#~16#</t>
  </si>
  <si>
    <t>N8CNF.01-1</t>
  </si>
  <si>
    <t>HE01907</t>
  </si>
  <si>
    <t>AKW3YA</t>
  </si>
  <si>
    <t>4+5</t>
  </si>
  <si>
    <t>22#~25#+7#~11#</t>
  </si>
  <si>
    <t>N8H6G;SJ045100-1</t>
  </si>
  <si>
    <t>HE01908</t>
  </si>
  <si>
    <t>PR3YA</t>
  </si>
  <si>
    <t>N8QMF.01</t>
  </si>
  <si>
    <t>11#~23#</t>
  </si>
  <si>
    <t>HE01909</t>
  </si>
  <si>
    <t>MG3YC</t>
  </si>
  <si>
    <t>N8TF6</t>
  </si>
  <si>
    <t>HE01910</t>
  </si>
  <si>
    <t>MG3YD</t>
  </si>
  <si>
    <t>N8TF6-1</t>
  </si>
  <si>
    <t>HE01911</t>
  </si>
  <si>
    <t>MG3YE</t>
  </si>
  <si>
    <t>N8TJM</t>
  </si>
  <si>
    <t>HE01912</t>
  </si>
  <si>
    <t>MG3YF</t>
  </si>
  <si>
    <t>N8TJM-1</t>
  </si>
  <si>
    <t>HE01913</t>
  </si>
  <si>
    <t>AGB3YA</t>
  </si>
  <si>
    <t>N8A8Y-1</t>
  </si>
  <si>
    <t>HE01914</t>
  </si>
  <si>
    <t>TC3YA</t>
  </si>
  <si>
    <t>N8QMJ</t>
  </si>
  <si>
    <t>HE01915</t>
  </si>
  <si>
    <t>NA3YA</t>
  </si>
  <si>
    <t>N8FWT.04</t>
  </si>
  <si>
    <t>SY8077AAC</t>
  </si>
  <si>
    <t>A51A0</t>
  </si>
  <si>
    <t>HE01916</t>
  </si>
  <si>
    <t>TR3YA</t>
  </si>
  <si>
    <t>N8TJP</t>
  </si>
  <si>
    <t>HE01917</t>
  </si>
  <si>
    <t>TR3YB</t>
  </si>
  <si>
    <t>6#~10#</t>
  </si>
  <si>
    <t>N8TJP-1</t>
  </si>
  <si>
    <t>HE01918</t>
  </si>
  <si>
    <t>JD3YA</t>
  </si>
  <si>
    <t>N8W0N</t>
  </si>
  <si>
    <t>HE01919</t>
  </si>
  <si>
    <t>JD3YB</t>
  </si>
  <si>
    <t>N8W0N-1</t>
  </si>
  <si>
    <t>HE01920</t>
  </si>
  <si>
    <t>KT3YC</t>
  </si>
  <si>
    <t>N8TJN.02</t>
  </si>
  <si>
    <t>HE01921</t>
  </si>
  <si>
    <t>WG3YA</t>
  </si>
  <si>
    <t>N8JP4.02</t>
  </si>
  <si>
    <t>HE01922</t>
  </si>
  <si>
    <t>VL3YD</t>
  </si>
  <si>
    <t>N8TJL</t>
  </si>
  <si>
    <t>14#~25#</t>
  </si>
  <si>
    <t>HE01923</t>
  </si>
  <si>
    <t>VL3YE</t>
  </si>
  <si>
    <t>N8TJL.08</t>
  </si>
  <si>
    <t>1#~13#</t>
  </si>
  <si>
    <t>SY58282FAC</t>
  </si>
  <si>
    <t>E14G1+A3X03A</t>
  </si>
  <si>
    <t>HE01924</t>
  </si>
  <si>
    <t>ARC3YA</t>
  </si>
  <si>
    <t>3+4</t>
  </si>
  <si>
    <t>N8P43+SJ043400</t>
  </si>
  <si>
    <r>
      <rPr>
        <sz val="10"/>
        <rFont val="Arial"/>
        <family val="2"/>
        <charset val="134"/>
      </rPr>
      <t>23#(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)~25#(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)+1#~4#</t>
    </r>
  </si>
  <si>
    <t>SJ043400;N8P43</t>
  </si>
  <si>
    <t>HE01925</t>
  </si>
  <si>
    <t>ARC3YB</t>
  </si>
  <si>
    <t>8+15</t>
  </si>
  <si>
    <t>N8P43.03+SJ043400</t>
  </si>
  <si>
    <t>15#~22#+5#~19#</t>
  </si>
  <si>
    <t>SJ043400;N8P43.03</t>
  </si>
  <si>
    <t>HE01926</t>
  </si>
  <si>
    <t>TR3ZA</t>
  </si>
  <si>
    <t>N8TJP.07</t>
  </si>
  <si>
    <t>HE01927</t>
  </si>
  <si>
    <t>NT3ZA</t>
  </si>
  <si>
    <t>N8WJ5.04</t>
  </si>
  <si>
    <t>5#~14#</t>
  </si>
  <si>
    <t>HE01928</t>
  </si>
  <si>
    <t>LX3ZA</t>
  </si>
  <si>
    <t>N8WN8.02</t>
  </si>
  <si>
    <t>HE01929</t>
  </si>
  <si>
    <t>JD3ZA</t>
  </si>
  <si>
    <t>N8W58</t>
  </si>
  <si>
    <t>HE01930</t>
  </si>
  <si>
    <t>JD3ZB</t>
  </si>
  <si>
    <t>N8W58-1</t>
  </si>
  <si>
    <t>HE01931</t>
  </si>
  <si>
    <t>JD3ZC</t>
  </si>
  <si>
    <t>N8W59</t>
  </si>
  <si>
    <t>HE01932</t>
  </si>
  <si>
    <t>JD3ZD</t>
  </si>
  <si>
    <t>N8W59-1</t>
  </si>
  <si>
    <t>HE01933</t>
  </si>
  <si>
    <t>JD3ZE</t>
  </si>
  <si>
    <t>N8WAA</t>
  </si>
  <si>
    <t>1#~5#,7#,9#~12#</t>
  </si>
  <si>
    <t>HE01934</t>
  </si>
  <si>
    <t>JX3ZA</t>
  </si>
  <si>
    <t>N8WAA-1</t>
  </si>
  <si>
    <t>SY7200AABC</t>
  </si>
  <si>
    <t>HE01935</t>
  </si>
  <si>
    <t>HY3ZA</t>
  </si>
  <si>
    <t>N8C25-1</t>
  </si>
  <si>
    <t>HE01936</t>
  </si>
  <si>
    <t>MG3ZA</t>
  </si>
  <si>
    <t>N8W54</t>
  </si>
  <si>
    <t>HE01937</t>
  </si>
  <si>
    <t>MG3ZB</t>
  </si>
  <si>
    <t>N8W54-1</t>
  </si>
  <si>
    <t>HE01938</t>
  </si>
  <si>
    <t>MG3ZC</t>
  </si>
  <si>
    <t>N8WA5</t>
  </si>
  <si>
    <t>HE01939</t>
  </si>
  <si>
    <t>MG3ZD</t>
  </si>
  <si>
    <t>N8WA5-1</t>
  </si>
  <si>
    <t>HE01940</t>
  </si>
  <si>
    <t>MG3ZE</t>
  </si>
  <si>
    <t>N8WA4</t>
  </si>
  <si>
    <t>HE01941</t>
  </si>
  <si>
    <t>MG3ZF</t>
  </si>
  <si>
    <t>N8WA4-1</t>
  </si>
  <si>
    <t>HE01946</t>
  </si>
  <si>
    <t>HB3ZA</t>
  </si>
  <si>
    <t>N8WJ8</t>
  </si>
  <si>
    <t>21#~25#</t>
  </si>
  <si>
    <t>SY8104ADC</t>
  </si>
  <si>
    <t>A38A1/A38A2</t>
  </si>
  <si>
    <t>A38A3</t>
  </si>
  <si>
    <t>HE01947</t>
  </si>
  <si>
    <t>JR3ZA</t>
  </si>
  <si>
    <t>N8TT2.02</t>
  </si>
  <si>
    <t>HE01948</t>
  </si>
  <si>
    <t>NY3ZA</t>
  </si>
  <si>
    <t>N8TT2</t>
  </si>
  <si>
    <t>HE01949</t>
  </si>
  <si>
    <t>NY3ZB</t>
  </si>
  <si>
    <t>N8TT2-1</t>
  </si>
  <si>
    <t>HE01950</t>
  </si>
  <si>
    <t>AML3ZA</t>
  </si>
  <si>
    <t>4+8</t>
  </si>
  <si>
    <t>N8QMF.02+SJ032800</t>
  </si>
  <si>
    <t>1#~4#+1#~8#</t>
  </si>
  <si>
    <t>N8QMF.02;SJ032800</t>
  </si>
  <si>
    <t>SY58593AFAC</t>
  </si>
  <si>
    <t>E02TD0+A2X02A</t>
  </si>
  <si>
    <t>HE01951</t>
  </si>
  <si>
    <t>AMK3ZA</t>
  </si>
  <si>
    <t>6+12</t>
  </si>
  <si>
    <t>N8QMF.02+SJ047400</t>
  </si>
  <si>
    <t>6#~10#+1#~4#,6#~13#</t>
  </si>
  <si>
    <t>N8QMF.02;SJ047400</t>
  </si>
  <si>
    <t>SY58596AFAC</t>
  </si>
  <si>
    <t>E02TJ0+A2X06B</t>
  </si>
  <si>
    <t>HE01952</t>
  </si>
  <si>
    <t>AQU3ZA</t>
  </si>
  <si>
    <t>4+18</t>
  </si>
  <si>
    <t>N8WAJ.01+SJ048200</t>
  </si>
  <si>
    <r>
      <rPr>
        <sz val="10"/>
        <rFont val="Arial"/>
        <family val="2"/>
        <charset val="134"/>
      </rPr>
      <t>1#~4#+2#~13#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17#~22#</t>
    </r>
  </si>
  <si>
    <t>SJ048200;N8WAJ.01</t>
  </si>
  <si>
    <t>HE01953</t>
  </si>
  <si>
    <t>UJ3ZA</t>
  </si>
  <si>
    <t>N8WSH</t>
  </si>
  <si>
    <t>SY58594AFAC</t>
  </si>
  <si>
    <t>HE01956</t>
  </si>
  <si>
    <t>AMJ3ZA</t>
  </si>
  <si>
    <t>N8QMJ.02+SJ042300</t>
  </si>
  <si>
    <t>N8QMJ.02;SJ042300</t>
  </si>
  <si>
    <t>HE01957</t>
  </si>
  <si>
    <t>AMJ3ZB</t>
  </si>
  <si>
    <t>5+14</t>
  </si>
  <si>
    <t>N8QMJ.04+SJ042200</t>
  </si>
  <si>
    <t>13#~17#+1#~14#</t>
  </si>
  <si>
    <t>N8QMJ.04;SJ042200</t>
  </si>
  <si>
    <t>HE01958</t>
  </si>
  <si>
    <t>AMJ3ZC</t>
  </si>
  <si>
    <t>4+11</t>
  </si>
  <si>
    <t>(N8QMJ.02+N7W61.08)+SJ042200</t>
  </si>
  <si>
    <t>(10#~12#+21#)+15#~25#</t>
  </si>
  <si>
    <t>(N8QMJ.02+N7W61.08);SJ042200</t>
  </si>
  <si>
    <t>HE01959</t>
  </si>
  <si>
    <t>AMJ3ZD</t>
  </si>
  <si>
    <t>N8WAF+SJ042100</t>
  </si>
  <si>
    <t>1#~5#+1#~14#</t>
  </si>
  <si>
    <t>N8WAF;SJ042100</t>
  </si>
  <si>
    <t>HE01960</t>
  </si>
  <si>
    <t>ARC3ZA</t>
  </si>
  <si>
    <t>N8L7L.16+SJ041502</t>
  </si>
  <si>
    <t>1#+13#,23#</t>
  </si>
  <si>
    <t>SJ041502;N8L7L.16</t>
  </si>
  <si>
    <t>SY58281SAAC</t>
  </si>
  <si>
    <t>HE01961</t>
  </si>
  <si>
    <t>YB3ZA</t>
  </si>
  <si>
    <t>N8L7L.16+SJ043300</t>
  </si>
  <si>
    <t>2#~5#+1#~8#</t>
  </si>
  <si>
    <t>SJ043300;N8L7L.16</t>
  </si>
  <si>
    <t>SY58593FAC</t>
  </si>
  <si>
    <t>HE01962</t>
  </si>
  <si>
    <t>AJM3ZA</t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</si>
  <si>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+22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</si>
  <si>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+SJ047200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</si>
  <si>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+1#~8#,10#~13#,16#~,25#</t>
    </r>
  </si>
  <si>
    <r>
      <rPr>
        <sz val="10"/>
        <rFont val="Arial"/>
        <family val="2"/>
        <charset val="134"/>
      </rPr>
      <t>N8499</t>
    </r>
    <r>
      <rPr>
        <sz val="10"/>
        <rFont val="宋体"/>
        <family val="3"/>
        <charset val="134"/>
      </rPr>
      <t>等</t>
    </r>
    <r>
      <rPr>
        <sz val="10"/>
        <rFont val="Arial"/>
        <family val="2"/>
        <charset val="134"/>
      </rPr>
      <t>;SJ047200</t>
    </r>
  </si>
  <si>
    <t>HE01963</t>
  </si>
  <si>
    <t>AJM3ZB</t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</si>
  <si>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+24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</si>
  <si>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+SJ047000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</si>
  <si>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+1#~5#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7#~25#</t>
    </r>
  </si>
  <si>
    <t>N86TR;SJ047000</t>
  </si>
  <si>
    <t>HE01964</t>
  </si>
  <si>
    <t>AJU3ZA</t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</si>
  <si>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+19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</si>
  <si>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+(SJ043300+SJ041601)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</si>
  <si>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+(9#~17#,19#~25#+3#,13#,23#)</t>
    </r>
  </si>
  <si>
    <t>N881T;(SJ043300+SJ041601)</t>
  </si>
  <si>
    <t>HE01965</t>
  </si>
  <si>
    <t>AML3ZB</t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</si>
  <si>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+SJ032800</t>
    </r>
  </si>
  <si>
    <r>
      <rPr>
        <sz val="10"/>
        <rFont val="宋体"/>
        <family val="3"/>
        <charset val="134"/>
      </rPr>
      <t>余片</t>
    </r>
    <r>
      <rPr>
        <sz val="10"/>
        <rFont val="Arial"/>
        <family val="2"/>
        <charset val="134"/>
      </rPr>
      <t>+9#~14#</t>
    </r>
  </si>
  <si>
    <t>N84AF;SJ032800</t>
  </si>
  <si>
    <t>SY6982AQDC</t>
  </si>
  <si>
    <r>
      <rPr>
        <sz val="10"/>
        <rFont val="Arial"/>
        <family val="2"/>
        <charset val="134"/>
      </rPr>
      <t>Marcom</t>
    </r>
    <r>
      <rPr>
        <sz val="10"/>
        <rFont val="宋体"/>
        <family val="3"/>
        <charset val="134"/>
      </rPr>
      <t>需要</t>
    </r>
    <r>
      <rPr>
        <sz val="10"/>
        <rFont val="Arial"/>
        <family val="2"/>
        <charset val="134"/>
      </rPr>
      <t>,</t>
    </r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</si>
  <si>
    <t>J08D0</t>
  </si>
  <si>
    <t>HE01966</t>
  </si>
  <si>
    <t>XS3ZA</t>
  </si>
  <si>
    <t>N8Y3C</t>
  </si>
  <si>
    <t>N8Y3C-1</t>
  </si>
  <si>
    <t>HE01967</t>
  </si>
  <si>
    <t>DQ3ZA</t>
  </si>
  <si>
    <t>N8C25-2</t>
  </si>
  <si>
    <t>HE01968</t>
  </si>
  <si>
    <t>TW3ZA</t>
  </si>
  <si>
    <t>N8N0G.01</t>
  </si>
  <si>
    <t>HE01969</t>
  </si>
  <si>
    <t>HT3ZA</t>
  </si>
  <si>
    <t>N8WCH</t>
  </si>
  <si>
    <t>HE01970</t>
  </si>
  <si>
    <t>HT3ZB</t>
  </si>
  <si>
    <t>N8WCH-1</t>
  </si>
  <si>
    <t>HE01971</t>
  </si>
  <si>
    <t>HT3ZC</t>
  </si>
  <si>
    <t>N8WCG</t>
  </si>
  <si>
    <t>HE01972</t>
  </si>
  <si>
    <t>HT3ZD</t>
  </si>
  <si>
    <t>N8WCG-1</t>
  </si>
  <si>
    <t>HE01973</t>
  </si>
  <si>
    <t>TB3ZA</t>
  </si>
  <si>
    <t>N8QMH-1</t>
  </si>
  <si>
    <t>HE01974</t>
  </si>
  <si>
    <t>UJ3ZB</t>
  </si>
  <si>
    <t>N8WSH.04</t>
  </si>
  <si>
    <t>6#~12#</t>
  </si>
  <si>
    <t>HE01975</t>
  </si>
  <si>
    <t>UJ3ZC</t>
  </si>
  <si>
    <t>N8WSH.04-1</t>
  </si>
  <si>
    <t>HE01976</t>
  </si>
  <si>
    <t>AQU3ZB</t>
  </si>
  <si>
    <t>N8QMC.02+SJ048100</t>
  </si>
  <si>
    <t>19#+2#~6#</t>
  </si>
  <si>
    <t>SJ048100;N8QMC.02</t>
  </si>
  <si>
    <t>HE01977</t>
  </si>
  <si>
    <t>AQU3ZC</t>
  </si>
  <si>
    <t>N8QMH.05+SJ048100</t>
  </si>
  <si>
    <t>5#+7#~11#</t>
  </si>
  <si>
    <t>SJ048100;N8QMH.05</t>
  </si>
  <si>
    <t>HE01978</t>
  </si>
  <si>
    <t>AQU3ZD</t>
  </si>
  <si>
    <t>N8QMJ.03+SJ048100</t>
  </si>
  <si>
    <t>22#+12#,13#,18#~20#</t>
  </si>
  <si>
    <t>SJ048100;N8QMJ.03</t>
  </si>
  <si>
    <t>SY8078DTC</t>
  </si>
  <si>
    <t>A49A0</t>
  </si>
  <si>
    <t>HE01979</t>
  </si>
  <si>
    <t>DFN1.45*1-6(FC)</t>
  </si>
  <si>
    <t>A3ZA</t>
  </si>
  <si>
    <t>N8WSQ</t>
  </si>
  <si>
    <t>10#~12#</t>
  </si>
  <si>
    <t>SY8078ADTC</t>
  </si>
  <si>
    <t>A49B0</t>
  </si>
  <si>
    <t>HE01980</t>
  </si>
  <si>
    <t>B3ZA</t>
  </si>
  <si>
    <t>N8WSQ.04</t>
  </si>
  <si>
    <t>HE01981</t>
  </si>
  <si>
    <t>KT3ZA</t>
  </si>
  <si>
    <t>N8YMF</t>
  </si>
  <si>
    <t>N8YMF-1</t>
  </si>
  <si>
    <t>HE01982</t>
  </si>
  <si>
    <t>KT3ZB</t>
  </si>
  <si>
    <t>HE01983</t>
  </si>
  <si>
    <t>KT3ZC</t>
  </si>
  <si>
    <t>N8YR8</t>
  </si>
  <si>
    <t>N8YR8-1</t>
  </si>
  <si>
    <t>HE01984</t>
  </si>
  <si>
    <t>KT3ZD</t>
  </si>
  <si>
    <t>HE01985</t>
  </si>
  <si>
    <t>MN3ZA</t>
  </si>
  <si>
    <t>N8FWT.02</t>
  </si>
  <si>
    <t>18#~21#</t>
  </si>
  <si>
    <t>HE01986</t>
  </si>
  <si>
    <t>ML3ZA</t>
  </si>
  <si>
    <t>N8H67.02</t>
  </si>
  <si>
    <t>1#~7#</t>
  </si>
  <si>
    <t>HE01987</t>
  </si>
  <si>
    <t>ML3ZB</t>
  </si>
  <si>
    <t>8#~15#</t>
  </si>
  <si>
    <t>N8H67.02-1</t>
  </si>
  <si>
    <t>HE01988</t>
  </si>
  <si>
    <t>ML3ZC</t>
  </si>
  <si>
    <t>N8SFR</t>
  </si>
  <si>
    <t>N8SFR-1</t>
  </si>
  <si>
    <t>HE01989</t>
  </si>
  <si>
    <t>ML3ZD</t>
  </si>
  <si>
    <t>HE01990</t>
  </si>
  <si>
    <t>NY3ZC</t>
  </si>
  <si>
    <t>N7Y32.20</t>
  </si>
  <si>
    <t>HF00001</t>
  </si>
  <si>
    <t>AFB4AA</t>
  </si>
  <si>
    <t>N89HG</t>
  </si>
  <si>
    <t>HF00002</t>
  </si>
  <si>
    <t>AFB4AB</t>
  </si>
  <si>
    <t>N89HG-1</t>
  </si>
  <si>
    <t>HF00003</t>
  </si>
  <si>
    <t>AFB4AC</t>
  </si>
  <si>
    <t>N89S3</t>
  </si>
  <si>
    <t>HF00004</t>
  </si>
  <si>
    <t>AFB4AD</t>
  </si>
  <si>
    <t>N89S3-1</t>
  </si>
  <si>
    <t>HF00005</t>
  </si>
  <si>
    <t>AFB4AE</t>
  </si>
  <si>
    <t>N89SY</t>
  </si>
  <si>
    <t>HF00006</t>
  </si>
  <si>
    <t>AFB4AF</t>
  </si>
  <si>
    <t>N89SY-1</t>
  </si>
  <si>
    <t>HF00007</t>
  </si>
  <si>
    <t>AEF4AA</t>
  </si>
  <si>
    <t>N89HH</t>
  </si>
  <si>
    <t>HF00008</t>
  </si>
  <si>
    <t>AGB4AA</t>
  </si>
  <si>
    <t>N8A8Y-2</t>
  </si>
  <si>
    <t>SY5810ABC</t>
  </si>
  <si>
    <t>E02F1</t>
  </si>
  <si>
    <t>HF00009</t>
  </si>
  <si>
    <t>GZ4AA</t>
  </si>
  <si>
    <t>N8GWM.04</t>
  </si>
  <si>
    <t>5#~15#</t>
  </si>
  <si>
    <t>HF00010</t>
  </si>
  <si>
    <t>GZ4AB</t>
  </si>
  <si>
    <t>N8H6K</t>
  </si>
  <si>
    <t>HF00011</t>
  </si>
  <si>
    <t>AJE4AA</t>
  </si>
  <si>
    <t>N87FC-3</t>
  </si>
  <si>
    <t>HF00012</t>
  </si>
  <si>
    <t>TB4AA</t>
  </si>
  <si>
    <t>16#~18#</t>
  </si>
  <si>
    <t>N8QMH-2</t>
  </si>
  <si>
    <t>HF00013</t>
  </si>
  <si>
    <t>LD4AA</t>
  </si>
  <si>
    <t>N8WHN</t>
  </si>
  <si>
    <t>2#~9#</t>
  </si>
  <si>
    <t>N8WHN-1</t>
  </si>
  <si>
    <t>HF00014</t>
  </si>
  <si>
    <t>LD4AB</t>
  </si>
  <si>
    <t>10#~17#</t>
  </si>
  <si>
    <t>N8WHN-2</t>
  </si>
  <si>
    <t>HF00015</t>
  </si>
  <si>
    <t>LD4AC</t>
  </si>
  <si>
    <t>N8WHN-3</t>
  </si>
  <si>
    <t>HF00016</t>
  </si>
  <si>
    <t>HU4AA</t>
  </si>
  <si>
    <t>N8WAA-2</t>
  </si>
  <si>
    <t>旧版本</t>
  </si>
  <si>
    <t>HF00017</t>
  </si>
  <si>
    <t>JW4AA</t>
  </si>
  <si>
    <t>5#~8#</t>
  </si>
  <si>
    <t>N8TF4.01-1</t>
  </si>
  <si>
    <t>SY58283FAC</t>
  </si>
  <si>
    <t>E14G1+A3X04B</t>
  </si>
  <si>
    <t>HF00018</t>
  </si>
  <si>
    <t>AQK4AA</t>
  </si>
  <si>
    <t>N8L7L.16+SJ048800</t>
  </si>
  <si>
    <t>6#~7#+1#~5#</t>
  </si>
  <si>
    <t>SJ048800;N8L7L.16</t>
  </si>
  <si>
    <t>SY50106FAC</t>
  </si>
  <si>
    <t>E02CC0+A2X06B</t>
  </si>
  <si>
    <t>HF00019</t>
  </si>
  <si>
    <t>ALW4AA</t>
  </si>
  <si>
    <t>N89NL+SJ047800</t>
  </si>
  <si>
    <t>17#+1#~5#</t>
  </si>
  <si>
    <t>SJ047800;N89NL</t>
  </si>
  <si>
    <t>SY6982CQDC</t>
  </si>
  <si>
    <t>J08C0</t>
  </si>
  <si>
    <t>HF00020</t>
  </si>
  <si>
    <t>XX4AA</t>
  </si>
  <si>
    <t>N8Y3C.04</t>
  </si>
  <si>
    <t>HF00021</t>
  </si>
  <si>
    <t>AGB4AB</t>
  </si>
  <si>
    <t>N8YMH</t>
  </si>
  <si>
    <t>HF00022</t>
  </si>
  <si>
    <t>KW4AA</t>
  </si>
  <si>
    <t>N8WJ6</t>
  </si>
  <si>
    <t>HF00023</t>
  </si>
  <si>
    <t>KW4AB</t>
  </si>
  <si>
    <t>N8WJ6-1</t>
  </si>
  <si>
    <t>SY7152AABC</t>
  </si>
  <si>
    <t>B27TA0</t>
  </si>
  <si>
    <t>HF00024</t>
  </si>
  <si>
    <t>UB4AA</t>
  </si>
  <si>
    <t>N8CWA.01</t>
  </si>
  <si>
    <t>HF00025</t>
  </si>
  <si>
    <t>JD4AA</t>
  </si>
  <si>
    <t>N8WAA-3</t>
  </si>
  <si>
    <t>HF00026</t>
  </si>
  <si>
    <t>JD4AB</t>
  </si>
  <si>
    <t>N8YPY</t>
  </si>
  <si>
    <t>HF00027</t>
  </si>
  <si>
    <t>JD4AC</t>
  </si>
  <si>
    <t>N8YPY-1</t>
  </si>
  <si>
    <t>HF00028</t>
  </si>
  <si>
    <t>RY4AA</t>
  </si>
  <si>
    <t>N8HC0-2</t>
  </si>
  <si>
    <t>HF00029</t>
  </si>
  <si>
    <t>RY4AB</t>
  </si>
  <si>
    <t>N8HC1</t>
  </si>
  <si>
    <t>HF00030</t>
  </si>
  <si>
    <t>RY4AC</t>
  </si>
  <si>
    <t>N8HC1-1</t>
  </si>
  <si>
    <t>HF00031</t>
  </si>
  <si>
    <t>WG4AA</t>
  </si>
  <si>
    <t>N8JP4.04</t>
  </si>
  <si>
    <t>5#~10#</t>
  </si>
  <si>
    <t>HF00032</t>
  </si>
  <si>
    <t>TV4AA</t>
  </si>
  <si>
    <t>N8L18</t>
  </si>
  <si>
    <t>6#~17#</t>
  </si>
  <si>
    <t>SYHV32ABC</t>
  </si>
  <si>
    <t>HF00033</t>
  </si>
  <si>
    <t>TV4AB</t>
  </si>
  <si>
    <t>17#~20#</t>
  </si>
  <si>
    <t>N8CNF.01-2</t>
  </si>
  <si>
    <t>HF00034</t>
  </si>
  <si>
    <t>TV4AC</t>
  </si>
  <si>
    <t>N8L18-1</t>
  </si>
  <si>
    <t>HF00035</t>
  </si>
  <si>
    <t>NB4AA</t>
  </si>
  <si>
    <t>N8L7J</t>
  </si>
  <si>
    <t>HF00036</t>
  </si>
  <si>
    <t>NB4AB</t>
  </si>
  <si>
    <t>N8L7J-1</t>
  </si>
  <si>
    <t>HF00037</t>
  </si>
  <si>
    <t>NB4AC</t>
  </si>
  <si>
    <t>N8R41</t>
  </si>
  <si>
    <t>HF00038</t>
  </si>
  <si>
    <t>NB4AD</t>
  </si>
  <si>
    <t>N8R41-1</t>
  </si>
  <si>
    <t>HF00039</t>
  </si>
  <si>
    <t>AIU4AA</t>
  </si>
  <si>
    <t>N8CWG.03-1</t>
  </si>
  <si>
    <t>HF00040</t>
  </si>
  <si>
    <t>AKW4AA</t>
  </si>
  <si>
    <t>N8YM8.01+SJ045100</t>
  </si>
  <si>
    <t>1#~5#+12#~16#</t>
  </si>
  <si>
    <t>N8YM8.01;SJ045100</t>
  </si>
  <si>
    <t>HF00041</t>
  </si>
  <si>
    <t>ALJ4AA</t>
  </si>
  <si>
    <t>N871K.09+EP291900</t>
  </si>
  <si>
    <t>3#,11#+18#-19#</t>
  </si>
  <si>
    <t>N871K.09;EP291900</t>
  </si>
  <si>
    <t>SY58202AFAC</t>
  </si>
  <si>
    <t>E02GA0+A1X02A</t>
  </si>
  <si>
    <t>HF00042</t>
  </si>
  <si>
    <t>ANL4AA</t>
  </si>
  <si>
    <t>N8QMA.04+SJ019900</t>
  </si>
  <si>
    <t>19#+1#~2#</t>
  </si>
  <si>
    <t>N8QMA.04;SJ019900</t>
  </si>
  <si>
    <t>HF00043</t>
  </si>
  <si>
    <t>ARC4AA</t>
  </si>
  <si>
    <t>2+4</t>
  </si>
  <si>
    <t>N8P43.10+SJ043400</t>
  </si>
  <si>
    <t>1#~2#+20#~23#</t>
  </si>
  <si>
    <t>SJ043400;N8P43.10</t>
  </si>
  <si>
    <t>HF00044</t>
  </si>
  <si>
    <t>AQK4AB</t>
  </si>
  <si>
    <t>5+12</t>
  </si>
  <si>
    <t>N8P43.06+SJ048900</t>
  </si>
  <si>
    <t>5#~9#+1#~8#,10#~13#</t>
  </si>
  <si>
    <t>SJ048900;N8P43.06</t>
  </si>
  <si>
    <t>HF00045</t>
  </si>
  <si>
    <t>AQK4AC</t>
  </si>
  <si>
    <t>N8P43.06+(SJ048900+SJ048800)</t>
  </si>
  <si>
    <t>10#~14#+(14#~23#,25#+6#)</t>
  </si>
  <si>
    <t>(SJ048900+SJ048800);N8P43.06</t>
  </si>
  <si>
    <t>HF00046</t>
  </si>
  <si>
    <t>AQU4AA</t>
  </si>
  <si>
    <t>3+15</t>
  </si>
  <si>
    <t>N8YM8+(SJ047800+SJ048100)</t>
  </si>
  <si>
    <t>6#~8#+(6#~8#,10#~16#,21#,23#~25#+22#)</t>
  </si>
  <si>
    <t>(SJ047800+SJ048100);N8YM8</t>
  </si>
  <si>
    <t>HF00047</t>
  </si>
  <si>
    <t>AQU4AB</t>
  </si>
  <si>
    <t>4+21</t>
  </si>
  <si>
    <t>N8WAJ.03+SJ048000</t>
  </si>
  <si>
    <t>5#~8#+1#,2#,4#,5#,7#~11#,13#,14#,16#~25#</t>
  </si>
  <si>
    <t>SJ048000;N8WAJ.03</t>
  </si>
  <si>
    <t>HF00048</t>
  </si>
  <si>
    <t>AQU4AC</t>
  </si>
  <si>
    <t>6+30</t>
  </si>
  <si>
    <t>N8YM8+(SJ047900+SJ048300)</t>
  </si>
  <si>
    <t>9#~14#+(1-7,9-11,14,16-18,22-23#+4-7,9-16,19,22#)</t>
  </si>
  <si>
    <t>(SJ047900+SJ048300);N8YM8</t>
  </si>
  <si>
    <t>SYK169FAC</t>
  </si>
  <si>
    <t>HF00049</t>
  </si>
  <si>
    <t>AIY4AA</t>
  </si>
  <si>
    <t>11+16</t>
  </si>
  <si>
    <t>N8CAY+(SJ032900+SJ034300)</t>
  </si>
  <si>
    <t>1#~11#+(11#~25#+1#)</t>
  </si>
  <si>
    <t>N8CAY;(SJ032900+SJ034300)</t>
  </si>
  <si>
    <t>HF00050</t>
  </si>
  <si>
    <t>AIY4AB</t>
  </si>
  <si>
    <t>N8CAY+SJ034300</t>
  </si>
  <si>
    <t>12#~20#+2#~14#</t>
  </si>
  <si>
    <t>N8CAY;SJ034300</t>
  </si>
  <si>
    <t>HF00051</t>
  </si>
  <si>
    <t>AIY4AC</t>
  </si>
  <si>
    <t>7+10</t>
  </si>
  <si>
    <t>N8CC2+SJ034300</t>
  </si>
  <si>
    <t>1#~7#+15#~20#,22#~25#</t>
  </si>
  <si>
    <t>N8CC2;SJ034300</t>
  </si>
  <si>
    <t>HF00052</t>
  </si>
  <si>
    <t>AIY4AD</t>
  </si>
  <si>
    <t>N8CAY+SJ034400</t>
  </si>
  <si>
    <t>21#~25#+1#~7#</t>
  </si>
  <si>
    <t>N8CAY;SJ034400</t>
  </si>
  <si>
    <t>HF00053</t>
  </si>
  <si>
    <t>AIY4AE</t>
  </si>
  <si>
    <t>N8CC2+SJ032300</t>
  </si>
  <si>
    <t>8#~16#+1#~13#</t>
  </si>
  <si>
    <t>N8CC2;SJ032300</t>
  </si>
  <si>
    <t>HF00054</t>
  </si>
  <si>
    <t>AIY4AF</t>
  </si>
  <si>
    <t>N8CC2+(SJ032300+SJ034400)</t>
  </si>
  <si>
    <t>17#~25#+(14#~25#+8#)</t>
  </si>
  <si>
    <t>N8CC2;(SJ032300+SJ034400)</t>
  </si>
  <si>
    <t>HF00055</t>
  </si>
  <si>
    <t>AJM4AA</t>
  </si>
  <si>
    <t>(N89HL+N89NH)+SJ047400</t>
  </si>
  <si>
    <t>(25#+21#~25#)+14#~25#</t>
  </si>
  <si>
    <t>(N89HL+N89NH);SJ047400</t>
  </si>
  <si>
    <t>HF00056</t>
  </si>
  <si>
    <t>AJM4AB</t>
  </si>
  <si>
    <t>10+20</t>
  </si>
  <si>
    <t>N8QMG+SJ047300</t>
  </si>
  <si>
    <t>1#~10#+1#~20#</t>
  </si>
  <si>
    <t>N8QMG;SJ047300</t>
  </si>
  <si>
    <t>HF00057</t>
  </si>
  <si>
    <t>AML4AA</t>
  </si>
  <si>
    <t>N8WAG+SJ032700</t>
  </si>
  <si>
    <t>N8WAG;SJ032700</t>
  </si>
  <si>
    <t>HF00058</t>
  </si>
  <si>
    <t>AML4AB</t>
  </si>
  <si>
    <t>N8WAG+(SJ035700+SJ032700)</t>
  </si>
  <si>
    <t>N8WAG;(SJ035700+SJ032700)</t>
  </si>
  <si>
    <t>HF00059</t>
  </si>
  <si>
    <t>AML4AC</t>
  </si>
  <si>
    <t>11+22</t>
  </si>
  <si>
    <t>N8WAF+SJ035300</t>
  </si>
  <si>
    <t>6#~16#+1#~16#,19#~24#</t>
  </si>
  <si>
    <t>N8WAF;SJ035300</t>
  </si>
  <si>
    <t>HF00060</t>
  </si>
  <si>
    <t>AML4AD</t>
  </si>
  <si>
    <t>9+18</t>
  </si>
  <si>
    <t>N8WAF+(SJ035500+SJ035300)</t>
  </si>
  <si>
    <t>17#~25#+(1#~17#+25#)</t>
  </si>
  <si>
    <t>N8WAF;(SJ035500+SJ035300)</t>
  </si>
  <si>
    <t>HF00061</t>
  </si>
  <si>
    <t>UB4AB</t>
  </si>
  <si>
    <t>N8CWA.01-1</t>
  </si>
  <si>
    <t>重测</t>
  </si>
  <si>
    <t>HF00062</t>
  </si>
  <si>
    <t>68K</t>
  </si>
  <si>
    <t>JCETN82Q8.03</t>
  </si>
  <si>
    <t>SY58291ZFAC</t>
  </si>
  <si>
    <t>HF00063</t>
  </si>
  <si>
    <t>AQY4AA</t>
  </si>
  <si>
    <t>N8QMG+SJ043400</t>
  </si>
  <si>
    <t>11#~12#+24#~25#</t>
  </si>
  <si>
    <t>N8QMG;SJ043400</t>
  </si>
  <si>
    <t>HF00064</t>
  </si>
  <si>
    <t>LD4AH</t>
  </si>
  <si>
    <t>N7S1F</t>
  </si>
  <si>
    <t>片号任意</t>
  </si>
  <si>
    <t>HF00065</t>
  </si>
  <si>
    <t>LD4AI</t>
  </si>
  <si>
    <t>N7S1C</t>
  </si>
  <si>
    <t>HF00066</t>
  </si>
  <si>
    <t>LD4AJ</t>
  </si>
  <si>
    <t>N7S1A</t>
  </si>
  <si>
    <t>HF00067</t>
  </si>
  <si>
    <t>LD4AK</t>
  </si>
  <si>
    <t>N7S1A-1</t>
  </si>
  <si>
    <t>HF00068</t>
  </si>
  <si>
    <t>LD4AL</t>
  </si>
  <si>
    <t>N7S1A-2</t>
  </si>
  <si>
    <t>HF00069</t>
  </si>
  <si>
    <t>LD4AM</t>
  </si>
  <si>
    <t>N7MTP</t>
  </si>
  <si>
    <t>HF00070</t>
  </si>
  <si>
    <t>LD4AN</t>
  </si>
  <si>
    <t>N7MTQ</t>
  </si>
  <si>
    <t>HF00071</t>
  </si>
  <si>
    <t>LD4AO</t>
  </si>
  <si>
    <t>N7MTQ-1</t>
  </si>
  <si>
    <t>HF00072</t>
  </si>
  <si>
    <t>LD4AP</t>
  </si>
  <si>
    <t>N7MTS</t>
  </si>
  <si>
    <t>SYLS25ABC</t>
  </si>
  <si>
    <t>HF00073</t>
  </si>
  <si>
    <t>MH4AA</t>
  </si>
  <si>
    <t>N8LF4.06</t>
  </si>
  <si>
    <t>6#~7#</t>
  </si>
  <si>
    <t>HF00074</t>
  </si>
  <si>
    <t>NT4AA</t>
  </si>
  <si>
    <t>N8WJ6.01</t>
  </si>
  <si>
    <t>HF00075</t>
  </si>
  <si>
    <t>KT4AA</t>
  </si>
  <si>
    <t>N8YWG</t>
  </si>
  <si>
    <t>1#~7#,9#~13#</t>
  </si>
  <si>
    <t>HF00076</t>
  </si>
  <si>
    <t>KT4AB</t>
  </si>
  <si>
    <t>N8YWG-1</t>
  </si>
  <si>
    <t>HF00077</t>
  </si>
  <si>
    <t>KT4AC</t>
  </si>
  <si>
    <t>N8YR7</t>
  </si>
  <si>
    <t>HF00078</t>
  </si>
  <si>
    <t>KW4AC</t>
  </si>
  <si>
    <t>N8YM7.02</t>
  </si>
  <si>
    <t>HF00079</t>
  </si>
  <si>
    <t>WE4AA</t>
  </si>
  <si>
    <t>N8RJW-2</t>
  </si>
  <si>
    <t>HF00080</t>
  </si>
  <si>
    <t>TW4AA</t>
  </si>
  <si>
    <t>N8N0H.06</t>
  </si>
  <si>
    <t>HF00081</t>
  </si>
  <si>
    <t>HT4AA</t>
  </si>
  <si>
    <t>N8WJ8.01</t>
  </si>
  <si>
    <t>5#~12#</t>
  </si>
  <si>
    <t>HF00082</t>
  </si>
  <si>
    <t>HT4AB</t>
  </si>
  <si>
    <t>N8WJ8.01-1</t>
  </si>
  <si>
    <t>HF00083</t>
  </si>
  <si>
    <t>AIV4AA</t>
  </si>
  <si>
    <t>N86NS.04</t>
  </si>
  <si>
    <t>SY6174FAC</t>
  </si>
  <si>
    <t>HF00084</t>
  </si>
  <si>
    <t>AKW4AB</t>
  </si>
  <si>
    <t>N8QMJ.06+SJ045100</t>
  </si>
  <si>
    <t>20#~21#+17#~18#</t>
  </si>
  <si>
    <t>N8QMJ.06;SJ045100</t>
  </si>
  <si>
    <t>HF00085</t>
  </si>
  <si>
    <t>AQY4AB</t>
  </si>
  <si>
    <t>N8QMG+SJ042900</t>
  </si>
  <si>
    <t>13#~17#+1#~5#</t>
  </si>
  <si>
    <t>N8QMG;SJ042900</t>
  </si>
  <si>
    <t>HF00086</t>
  </si>
  <si>
    <t>AQK4AD</t>
  </si>
  <si>
    <t>7+17</t>
  </si>
  <si>
    <t>N90H4+SJ048800</t>
  </si>
  <si>
    <t>7#~13#+7#~23#</t>
  </si>
  <si>
    <t>SJ048800;N90H4</t>
  </si>
  <si>
    <t>HF00087</t>
  </si>
  <si>
    <t>AQK4AE</t>
  </si>
  <si>
    <t>N90H4+(SJ049100+SJ048800)</t>
  </si>
  <si>
    <t>14#~20#+(1#~15#+24#~25#)</t>
  </si>
  <si>
    <t>(SJ049100+SJ048800);N90H4</t>
  </si>
  <si>
    <t>HF00088</t>
  </si>
  <si>
    <t>AQK4AF</t>
  </si>
  <si>
    <t>N90H4+(SJ049100+SJ049000)</t>
  </si>
  <si>
    <t>21#~25#+(16#~25#+1#~2#)</t>
  </si>
  <si>
    <t>(SJ049100+SJ049000);N90H4</t>
  </si>
  <si>
    <t>HF00089</t>
  </si>
  <si>
    <t>AOZ4AA</t>
  </si>
  <si>
    <t>N8QMJ.05+SJ037100</t>
  </si>
  <si>
    <t>18#~19#+1#~3#</t>
  </si>
  <si>
    <t>N8QMJ.05;SJ037100</t>
  </si>
  <si>
    <t>HF00090</t>
  </si>
  <si>
    <t>AQI4AA</t>
  </si>
  <si>
    <t>6+23</t>
  </si>
  <si>
    <t>N8YM8+EP332200</t>
  </si>
  <si>
    <t>15#~20#+1#~23#</t>
  </si>
  <si>
    <t>EP332200;N8YM8</t>
  </si>
  <si>
    <t>HF00091</t>
  </si>
  <si>
    <t>AQJ4AA</t>
  </si>
  <si>
    <t>5+26</t>
  </si>
  <si>
    <t>N8YM9+(EP332000+EP321500)</t>
  </si>
  <si>
    <t>1#~5#+(1#~8#,10#~25#+6#~7#)</t>
  </si>
  <si>
    <t>(EP332000+EP321500);N8YM9</t>
  </si>
  <si>
    <t>SY58595AFAC</t>
  </si>
  <si>
    <t>E02TJ0+A2X07A</t>
  </si>
  <si>
    <t>HF00092</t>
  </si>
  <si>
    <t>AQX4AA</t>
  </si>
  <si>
    <t>N8YM9+SJ047600</t>
  </si>
  <si>
    <t>6#~11#+2#~24#</t>
  </si>
  <si>
    <t>SJ047600;N8YM9</t>
  </si>
  <si>
    <r>
      <rPr>
        <sz val="10"/>
        <rFont val="Arial"/>
        <family val="2"/>
        <charset val="134"/>
      </rPr>
      <t>Marcom</t>
    </r>
    <r>
      <rPr>
        <sz val="10"/>
        <rFont val="宋体"/>
        <family val="3"/>
        <charset val="134"/>
      </rPr>
      <t>需要</t>
    </r>
    <r>
      <rPr>
        <sz val="10"/>
        <rFont val="Arial"/>
        <family val="2"/>
        <charset val="134"/>
      </rPr>
      <t>17K</t>
    </r>
  </si>
  <si>
    <t>HF00093</t>
  </si>
  <si>
    <t>AQX4AB</t>
  </si>
  <si>
    <t>3+11</t>
  </si>
  <si>
    <t>N8YM9+(SJ047700+SJ047600)</t>
  </si>
  <si>
    <t>12#~14#+(1#~10#+25#)</t>
  </si>
  <si>
    <t>(SJ047700+SJ047600);N8YM9</t>
  </si>
  <si>
    <t>SY50103FAC</t>
  </si>
  <si>
    <t>HF00094</t>
  </si>
  <si>
    <t>AMQ4AA</t>
  </si>
  <si>
    <t>N8YMA.02+SJ036900</t>
  </si>
  <si>
    <t>3#~4#+21#~25#</t>
  </si>
  <si>
    <t>N8YMA.02;SJ036900</t>
  </si>
  <si>
    <t>HF00095</t>
  </si>
  <si>
    <t>AQG4AA</t>
  </si>
  <si>
    <t>N8QM8+SJ047700</t>
  </si>
  <si>
    <t>25#+11#~13#</t>
  </si>
  <si>
    <t>SJ047700;N8QM8</t>
  </si>
  <si>
    <t>HF00096</t>
  </si>
  <si>
    <t>UD4AA</t>
  </si>
  <si>
    <t>N8LF6</t>
  </si>
  <si>
    <t>11#~19#</t>
  </si>
  <si>
    <t>HF00097</t>
  </si>
  <si>
    <t>AQK4BA</t>
  </si>
  <si>
    <t>9+22</t>
  </si>
  <si>
    <t>N90FA+(SJ049000+SJ049003)</t>
  </si>
  <si>
    <t>1#~9#+(3#,4#,6#~10#,12#~25#+11#)</t>
  </si>
  <si>
    <t>(SJ049000+SJ049003);N90FA</t>
  </si>
  <si>
    <t>HF00098</t>
  </si>
  <si>
    <t>YB4BA</t>
  </si>
  <si>
    <t>9+17</t>
  </si>
  <si>
    <t>N90FA+SJ042900</t>
  </si>
  <si>
    <t>10#~18#+6#~22#</t>
  </si>
  <si>
    <t>SJ042900;N90FA</t>
  </si>
  <si>
    <t>HF00099</t>
  </si>
  <si>
    <t>TW4BA</t>
  </si>
  <si>
    <t>N90F6</t>
  </si>
  <si>
    <t>5#~19#</t>
  </si>
  <si>
    <t>HF00100</t>
  </si>
  <si>
    <t>TW4BB</t>
  </si>
  <si>
    <t>N90F6-1</t>
  </si>
  <si>
    <t>HF00101</t>
  </si>
  <si>
    <t>VL4BA</t>
  </si>
  <si>
    <t>N90P6</t>
  </si>
  <si>
    <t>HF00102</t>
  </si>
  <si>
    <t>VL4BB</t>
  </si>
  <si>
    <t>N90P6-1</t>
  </si>
  <si>
    <t>SY5830ABC</t>
  </si>
  <si>
    <t>E10E0</t>
  </si>
  <si>
    <t>HF00103</t>
  </si>
  <si>
    <t>XO4BA</t>
  </si>
  <si>
    <t>N90FC</t>
  </si>
  <si>
    <t>11#</t>
  </si>
  <si>
    <t>N90FC-1</t>
  </si>
  <si>
    <r>
      <rPr>
        <sz val="10"/>
        <rFont val="Arial"/>
        <family val="2"/>
        <charset val="134"/>
      </rPr>
      <t>Relabel</t>
    </r>
    <r>
      <rPr>
        <sz val="10"/>
        <rFont val="宋体"/>
        <family val="3"/>
        <charset val="134"/>
      </rPr>
      <t>成</t>
    </r>
    <r>
      <rPr>
        <sz val="10"/>
        <rFont val="Arial"/>
        <family val="2"/>
        <charset val="134"/>
      </rPr>
      <t>SYK169FAC</t>
    </r>
  </si>
  <si>
    <t>HF00104</t>
  </si>
  <si>
    <t>500K</t>
  </si>
  <si>
    <t>N/A</t>
  </si>
  <si>
    <t>HF00105</t>
  </si>
  <si>
    <t>AGB4BA</t>
  </si>
  <si>
    <t>N90H9</t>
  </si>
  <si>
    <t>HF00106</t>
  </si>
  <si>
    <t>AGB4BB</t>
  </si>
  <si>
    <t>N90H9-1</t>
  </si>
  <si>
    <t>HF00107</t>
  </si>
  <si>
    <t>ALH4BA</t>
  </si>
  <si>
    <t>N90H7</t>
  </si>
  <si>
    <t>HF00108</t>
  </si>
  <si>
    <t>GZ4BA</t>
  </si>
  <si>
    <t>5#~17#</t>
  </si>
  <si>
    <t>N8H6K-1</t>
  </si>
  <si>
    <t>HF00109</t>
  </si>
  <si>
    <t>TB4BA</t>
  </si>
  <si>
    <t>19#~21#</t>
  </si>
  <si>
    <t>N8QMH-3</t>
  </si>
  <si>
    <t>HF00110</t>
  </si>
  <si>
    <t>MH4BA</t>
  </si>
  <si>
    <t>N8LF5.02-1</t>
  </si>
  <si>
    <t>HF00111</t>
  </si>
  <si>
    <t>LX4BA</t>
  </si>
  <si>
    <t>N8WN8.02-1</t>
  </si>
  <si>
    <t>HF00112</t>
  </si>
  <si>
    <t>MN4BA</t>
  </si>
  <si>
    <t>N8F8Q.04</t>
  </si>
  <si>
    <t>HF00113</t>
  </si>
  <si>
    <t>QV4BA</t>
  </si>
  <si>
    <t>N8F2Q.01</t>
  </si>
  <si>
    <t>HF00114</t>
  </si>
  <si>
    <t>WR4BA</t>
  </si>
  <si>
    <t>N8JP4.02-1</t>
  </si>
  <si>
    <t>HF00115</t>
  </si>
  <si>
    <t>UJ4BA</t>
  </si>
  <si>
    <t>N8WSK</t>
  </si>
  <si>
    <t>HF00116</t>
  </si>
  <si>
    <t>UJ4BB</t>
  </si>
  <si>
    <t>N8WSK-1</t>
  </si>
  <si>
    <t>HF00117</t>
  </si>
  <si>
    <t>MG4BA</t>
  </si>
  <si>
    <t>N8W55</t>
  </si>
  <si>
    <t>HF00118</t>
  </si>
  <si>
    <t>MG4BB</t>
  </si>
  <si>
    <t>N8W55-1</t>
  </si>
  <si>
    <t>A21B2</t>
  </si>
  <si>
    <t>HF00119</t>
  </si>
  <si>
    <t>JW4BA</t>
  </si>
  <si>
    <t>N8SFP.04</t>
  </si>
  <si>
    <t>N8SFP.04-1</t>
  </si>
  <si>
    <t>HF00120</t>
  </si>
  <si>
    <t>JR4BA</t>
  </si>
  <si>
    <t>N8W0M</t>
  </si>
  <si>
    <t>HF00121</t>
  </si>
  <si>
    <t>JR4BB</t>
  </si>
  <si>
    <t>N8W0M-1</t>
  </si>
  <si>
    <t>HF00122</t>
  </si>
  <si>
    <t>AIU4BA</t>
  </si>
  <si>
    <t>N8CWG.04</t>
  </si>
  <si>
    <t>11#~13#</t>
  </si>
  <si>
    <t>HF00123</t>
  </si>
  <si>
    <t>XO4BB</t>
  </si>
  <si>
    <t>HF00124</t>
  </si>
  <si>
    <t>AML4BA</t>
  </si>
  <si>
    <t>15+30</t>
  </si>
  <si>
    <t>N8YMH.02+(SJ032800+SJ035600)</t>
  </si>
  <si>
    <t>1#~15#+(15#~25#+1#~19#)</t>
  </si>
  <si>
    <t>N8YMH.02;(SJ032800+SJ035600)</t>
  </si>
  <si>
    <t>SY6177FAC</t>
  </si>
  <si>
    <t>E02CC0+A5X01A</t>
  </si>
  <si>
    <t>HF00125</t>
  </si>
  <si>
    <t>AOF4BA</t>
  </si>
  <si>
    <t>3+8</t>
  </si>
  <si>
    <t>N89NL+EP286900</t>
  </si>
  <si>
    <t>23#~25#+1#~8#</t>
  </si>
  <si>
    <t>N89NL;EP286900</t>
  </si>
  <si>
    <t>HF00126</t>
  </si>
  <si>
    <t>YB4BB</t>
  </si>
  <si>
    <t>7+13</t>
  </si>
  <si>
    <t>N90FA+SJ045200</t>
  </si>
  <si>
    <t>19#~25#+1#~13#</t>
  </si>
  <si>
    <t>SJ045200;N90FA</t>
  </si>
  <si>
    <t>HF00127</t>
  </si>
  <si>
    <t>TC4BA</t>
  </si>
  <si>
    <t>N90H8</t>
  </si>
  <si>
    <t>HF00128</t>
  </si>
  <si>
    <t>UJ4BC</t>
  </si>
  <si>
    <t>N90NH</t>
  </si>
  <si>
    <t>HF00129</t>
  </si>
  <si>
    <t>UJ4BD</t>
  </si>
  <si>
    <t>N90NH-1</t>
  </si>
  <si>
    <t>HF00130</t>
  </si>
  <si>
    <t>VL4BC</t>
  </si>
  <si>
    <t>N90NF</t>
  </si>
  <si>
    <t>HF00131</t>
  </si>
  <si>
    <t>VL4BD</t>
  </si>
  <si>
    <t>N90NF-1</t>
  </si>
  <si>
    <t>HF00132</t>
  </si>
  <si>
    <t>VL4BE</t>
  </si>
  <si>
    <t>N90NG</t>
  </si>
  <si>
    <t>HF00133</t>
  </si>
  <si>
    <t>VL4BF</t>
  </si>
  <si>
    <t>N90NG-1</t>
  </si>
  <si>
    <t>HF00134</t>
  </si>
  <si>
    <t>ML4BF</t>
  </si>
  <si>
    <t>N8SFQ</t>
  </si>
  <si>
    <t>HF00135</t>
  </si>
  <si>
    <t>ML4BG</t>
  </si>
  <si>
    <t>N8SFQ-1</t>
  </si>
  <si>
    <t>HF00136</t>
  </si>
  <si>
    <t>KW4BA</t>
  </si>
  <si>
    <t>N913W</t>
  </si>
  <si>
    <t>B18FA1</t>
  </si>
  <si>
    <t>HF00137</t>
  </si>
  <si>
    <t>TW4BC</t>
  </si>
  <si>
    <t>N90F6.02</t>
  </si>
  <si>
    <t>HF00138</t>
  </si>
  <si>
    <t>UJ4BE</t>
  </si>
  <si>
    <t>N90N9</t>
  </si>
  <si>
    <t>HF00139</t>
  </si>
  <si>
    <t>UJ4BF</t>
  </si>
  <si>
    <t>N90N9-1</t>
  </si>
  <si>
    <t>HF00140</t>
  </si>
  <si>
    <t>MG4BC</t>
  </si>
  <si>
    <t>N8WJ3</t>
  </si>
  <si>
    <t>HF00141</t>
  </si>
  <si>
    <t>MG4BD</t>
  </si>
  <si>
    <t>N8WJ3-1</t>
  </si>
  <si>
    <t>HF00142</t>
  </si>
  <si>
    <t>JR4BC</t>
  </si>
  <si>
    <t>N8W0M.07</t>
  </si>
  <si>
    <t>HF00143</t>
  </si>
  <si>
    <t>NY4BA</t>
  </si>
  <si>
    <t>N8W0M.03</t>
  </si>
  <si>
    <t>5#~9#</t>
  </si>
  <si>
    <t>HF00144</t>
  </si>
  <si>
    <t>ML4BH</t>
  </si>
  <si>
    <t>N8Y20</t>
  </si>
  <si>
    <t>HF00145</t>
  </si>
  <si>
    <t>ML4BI</t>
  </si>
  <si>
    <t>N8Y20-1</t>
  </si>
  <si>
    <t>SY58102AFAC</t>
  </si>
  <si>
    <t>E02GA0+A2X02A</t>
  </si>
  <si>
    <t>HF00146</t>
  </si>
  <si>
    <t>ANN4BA</t>
  </si>
  <si>
    <t>N90K9+SJ047100</t>
  </si>
  <si>
    <t>1#~9#+1#~18#</t>
  </si>
  <si>
    <t>N90K9;SJ047100</t>
  </si>
  <si>
    <t>HF00147</t>
  </si>
  <si>
    <t>ANL4BA</t>
  </si>
  <si>
    <t>3+6</t>
  </si>
  <si>
    <t>N90K9+SJ019900</t>
  </si>
  <si>
    <t>10#~12#+3#~8#</t>
  </si>
  <si>
    <t>N90K9;SJ019900</t>
  </si>
  <si>
    <t>HF00148</t>
  </si>
  <si>
    <t>AMY4BA</t>
  </si>
  <si>
    <t>N90K9+EP295200</t>
  </si>
  <si>
    <t>13#~18#+5#,7#~9#,12#~24#</t>
  </si>
  <si>
    <t>N90K9;EP295200</t>
  </si>
  <si>
    <t>HF00149</t>
  </si>
  <si>
    <t>AQU4BA</t>
  </si>
  <si>
    <t>N8YM9+(SJ047800+SJ047900)</t>
  </si>
  <si>
    <t>15~17+(9,17~20,22+8,12,13,15,19~21,24,25)</t>
  </si>
  <si>
    <t>(SJ047800+SJ047900);N8YM9</t>
  </si>
  <si>
    <t>HF00150</t>
  </si>
  <si>
    <t>AQU4BB</t>
  </si>
  <si>
    <t>N8YM9+(SJ048100+SJ048300+SJ048204)</t>
  </si>
  <si>
    <t>18~21+(1,14~17,21,23~25+1~3,8,17,18,20,21,23~25+1)</t>
  </si>
  <si>
    <t>(SJ048100+SJ048300+SJ048204);N8YM9</t>
  </si>
  <si>
    <t>已做好Bumping，工程wafer,Marcom需要</t>
  </si>
  <si>
    <t>A62A1</t>
  </si>
  <si>
    <t>HF00151</t>
  </si>
  <si>
    <t>WC4BA</t>
  </si>
  <si>
    <t>N8TWA.02</t>
  </si>
  <si>
    <r>
      <rPr>
        <sz val="10"/>
        <rFont val="Arial"/>
        <family val="2"/>
        <charset val="134"/>
      </rPr>
      <t>1#(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)~2#(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</t>
    </r>
  </si>
  <si>
    <t>N8TWA.02-1</t>
  </si>
  <si>
    <t>HF00152</t>
  </si>
  <si>
    <t>KT4BA</t>
  </si>
  <si>
    <t>N8YR7-1</t>
  </si>
  <si>
    <t>HF00153</t>
  </si>
  <si>
    <t>KT4BB</t>
  </si>
  <si>
    <t>N90H6</t>
  </si>
  <si>
    <t>HF00154</t>
  </si>
  <si>
    <t>KT4BC</t>
  </si>
  <si>
    <t>N90H6-1</t>
  </si>
  <si>
    <t>HF00155</t>
  </si>
  <si>
    <t>ML4BJ</t>
  </si>
  <si>
    <t>N8Y20.01</t>
  </si>
  <si>
    <t>HF00156</t>
  </si>
  <si>
    <t>AKW4BA</t>
  </si>
  <si>
    <t>5+6</t>
  </si>
  <si>
    <t>N9135.01+SJ045100</t>
  </si>
  <si>
    <t>1#~5#+19#~24#</t>
  </si>
  <si>
    <t>N9135.01;SJ045100</t>
  </si>
  <si>
    <t>HF00157</t>
  </si>
  <si>
    <t>AMQ4BA</t>
  </si>
  <si>
    <t>N9135.02+SJ036600</t>
  </si>
  <si>
    <t>6#~10#+2#~15#</t>
  </si>
  <si>
    <t>N9135.02;SJ036600</t>
  </si>
  <si>
    <t>E34G1+A3X03A</t>
  </si>
  <si>
    <t>HF00158</t>
  </si>
  <si>
    <t>YB4BC</t>
  </si>
  <si>
    <t>N91GT+(SJ045200+SJ045300)</t>
  </si>
  <si>
    <t>1#~7#+(14#~25#+1#)</t>
  </si>
  <si>
    <t>(SJ045200+SJ045300);N91GT</t>
  </si>
  <si>
    <t>HF00159</t>
  </si>
  <si>
    <t>YB4BD</t>
  </si>
  <si>
    <t>N91GT+SJ045300</t>
  </si>
  <si>
    <t>8#~14#+(2#~14#)</t>
  </si>
  <si>
    <t>SJ045300;N91GT</t>
  </si>
  <si>
    <t>E34G1+A3X04B</t>
  </si>
  <si>
    <t>HF00160</t>
  </si>
  <si>
    <t>AQK4BB</t>
  </si>
  <si>
    <t>8+20</t>
  </si>
  <si>
    <t>N91GT+SJ049600</t>
  </si>
  <si>
    <t>15#~22#+1#~7#,13#~25#</t>
  </si>
  <si>
    <t>SJ049600;N91GT</t>
  </si>
  <si>
    <t>HF00161</t>
  </si>
  <si>
    <t>AQK4BC</t>
  </si>
  <si>
    <t>N91GW+SJ050000</t>
  </si>
  <si>
    <t>1#~9#+1#~22#</t>
  </si>
  <si>
    <t>SJ050000;N91GW</t>
  </si>
  <si>
    <t>HF00162</t>
  </si>
  <si>
    <t>AQK4BD</t>
  </si>
  <si>
    <t>3+7</t>
  </si>
  <si>
    <t>N91GT+(SJ049600+SJ050000)</t>
  </si>
  <si>
    <t>23#~25#+(9#~12#+23#~25#)</t>
  </si>
  <si>
    <t>(SJ049600+SJ050000);N91GT</t>
  </si>
  <si>
    <t>HF00163</t>
  </si>
  <si>
    <t>ARC4CA</t>
  </si>
  <si>
    <t>N91GW+(SJ042900+SJ045300)</t>
  </si>
  <si>
    <t>10#~16#+(23#~25#+15#~24#)</t>
  </si>
  <si>
    <t>(SJ042900+SJ045300);N91GW</t>
  </si>
  <si>
    <t>HF00164</t>
  </si>
  <si>
    <t>ARC4CB</t>
  </si>
  <si>
    <t>N91GW+SJ044900</t>
  </si>
  <si>
    <t>17#~25#+1#~17#</t>
  </si>
  <si>
    <t>SJ044900;N91GW</t>
  </si>
  <si>
    <t>HF00165</t>
  </si>
  <si>
    <t>ARC4CC</t>
  </si>
  <si>
    <t>N91WC+SJ045000</t>
  </si>
  <si>
    <t>1#~7#+1#~13#</t>
  </si>
  <si>
    <t>SJ045000;N91WC</t>
  </si>
  <si>
    <t>HF00166</t>
  </si>
  <si>
    <t>ARC4CD</t>
  </si>
  <si>
    <t>N91WC+(SJ045000+SJ044900)</t>
  </si>
  <si>
    <t>8#~14#+(14#~25#+18#)</t>
  </si>
  <si>
    <t>(SJ045000+SJ044900);N91WC</t>
  </si>
  <si>
    <t>HF00167</t>
  </si>
  <si>
    <t>YB4CA</t>
  </si>
  <si>
    <t>N92LK+SJ044800</t>
  </si>
  <si>
    <t>1#~8#+1#~15#</t>
  </si>
  <si>
    <t>SJ044800;N92LK</t>
  </si>
  <si>
    <t>HF00168</t>
  </si>
  <si>
    <t>YB4CB</t>
  </si>
  <si>
    <t>N92LK+(SJ044800+SJ044900)</t>
  </si>
  <si>
    <t>9#~17#+(16#~25#+19#~25#)</t>
  </si>
  <si>
    <t>(SJ044800+SJ044900);N92LK</t>
  </si>
  <si>
    <t>HF00169</t>
  </si>
  <si>
    <t>YB4CC</t>
  </si>
  <si>
    <t>N92LK+SJ045400</t>
  </si>
  <si>
    <t>18#~25#+1#~15#</t>
  </si>
  <si>
    <t>SJ045400;N92LK</t>
  </si>
  <si>
    <t>HF00170</t>
  </si>
  <si>
    <t>YB4CD</t>
  </si>
  <si>
    <t>5+9</t>
  </si>
  <si>
    <t>N91WC+SJ045400</t>
  </si>
  <si>
    <t>15#~19#+16#~24#</t>
  </si>
  <si>
    <t>SJ045400;N91WC</t>
  </si>
  <si>
    <t>HF00171</t>
  </si>
  <si>
    <t>TW4CA</t>
  </si>
  <si>
    <t>N91LT</t>
  </si>
  <si>
    <t>HF00172</t>
  </si>
  <si>
    <t>TW4CB</t>
  </si>
  <si>
    <t>N91LT-1</t>
  </si>
  <si>
    <t>HF00173</t>
  </si>
  <si>
    <t>TW4CC</t>
  </si>
  <si>
    <t>N91LW</t>
  </si>
  <si>
    <t>1#~14#</t>
  </si>
  <si>
    <t>HF00174</t>
  </si>
  <si>
    <t>TW4CD</t>
  </si>
  <si>
    <t>15#~25#</t>
  </si>
  <si>
    <t>N91LW-1</t>
  </si>
  <si>
    <t>HF00175</t>
  </si>
  <si>
    <t>TW4CE</t>
  </si>
  <si>
    <t>N91P1</t>
  </si>
  <si>
    <t>HF00176</t>
  </si>
  <si>
    <t>TW4CF</t>
  </si>
  <si>
    <t>N91P1-1</t>
  </si>
  <si>
    <t>HF00177</t>
  </si>
  <si>
    <t>AFB4CA</t>
  </si>
  <si>
    <t>N89HH-1</t>
  </si>
  <si>
    <t>HF00178</t>
  </si>
  <si>
    <t>AFB4CB</t>
  </si>
  <si>
    <t>N8A8Q</t>
  </si>
  <si>
    <t>HF00179</t>
  </si>
  <si>
    <t>AFB4CC</t>
  </si>
  <si>
    <t>N8A8Q-1</t>
  </si>
  <si>
    <t>HF00180</t>
  </si>
  <si>
    <t>AFB4CD</t>
  </si>
  <si>
    <t>N8AHA</t>
  </si>
  <si>
    <t>N8AHA-1</t>
  </si>
  <si>
    <t>HF00181</t>
  </si>
  <si>
    <t>AFB4CE</t>
  </si>
  <si>
    <t>HF00182</t>
  </si>
  <si>
    <t>AGB4CA</t>
  </si>
  <si>
    <t>N9135</t>
  </si>
  <si>
    <t>HF00183</t>
  </si>
  <si>
    <t>AGB4CB</t>
  </si>
  <si>
    <t>N9135-1</t>
  </si>
  <si>
    <t>HF00184</t>
  </si>
  <si>
    <t>GZ4CA</t>
  </si>
  <si>
    <t>N8H6K-2</t>
  </si>
  <si>
    <t>HF00185</t>
  </si>
  <si>
    <t>AJE4CA</t>
  </si>
  <si>
    <t>N87FC-4</t>
  </si>
  <si>
    <t>HF00186</t>
  </si>
  <si>
    <t>HQ4CA</t>
  </si>
  <si>
    <t>N7YJ5</t>
  </si>
  <si>
    <t>HF00187</t>
  </si>
  <si>
    <t>TB4CA</t>
  </si>
  <si>
    <t>N8QMH-4</t>
  </si>
  <si>
    <t>SY8011ADQC</t>
  </si>
  <si>
    <t>A11B1</t>
  </si>
  <si>
    <t>HF00188</t>
  </si>
  <si>
    <t>KF4CA</t>
  </si>
  <si>
    <t>N8634.04</t>
  </si>
  <si>
    <t>HF00189</t>
  </si>
  <si>
    <t>LX4CA</t>
  </si>
  <si>
    <t>N8YRQ</t>
  </si>
  <si>
    <t>7#~14#</t>
  </si>
  <si>
    <t>HF00190</t>
  </si>
  <si>
    <t>JD4CA</t>
  </si>
  <si>
    <t>N8YM6</t>
  </si>
  <si>
    <t>HF00191</t>
  </si>
  <si>
    <t>JD4CB</t>
  </si>
  <si>
    <t xml:space="preserve"> N8YM7.01</t>
  </si>
  <si>
    <t>19#-23#</t>
  </si>
  <si>
    <t>N8YM7.01</t>
  </si>
  <si>
    <t>HF00192</t>
  </si>
  <si>
    <t>JD4CC</t>
  </si>
  <si>
    <t>N913S</t>
  </si>
  <si>
    <t>HF00193</t>
  </si>
  <si>
    <t>JD4CD</t>
  </si>
  <si>
    <t>N913S-1</t>
  </si>
  <si>
    <t>HF00194</t>
  </si>
  <si>
    <t>JD4CE</t>
  </si>
  <si>
    <t>N916P</t>
  </si>
  <si>
    <t>HF00195</t>
  </si>
  <si>
    <t>JD4CF</t>
  </si>
  <si>
    <t>N916P-1</t>
  </si>
  <si>
    <t>HF00196</t>
  </si>
  <si>
    <t>NT4CA</t>
  </si>
  <si>
    <t>N91M2.01</t>
  </si>
  <si>
    <t>HF00197</t>
  </si>
  <si>
    <t>KG4CD</t>
  </si>
  <si>
    <t>N913W-1</t>
  </si>
  <si>
    <t>HF00198</t>
  </si>
  <si>
    <t>KG4CE</t>
  </si>
  <si>
    <t>N913W-2</t>
  </si>
  <si>
    <t>HF00199</t>
  </si>
  <si>
    <t>KW4CA</t>
  </si>
  <si>
    <t>N91M2</t>
  </si>
  <si>
    <t>HF00200</t>
  </si>
  <si>
    <t>UV4CA</t>
  </si>
  <si>
    <t>N8H6T</t>
  </si>
  <si>
    <t>HF00201</t>
  </si>
  <si>
    <t>UB4CA</t>
  </si>
  <si>
    <t>N8CW8</t>
  </si>
  <si>
    <t>HF00202</t>
  </si>
  <si>
    <t>UB4CB</t>
  </si>
  <si>
    <t>N8CW8.03</t>
  </si>
  <si>
    <t>HF00203</t>
  </si>
  <si>
    <t>RY4CA</t>
  </si>
  <si>
    <t>N8HGP</t>
  </si>
  <si>
    <t>HF00204</t>
  </si>
  <si>
    <t>RY4CB</t>
  </si>
  <si>
    <t>N8HGP-1</t>
  </si>
  <si>
    <t>HF00205</t>
  </si>
  <si>
    <t>NB4CA</t>
  </si>
  <si>
    <t>N8L7K-1</t>
  </si>
  <si>
    <t>HF00206</t>
  </si>
  <si>
    <t>NB4CB</t>
  </si>
  <si>
    <t>N8L7K-2</t>
  </si>
  <si>
    <t>HF00207</t>
  </si>
  <si>
    <t>NB4CC</t>
  </si>
  <si>
    <t>N8R42</t>
  </si>
  <si>
    <t>HF00208</t>
  </si>
  <si>
    <t>NB4CD</t>
  </si>
  <si>
    <t>N8R42-1</t>
  </si>
  <si>
    <t>HF00209</t>
  </si>
  <si>
    <t>NB4CE</t>
  </si>
  <si>
    <t>N8R43</t>
  </si>
  <si>
    <t>HF00210</t>
  </si>
  <si>
    <t>NB4CF</t>
  </si>
  <si>
    <t>N8R43-1</t>
  </si>
  <si>
    <t>HF00211</t>
  </si>
  <si>
    <t>AHH4CA</t>
  </si>
  <si>
    <t>N8HS1</t>
  </si>
  <si>
    <t>HF00212</t>
  </si>
  <si>
    <t>AQK4CA</t>
  </si>
  <si>
    <t>10+25</t>
  </si>
  <si>
    <t>N92LM+SJ050200</t>
  </si>
  <si>
    <t>1#~10#+1#~25#</t>
  </si>
  <si>
    <t>SJ050200;N92LM</t>
  </si>
  <si>
    <t>HF00213</t>
  </si>
  <si>
    <t>AQK4CB</t>
  </si>
  <si>
    <t>N92LM+SJ049500</t>
  </si>
  <si>
    <t>11#~20#+1#~25#</t>
  </si>
  <si>
    <t>SJ049500;N92LM</t>
  </si>
  <si>
    <t>HF00214</t>
  </si>
  <si>
    <t>AQK4CC</t>
  </si>
  <si>
    <t>N92LL+SJ049900</t>
  </si>
  <si>
    <t>SJ049900;N92LL</t>
  </si>
  <si>
    <t>HF00215</t>
  </si>
  <si>
    <t>AQK4CD</t>
  </si>
  <si>
    <t>N91WC+SJ049400</t>
  </si>
  <si>
    <t>20#~24#+1#~12#</t>
  </si>
  <si>
    <t>SJ049400;N91WC</t>
  </si>
  <si>
    <t>HF00216</t>
  </si>
  <si>
    <t>AQK4CE</t>
  </si>
  <si>
    <t>N92LM+SJ049400</t>
  </si>
  <si>
    <t>21#~25#+13#~24#</t>
  </si>
  <si>
    <t>SJ049400;N92LM</t>
  </si>
  <si>
    <t>HF00217</t>
  </si>
  <si>
    <t>AQK4CF</t>
  </si>
  <si>
    <t>N92LL+SJ051000</t>
  </si>
  <si>
    <t>11#~19#+1#,3#~23#</t>
  </si>
  <si>
    <t>SJ051000;N92LL</t>
  </si>
  <si>
    <t>HF00218</t>
  </si>
  <si>
    <t>AQK4CG</t>
  </si>
  <si>
    <t>(N92LL+N91WC)+SJ050500</t>
  </si>
  <si>
    <t>(20#~25#+25#)+1#~17#</t>
  </si>
  <si>
    <t>SJ050500;(N92LL+N91WC)</t>
  </si>
  <si>
    <t>HF00219</t>
  </si>
  <si>
    <t>AQK4CH</t>
  </si>
  <si>
    <t>N92LH+SJ050100</t>
  </si>
  <si>
    <t>SJ050100;N92LH</t>
  </si>
  <si>
    <t>HF00220</t>
  </si>
  <si>
    <t>AQK4CI</t>
  </si>
  <si>
    <t>N92LH+SJ049700</t>
  </si>
  <si>
    <t>SJ049700;N92LH</t>
  </si>
  <si>
    <t>HF00221</t>
  </si>
  <si>
    <t>AQK4CJ</t>
  </si>
  <si>
    <t>N92LH+(SJ051200+SJ049807)</t>
  </si>
  <si>
    <t>21#~25#+(1#~10#+5#,20#)</t>
  </si>
  <si>
    <t>(SJ051200+SJ049807);N92LH</t>
  </si>
  <si>
    <t>HF00222</t>
  </si>
  <si>
    <t>AQK4CK</t>
  </si>
  <si>
    <t>N92LJ+SJ051100</t>
  </si>
  <si>
    <t>SJ051100;N92LJ</t>
  </si>
  <si>
    <t>HF00223</t>
  </si>
  <si>
    <t>AQK4CL</t>
  </si>
  <si>
    <t>N92LJ+SJ050300</t>
  </si>
  <si>
    <t>SJ050300;N92LJ</t>
  </si>
  <si>
    <t>HF00224</t>
  </si>
  <si>
    <t>AQK4CM</t>
  </si>
  <si>
    <t>N92LJ+(SJ050500+SJ051200)</t>
  </si>
  <si>
    <t>21#~25#+(18#~25#+11#~14#)</t>
  </si>
  <si>
    <t>(SJ050500+SJ051200);N92LJ</t>
  </si>
  <si>
    <t>HF00225</t>
  </si>
  <si>
    <t>JD4CG</t>
  </si>
  <si>
    <t>N91M4</t>
  </si>
  <si>
    <t>HF00226</t>
  </si>
  <si>
    <t>JD4CH</t>
  </si>
  <si>
    <t>N91M4-1</t>
  </si>
  <si>
    <t>HF00227</t>
  </si>
  <si>
    <t>HB4CA</t>
  </si>
  <si>
    <t>N92AN</t>
  </si>
  <si>
    <t>HF00228</t>
  </si>
  <si>
    <t>HT4CA</t>
  </si>
  <si>
    <t>N92AN-1</t>
  </si>
  <si>
    <t>HF00229</t>
  </si>
  <si>
    <t>HT4CB</t>
  </si>
  <si>
    <t>N92AP</t>
  </si>
  <si>
    <t>3#~13#</t>
  </si>
  <si>
    <t>HF00230</t>
  </si>
  <si>
    <t>HT4CC</t>
  </si>
  <si>
    <t>N92AP-1</t>
  </si>
  <si>
    <t>HF00231</t>
  </si>
  <si>
    <t>JW4CA</t>
  </si>
  <si>
    <t>N91W3</t>
  </si>
  <si>
    <t>HF00232</t>
  </si>
  <si>
    <t>JW4CB</t>
  </si>
  <si>
    <t>N92AP.01</t>
  </si>
  <si>
    <t>HF00233</t>
  </si>
  <si>
    <t>TV4CA</t>
  </si>
  <si>
    <t>N91W4</t>
  </si>
  <si>
    <t>HF00234</t>
  </si>
  <si>
    <t>TV4CB</t>
  </si>
  <si>
    <t>N91W4-1</t>
  </si>
  <si>
    <t>HF00235</t>
  </si>
  <si>
    <t>TV4CC</t>
  </si>
  <si>
    <t>N91W5</t>
  </si>
  <si>
    <t>HF00236</t>
  </si>
  <si>
    <t>TV4CD</t>
  </si>
  <si>
    <t>N91W5-1</t>
  </si>
  <si>
    <t>HF00237</t>
  </si>
  <si>
    <t>TV4CE</t>
  </si>
  <si>
    <t>N91W3.01</t>
  </si>
  <si>
    <t>HF00238</t>
  </si>
  <si>
    <t>JR4CA</t>
  </si>
  <si>
    <t>N92HT</t>
  </si>
  <si>
    <t>HF00239</t>
  </si>
  <si>
    <t>JR4CB</t>
  </si>
  <si>
    <t>N92HT-1</t>
  </si>
  <si>
    <t>HF00240</t>
  </si>
  <si>
    <t>NY4CA</t>
  </si>
  <si>
    <t>N92HT.01</t>
  </si>
  <si>
    <t>HF00241</t>
  </si>
  <si>
    <t>AGB4CC</t>
  </si>
  <si>
    <t>N92AT</t>
  </si>
  <si>
    <t>HF00242</t>
  </si>
  <si>
    <t>TC4CA</t>
  </si>
  <si>
    <t>N92J1</t>
  </si>
  <si>
    <t>HF00243</t>
  </si>
  <si>
    <t>TB4CB</t>
  </si>
  <si>
    <t>N923Q</t>
  </si>
  <si>
    <t>HF00244</t>
  </si>
  <si>
    <t>AQK4CN</t>
  </si>
  <si>
    <t>N92RT+(SJ051200+SJ051000)</t>
  </si>
  <si>
    <t>1#~5#+(15#~25#+25#)</t>
  </si>
  <si>
    <t>(SJ051200+SJ051000);N92RT</t>
  </si>
  <si>
    <t>HF00245</t>
  </si>
  <si>
    <t>AQK4CO</t>
  </si>
  <si>
    <t>N92RT+SJ050400</t>
  </si>
  <si>
    <t>6#~15#+1#~25#</t>
  </si>
  <si>
    <t>SJ050400;N92RT</t>
  </si>
  <si>
    <t>HF00246</t>
  </si>
  <si>
    <t>AQK4CP</t>
  </si>
  <si>
    <t>N92RT+SJ050600</t>
  </si>
  <si>
    <t>16#~25#+1#~25#</t>
  </si>
  <si>
    <t>SJ050600;N92RT</t>
  </si>
  <si>
    <t>HF00247</t>
  </si>
  <si>
    <t>AQK4CQ</t>
  </si>
  <si>
    <t>N92RW+SJ050700</t>
  </si>
  <si>
    <t>SJ050700;N92RW</t>
  </si>
  <si>
    <t>HF00248</t>
  </si>
  <si>
    <t>ANN4CA</t>
  </si>
  <si>
    <t>7+14</t>
  </si>
  <si>
    <t>N90K9+SJ046800</t>
  </si>
  <si>
    <t>19#~25#+1#~14#</t>
  </si>
  <si>
    <t>N90K9;SJ046800</t>
  </si>
  <si>
    <t>HF00249</t>
  </si>
  <si>
    <t>AJM4CA</t>
  </si>
  <si>
    <t>N8QMG+(SJ047100+SJ047300)</t>
  </si>
  <si>
    <t>18#~23#+(19#~25#+21#~25#)</t>
  </si>
  <si>
    <t>N8QMG;(SJ047100+SJ047300)</t>
  </si>
  <si>
    <t>HF00250</t>
  </si>
  <si>
    <t>AMK4CA</t>
  </si>
  <si>
    <t>N8YMA+SJ046800</t>
  </si>
  <si>
    <t>5#~9#+15#~23#,25#</t>
  </si>
  <si>
    <t>N8YMA;SJ046800</t>
  </si>
  <si>
    <t>HF00251</t>
  </si>
  <si>
    <t>AMK4CB</t>
  </si>
  <si>
    <t>N8YMA+SJ045800</t>
  </si>
  <si>
    <t>10#~21#+1#~2#,4#~25#</t>
  </si>
  <si>
    <t>N8YMA;SJ045800</t>
  </si>
  <si>
    <t>HF00252</t>
  </si>
  <si>
    <t>AMJ4CA</t>
  </si>
  <si>
    <t>N8YMA+SJ042100</t>
  </si>
  <si>
    <t>22#~25#+15#~25#</t>
  </si>
  <si>
    <t>N8YMA;SJ042100</t>
  </si>
  <si>
    <t>HF00253</t>
  </si>
  <si>
    <t>AMJ4CB</t>
  </si>
  <si>
    <t>7+20</t>
  </si>
  <si>
    <t>N90H7.02+SJ041700</t>
  </si>
  <si>
    <t>16#~22#+1#~6#,8#~21#</t>
  </si>
  <si>
    <t>N90H7.02;SJ041700</t>
  </si>
  <si>
    <t>HF00254</t>
  </si>
  <si>
    <t>AMQ4CA</t>
  </si>
  <si>
    <t>N92AQ.01+(SJ036600+SJ041700)</t>
  </si>
  <si>
    <t>1#~5#+(16#~25#+22#~25#)</t>
  </si>
  <si>
    <t>N92AQ.01;(SJ036600+SJ041700)</t>
  </si>
  <si>
    <t>HF00255</t>
  </si>
  <si>
    <t>AQX4CA</t>
  </si>
  <si>
    <t>N8YM9+SJ047700</t>
  </si>
  <si>
    <t>22#~24#+14#~24#</t>
  </si>
  <si>
    <t>SJ047700;N8YM9</t>
  </si>
  <si>
    <t>E10E1</t>
  </si>
  <si>
    <t>HF00256</t>
  </si>
  <si>
    <t>XO4CA</t>
  </si>
  <si>
    <t>N90FC.05</t>
  </si>
  <si>
    <t>7#</t>
  </si>
  <si>
    <t>N90FC.05-1</t>
  </si>
  <si>
    <t>SY6982C1QDC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</si>
  <si>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Bumping,Marcom</t>
    </r>
    <r>
      <rPr>
        <sz val="10"/>
        <rFont val="宋体"/>
        <family val="3"/>
        <charset val="134"/>
      </rPr>
      <t>需要</t>
    </r>
  </si>
  <si>
    <t>HF00257</t>
  </si>
  <si>
    <t>ASV4CA</t>
  </si>
  <si>
    <t>N90H2.01</t>
  </si>
  <si>
    <t>HF00258</t>
  </si>
  <si>
    <t>XS4CA</t>
  </si>
  <si>
    <t>N90H2</t>
  </si>
  <si>
    <t>需Bumping,Marcom需要</t>
  </si>
  <si>
    <t>HF00259</t>
  </si>
  <si>
    <t>A4CA</t>
  </si>
  <si>
    <t>N8WSQ.05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</si>
  <si>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Bumping, Marcom</t>
    </r>
    <r>
      <rPr>
        <sz val="10"/>
        <rFont val="宋体"/>
        <family val="3"/>
        <charset val="134"/>
      </rPr>
      <t>需要</t>
    </r>
  </si>
  <si>
    <t>HF00260</t>
  </si>
  <si>
    <t>B4CA</t>
  </si>
  <si>
    <t>N8WSQ.04-1</t>
  </si>
  <si>
    <t>SY8113BADC</t>
  </si>
  <si>
    <r>
      <rPr>
        <sz val="10"/>
        <rFont val="宋体"/>
        <family val="3"/>
        <charset val="134"/>
      </rPr>
      <t>已在</t>
    </r>
    <r>
      <rPr>
        <sz val="10"/>
        <rFont val="Arial"/>
        <family val="2"/>
        <charset val="134"/>
      </rPr>
      <t>NFME</t>
    </r>
    <r>
      <rPr>
        <sz val="10"/>
        <rFont val="宋体"/>
        <family val="3"/>
        <charset val="134"/>
      </rPr>
      <t>做好</t>
    </r>
    <r>
      <rPr>
        <sz val="10"/>
        <rFont val="Arial"/>
        <family val="2"/>
        <charset val="134"/>
      </rPr>
      <t>Bumping,Marcom</t>
    </r>
    <r>
      <rPr>
        <sz val="10"/>
        <rFont val="宋体"/>
        <family val="3"/>
        <charset val="134"/>
      </rPr>
      <t>需要</t>
    </r>
  </si>
  <si>
    <t>HF00261</t>
  </si>
  <si>
    <t>WC4CA</t>
  </si>
  <si>
    <t>N8R20.06</t>
  </si>
  <si>
    <t>HF00262</t>
  </si>
  <si>
    <t>WC4CB</t>
  </si>
  <si>
    <t>N8TWA</t>
  </si>
  <si>
    <t>HF00263</t>
  </si>
  <si>
    <t>TR3DA</t>
  </si>
  <si>
    <t>N8TJP.10</t>
  </si>
  <si>
    <t>SYH407AAC</t>
  </si>
  <si>
    <t>HF00264</t>
  </si>
  <si>
    <t>TR3DB</t>
  </si>
  <si>
    <t>N8TJP.10-1</t>
  </si>
  <si>
    <t>HF00265</t>
  </si>
  <si>
    <t>HU4DA</t>
  </si>
  <si>
    <t>N91M5</t>
  </si>
  <si>
    <t>HF00266</t>
  </si>
  <si>
    <t>JD4DA</t>
  </si>
  <si>
    <t>N91M3</t>
  </si>
  <si>
    <t>HF00267</t>
  </si>
  <si>
    <t>JD4DB</t>
  </si>
  <si>
    <t>N91M3-1</t>
  </si>
  <si>
    <t>HF00268</t>
  </si>
  <si>
    <t>KW4DA</t>
  </si>
  <si>
    <t>N91M5.01</t>
  </si>
  <si>
    <t>SYHV12ABC</t>
  </si>
  <si>
    <t>HF00269</t>
  </si>
  <si>
    <t>EF4DA</t>
  </si>
  <si>
    <t>N8H6F-1</t>
  </si>
  <si>
    <t>HF00270</t>
  </si>
  <si>
    <t>EF4DB</t>
  </si>
  <si>
    <t>N8H6F-2</t>
  </si>
  <si>
    <t>HF00271</t>
  </si>
  <si>
    <t>EF4DC</t>
  </si>
  <si>
    <t>N8H6C.02</t>
  </si>
  <si>
    <t>3#~8#</t>
  </si>
  <si>
    <t>HF00272</t>
  </si>
  <si>
    <t>TW4DA</t>
  </si>
  <si>
    <t>N9365</t>
  </si>
  <si>
    <t>N9365-2</t>
  </si>
  <si>
    <t>HF00273</t>
  </si>
  <si>
    <t>TW4DB</t>
  </si>
  <si>
    <t>3#~12#</t>
  </si>
  <si>
    <t>HF00274</t>
  </si>
  <si>
    <t>TW4DC</t>
  </si>
  <si>
    <t>N9365-1</t>
  </si>
  <si>
    <t>HF00275</t>
  </si>
  <si>
    <t>AEP3DA</t>
  </si>
  <si>
    <t>N8H6C.01</t>
  </si>
  <si>
    <t>SY7302ABC</t>
  </si>
  <si>
    <t>B07I0</t>
  </si>
  <si>
    <t>HF00276</t>
  </si>
  <si>
    <t>HM4DA</t>
  </si>
  <si>
    <t>N8LF6.01</t>
  </si>
  <si>
    <t>9#~10#</t>
  </si>
  <si>
    <t>HF00277</t>
  </si>
  <si>
    <t>TV4DA</t>
  </si>
  <si>
    <t>N92YN</t>
  </si>
  <si>
    <t>HF00278</t>
  </si>
  <si>
    <t>TV4DB</t>
  </si>
  <si>
    <t>7#~19#</t>
  </si>
  <si>
    <t>N92YN-1</t>
  </si>
  <si>
    <t>HF00279</t>
  </si>
  <si>
    <t>NB4DA</t>
  </si>
  <si>
    <t>N8Y21</t>
  </si>
  <si>
    <t>1#~9#,11#~13#</t>
  </si>
  <si>
    <t>HF00280</t>
  </si>
  <si>
    <t>HD3DA</t>
  </si>
  <si>
    <t>N8QCP-1</t>
  </si>
  <si>
    <t>HF00281</t>
  </si>
  <si>
    <t>ALJ4DA</t>
  </si>
  <si>
    <t>(N871K.09+N871K.07)+EP337500</t>
  </si>
  <si>
    <t>(15,18,19#+6,10,14,22,23#)+1#~9#</t>
  </si>
  <si>
    <t>(N871K.09+N871K.07);EP337500</t>
  </si>
  <si>
    <t>HF00282</t>
  </si>
  <si>
    <t>ALJ4DB</t>
  </si>
  <si>
    <t>11+12</t>
  </si>
  <si>
    <t>N89T1+EP337500</t>
  </si>
  <si>
    <t>1#~11#+10#~16#,20#~24#</t>
  </si>
  <si>
    <t>N89T1;EP337500</t>
  </si>
  <si>
    <t>HF00283</t>
  </si>
  <si>
    <t>ANL4DA</t>
  </si>
  <si>
    <t>N923Q.01+SJ019900</t>
  </si>
  <si>
    <t>1#~3#+9#~14#</t>
  </si>
  <si>
    <t>N923Q.01;SJ019900</t>
  </si>
  <si>
    <t>HF00284</t>
  </si>
  <si>
    <t>AQK4DA</t>
  </si>
  <si>
    <t>N92RW+SJ051900</t>
  </si>
  <si>
    <t>SJ051900;N92RW</t>
  </si>
  <si>
    <t>HF00285</t>
  </si>
  <si>
    <t>YB4DA</t>
  </si>
  <si>
    <t>N92RW+SJ053800</t>
  </si>
  <si>
    <t>21#~25#+1#~5#,7#~10</t>
  </si>
  <si>
    <t>SJ053800;N92RW</t>
  </si>
  <si>
    <t>HF00286</t>
  </si>
  <si>
    <t>YB4DB</t>
  </si>
  <si>
    <t>N92RY+SJ053800</t>
  </si>
  <si>
    <t>1#~8#+11#~25#</t>
  </si>
  <si>
    <t>SJ053800;N92RY</t>
  </si>
  <si>
    <t>HF00287</t>
  </si>
  <si>
    <t>YB4DC</t>
  </si>
  <si>
    <t>N92RY+SJ053600</t>
  </si>
  <si>
    <t>9#~16#+1#~15#</t>
  </si>
  <si>
    <t>SJ053600;N92RY</t>
  </si>
  <si>
    <t>HF00288</t>
  </si>
  <si>
    <t>ARC4DA</t>
  </si>
  <si>
    <t>N92RY+SJ054000</t>
  </si>
  <si>
    <t>17#~25#+1#~7#,9#~18#</t>
  </si>
  <si>
    <t>SJ054000;N92RY</t>
  </si>
  <si>
    <t>HF00289</t>
  </si>
  <si>
    <t>ARC4DB</t>
  </si>
  <si>
    <t>N92TJ+(SJ053600+SJ054000)</t>
  </si>
  <si>
    <t>1#~8#+(16#~25#+19#~23#)</t>
  </si>
  <si>
    <t>(SJ053600+SJ054000);N92TJ</t>
  </si>
  <si>
    <t>HF00290</t>
  </si>
  <si>
    <t>ML4DA</t>
  </si>
  <si>
    <t>N939J</t>
  </si>
  <si>
    <t>HF00291</t>
  </si>
  <si>
    <t>ML4DB</t>
  </si>
  <si>
    <t>N939J-1</t>
  </si>
  <si>
    <t>HF00292</t>
  </si>
  <si>
    <t>JR4DA</t>
  </si>
  <si>
    <t>N939M</t>
  </si>
  <si>
    <t>HF00293</t>
  </si>
  <si>
    <t>JR4DB</t>
  </si>
  <si>
    <t>N939M-1</t>
  </si>
  <si>
    <t>HF00294</t>
  </si>
  <si>
    <t>QV4DA</t>
  </si>
  <si>
    <t>N8F8Q.02</t>
  </si>
  <si>
    <t>HF00295</t>
  </si>
  <si>
    <t>AIV4DA</t>
  </si>
  <si>
    <t>N88MM-2</t>
  </si>
  <si>
    <t>HF00296</t>
  </si>
  <si>
    <t>YB4DD</t>
  </si>
  <si>
    <t>N92TJ+SJ054100</t>
  </si>
  <si>
    <t>9#~16#+1#~2#,4#~7#,9#~17#</t>
  </si>
  <si>
    <t>SJ054100;N92TJ</t>
  </si>
  <si>
    <t>HF00297</t>
  </si>
  <si>
    <t>YB4DE</t>
  </si>
  <si>
    <t>N92TJ+(SJ054100+SJ054000)</t>
  </si>
  <si>
    <t>17#~21#+(18#~25#+24#)</t>
  </si>
  <si>
    <t>(SJ054100+SJ054000);N92TJ</t>
  </si>
  <si>
    <t>HF00298</t>
  </si>
  <si>
    <t>AQK4DB</t>
  </si>
  <si>
    <t>N92TK+SJ052500</t>
  </si>
  <si>
    <t>SJ052500;N92TK</t>
  </si>
  <si>
    <t>重测(重测工单HE01724,HE01805)</t>
  </si>
  <si>
    <t>HF00299</t>
  </si>
  <si>
    <t>N8CNF;N8SFP.03</t>
  </si>
  <si>
    <r>
      <rPr>
        <sz val="10"/>
        <rFont val="Arial"/>
        <family val="2"/>
        <charset val="134"/>
      </rPr>
      <t>Relabel</t>
    </r>
    <r>
      <rPr>
        <sz val="10"/>
        <rFont val="宋体"/>
        <family val="3"/>
        <charset val="134"/>
      </rPr>
      <t>成</t>
    </r>
    <r>
      <rPr>
        <sz val="10"/>
        <rFont val="Arial"/>
        <family val="2"/>
        <charset val="134"/>
      </rPr>
      <t>SY6174FAC</t>
    </r>
  </si>
  <si>
    <t>HF00300</t>
  </si>
  <si>
    <t>HF00301</t>
  </si>
  <si>
    <t>HT4DA</t>
  </si>
  <si>
    <t>N93JT</t>
  </si>
  <si>
    <t>HF00302</t>
  </si>
  <si>
    <t>HT4DB</t>
  </si>
  <si>
    <t>N93JT-1</t>
  </si>
  <si>
    <t>HF00303</t>
  </si>
  <si>
    <t>AQK4DC</t>
  </si>
  <si>
    <t>(N92TJ+N92TK)+SJ052200</t>
  </si>
  <si>
    <t>(22#~25#+11#~15#)+1#~12#,14#,16#~24#</t>
  </si>
  <si>
    <t>SJ052200;(N92TJ+N92TK)</t>
  </si>
  <si>
    <t>HF00304</t>
  </si>
  <si>
    <t>AQK4DD</t>
  </si>
  <si>
    <t>N92TK+(SJ051500+SJ052200)</t>
  </si>
  <si>
    <t>16#~25#+(1#~12#,14#~25#+25#)</t>
  </si>
  <si>
    <t>(SJ051500+SJ052200);N92TK</t>
  </si>
  <si>
    <t>HF00305</t>
  </si>
  <si>
    <t>AQK4DE</t>
  </si>
  <si>
    <t>N92TL+SJ050900</t>
  </si>
  <si>
    <t>SJ050900;N92TL</t>
  </si>
  <si>
    <t>HF00306</t>
  </si>
  <si>
    <t>AQK4DF</t>
  </si>
  <si>
    <t>N92TL+SJ053000</t>
  </si>
  <si>
    <t>SJ053000;N92TL</t>
  </si>
  <si>
    <t>HF00307</t>
  </si>
  <si>
    <t>YB4DF</t>
  </si>
  <si>
    <t>N92TL+SJ053500</t>
  </si>
  <si>
    <t>21#~25#+1#~9#</t>
  </si>
  <si>
    <t>SJ053500;N92TL</t>
  </si>
  <si>
    <t>HF00308</t>
  </si>
  <si>
    <t>YB4DG</t>
  </si>
  <si>
    <t>N92TM+SJ053500</t>
  </si>
  <si>
    <t>SJ053500;N92TM</t>
  </si>
  <si>
    <t>HF00309</t>
  </si>
  <si>
    <t>ARC4DC</t>
  </si>
  <si>
    <t>6+11</t>
  </si>
  <si>
    <t>N92TM+SJ053700</t>
  </si>
  <si>
    <t>9#~14#+1#~11#</t>
  </si>
  <si>
    <t>SJ053700;N92TM</t>
  </si>
  <si>
    <t>HF00310</t>
  </si>
  <si>
    <t>ARC4DD</t>
  </si>
  <si>
    <t>15#~21#+12#,14#~25#</t>
  </si>
  <si>
    <t>SJ053700;N92TM-1</t>
  </si>
  <si>
    <t>HF00311</t>
  </si>
  <si>
    <t>AML4DA</t>
  </si>
  <si>
    <t>N92J2+SJ035500</t>
  </si>
  <si>
    <t>1#~4#+18#~25#</t>
  </si>
  <si>
    <t>N92J2;SJ035500</t>
  </si>
  <si>
    <t>HF00312</t>
  </si>
  <si>
    <t>AML4DB</t>
  </si>
  <si>
    <t>N92J2+SJ035600</t>
  </si>
  <si>
    <t>5#~7#+20#~25#</t>
  </si>
  <si>
    <t>N92J2;SJ035600</t>
  </si>
  <si>
    <t>HF00313</t>
  </si>
  <si>
    <t>AML4DC</t>
  </si>
  <si>
    <t>N92J2+SJ035400</t>
  </si>
  <si>
    <t>8#~13#+1#~12#</t>
  </si>
  <si>
    <t>N92J2;SJ035400</t>
  </si>
  <si>
    <t>HF00314</t>
  </si>
  <si>
    <t>ALJ4DC</t>
  </si>
  <si>
    <t>12+13</t>
  </si>
  <si>
    <t>N89T1+EP337600</t>
  </si>
  <si>
    <t>14#~25#+1#~13#</t>
  </si>
  <si>
    <t>N89T1;EP337600</t>
  </si>
  <si>
    <t>HF00315</t>
  </si>
  <si>
    <t>ALJ4DD</t>
  </si>
  <si>
    <t>N8M20.04+EP337600</t>
  </si>
  <si>
    <t>7#~17#+14#~25#</t>
  </si>
  <si>
    <t>N8M20.04;EP337600</t>
  </si>
  <si>
    <t>HF00316</t>
  </si>
  <si>
    <t>AQK4DG</t>
  </si>
  <si>
    <t>(N92TM+N92TN)+SJ049800</t>
  </si>
  <si>
    <t>(22#~25#+1#~5#)+1#~4#,6#~19#,21#~24#</t>
  </si>
  <si>
    <t>SJ049800;(N92TM+N92TN)</t>
  </si>
  <si>
    <t>HF00317</t>
  </si>
  <si>
    <t>AQK4DH</t>
  </si>
  <si>
    <t>N92TN+(SJ051700+SJ049800)</t>
  </si>
  <si>
    <t>6#~15#+(1#~21#,23#~25#+25#)</t>
  </si>
  <si>
    <t>(SJ051700+SJ049800);N92TN</t>
  </si>
  <si>
    <t>HF00318</t>
  </si>
  <si>
    <t>YB4DH</t>
  </si>
  <si>
    <t>10+19</t>
  </si>
  <si>
    <t>N92TN+SJ057500</t>
  </si>
  <si>
    <t>16#~25#+1#~19#</t>
  </si>
  <si>
    <t>SJ057500;N92TN</t>
  </si>
  <si>
    <t>HF00319</t>
  </si>
  <si>
    <t>YB4DI</t>
  </si>
  <si>
    <t>N92TP+SJ057500</t>
  </si>
  <si>
    <t>1#~3#+20#~25#</t>
  </si>
  <si>
    <t>SJ057500;N92TP</t>
  </si>
  <si>
    <t>HF00320</t>
  </si>
  <si>
    <t>ML4DC</t>
  </si>
  <si>
    <t>N939K</t>
  </si>
  <si>
    <t>HF00321</t>
  </si>
  <si>
    <t>ML4DD</t>
  </si>
  <si>
    <t>N939K-1</t>
  </si>
  <si>
    <t>HF00322</t>
  </si>
  <si>
    <t>TW4DD</t>
  </si>
  <si>
    <t>N9366</t>
  </si>
  <si>
    <t>11#~25#</t>
  </si>
  <si>
    <t>HF00323</t>
  </si>
  <si>
    <t>HT4DC</t>
  </si>
  <si>
    <t>N93JW</t>
  </si>
  <si>
    <t>HF00324</t>
  </si>
  <si>
    <t>YB4DJ</t>
  </si>
  <si>
    <t>N92TP+SJ053900</t>
  </si>
  <si>
    <t>4#~11#+1#~15#</t>
  </si>
  <si>
    <t>SJ053900;N92TP</t>
  </si>
  <si>
    <t>HF00325</t>
  </si>
  <si>
    <t>AQY4DA</t>
  </si>
  <si>
    <t>9+10</t>
  </si>
  <si>
    <t>N8WAH+SJ053900</t>
  </si>
  <si>
    <t>1#~9#+16#~25#</t>
  </si>
  <si>
    <t>N8WAH;SJ053900</t>
  </si>
  <si>
    <t>HF00326</t>
  </si>
  <si>
    <t>AQJ4DA</t>
  </si>
  <si>
    <t>5+25</t>
  </si>
  <si>
    <t>N90H7.01+SJ057600</t>
  </si>
  <si>
    <t>1#~5#+1#~25#</t>
  </si>
  <si>
    <t>SJ057600;N90H7.01</t>
  </si>
  <si>
    <t>HF00327</t>
  </si>
  <si>
    <t>AQU4DA</t>
  </si>
  <si>
    <t>N90H7.01+SJ053400</t>
  </si>
  <si>
    <t>6#~10#+1#~25#</t>
  </si>
  <si>
    <t>SJ053400;N90H7.01</t>
  </si>
  <si>
    <t>HF00328</t>
  </si>
  <si>
    <t>AQU4DB</t>
  </si>
  <si>
    <t>N90H7.01+SJ058100</t>
  </si>
  <si>
    <t>11#~15#+1#~25#</t>
  </si>
  <si>
    <t>SJ058100;N90H7.01</t>
  </si>
  <si>
    <t>HF00329</t>
  </si>
  <si>
    <t>AQU4DC</t>
  </si>
  <si>
    <t>N9136+(SJ058200+SJ058202)</t>
  </si>
  <si>
    <t>1#~5#+(1#~17#,19#~25#+18#)</t>
  </si>
  <si>
    <t>(SJ058200+SJ058202);N9136</t>
  </si>
  <si>
    <t>HF00330</t>
  </si>
  <si>
    <t>AQT4DA</t>
  </si>
  <si>
    <t>N92AQ.02+(SJ058300+SJ048000)</t>
  </si>
  <si>
    <t>6#~10#+(1#~15#,17#~25#+3#,12#)</t>
  </si>
  <si>
    <t>(SJ058300+SJ048000);N92AQ.02</t>
  </si>
  <si>
    <t>HF00331</t>
  </si>
  <si>
    <t>JR4DC</t>
  </si>
  <si>
    <t>N939N</t>
  </si>
  <si>
    <t>HF00332</t>
  </si>
  <si>
    <t>JR4DD</t>
  </si>
  <si>
    <t>N939N-1</t>
  </si>
  <si>
    <t>HF00333</t>
  </si>
  <si>
    <t>AQK4DI</t>
  </si>
  <si>
    <t>N92TQ+SJ050800</t>
  </si>
  <si>
    <t>SJ050800;N92TQ</t>
  </si>
  <si>
    <t>HF00334</t>
  </si>
  <si>
    <t>AQK4DJ</t>
  </si>
  <si>
    <t>N92TQ+SJ052900</t>
  </si>
  <si>
    <t>SJ052900;N92TQ</t>
  </si>
  <si>
    <t>HF00335</t>
  </si>
  <si>
    <t>AQK4DK</t>
  </si>
  <si>
    <t>N92TR+SJ053100</t>
  </si>
  <si>
    <t>SJ053100;N92TR</t>
  </si>
  <si>
    <t>HF00336</t>
  </si>
  <si>
    <t>AQK4DL</t>
  </si>
  <si>
    <t>N92TR+SJ053300</t>
  </si>
  <si>
    <t>SJ053300;N92TR</t>
  </si>
  <si>
    <t>HF00337</t>
  </si>
  <si>
    <t>AQK4DM</t>
  </si>
  <si>
    <t>(N92TQ+N92TR)+SJ055000</t>
  </si>
  <si>
    <t>(21#~25#+21#~25#)+1#~25#</t>
  </si>
  <si>
    <t>SJ055000;(N92TQ+N92TR)</t>
  </si>
  <si>
    <t>HF00338</t>
  </si>
  <si>
    <t>TW4DE</t>
  </si>
  <si>
    <t>N941T</t>
  </si>
  <si>
    <t>HF00339</t>
  </si>
  <si>
    <t>JCETN7W9R-2/JCETN7WA-1/JCETN7WWA-2/JCETN83R-1</t>
  </si>
  <si>
    <t>HF00340</t>
  </si>
  <si>
    <t>JCETN81Q6;SJ006400-1/JCETN8718;(SJ028500+SJ023600)-1/JCETN881P;SJ028100</t>
  </si>
  <si>
    <t>HF00341</t>
  </si>
  <si>
    <t>JW4DA</t>
  </si>
  <si>
    <t>N93K0.01</t>
  </si>
  <si>
    <t>HF00342</t>
  </si>
  <si>
    <t>JR4DE</t>
  </si>
  <si>
    <t>N93K1</t>
  </si>
  <si>
    <t>4#~14#</t>
  </si>
  <si>
    <t>HF00343</t>
  </si>
  <si>
    <t>JR4DF</t>
  </si>
  <si>
    <t>N93K1-1</t>
  </si>
  <si>
    <t>HF00344</t>
  </si>
  <si>
    <t>JR4DG</t>
  </si>
  <si>
    <t>N93K2</t>
  </si>
  <si>
    <t>HF00345</t>
  </si>
  <si>
    <t>JR4DH</t>
  </si>
  <si>
    <t>N93K2-1</t>
  </si>
  <si>
    <t>HF00346</t>
  </si>
  <si>
    <t>NY4DA</t>
  </si>
  <si>
    <t>N93K1.02</t>
  </si>
  <si>
    <t>HF00347</t>
  </si>
  <si>
    <t>KT4DA</t>
  </si>
  <si>
    <t>N9143</t>
  </si>
  <si>
    <t>HF00348</t>
  </si>
  <si>
    <t>KT4DB</t>
  </si>
  <si>
    <t>N9143-1</t>
  </si>
  <si>
    <t>HF00349</t>
  </si>
  <si>
    <t>KT4DC</t>
  </si>
  <si>
    <t>N90H5</t>
  </si>
  <si>
    <t>HF00350</t>
  </si>
  <si>
    <t>KF4DA</t>
  </si>
  <si>
    <t>N8F8Q</t>
  </si>
  <si>
    <t>HF00351</t>
  </si>
  <si>
    <t>MG4DA</t>
  </si>
  <si>
    <t>N8WJ4</t>
  </si>
  <si>
    <t>N8WJ4-1</t>
  </si>
  <si>
    <t>HF00352</t>
  </si>
  <si>
    <t>MG4DB</t>
  </si>
  <si>
    <t>HF00353</t>
  </si>
  <si>
    <t>MG4DC</t>
  </si>
  <si>
    <t>N8WNF</t>
  </si>
  <si>
    <t>HF00354</t>
  </si>
  <si>
    <t>MG4DD</t>
  </si>
  <si>
    <t>N8WNF-1</t>
  </si>
  <si>
    <t>HF00355</t>
  </si>
  <si>
    <t>MG4DE</t>
  </si>
  <si>
    <t>N8WSL</t>
  </si>
  <si>
    <t>HF00356</t>
  </si>
  <si>
    <t>MG4DF</t>
  </si>
  <si>
    <t>N8WSL-1</t>
  </si>
  <si>
    <t>HF00357</t>
  </si>
  <si>
    <t>MG4DG</t>
  </si>
  <si>
    <t>N8WSJ</t>
  </si>
  <si>
    <t>HF00358</t>
  </si>
  <si>
    <t>MG4DH</t>
  </si>
  <si>
    <t>N8WSJ-1</t>
  </si>
  <si>
    <t>HF00359</t>
  </si>
  <si>
    <t>VL4DA</t>
  </si>
  <si>
    <t>N90P5</t>
  </si>
  <si>
    <t>1,2,4-8,10,11,13</t>
  </si>
  <si>
    <t>HF00360</t>
  </si>
  <si>
    <t>VL4DB</t>
  </si>
  <si>
    <t>14-17,19-22,24,25</t>
  </si>
  <si>
    <t>N90P5-1</t>
  </si>
  <si>
    <t>HF00361</t>
  </si>
  <si>
    <t>VL4DC</t>
  </si>
  <si>
    <t>N90P5.06</t>
  </si>
  <si>
    <t>3,9,12,18,23</t>
  </si>
  <si>
    <t>HF00362</t>
  </si>
  <si>
    <t>A4DA</t>
  </si>
  <si>
    <t>N8WSQ.09</t>
  </si>
  <si>
    <t>3#~7#</t>
  </si>
  <si>
    <t>HF00363</t>
  </si>
  <si>
    <t>AQK4DN</t>
  </si>
  <si>
    <t>N92TS+SJ051300</t>
  </si>
  <si>
    <t>SJ051300;N92TS</t>
  </si>
  <si>
    <t>HF00364</t>
  </si>
  <si>
    <t>AQK4DO</t>
  </si>
  <si>
    <t>N92TS+SJ052100</t>
  </si>
  <si>
    <t>SJ052100;N92TS</t>
  </si>
  <si>
    <t>HF00365</t>
  </si>
  <si>
    <t>YB4DK</t>
  </si>
  <si>
    <t>N92TP+SJ057400</t>
  </si>
  <si>
    <t>12#~20#+1#~17#</t>
  </si>
  <si>
    <t>SJ057400;N92TP</t>
  </si>
  <si>
    <t>HF00366</t>
  </si>
  <si>
    <t>YB4DL</t>
  </si>
  <si>
    <t>N92TP+SJ058600</t>
  </si>
  <si>
    <t>SJ058600;N92TP</t>
  </si>
  <si>
    <t>HF00367</t>
  </si>
  <si>
    <t>YB4DM</t>
  </si>
  <si>
    <t>N92Y8+SJ058600</t>
  </si>
  <si>
    <t>1#~8#+10#~24#</t>
  </si>
  <si>
    <t>SJ058600;N92Y8</t>
  </si>
  <si>
    <t>HF00368</t>
  </si>
  <si>
    <t>YB4DN</t>
  </si>
  <si>
    <t>N92TS+(SJ057400+SJ058600)</t>
  </si>
  <si>
    <t>21#~25#+(18#~25#+25#)</t>
  </si>
  <si>
    <t>(SJ057400+SJ058600);N92TS</t>
  </si>
  <si>
    <t>CP054EDFAC</t>
  </si>
  <si>
    <t>HF00369</t>
  </si>
  <si>
    <t>AQT4DB</t>
  </si>
  <si>
    <t>N92J0+SJ058000</t>
  </si>
  <si>
    <t>SJ058000;N92J0</t>
  </si>
  <si>
    <t>HF00370</t>
  </si>
  <si>
    <t>AQT4DC</t>
  </si>
  <si>
    <t>N92J0+SJ059700</t>
  </si>
  <si>
    <t>6#~8#+1#~15#</t>
  </si>
  <si>
    <t>SJ059700;N92J0-1</t>
  </si>
  <si>
    <t>HF00371</t>
  </si>
  <si>
    <t>AOZ4DA</t>
  </si>
  <si>
    <t>4+6</t>
  </si>
  <si>
    <t>N93NN+SJ037100</t>
  </si>
  <si>
    <t>1#~4#+4#~9#</t>
  </si>
  <si>
    <t>N93NN;SJ037100</t>
  </si>
  <si>
    <t>HF00372</t>
  </si>
  <si>
    <t>APA4DA</t>
  </si>
  <si>
    <t>N93NN+EP285400</t>
  </si>
  <si>
    <t>5#~10#+5#~11#</t>
  </si>
  <si>
    <t>N93NN;EP285400</t>
  </si>
  <si>
    <t>SYJS106AFAC</t>
  </si>
  <si>
    <t>HF00373</t>
  </si>
  <si>
    <t>AQT4DD</t>
  </si>
  <si>
    <t>2+10</t>
  </si>
  <si>
    <t>9#~10#+16#~25#</t>
  </si>
  <si>
    <t>SJ059700;N92J0</t>
  </si>
  <si>
    <t>HF00374</t>
  </si>
  <si>
    <t>AQK4EA</t>
  </si>
  <si>
    <t>N92Y8+SJ054300</t>
  </si>
  <si>
    <t>9#~17#+1#~15#,18#~24#</t>
  </si>
  <si>
    <t>SJ054300;N92Y8</t>
  </si>
  <si>
    <t>HF00375</t>
  </si>
  <si>
    <t>AQK4EB</t>
  </si>
  <si>
    <t>N92YC+(SJ055100+SJ054300)</t>
  </si>
  <si>
    <t>1#~10#+(1#~22#,24#,25#+25#)</t>
  </si>
  <si>
    <t>(SJ055100+SJ054300);N92YC</t>
  </si>
  <si>
    <t>HF00376</t>
  </si>
  <si>
    <t>AQK4EC</t>
  </si>
  <si>
    <t>N92YC+SJ054800</t>
  </si>
  <si>
    <t>SJ054800;N92YC</t>
  </si>
  <si>
    <t>HF00377</t>
  </si>
  <si>
    <t>AQK4ED</t>
  </si>
  <si>
    <t>(N92YC+N92Y9)+SJ052800</t>
  </si>
  <si>
    <t>(21#~25#+1#~5#)+1#~25#</t>
  </si>
  <si>
    <t>SJ052800;(N92YC+N92Y9)</t>
  </si>
  <si>
    <t>HF00378</t>
  </si>
  <si>
    <t>AQK4EE</t>
  </si>
  <si>
    <t>N92Y9+SJ054600</t>
  </si>
  <si>
    <t>SJ054600;N92Y9</t>
  </si>
  <si>
    <t>HF00379</t>
  </si>
  <si>
    <t>AQY4EA</t>
  </si>
  <si>
    <t>N90KA+SJ058700</t>
  </si>
  <si>
    <t>1#~9#+2#~7#,9#~12#</t>
  </si>
  <si>
    <t>N90KA;SJ058700</t>
  </si>
  <si>
    <t>HF00380</t>
  </si>
  <si>
    <t>ARC4ED</t>
  </si>
  <si>
    <t>N92Y8+SJ058700</t>
  </si>
  <si>
    <t>18#~24#+13#~25#</t>
  </si>
  <si>
    <t>SJ058700;N92Y8</t>
  </si>
  <si>
    <t>HF00381</t>
  </si>
  <si>
    <t>AQX4EA</t>
  </si>
  <si>
    <t>N9136+SJ060000</t>
  </si>
  <si>
    <t>6#~11#+1#~23#</t>
  </si>
  <si>
    <t>SJ060000;N9136</t>
  </si>
  <si>
    <t>HF00382</t>
  </si>
  <si>
    <t>UV4EA</t>
  </si>
  <si>
    <t>N8H6T.07</t>
  </si>
  <si>
    <t>HF00383</t>
  </si>
  <si>
    <t>HT4EA</t>
  </si>
  <si>
    <t>N93JW-1</t>
  </si>
  <si>
    <t>HF00384</t>
  </si>
  <si>
    <t>HT4EB</t>
  </si>
  <si>
    <t>N93K0</t>
  </si>
  <si>
    <t>HF00385</t>
  </si>
  <si>
    <t>TV4EA</t>
  </si>
  <si>
    <t>N93K0.02</t>
  </si>
  <si>
    <t>HF00386</t>
  </si>
  <si>
    <t>AQK4EF</t>
  </si>
  <si>
    <t>N92Y9+SJ054400</t>
  </si>
  <si>
    <t>SJ054400;N92Y9</t>
  </si>
  <si>
    <t>HF00387</t>
  </si>
  <si>
    <t>AQK4EG</t>
  </si>
  <si>
    <t>N92YG+SJ053200</t>
  </si>
  <si>
    <t>SJ053200;N92YG</t>
  </si>
  <si>
    <t>HF00388</t>
  </si>
  <si>
    <t>AQK4EH</t>
  </si>
  <si>
    <t>N92YG+SJ052600</t>
  </si>
  <si>
    <t>SJ052600;N92YG</t>
  </si>
  <si>
    <t>HF00389</t>
  </si>
  <si>
    <t>TW4EA</t>
  </si>
  <si>
    <t>N941T-1</t>
  </si>
  <si>
    <t>HF00390</t>
  </si>
  <si>
    <t>TW4EB</t>
  </si>
  <si>
    <t>N941Y</t>
  </si>
  <si>
    <t>HF00391</t>
  </si>
  <si>
    <t>TW4EC</t>
  </si>
  <si>
    <t>N941Y-1</t>
  </si>
  <si>
    <t>HF00392</t>
  </si>
  <si>
    <t>TW4ED</t>
  </si>
  <si>
    <t>N9366.02</t>
  </si>
  <si>
    <t>HF00393</t>
  </si>
  <si>
    <t>TW4EE</t>
  </si>
  <si>
    <t>N941W</t>
  </si>
  <si>
    <t>HF00394</t>
  </si>
  <si>
    <t>TW4EF</t>
  </si>
  <si>
    <t>N941W-1</t>
  </si>
  <si>
    <t>HF00395</t>
  </si>
  <si>
    <t>AFB4EA</t>
  </si>
  <si>
    <t>N8AH8</t>
  </si>
  <si>
    <t>SYJS580AFAC</t>
  </si>
  <si>
    <t>HF00396</t>
  </si>
  <si>
    <t>AFB4EB</t>
  </si>
  <si>
    <t>N8AH8-1</t>
  </si>
  <si>
    <t>HF00397</t>
  </si>
  <si>
    <t>AGB4EA</t>
  </si>
  <si>
    <t>N92AT-1</t>
  </si>
  <si>
    <t>HF00398</t>
  </si>
  <si>
    <t>AGB4EB</t>
  </si>
  <si>
    <t>N92AT-2</t>
  </si>
  <si>
    <t>HF00399</t>
  </si>
  <si>
    <t>AGB4EC</t>
  </si>
  <si>
    <t>N92AS.01</t>
  </si>
  <si>
    <t>HF00400</t>
  </si>
  <si>
    <t>GZ4EA</t>
  </si>
  <si>
    <t>N8J3P.05</t>
  </si>
  <si>
    <t>5#~13#</t>
  </si>
  <si>
    <t>HF00401</t>
  </si>
  <si>
    <t>PR4EA</t>
  </si>
  <si>
    <t>3#~16#</t>
  </si>
  <si>
    <t>N7YJ5-1</t>
  </si>
  <si>
    <t>HF00402</t>
  </si>
  <si>
    <t>TC4EA</t>
  </si>
  <si>
    <t>N92J1-1</t>
  </si>
  <si>
    <t>HF00403</t>
  </si>
  <si>
    <t>MH4EA</t>
  </si>
  <si>
    <t>N8M21.02</t>
  </si>
  <si>
    <t>11#~18#</t>
  </si>
  <si>
    <t>HF00404</t>
  </si>
  <si>
    <t>NA4EA</t>
  </si>
  <si>
    <t>N8WN8</t>
  </si>
  <si>
    <t>19#~23#</t>
  </si>
  <si>
    <t>HF00405</t>
  </si>
  <si>
    <t>NM4EA</t>
  </si>
  <si>
    <t>N8ALK.03</t>
  </si>
  <si>
    <t>HF00406</t>
  </si>
  <si>
    <t>UB4EA</t>
  </si>
  <si>
    <t>N8CWA.01-2</t>
  </si>
  <si>
    <t>HF00407</t>
  </si>
  <si>
    <t>WE4EA</t>
  </si>
  <si>
    <t>N91H3</t>
  </si>
  <si>
    <t>HF00408</t>
  </si>
  <si>
    <t>WE4EB</t>
  </si>
  <si>
    <t>N91H3-1</t>
  </si>
  <si>
    <t>HF00409</t>
  </si>
  <si>
    <t>WE4EC</t>
  </si>
  <si>
    <t>N8RJW.08</t>
  </si>
  <si>
    <t>3#~6#</t>
  </si>
  <si>
    <t>HF00410</t>
  </si>
  <si>
    <t>EF4EA</t>
  </si>
  <si>
    <t>9#~21#</t>
  </si>
  <si>
    <t>N8H6C.02-1</t>
  </si>
  <si>
    <t>B28E0</t>
  </si>
  <si>
    <t>HF00411</t>
  </si>
  <si>
    <t>EF4EB</t>
  </si>
  <si>
    <t>N91H3.02</t>
  </si>
  <si>
    <t>HF00412</t>
  </si>
  <si>
    <t>UJ4EA</t>
  </si>
  <si>
    <t>N90P2</t>
  </si>
  <si>
    <t>HF00413</t>
  </si>
  <si>
    <t>UJ4EB</t>
  </si>
  <si>
    <t>HF00414</t>
  </si>
  <si>
    <t>HT4EC</t>
  </si>
  <si>
    <t>N93JY</t>
  </si>
  <si>
    <t>HF00415</t>
  </si>
  <si>
    <t>HT4ED</t>
  </si>
  <si>
    <t>N93JY-1</t>
  </si>
  <si>
    <t>HF00416</t>
  </si>
  <si>
    <t>JW4EA</t>
  </si>
  <si>
    <t>N8WJ8.04</t>
  </si>
  <si>
    <t>HF00417</t>
  </si>
  <si>
    <t>TV4EB</t>
  </si>
  <si>
    <t>N92YN-2</t>
  </si>
  <si>
    <t>HF00418</t>
  </si>
  <si>
    <t>NB4EA</t>
  </si>
  <si>
    <t>N8Y21-1</t>
  </si>
  <si>
    <t>HF00419</t>
  </si>
  <si>
    <t>NB4EB</t>
  </si>
  <si>
    <t>N91H0</t>
  </si>
  <si>
    <t>HF00420</t>
  </si>
  <si>
    <t>NB4EC</t>
  </si>
  <si>
    <t>N91H0-1</t>
  </si>
  <si>
    <t>HF00421</t>
  </si>
  <si>
    <t>NB4ED</t>
  </si>
  <si>
    <t>N93PG</t>
  </si>
  <si>
    <t>HF00422</t>
  </si>
  <si>
    <t>NB4EE</t>
  </si>
  <si>
    <t>N93PG-1</t>
  </si>
  <si>
    <t>HF00423</t>
  </si>
  <si>
    <t>NB4EF</t>
  </si>
  <si>
    <t>N93PF</t>
  </si>
  <si>
    <t>HF00424</t>
  </si>
  <si>
    <t>NB4EG</t>
  </si>
  <si>
    <t>N93PF-1</t>
  </si>
  <si>
    <t>HF00425</t>
  </si>
  <si>
    <t>AIV4EA</t>
  </si>
  <si>
    <t>N88ML.03</t>
  </si>
  <si>
    <t>HF00426</t>
  </si>
  <si>
    <t>AHH4EA</t>
  </si>
  <si>
    <t>N8HS1-1</t>
  </si>
  <si>
    <t>HF00427</t>
  </si>
  <si>
    <t>XS4EA</t>
  </si>
  <si>
    <t>N92YM</t>
  </si>
  <si>
    <t>SY7066AQMC</t>
  </si>
  <si>
    <t>HF00428</t>
  </si>
  <si>
    <t>Aa4EA</t>
  </si>
  <si>
    <t>N90NA</t>
  </si>
  <si>
    <t>N90NA-1</t>
  </si>
  <si>
    <t>HF00429</t>
  </si>
  <si>
    <t>Aa4EB</t>
  </si>
  <si>
    <t>HF00430</t>
  </si>
  <si>
    <t>JD4EA</t>
  </si>
  <si>
    <t>N952N</t>
  </si>
  <si>
    <t>HF00431</t>
  </si>
  <si>
    <t>JD4EB</t>
  </si>
  <si>
    <t>N952N-1</t>
  </si>
  <si>
    <t>HF00432</t>
  </si>
  <si>
    <t>TR3EA</t>
  </si>
  <si>
    <t>N8TJP.16</t>
  </si>
  <si>
    <t>17#,18#</t>
  </si>
  <si>
    <t>HF00433</t>
  </si>
  <si>
    <t>TB4EA</t>
  </si>
  <si>
    <t>N923N.02</t>
  </si>
  <si>
    <t>HF00434</t>
  </si>
  <si>
    <t>AKW4EA</t>
  </si>
  <si>
    <t>N92AQ+SJ061700</t>
  </si>
  <si>
    <t>16#~25#+1#,2#,4#~12#</t>
  </si>
  <si>
    <t>N92AQ;SJ061700</t>
  </si>
  <si>
    <t>SY58103AFAC</t>
  </si>
  <si>
    <t>E02GA0+A2X01A</t>
  </si>
  <si>
    <t>HF00435</t>
  </si>
  <si>
    <t>ANM4EA</t>
  </si>
  <si>
    <t>N923Q.01+SJ041800</t>
  </si>
  <si>
    <t>4#~6#+1#~8#</t>
  </si>
  <si>
    <t>N923Q.01;SJ041800</t>
  </si>
  <si>
    <t>HF00436</t>
  </si>
  <si>
    <t>YB4EA</t>
  </si>
  <si>
    <t>N92YJ+SJ060600</t>
  </si>
  <si>
    <t>1#~9#+1#~5#,8#~13#,15#~20#</t>
  </si>
  <si>
    <t>SJ060600;N92YJ</t>
  </si>
  <si>
    <t>HF00437</t>
  </si>
  <si>
    <t>ARC4EE</t>
  </si>
  <si>
    <t>N92YJ+SJ060400</t>
  </si>
  <si>
    <t>10#~19#+1#~19#</t>
  </si>
  <si>
    <t>SJ060400;N92YJ</t>
  </si>
  <si>
    <t>HF00438</t>
  </si>
  <si>
    <t>AQK4EI</t>
  </si>
  <si>
    <t>N9373+SJ052700</t>
  </si>
  <si>
    <t>SJ052700;N9373</t>
  </si>
  <si>
    <t>HF00439</t>
  </si>
  <si>
    <t>AQK4EJ</t>
  </si>
  <si>
    <t>N9373+SJ055200</t>
  </si>
  <si>
    <t>SJ055200;N9373</t>
  </si>
  <si>
    <t>HF00440</t>
  </si>
  <si>
    <t>AQK4EK</t>
  </si>
  <si>
    <t>N9373+SJ055400</t>
  </si>
  <si>
    <t>21#~25#+2#~12#,14#</t>
  </si>
  <si>
    <t>SJ055400;N9373</t>
  </si>
  <si>
    <t>HF00441</t>
  </si>
  <si>
    <t>AQK4EL</t>
  </si>
  <si>
    <t>N92YG+(SJ055400+SJ049400)</t>
  </si>
  <si>
    <t>21#~25#+(15#~25#+25#)</t>
  </si>
  <si>
    <t>(SJ055400+SJ049400);N92YG</t>
  </si>
  <si>
    <t>HF00442</t>
  </si>
  <si>
    <t>AQG4EA</t>
  </si>
  <si>
    <t>N92J0+(SJ060100+SJ047700)</t>
  </si>
  <si>
    <t>11#~13#+(1#~10#+25#)</t>
  </si>
  <si>
    <t>(SJ060100+SJ047700);N92J0</t>
  </si>
  <si>
    <t>HF00443</t>
  </si>
  <si>
    <t>AQU4EA</t>
  </si>
  <si>
    <t>N9136+(SJ059800+SJ059801)</t>
  </si>
  <si>
    <t>12#~16#+(1#~12#,14#~25#+13#)</t>
  </si>
  <si>
    <t>(SJ059800+SJ059801);N9136</t>
  </si>
  <si>
    <t>HF00444</t>
  </si>
  <si>
    <t>AQT4ED</t>
  </si>
  <si>
    <t>N92J0+SJ059100</t>
  </si>
  <si>
    <t>14#+1#~5#</t>
  </si>
  <si>
    <t>SJ059100;N92J0</t>
  </si>
  <si>
    <t>HF00445</t>
  </si>
  <si>
    <t>AQK4EM</t>
  </si>
  <si>
    <t>N9370+SJ054500</t>
  </si>
  <si>
    <t>SJ054500;N9370</t>
  </si>
  <si>
    <t>HF00447</t>
  </si>
  <si>
    <t>AQK4EO</t>
  </si>
  <si>
    <t>N92YF+SJ055300</t>
  </si>
  <si>
    <t>SJ055300;N92YF</t>
  </si>
  <si>
    <t>HF00448</t>
  </si>
  <si>
    <t>JD4EC</t>
  </si>
  <si>
    <t>N952S</t>
  </si>
  <si>
    <t>HF00449</t>
  </si>
  <si>
    <t>JD4ED</t>
  </si>
  <si>
    <t>N952S-1</t>
  </si>
  <si>
    <t>HF00450</t>
  </si>
  <si>
    <t>WC4EC</t>
  </si>
  <si>
    <t>N94CM</t>
  </si>
  <si>
    <t>HF00451</t>
  </si>
  <si>
    <t>WC4ED</t>
  </si>
  <si>
    <t>N94CM-1</t>
  </si>
  <si>
    <t>A62B1</t>
  </si>
  <si>
    <t>HF00452</t>
  </si>
  <si>
    <t>QE4EC</t>
  </si>
  <si>
    <t>N94CM.01</t>
  </si>
  <si>
    <t>HF00453</t>
  </si>
  <si>
    <t>EF4EC</t>
  </si>
  <si>
    <t>N9518</t>
  </si>
  <si>
    <t>HF00454</t>
  </si>
  <si>
    <t>EF4ED</t>
  </si>
  <si>
    <t>N9518-1</t>
  </si>
  <si>
    <t>HF00455</t>
  </si>
  <si>
    <t>AML4EA</t>
  </si>
  <si>
    <t>N92J2+SJ057000</t>
  </si>
  <si>
    <t>14#~25#+1#~24#</t>
  </si>
  <si>
    <t>N92J2;SJ057000</t>
  </si>
  <si>
    <t>HF00456</t>
  </si>
  <si>
    <t>AML4EB</t>
  </si>
  <si>
    <t>N93NM+SJ057200</t>
  </si>
  <si>
    <t>1#~11#+2#,4#~16#,18#~25#</t>
  </si>
  <si>
    <t>N93NM;SJ057200</t>
  </si>
  <si>
    <t>HF00457</t>
  </si>
  <si>
    <t>AQK4EP</t>
  </si>
  <si>
    <t>N92YF+SJ054700</t>
  </si>
  <si>
    <t>SJ054700;N92YF</t>
  </si>
  <si>
    <t>HF00458</t>
  </si>
  <si>
    <t>AQK4EQ</t>
  </si>
  <si>
    <t>N92YF+SJ055600</t>
  </si>
  <si>
    <t>21#~25#+1#~12#</t>
  </si>
  <si>
    <t>SJ055600;N92YF</t>
  </si>
  <si>
    <t>HF00459</t>
  </si>
  <si>
    <t>AQK4ER</t>
  </si>
  <si>
    <t>N9370+SJ055600</t>
  </si>
  <si>
    <t>21#~25#+13#~19#,21#~25#</t>
  </si>
  <si>
    <t>SJ055600;N9370</t>
  </si>
  <si>
    <t>HF00460</t>
  </si>
  <si>
    <t>AQK4ES</t>
  </si>
  <si>
    <t>N936Y+SJ055800</t>
  </si>
  <si>
    <t>1#~5#+1#~11#,13#</t>
  </si>
  <si>
    <t>SJ055800;N936Y</t>
  </si>
  <si>
    <t>HF00461</t>
  </si>
  <si>
    <t>AQK4ET</t>
  </si>
  <si>
    <t>6+15</t>
  </si>
  <si>
    <t>N92YJ+(SJ055800+SJ052003)</t>
  </si>
  <si>
    <t>20#~25#+(14#~25#+1#~3#)</t>
  </si>
  <si>
    <t>(SJ055800+SJ052003);N92YJ</t>
  </si>
  <si>
    <t>HF00462</t>
  </si>
  <si>
    <t>KW4EA</t>
  </si>
  <si>
    <t>N9531</t>
  </si>
  <si>
    <t>HF00463</t>
  </si>
  <si>
    <t>KW4EB</t>
  </si>
  <si>
    <t>N9531-1</t>
  </si>
  <si>
    <t>HF00464</t>
  </si>
  <si>
    <t>KW4EC</t>
  </si>
  <si>
    <t>N952W</t>
  </si>
  <si>
    <t>HF00465</t>
  </si>
  <si>
    <t>KW4ED</t>
  </si>
  <si>
    <t>N952W-1</t>
  </si>
  <si>
    <t>HF00466</t>
  </si>
  <si>
    <t>KW4EE</t>
  </si>
  <si>
    <t>N952T</t>
  </si>
  <si>
    <t>HF00467</t>
  </si>
  <si>
    <t>KW4EF</t>
  </si>
  <si>
    <t>N952T-1</t>
  </si>
  <si>
    <t>HF00468</t>
  </si>
  <si>
    <t>WC4EE</t>
  </si>
  <si>
    <t>N94CL</t>
  </si>
  <si>
    <t>HF00469</t>
  </si>
  <si>
    <t>WC4EF</t>
  </si>
  <si>
    <t>N94CL-1</t>
  </si>
  <si>
    <t>HF00470</t>
  </si>
  <si>
    <t>JD4EE</t>
  </si>
  <si>
    <t>N952Q</t>
  </si>
  <si>
    <t>HF00471</t>
  </si>
  <si>
    <t>JD4EF</t>
  </si>
  <si>
    <t>N952Q-1</t>
  </si>
  <si>
    <t>HF00472</t>
  </si>
  <si>
    <t>TW4EG</t>
  </si>
  <si>
    <t>N9519.02</t>
  </si>
  <si>
    <t>4#~13#</t>
  </si>
  <si>
    <t>SY58293TFAC</t>
  </si>
  <si>
    <t>E02TK0+A3X02A</t>
  </si>
  <si>
    <t>HF00473</t>
  </si>
  <si>
    <t>ATC4EA</t>
  </si>
  <si>
    <t>N93NT+SJ035400</t>
  </si>
  <si>
    <t>24#+13#~14#</t>
  </si>
  <si>
    <t>N93NT;SJ035400</t>
  </si>
  <si>
    <t>HF00474</t>
  </si>
  <si>
    <t>JCETN8M21;SJ036900</t>
  </si>
  <si>
    <t>SY7311AADC</t>
  </si>
  <si>
    <t>B21A0</t>
  </si>
  <si>
    <t>HF00475</t>
  </si>
  <si>
    <t>Ah4EA</t>
  </si>
  <si>
    <t>N935W.02</t>
  </si>
  <si>
    <t>SY8724QIC</t>
  </si>
  <si>
    <t>B18Q1+B18S0</t>
  </si>
  <si>
    <t>HF00476</t>
  </si>
  <si>
    <t>QFN4*4-16L</t>
  </si>
  <si>
    <t>AKT4EA</t>
  </si>
  <si>
    <t>3+3</t>
  </si>
  <si>
    <t>N9519+N9519.01</t>
  </si>
  <si>
    <t>23#~25#+1#~3#</t>
  </si>
  <si>
    <t>N9519;N9519.01</t>
  </si>
  <si>
    <t>HF00477</t>
  </si>
  <si>
    <t>JD4EG</t>
  </si>
  <si>
    <t>N952R</t>
  </si>
  <si>
    <t>HF00478</t>
  </si>
  <si>
    <t>JD4EH</t>
  </si>
  <si>
    <t>10#~19#</t>
  </si>
  <si>
    <t>N952R-1</t>
  </si>
  <si>
    <t>HF00479</t>
  </si>
  <si>
    <t>HU4EA</t>
  </si>
  <si>
    <t>N952R-2</t>
  </si>
  <si>
    <t>HF00480</t>
  </si>
  <si>
    <t>AQK4EU</t>
  </si>
  <si>
    <t>N936Y+SJ056000</t>
  </si>
  <si>
    <t>SJ056000;N936Y</t>
  </si>
  <si>
    <t>HF00481</t>
  </si>
  <si>
    <t>AQK4EV</t>
  </si>
  <si>
    <t>N936Y+SJ055700</t>
  </si>
  <si>
    <t>SJ055700;N936Y</t>
  </si>
  <si>
    <t>HF00482</t>
  </si>
  <si>
    <t>AQK4EW</t>
  </si>
  <si>
    <t>N92Y7+SJ051400</t>
  </si>
  <si>
    <t>1#~5#+1#~12#</t>
  </si>
  <si>
    <t>SJ051400;N92Y7</t>
  </si>
  <si>
    <t>SY6882ADFC</t>
  </si>
  <si>
    <t>C08A0</t>
  </si>
  <si>
    <t>HF00483</t>
  </si>
  <si>
    <t>HZ4FA</t>
  </si>
  <si>
    <t>N7QCT.12</t>
  </si>
  <si>
    <t>3#~5#</t>
  </si>
  <si>
    <t>HF00484</t>
  </si>
  <si>
    <t>KT4FA</t>
  </si>
  <si>
    <t>N90H5-1</t>
  </si>
  <si>
    <t>HF00485</t>
  </si>
  <si>
    <t>Aa4FA</t>
  </si>
  <si>
    <t>N90P4</t>
  </si>
  <si>
    <t>HF00486</t>
  </si>
  <si>
    <t>Aa4FB</t>
  </si>
  <si>
    <t>N90P4-1</t>
  </si>
  <si>
    <t>HF00487</t>
  </si>
  <si>
    <t>YB4FA</t>
  </si>
  <si>
    <t>N92Y7+SJ060500</t>
  </si>
  <si>
    <t>6#~12#+1#~13#</t>
  </si>
  <si>
    <t>SJ060500;N92Y7</t>
  </si>
  <si>
    <t>HF00488</t>
  </si>
  <si>
    <t>YB4FB</t>
  </si>
  <si>
    <t>13#~17#+15#,17#~24#</t>
  </si>
  <si>
    <t>SJ060500;N92Y7-1</t>
  </si>
  <si>
    <t>HF00489</t>
  </si>
  <si>
    <t>AQK4FA</t>
  </si>
  <si>
    <t>N92YA+SJ056100</t>
  </si>
  <si>
    <t>SJ056100;N92YA</t>
  </si>
  <si>
    <t>HF00490</t>
  </si>
  <si>
    <t>AQK4FB</t>
  </si>
  <si>
    <t>10+24</t>
  </si>
  <si>
    <t>N92YA+SJ054900</t>
  </si>
  <si>
    <t>11#~20#+1#~13#,15#~25#</t>
  </si>
  <si>
    <t>SJ054900;N92YA</t>
  </si>
  <si>
    <t>HF00491</t>
  </si>
  <si>
    <t>AQK4FC</t>
  </si>
  <si>
    <t>N92YH+SJ055500</t>
  </si>
  <si>
    <t>1#~10#+1#~10#,12#~25#</t>
  </si>
  <si>
    <t>SJ055500;N92YH</t>
  </si>
  <si>
    <t>HF00492</t>
  </si>
  <si>
    <t>AKW4FA</t>
  </si>
  <si>
    <t>N93NW+SJ061700</t>
  </si>
  <si>
    <t>1#~12#+13#~25#</t>
  </si>
  <si>
    <t>N93NW;SJ061700</t>
  </si>
  <si>
    <r>
      <rPr>
        <sz val="10"/>
        <rFont val="Arial"/>
        <family val="2"/>
        <charset val="134"/>
      </rPr>
      <t>MOS Mapping</t>
    </r>
    <r>
      <rPr>
        <sz val="10"/>
        <rFont val="宋体"/>
        <family val="3"/>
        <charset val="134"/>
      </rPr>
      <t>试验</t>
    </r>
  </si>
  <si>
    <t>HF00494</t>
  </si>
  <si>
    <t>AQK4FE</t>
  </si>
  <si>
    <t>N92YA+(SJ061000+SJ049604)</t>
  </si>
  <si>
    <t>21#~25#+(15#~25#+8#)</t>
  </si>
  <si>
    <t>(SJ061000+SJ049604);N92YA</t>
  </si>
  <si>
    <t>HF00495</t>
  </si>
  <si>
    <t>AQK4FF</t>
  </si>
  <si>
    <t>N92YH+SJ061001</t>
  </si>
  <si>
    <t>11#~15#+1#~12#</t>
  </si>
  <si>
    <t>SJ061001;N92YH</t>
  </si>
  <si>
    <t>HF00496</t>
  </si>
  <si>
    <t>AQK4FG</t>
  </si>
  <si>
    <t>(N92YH+N91GT)+SJ054200</t>
  </si>
  <si>
    <r>
      <rPr>
        <sz val="10"/>
        <rFont val="Arial"/>
        <family val="2"/>
        <charset val="134"/>
      </rPr>
      <t>(16#~25#+12#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)+1#~25#</t>
    </r>
  </si>
  <si>
    <t>SJ054200;(N92YH+N91GT)</t>
  </si>
  <si>
    <t>SYW231ABC</t>
  </si>
  <si>
    <t>Relabel</t>
  </si>
  <si>
    <t>HF00497</t>
  </si>
  <si>
    <t>HF00498</t>
  </si>
  <si>
    <t>JD4FA</t>
  </si>
  <si>
    <t>N95YS</t>
  </si>
  <si>
    <t>HF00499</t>
  </si>
  <si>
    <t>JD4FB</t>
  </si>
  <si>
    <t>N95YS-1</t>
  </si>
  <si>
    <t xml:space="preserve">       </t>
  </si>
  <si>
    <t>HF00500</t>
  </si>
  <si>
    <t>JR4FA</t>
  </si>
  <si>
    <t>N95Y6</t>
  </si>
  <si>
    <t>HF00501</t>
  </si>
  <si>
    <t>JR4FB</t>
  </si>
  <si>
    <t>N95Y6-1</t>
  </si>
  <si>
    <t>HF00502</t>
  </si>
  <si>
    <t>AQK4FH</t>
  </si>
  <si>
    <t>N9372+SJ060700</t>
  </si>
  <si>
    <t>SJ060700;N9372</t>
  </si>
  <si>
    <t>HF00503</t>
  </si>
  <si>
    <t>AQK4FI</t>
  </si>
  <si>
    <t>N9372+(SJ051600+SJ061000)</t>
  </si>
  <si>
    <t>11#~19#+(1,2,4-13,15,18-21,23-25+13#~14#)</t>
  </si>
  <si>
    <t>(SJ051600+SJ061000);N9372</t>
  </si>
  <si>
    <t>HF00504</t>
  </si>
  <si>
    <t>YB4FC</t>
  </si>
  <si>
    <t>N92Y7+SJ060300</t>
  </si>
  <si>
    <t>SJ060300;N92Y7</t>
  </si>
  <si>
    <t>HF00505</t>
  </si>
  <si>
    <t>YB4FD</t>
  </si>
  <si>
    <t>N9372+(SJ060300+SJ060500)</t>
  </si>
  <si>
    <t>20#~25#+(16#~25#+25#)</t>
  </si>
  <si>
    <t>(SJ060300+SJ060500);N9372</t>
  </si>
  <si>
    <t>HF00506</t>
  </si>
  <si>
    <t>ARC4FA</t>
  </si>
  <si>
    <t>N9371+(SJ060402+SJ060601)</t>
  </si>
  <si>
    <t>1#~7#+(20#~25#+6#,7#,21#~25#)</t>
  </si>
  <si>
    <t>(SJ060402+SJ060601);N9371</t>
  </si>
  <si>
    <t>SY8680QPC</t>
  </si>
  <si>
    <t>I24A2</t>
  </si>
  <si>
    <t>HF00507</t>
  </si>
  <si>
    <t>QFN5x5-36</t>
  </si>
  <si>
    <t>AOM4FA</t>
  </si>
  <si>
    <t>N953H</t>
  </si>
  <si>
    <t>SYPH83AABC</t>
  </si>
  <si>
    <t>HF00508</t>
  </si>
  <si>
    <t>XO4FA</t>
  </si>
  <si>
    <t>N94CK</t>
  </si>
  <si>
    <t>HF00509</t>
  </si>
  <si>
    <t>JD4FC</t>
  </si>
  <si>
    <t>N95YQ</t>
  </si>
  <si>
    <t>HF00510</t>
  </si>
  <si>
    <t>JD4FD</t>
  </si>
  <si>
    <t>N95YQ-1</t>
  </si>
  <si>
    <t>HF00511</t>
  </si>
  <si>
    <t>JD4FE</t>
  </si>
  <si>
    <t>N95YR</t>
  </si>
  <si>
    <t>HF00512</t>
  </si>
  <si>
    <t>JD4FF</t>
  </si>
  <si>
    <t>N95YR-1</t>
  </si>
  <si>
    <t>HF00513</t>
  </si>
  <si>
    <t>JD4FG</t>
  </si>
  <si>
    <t>N91M5.02</t>
  </si>
  <si>
    <t>HF00514</t>
  </si>
  <si>
    <t>HU4FA</t>
  </si>
  <si>
    <t>N95YP</t>
  </si>
  <si>
    <t>HF00515</t>
  </si>
  <si>
    <t>HU4FB</t>
  </si>
  <si>
    <t>N95YP-1</t>
  </si>
  <si>
    <t>HF00516</t>
  </si>
  <si>
    <t>NY4FA</t>
  </si>
  <si>
    <t>N95Y6.01</t>
  </si>
  <si>
    <t>HF00517</t>
  </si>
  <si>
    <t>KT4FB</t>
  </si>
  <si>
    <t>N8YR8.01</t>
  </si>
  <si>
    <t>HF00518</t>
  </si>
  <si>
    <t>KT4FC</t>
  </si>
  <si>
    <t>N8NY7</t>
  </si>
  <si>
    <t>HF00519</t>
  </si>
  <si>
    <t>Aa4FC</t>
  </si>
  <si>
    <t>N90P4-2</t>
  </si>
  <si>
    <t>HF00520</t>
  </si>
  <si>
    <t>EF4FA</t>
  </si>
  <si>
    <t>N962T.01</t>
  </si>
  <si>
    <t>HF00521</t>
  </si>
  <si>
    <t>EF4FB</t>
  </si>
  <si>
    <t>N962T.01-1</t>
  </si>
  <si>
    <t>HF00522</t>
  </si>
  <si>
    <t>RY4FA</t>
  </si>
  <si>
    <t>N8HC1-2</t>
  </si>
  <si>
    <t>HF00523</t>
  </si>
  <si>
    <t>RY4FB</t>
  </si>
  <si>
    <t>N8HC3</t>
  </si>
  <si>
    <t>HF00524</t>
  </si>
  <si>
    <t>RY4FC</t>
  </si>
  <si>
    <t>N8HC3-1</t>
  </si>
  <si>
    <t>HF00525</t>
  </si>
  <si>
    <t>RY4FD</t>
  </si>
  <si>
    <t>N8HGP.02</t>
  </si>
  <si>
    <t>HF00526</t>
  </si>
  <si>
    <t>AFB4FA</t>
  </si>
  <si>
    <t>N8AH8-2</t>
  </si>
  <si>
    <t>HF00527</t>
  </si>
  <si>
    <t>AFB4FB</t>
  </si>
  <si>
    <t>N8AHG</t>
  </si>
  <si>
    <t>HF00528</t>
  </si>
  <si>
    <t>AFB4FC</t>
  </si>
  <si>
    <t>N8AHG-1</t>
  </si>
  <si>
    <t>HF00529</t>
  </si>
  <si>
    <t>AFB4FD</t>
  </si>
  <si>
    <t>N8A90</t>
  </si>
  <si>
    <t>HF00530</t>
  </si>
  <si>
    <t>AFB4FE</t>
  </si>
  <si>
    <t>N8A90-1</t>
  </si>
  <si>
    <t>HF00531</t>
  </si>
  <si>
    <t>AFB4FF</t>
  </si>
  <si>
    <t>N8CAT</t>
  </si>
  <si>
    <t>HF00532</t>
  </si>
  <si>
    <t>AFB4FG</t>
  </si>
  <si>
    <t>N8CAT-1</t>
  </si>
  <si>
    <t>HF00533</t>
  </si>
  <si>
    <t>AFB4FH</t>
  </si>
  <si>
    <t>N8CC1</t>
  </si>
  <si>
    <t>HF00534</t>
  </si>
  <si>
    <t>AFB4FI</t>
  </si>
  <si>
    <t>N8CC1-1</t>
  </si>
  <si>
    <t>HF00535</t>
  </si>
  <si>
    <t>AGB4FA</t>
  </si>
  <si>
    <t>N93NT.03</t>
  </si>
  <si>
    <t>HF00536</t>
  </si>
  <si>
    <t>AGB4FB</t>
  </si>
  <si>
    <t>N93NT.03-1</t>
  </si>
  <si>
    <t>HF00537</t>
  </si>
  <si>
    <t>GZ4FA</t>
  </si>
  <si>
    <t>14#~19#,21#</t>
  </si>
  <si>
    <t>N8J3P.05-1</t>
  </si>
  <si>
    <t>HF00538</t>
  </si>
  <si>
    <t>GZ4FB</t>
  </si>
  <si>
    <t>N8QM9</t>
  </si>
  <si>
    <t>HF00539</t>
  </si>
  <si>
    <t>PR4FA</t>
  </si>
  <si>
    <t>N7YJ5-2</t>
  </si>
  <si>
    <t>HF00540</t>
  </si>
  <si>
    <t>MH4FA</t>
  </si>
  <si>
    <t>N8M21.02-1</t>
  </si>
  <si>
    <t>HF00541</t>
  </si>
  <si>
    <t>TC4FA</t>
  </si>
  <si>
    <t>N92J1-2</t>
  </si>
  <si>
    <t>HF00542</t>
  </si>
  <si>
    <t>TC4FB</t>
  </si>
  <si>
    <t>N93NY.02</t>
  </si>
  <si>
    <t>9#~13#</t>
  </si>
  <si>
    <t>HF00543</t>
  </si>
  <si>
    <t>TB4FA</t>
  </si>
  <si>
    <t>9#~18#</t>
  </si>
  <si>
    <t>N923N.02-1</t>
  </si>
  <si>
    <t>HF00544</t>
  </si>
  <si>
    <t>NA4FA</t>
  </si>
  <si>
    <t>N8WN8-1</t>
  </si>
  <si>
    <t>HF00545</t>
  </si>
  <si>
    <t>NA4FB</t>
  </si>
  <si>
    <t>N916Q.04</t>
  </si>
  <si>
    <t>7#~8#</t>
  </si>
  <si>
    <t>HF00546</t>
  </si>
  <si>
    <t>TR3FA</t>
  </si>
  <si>
    <t>N9539</t>
  </si>
  <si>
    <t>HF00547</t>
  </si>
  <si>
    <t>TR3FB</t>
  </si>
  <si>
    <t>N9539-1</t>
  </si>
  <si>
    <t>HF00548</t>
  </si>
  <si>
    <t>TR3FC</t>
  </si>
  <si>
    <t>N9539-2</t>
  </si>
  <si>
    <t>HF00549</t>
  </si>
  <si>
    <t>QV4FA</t>
  </si>
  <si>
    <t>N8F8Q.02-1</t>
  </si>
  <si>
    <t>HF00550</t>
  </si>
  <si>
    <t>NT4FA</t>
  </si>
  <si>
    <t>N8YM7.03</t>
  </si>
  <si>
    <t>HF00551</t>
  </si>
  <si>
    <t>NT4FB</t>
  </si>
  <si>
    <t>N91M2.01-1</t>
  </si>
  <si>
    <t>HF00552</t>
  </si>
  <si>
    <t>XO4FB</t>
  </si>
  <si>
    <t>N94CK.03</t>
  </si>
  <si>
    <t>SY5840FAC</t>
  </si>
  <si>
    <t>HF00553</t>
  </si>
  <si>
    <r>
      <rPr>
        <sz val="10"/>
        <rFont val="Arial"/>
        <family val="2"/>
        <charset val="134"/>
      </rP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</si>
  <si>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ARV4FC</t>
  </si>
  <si>
    <t>N94CK.03-1</t>
  </si>
  <si>
    <t>HF00554</t>
  </si>
  <si>
    <t>NM4FA</t>
  </si>
  <si>
    <t>9#~15#</t>
  </si>
  <si>
    <t>N8ALK.03-1</t>
  </si>
  <si>
    <t>HF00555</t>
  </si>
  <si>
    <t>UB4FA</t>
  </si>
  <si>
    <t>N8CWA.01-3</t>
  </si>
  <si>
    <t>HF00556</t>
  </si>
  <si>
    <t>WE4FA</t>
  </si>
  <si>
    <t>N962T</t>
  </si>
  <si>
    <t>HF00557</t>
  </si>
  <si>
    <t>MG4FA</t>
  </si>
  <si>
    <t>N90P3</t>
  </si>
  <si>
    <t>HF00558</t>
  </si>
  <si>
    <t>MG4FB</t>
  </si>
  <si>
    <t>N90P3-1</t>
  </si>
  <si>
    <t>HF00559</t>
  </si>
  <si>
    <t>RY4GA</t>
  </si>
  <si>
    <t>N8HGQ</t>
  </si>
  <si>
    <t>HF00560</t>
  </si>
  <si>
    <t>RY4GB</t>
  </si>
  <si>
    <t>N8HGQ-1</t>
  </si>
  <si>
    <t>HF00561</t>
  </si>
  <si>
    <t>AIV4GA</t>
  </si>
  <si>
    <t>N8ASH</t>
  </si>
  <si>
    <t>3#~15#</t>
  </si>
  <si>
    <t>SYC813FCC</t>
  </si>
  <si>
    <t>HF00562</t>
  </si>
  <si>
    <t>AIV4GB</t>
  </si>
  <si>
    <t>N8ASH-1</t>
  </si>
  <si>
    <t>HF00563</t>
  </si>
  <si>
    <t>AHH4GA</t>
  </si>
  <si>
    <t>N8HS3.01</t>
  </si>
  <si>
    <t>1#~23#</t>
  </si>
  <si>
    <t>HF00564</t>
  </si>
  <si>
    <t>AHH4GB</t>
  </si>
  <si>
    <t>N8HS4.01</t>
  </si>
  <si>
    <t>SYK594AFAC</t>
  </si>
  <si>
    <t>HF00565</t>
  </si>
  <si>
    <t>AMJ4GA</t>
  </si>
  <si>
    <t>N93NM+SJ042000</t>
  </si>
  <si>
    <t>12#~16#+1#~14#</t>
  </si>
  <si>
    <t>N93NM;SJ042000</t>
  </si>
  <si>
    <t>HF00566</t>
  </si>
  <si>
    <t>AMJ4GB</t>
  </si>
  <si>
    <t>N93NM+SJ042500</t>
  </si>
  <si>
    <t>17#~25#+1#~25#</t>
  </si>
  <si>
    <t>N93NM;SJ042500</t>
  </si>
  <si>
    <t>HF00567</t>
  </si>
  <si>
    <t>AMJ4GC</t>
  </si>
  <si>
    <t>N93NT.04+SJ042000</t>
  </si>
  <si>
    <t>20#~23#+15#~25#</t>
  </si>
  <si>
    <t>N93NT.04;SJ042000</t>
  </si>
  <si>
    <t>HF00568</t>
  </si>
  <si>
    <t>AMJ4GD</t>
  </si>
  <si>
    <t>N92AQ.03+SJ041800</t>
  </si>
  <si>
    <t>11#~15#+9#~11#,13#~21#,23#~24#</t>
  </si>
  <si>
    <t>N92AQ.03;SJ041800</t>
  </si>
  <si>
    <t>HF00569</t>
  </si>
  <si>
    <t>YB4GA</t>
  </si>
  <si>
    <t>N9371+SJ062300</t>
  </si>
  <si>
    <t>8#~16#+1#~17#</t>
  </si>
  <si>
    <t>SJ062300;N9371</t>
  </si>
  <si>
    <t>HF00570</t>
  </si>
  <si>
    <t>YB4GB</t>
  </si>
  <si>
    <t>N9371+SJ062200</t>
  </si>
  <si>
    <t>SJ062200;N9371</t>
  </si>
  <si>
    <t>HF00571</t>
  </si>
  <si>
    <t>YB4GC</t>
  </si>
  <si>
    <t>N947H+(SJ062300+SJ062200)</t>
  </si>
  <si>
    <t>1#~8#+(18#~25#+18#~24#)</t>
  </si>
  <si>
    <t>(SJ062300+SJ062200);N947H</t>
  </si>
  <si>
    <t>HF00572</t>
  </si>
  <si>
    <t>YB4GD</t>
  </si>
  <si>
    <t>N947H+SJ062000</t>
  </si>
  <si>
    <t>9#~16#+1#~4#,6#~16#</t>
  </si>
  <si>
    <t>SJ062000;N947H</t>
  </si>
  <si>
    <t>HF00573</t>
  </si>
  <si>
    <t>YB4GE</t>
  </si>
  <si>
    <t>17#~21#+17#~25#</t>
  </si>
  <si>
    <t>SJ062000;N947H-1</t>
  </si>
  <si>
    <t>HF00574</t>
  </si>
  <si>
    <t>ARC4GA</t>
  </si>
  <si>
    <t>N936W+SJ062400</t>
  </si>
  <si>
    <t>SJ062400;N936W</t>
  </si>
  <si>
    <t>HF00575</t>
  </si>
  <si>
    <t>ARC4GB</t>
  </si>
  <si>
    <t>N936W+(SJ062400+SJ062500)</t>
  </si>
  <si>
    <t>9#~16#+(16#~25#+1#~5#)</t>
  </si>
  <si>
    <t>(SJ062400+SJ062500);N936W</t>
  </si>
  <si>
    <t>HF00576</t>
  </si>
  <si>
    <t>ARC4GC</t>
  </si>
  <si>
    <t>N936W+SJ062500</t>
  </si>
  <si>
    <t>17#~19#,21#~25#+6#~20#</t>
  </si>
  <si>
    <t>SJ062500;N936W</t>
  </si>
  <si>
    <t>HF00577</t>
  </si>
  <si>
    <t>AQK4GA</t>
  </si>
  <si>
    <t>N947A+(SJ052002+SJ051601)</t>
  </si>
  <si>
    <t>1#~7#+(11#~22#,24#~25#+3#,14#,16#)</t>
  </si>
  <si>
    <t>(SJ052002+SJ051601);N947A</t>
  </si>
  <si>
    <t>HF00578</t>
  </si>
  <si>
    <t>AQK4GB</t>
  </si>
  <si>
    <t>N947A+SJ052400</t>
  </si>
  <si>
    <t>8#~15#+1#~20#</t>
  </si>
  <si>
    <t>SJ052400;N947A</t>
  </si>
  <si>
    <t>HF00580</t>
  </si>
  <si>
    <t>AQK4GD</t>
  </si>
  <si>
    <t>(N92Y8+N8SN2.07)+SJ052400</t>
  </si>
  <si>
    <t>(25#+1#)+21#~25#</t>
  </si>
  <si>
    <t>SJ052400;(N92Y8+N8SN2.07)</t>
  </si>
  <si>
    <t>HF00581</t>
  </si>
  <si>
    <t>NB4GA</t>
  </si>
  <si>
    <t>N93PG.02</t>
  </si>
  <si>
    <t>1#-4#</t>
  </si>
  <si>
    <t>HF00582</t>
  </si>
  <si>
    <t>JD4GA</t>
  </si>
  <si>
    <t>N97HS</t>
  </si>
  <si>
    <t>HF00583</t>
  </si>
  <si>
    <t>JD4GB</t>
  </si>
  <si>
    <t>N97HS-1</t>
  </si>
  <si>
    <t>HF00584</t>
  </si>
  <si>
    <t>KT4GA</t>
  </si>
  <si>
    <t>N96Y2</t>
  </si>
  <si>
    <t>HF00585</t>
  </si>
  <si>
    <t>KT4GB</t>
  </si>
  <si>
    <t>N96Y2-1</t>
  </si>
  <si>
    <t>HF00586</t>
  </si>
  <si>
    <t>ASV4GA</t>
  </si>
  <si>
    <t>N92YM.02</t>
  </si>
  <si>
    <t>HF00587</t>
  </si>
  <si>
    <t>ASV4GB</t>
  </si>
  <si>
    <t>N92YM.02-1</t>
  </si>
  <si>
    <t>E02CF1+A2X01A</t>
  </si>
  <si>
    <t>HF00588</t>
  </si>
  <si>
    <t>APS4GA</t>
  </si>
  <si>
    <t>N93P1+SJ042400</t>
  </si>
  <si>
    <t>24#,25#+1#~6#</t>
  </si>
  <si>
    <t>N93P1;SJ042400</t>
  </si>
  <si>
    <t>HF00589</t>
  </si>
  <si>
    <t>NB4GB</t>
  </si>
  <si>
    <t>N96WY</t>
  </si>
  <si>
    <t>HF00590</t>
  </si>
  <si>
    <t>NB4GC</t>
  </si>
  <si>
    <t>N96WY-1</t>
  </si>
  <si>
    <t>HF00591</t>
  </si>
  <si>
    <t>NB4GD</t>
  </si>
  <si>
    <t>N96WT</t>
  </si>
  <si>
    <t>HF00592</t>
  </si>
  <si>
    <t>NB4GE</t>
  </si>
  <si>
    <t>N96WT-1</t>
  </si>
  <si>
    <t>HF00593</t>
  </si>
  <si>
    <t>NB4GF</t>
  </si>
  <si>
    <t>N96Y0</t>
  </si>
  <si>
    <t>HF00594</t>
  </si>
  <si>
    <t>NB4GG</t>
  </si>
  <si>
    <t>N96Y0-1</t>
  </si>
  <si>
    <t>HF00595</t>
  </si>
  <si>
    <t>KT4GC</t>
  </si>
  <si>
    <t>N971C</t>
  </si>
  <si>
    <t>HF00596</t>
  </si>
  <si>
    <t>KT4GD</t>
  </si>
  <si>
    <t>N971C-1</t>
  </si>
  <si>
    <t>HF00597</t>
  </si>
  <si>
    <t>HB4GA</t>
  </si>
  <si>
    <t>N97N1</t>
  </si>
  <si>
    <t>HF00598</t>
  </si>
  <si>
    <t>HB4GB</t>
  </si>
  <si>
    <t>N97N1-1</t>
  </si>
  <si>
    <t>HF00599</t>
  </si>
  <si>
    <t>AGB4GA</t>
  </si>
  <si>
    <t>N90H8.02</t>
  </si>
  <si>
    <t>HF00600</t>
  </si>
  <si>
    <t>ALH4GA</t>
  </si>
  <si>
    <t>N93NY.04</t>
  </si>
  <si>
    <t>HF00601</t>
  </si>
  <si>
    <t>GZ4GA</t>
  </si>
  <si>
    <t>N8QM9-1</t>
  </si>
  <si>
    <t>HF00602</t>
  </si>
  <si>
    <t>GZ4GB</t>
  </si>
  <si>
    <t>N93NY</t>
  </si>
  <si>
    <t>HF00603</t>
  </si>
  <si>
    <t>MH4GA</t>
  </si>
  <si>
    <t>N8QMA</t>
  </si>
  <si>
    <t>HF00604</t>
  </si>
  <si>
    <t>TB4GA</t>
  </si>
  <si>
    <t>N923N.02-2</t>
  </si>
  <si>
    <t>HF00605</t>
  </si>
  <si>
    <t>TB4GB</t>
  </si>
  <si>
    <t>N93NW.01</t>
  </si>
  <si>
    <t>SY8002EABC</t>
  </si>
  <si>
    <t>HF00606</t>
  </si>
  <si>
    <t>XE4GA</t>
  </si>
  <si>
    <t>N95YP.01</t>
  </si>
  <si>
    <t>HF00607</t>
  </si>
  <si>
    <t>VB4GA</t>
  </si>
  <si>
    <t>16#~20#</t>
  </si>
  <si>
    <t>N8N0T.03-2</t>
  </si>
  <si>
    <t>HF00608</t>
  </si>
  <si>
    <t>VB4GB</t>
  </si>
  <si>
    <t>N8N0W.01</t>
  </si>
  <si>
    <t>HF00609</t>
  </si>
  <si>
    <t>UH4GA</t>
  </si>
  <si>
    <t>N8H6T.11</t>
  </si>
  <si>
    <t>15#~17#</t>
  </si>
  <si>
    <t>HF00610</t>
  </si>
  <si>
    <t>TW4GA</t>
  </si>
  <si>
    <t>N9797</t>
  </si>
  <si>
    <t>HF00611</t>
  </si>
  <si>
    <t>TW4GB</t>
  </si>
  <si>
    <t>N9797-1</t>
  </si>
  <si>
    <t>HF00612</t>
  </si>
  <si>
    <t>TW4GC</t>
  </si>
  <si>
    <t>N9799</t>
  </si>
  <si>
    <t>HF00613</t>
  </si>
  <si>
    <t>TW4GD</t>
  </si>
  <si>
    <t>N9799-1</t>
  </si>
  <si>
    <t>HF00614</t>
  </si>
  <si>
    <t>RY4GC</t>
  </si>
  <si>
    <t>N8JP6</t>
  </si>
  <si>
    <t>HF00615</t>
  </si>
  <si>
    <t>RY4GD</t>
  </si>
  <si>
    <t>N8JP6-1</t>
  </si>
  <si>
    <t>HF00616</t>
  </si>
  <si>
    <t>RY4GE</t>
  </si>
  <si>
    <t>N8JP3</t>
  </si>
  <si>
    <t>HF00617</t>
  </si>
  <si>
    <t>VL4GA</t>
  </si>
  <si>
    <t>N9132</t>
  </si>
  <si>
    <t>HF00618</t>
  </si>
  <si>
    <t>VL4GB</t>
  </si>
  <si>
    <t>N9132-1</t>
  </si>
  <si>
    <t>HF00619</t>
  </si>
  <si>
    <t>VL4GC</t>
  </si>
  <si>
    <t>N90P7.01</t>
  </si>
  <si>
    <t>HF00620</t>
  </si>
  <si>
    <t>VL4GD</t>
  </si>
  <si>
    <t>N90P7.01-1</t>
  </si>
  <si>
    <t>HF00621</t>
  </si>
  <si>
    <t>VL4GE</t>
  </si>
  <si>
    <t>N9133</t>
  </si>
  <si>
    <t>HF00622</t>
  </si>
  <si>
    <t>VL4GF</t>
  </si>
  <si>
    <t>N9133-1</t>
  </si>
  <si>
    <t>SY7088DGC</t>
  </si>
  <si>
    <t>B22A0</t>
  </si>
  <si>
    <t>HF00623</t>
  </si>
  <si>
    <t xml:space="preserve">DFN2*3-8 </t>
  </si>
  <si>
    <t>VT4GA</t>
  </si>
  <si>
    <t>N96YK</t>
  </si>
  <si>
    <t>HF00624</t>
  </si>
  <si>
    <t>JR4GA</t>
  </si>
  <si>
    <t>N971A</t>
  </si>
  <si>
    <t>HF00625</t>
  </si>
  <si>
    <t>JR4GB</t>
  </si>
  <si>
    <t>N971A-1</t>
  </si>
  <si>
    <t>HF00626</t>
  </si>
  <si>
    <t>JR4GC</t>
  </si>
  <si>
    <t>N96Y1</t>
  </si>
  <si>
    <t>HF00627</t>
  </si>
  <si>
    <t>JR4GD</t>
  </si>
  <si>
    <t>N96Y1-1</t>
  </si>
  <si>
    <t>HF00628</t>
  </si>
  <si>
    <t>NY4GA</t>
  </si>
  <si>
    <t>N971A.01</t>
  </si>
  <si>
    <t>HF00629</t>
  </si>
  <si>
    <t>AHI4GA</t>
  </si>
  <si>
    <t>N8TF7</t>
  </si>
  <si>
    <t>HF00630</t>
  </si>
  <si>
    <t>AHH4GC</t>
  </si>
  <si>
    <t>N8TF7-1</t>
  </si>
  <si>
    <t>SY8205DNC</t>
  </si>
  <si>
    <t>HF00631</t>
  </si>
  <si>
    <t>DFN4×3-12</t>
  </si>
  <si>
    <t>ADS4GA</t>
  </si>
  <si>
    <t>N8HS4</t>
  </si>
  <si>
    <t>5#~25#</t>
  </si>
  <si>
    <t>HF00632</t>
  </si>
  <si>
    <t>ASV4GC</t>
  </si>
  <si>
    <t>N90H2.04</t>
  </si>
  <si>
    <t>7#~10#</t>
  </si>
  <si>
    <t>HF00633</t>
  </si>
  <si>
    <t>AKW4GA</t>
  </si>
  <si>
    <t>N93NW+SJ061800</t>
  </si>
  <si>
    <t>13#~15#+1#~3#</t>
  </si>
  <si>
    <t>N93NW;SJ061800</t>
  </si>
  <si>
    <t>HF00634</t>
  </si>
  <si>
    <t>ALJ4GA</t>
  </si>
  <si>
    <t>14+16</t>
  </si>
  <si>
    <t>N8A8S+SJ061600</t>
  </si>
  <si>
    <t>1#~14#+1#~16#</t>
  </si>
  <si>
    <t>N8A8S;SJ061600</t>
  </si>
  <si>
    <t>HF00635</t>
  </si>
  <si>
    <t>AIG4GA</t>
  </si>
  <si>
    <t>N8A8S+SJ019900</t>
  </si>
  <si>
    <t>15#~19+15#~24#</t>
  </si>
  <si>
    <t>N8A8S;SJ019900</t>
  </si>
  <si>
    <t>HF00636</t>
  </si>
  <si>
    <t>AMY4GA</t>
  </si>
  <si>
    <t>N923Q.01+(SJ005200+EP295200)</t>
  </si>
  <si>
    <t>7#~15#+(1#~4#,6#~25#+25#)</t>
  </si>
  <si>
    <t>N923Q.01;(SJ005200+EP295200)</t>
  </si>
  <si>
    <t>HF00637</t>
  </si>
  <si>
    <t>AML4GA</t>
  </si>
  <si>
    <t>N93NS+SJ057300</t>
  </si>
  <si>
    <t>N93NS;SJ057300</t>
  </si>
  <si>
    <t>HF00638</t>
  </si>
  <si>
    <t>AML4GB</t>
  </si>
  <si>
    <t>N93NS+(SJ058400+SJ057300)</t>
  </si>
  <si>
    <t>N93NS;(SJ058400+SJ057300)</t>
  </si>
  <si>
    <t>HF00639</t>
  </si>
  <si>
    <t>AML4GC</t>
  </si>
  <si>
    <t>N93P0.03+(SJ035400+SJ057000)</t>
  </si>
  <si>
    <t>1#~6#+(15#~25#+25#)</t>
  </si>
  <si>
    <t>N93P0.03;(SJ035400+SJ057000)</t>
  </si>
  <si>
    <t>HF00640</t>
  </si>
  <si>
    <t>AMM4GA</t>
  </si>
  <si>
    <t>N93P0.03+SJ028100</t>
  </si>
  <si>
    <t>7#~11#+12#~25#</t>
  </si>
  <si>
    <t>N93P0.03;SJ028100</t>
  </si>
  <si>
    <t>HF00641</t>
  </si>
  <si>
    <t>AMM4GB</t>
  </si>
  <si>
    <t>N93NQ+SJ028200</t>
  </si>
  <si>
    <t>N93NQ;SJ028200</t>
  </si>
  <si>
    <t>HF00642</t>
  </si>
  <si>
    <t>AMJ4GE</t>
  </si>
  <si>
    <t>N93NQ+SJ041900</t>
  </si>
  <si>
    <t>10#~18#+1#~25#</t>
  </si>
  <si>
    <t>N93NQ;SJ041900</t>
  </si>
  <si>
    <t>HF00643</t>
  </si>
  <si>
    <t>AMJ4GF</t>
  </si>
  <si>
    <t>N93NQ+(SJ042400+SJ041800)</t>
  </si>
  <si>
    <t>19#~25#+(7#~25#+25#)</t>
  </si>
  <si>
    <t>N93NQ;(SJ042400+SJ041800)</t>
  </si>
  <si>
    <t>HF00644</t>
  </si>
  <si>
    <t>ANN4GA</t>
  </si>
  <si>
    <t>N93NY.01+SJ048700</t>
  </si>
  <si>
    <t>1#~8#+1#~13#,15#~17#</t>
  </si>
  <si>
    <t>N93NY.01;SJ048700</t>
  </si>
  <si>
    <t>HF00645</t>
  </si>
  <si>
    <t>AQX4GA</t>
  </si>
  <si>
    <t>4+15</t>
  </si>
  <si>
    <t>N9136+(SJ060100+SJ060202)</t>
  </si>
  <si>
    <t>17#~20#+(11#,13#~25#+15#)</t>
  </si>
  <si>
    <t>(SJ060100+SJ060202);N9136</t>
  </si>
  <si>
    <t>HF00646</t>
  </si>
  <si>
    <t>AQU4GA</t>
  </si>
  <si>
    <t>N9136+SJ057900</t>
  </si>
  <si>
    <t>21#~25#+1#~25#</t>
  </si>
  <si>
    <t>SJ057900;N9136</t>
  </si>
  <si>
    <t>HF00647</t>
  </si>
  <si>
    <t>AQU4GB</t>
  </si>
  <si>
    <t>N92AR+SJ057700</t>
  </si>
  <si>
    <t>1#~4#+1#,3#~14#,16#~23#</t>
  </si>
  <si>
    <t>SJ057700;N92AR</t>
  </si>
  <si>
    <t>HF00648</t>
  </si>
  <si>
    <t>AQU4GC</t>
  </si>
  <si>
    <t>N92AR+SJ057800</t>
  </si>
  <si>
    <t>5#~8#+1#~6#,8#~22#</t>
  </si>
  <si>
    <t>SJ057800;N92AR</t>
  </si>
  <si>
    <t>HF00649</t>
  </si>
  <si>
    <t>AQU4GD</t>
  </si>
  <si>
    <t>N8YM9+(SJ057700+SJ057800)</t>
  </si>
  <si>
    <t>25#+(24#~25#+23#~25#)</t>
  </si>
  <si>
    <t>(SJ057700+SJ057800);N8YM9</t>
  </si>
  <si>
    <t>HF00650</t>
  </si>
  <si>
    <t>AQU4GE</t>
  </si>
  <si>
    <t>N92AR+SJ059200</t>
  </si>
  <si>
    <t>9#~13#+1#~25#</t>
  </si>
  <si>
    <t>SJ059200;N92AR</t>
  </si>
  <si>
    <t>SY8234FCC</t>
  </si>
  <si>
    <t>A46C0</t>
  </si>
  <si>
    <t>HF00653</t>
  </si>
  <si>
    <t>AMN4GA</t>
  </si>
  <si>
    <t>N91WA.03</t>
  </si>
  <si>
    <t>HF00654</t>
  </si>
  <si>
    <t>JCETSJ055200;N9373</t>
  </si>
  <si>
    <t>HF00655</t>
  </si>
  <si>
    <t>TW4GE</t>
  </si>
  <si>
    <t>N979A</t>
  </si>
  <si>
    <t>HF00656</t>
  </si>
  <si>
    <t>TW4GF</t>
  </si>
  <si>
    <t>N979A-1</t>
  </si>
  <si>
    <t>HF00657</t>
  </si>
  <si>
    <t>TW4GG</t>
  </si>
  <si>
    <t>N9796</t>
  </si>
  <si>
    <t>HF00658</t>
  </si>
  <si>
    <t>TW4GH</t>
  </si>
  <si>
    <t>N9796-1</t>
  </si>
  <si>
    <t>HF00659</t>
  </si>
  <si>
    <t>TW4GI</t>
  </si>
  <si>
    <t>N9798</t>
  </si>
  <si>
    <t>HF00660</t>
  </si>
  <si>
    <t>TW4GJ</t>
  </si>
  <si>
    <t>N9798-1</t>
  </si>
  <si>
    <t>HF00661</t>
  </si>
  <si>
    <t>KW4GA</t>
  </si>
  <si>
    <t>N985K</t>
  </si>
  <si>
    <t>HF00662</t>
  </si>
  <si>
    <t>KW4GB</t>
  </si>
  <si>
    <t>N985K-1</t>
  </si>
  <si>
    <t>HF00663</t>
  </si>
  <si>
    <t>KW4GC</t>
  </si>
  <si>
    <t>N986H</t>
  </si>
  <si>
    <t>HF00664</t>
  </si>
  <si>
    <t>KW4GD</t>
  </si>
  <si>
    <t>N986H-1</t>
  </si>
  <si>
    <t>HF00665</t>
  </si>
  <si>
    <t>EF4GA</t>
  </si>
  <si>
    <t>N97HF</t>
  </si>
  <si>
    <t>HF00666</t>
  </si>
  <si>
    <t>EF4GB</t>
  </si>
  <si>
    <t>N97HF-1</t>
  </si>
  <si>
    <t>HF00667</t>
  </si>
  <si>
    <t>EF4GC</t>
  </si>
  <si>
    <t>N97HG</t>
  </si>
  <si>
    <t>HF00668</t>
  </si>
  <si>
    <t>EF4GD</t>
  </si>
  <si>
    <t>N97HG-1</t>
  </si>
  <si>
    <t>HF00669</t>
  </si>
  <si>
    <t>JD4GC</t>
  </si>
  <si>
    <t>N9898</t>
  </si>
  <si>
    <t>HF00670</t>
  </si>
  <si>
    <t>JD4GD</t>
  </si>
  <si>
    <t>N9898-1</t>
  </si>
  <si>
    <t>SY8722AFCC</t>
  </si>
  <si>
    <t>B18QA0+B07EA0</t>
  </si>
  <si>
    <t>HF00671</t>
  </si>
  <si>
    <t>AQF4GA</t>
  </si>
  <si>
    <t>10+8</t>
  </si>
  <si>
    <t>N9795+N8LF6.03</t>
  </si>
  <si>
    <t>6#~15#+1#~8#</t>
  </si>
  <si>
    <t>N8LF6.03;N9795</t>
  </si>
  <si>
    <r>
      <rPr>
        <sz val="10"/>
        <rFont val="Arial"/>
        <family val="2"/>
        <charset val="134"/>
      </rPr>
      <t>需</t>
    </r>
    <r>
      <rPr>
        <sz val="10"/>
        <rFont val="Arial"/>
        <family val="2"/>
        <charset val="134"/>
      </rPr>
      <t>Bumping</t>
    </r>
  </si>
  <si>
    <t>HF00672</t>
  </si>
  <si>
    <t>RC4GA</t>
  </si>
  <si>
    <t>N90P7</t>
  </si>
  <si>
    <t>HF00673</t>
  </si>
  <si>
    <t>AIV4GC</t>
  </si>
  <si>
    <t>N8CWF.03</t>
  </si>
  <si>
    <t>HF00674</t>
  </si>
  <si>
    <t>AIU4GA</t>
  </si>
  <si>
    <t>N8CWG.06</t>
  </si>
  <si>
    <t>HF00675</t>
  </si>
  <si>
    <t>AGB4GB</t>
  </si>
  <si>
    <t>N93P2</t>
  </si>
  <si>
    <t>HF00676</t>
  </si>
  <si>
    <t>JR4HA</t>
  </si>
  <si>
    <t>N97J1</t>
  </si>
  <si>
    <t>HF00677</t>
  </si>
  <si>
    <t>JR4HB</t>
  </si>
  <si>
    <t>N97J1-1</t>
  </si>
  <si>
    <t>HF00678</t>
  </si>
  <si>
    <t>RC4HA</t>
  </si>
  <si>
    <t>N971F.02</t>
  </si>
  <si>
    <t>HF00679</t>
  </si>
  <si>
    <t>KW4HA</t>
  </si>
  <si>
    <t>N981T</t>
  </si>
  <si>
    <t>1#~5#,7#~13#</t>
  </si>
  <si>
    <t>HF00680</t>
  </si>
  <si>
    <t>KW4HB</t>
  </si>
  <si>
    <t>N981T-1</t>
  </si>
  <si>
    <t>HF00681</t>
  </si>
  <si>
    <t>XO4HA</t>
  </si>
  <si>
    <t>N94CK.04</t>
  </si>
  <si>
    <t>12#-19#</t>
  </si>
  <si>
    <t>HF00682</t>
  </si>
  <si>
    <t>TW4HA</t>
  </si>
  <si>
    <t>N9820</t>
  </si>
  <si>
    <t>HF00683</t>
  </si>
  <si>
    <t>TW4HB</t>
  </si>
  <si>
    <t>N9820-1</t>
  </si>
  <si>
    <t>HF00684</t>
  </si>
  <si>
    <t>AFB4HA</t>
  </si>
  <si>
    <t>N8CC3</t>
  </si>
  <si>
    <t>HF00685</t>
  </si>
  <si>
    <t>AFB4HB</t>
  </si>
  <si>
    <t>N8CC3-1</t>
  </si>
  <si>
    <t>HF00686</t>
  </si>
  <si>
    <t>AFB4HC</t>
  </si>
  <si>
    <t>N8CAW.05</t>
  </si>
  <si>
    <t>3#,7#,8#,16#</t>
  </si>
  <si>
    <t>HF00687</t>
  </si>
  <si>
    <t>AFB4HD</t>
  </si>
  <si>
    <t>N8CAW.06</t>
  </si>
  <si>
    <t>4#,11#,12#,17#</t>
  </si>
  <si>
    <t>HF00688</t>
  </si>
  <si>
    <t>AFB4HE</t>
  </si>
  <si>
    <t>N8CAW</t>
  </si>
  <si>
    <t>1,2,5,6,9,10,13-15</t>
  </si>
  <si>
    <t>HF00689</t>
  </si>
  <si>
    <t>AFB4HF</t>
  </si>
  <si>
    <t>N8CAW-1</t>
  </si>
  <si>
    <t>HF00690</t>
  </si>
  <si>
    <t>AGB4HA</t>
  </si>
  <si>
    <t>N93P2-1</t>
  </si>
  <si>
    <t>HF00691</t>
  </si>
  <si>
    <t>MH4HA</t>
  </si>
  <si>
    <t>N8QM6</t>
  </si>
  <si>
    <t>HF00693</t>
  </si>
  <si>
    <t>QV4HA</t>
  </si>
  <si>
    <t>9#~12#</t>
  </si>
  <si>
    <t>N8F8Q.02-2</t>
  </si>
  <si>
    <t>HF00694</t>
  </si>
  <si>
    <t>NM4HA</t>
  </si>
  <si>
    <t>N8ALK.04</t>
  </si>
  <si>
    <t>HF00695</t>
  </si>
  <si>
    <t>RY4HA</t>
  </si>
  <si>
    <t>N8JP3-1</t>
  </si>
  <si>
    <t>HF00696</t>
  </si>
  <si>
    <t>MG4HA</t>
  </si>
  <si>
    <t>N90NC</t>
  </si>
  <si>
    <t>SOT235140416236</t>
  </si>
  <si>
    <t>HF00697</t>
  </si>
  <si>
    <t>MG4HB</t>
  </si>
  <si>
    <t>N90NC-1</t>
  </si>
  <si>
    <t>HF00698</t>
  </si>
  <si>
    <t>MG4HC</t>
  </si>
  <si>
    <t>N971F</t>
  </si>
  <si>
    <t>12#~18#</t>
  </si>
  <si>
    <t>HF00699</t>
  </si>
  <si>
    <t>MG4HD</t>
  </si>
  <si>
    <t>N971F-1</t>
  </si>
  <si>
    <t>HF00700</t>
  </si>
  <si>
    <t>AIV4HA</t>
  </si>
  <si>
    <t>N8CWH</t>
  </si>
  <si>
    <t>HF00701</t>
  </si>
  <si>
    <t>AHI4HA</t>
  </si>
  <si>
    <t>N8TF8</t>
  </si>
  <si>
    <t>HF00702</t>
  </si>
  <si>
    <t>AHH4HA</t>
  </si>
  <si>
    <t>N8TJJ</t>
  </si>
  <si>
    <t>HF00703</t>
  </si>
  <si>
    <t>ALJ4HA</t>
  </si>
  <si>
    <t>N8A8T+(SJ061600+EP337500)</t>
  </si>
  <si>
    <t>1#~9#+(17#~25#+25#)</t>
  </si>
  <si>
    <t>N8A8T;(SJ061600+EP337500)</t>
  </si>
  <si>
    <t>HF00704</t>
  </si>
  <si>
    <t>AQU4HA</t>
  </si>
  <si>
    <t>N92AR+(SJ059400+SJ059100)</t>
  </si>
  <si>
    <t>17#~21#+(1#~6#,9#~25#+22#~24#)</t>
  </si>
  <si>
    <t>(SJ059400+SJ059100);N92AR</t>
  </si>
  <si>
    <t>HF00705</t>
  </si>
  <si>
    <t>TW4HC</t>
  </si>
  <si>
    <t>N981Y</t>
  </si>
  <si>
    <t>SOT235140418150</t>
  </si>
  <si>
    <t>HF00706</t>
  </si>
  <si>
    <t>TW4HD</t>
  </si>
  <si>
    <t>SOT235140419049</t>
  </si>
  <si>
    <t>HF00707</t>
  </si>
  <si>
    <t>TV4HB</t>
  </si>
  <si>
    <t>N9899.01</t>
  </si>
  <si>
    <t>1#-7#</t>
  </si>
  <si>
    <t>SOT235140418148</t>
  </si>
  <si>
    <t>HF00708</t>
  </si>
  <si>
    <t>TV4HC</t>
  </si>
  <si>
    <t>8#-15#</t>
  </si>
  <si>
    <t>N9899.01-1</t>
  </si>
  <si>
    <t>HF00709</t>
  </si>
  <si>
    <t>JD4HA</t>
  </si>
  <si>
    <t>N98G3</t>
  </si>
  <si>
    <t>HF00710</t>
  </si>
  <si>
    <t>JD4HB</t>
  </si>
  <si>
    <t>N98G3-1</t>
  </si>
  <si>
    <t>HF00711</t>
  </si>
  <si>
    <t>LD4HN</t>
  </si>
  <si>
    <t>SOT235140421203</t>
  </si>
  <si>
    <t>HF00712</t>
  </si>
  <si>
    <t>LD4HO</t>
  </si>
  <si>
    <t>N7S1C-1</t>
  </si>
  <si>
    <t>HF00713</t>
  </si>
  <si>
    <t>LD4HP</t>
  </si>
  <si>
    <t>N7S1C-2</t>
  </si>
  <si>
    <t>HF00714</t>
  </si>
  <si>
    <t>LD4HQ</t>
  </si>
  <si>
    <t>SOT235140421201</t>
  </si>
  <si>
    <t>HF00715</t>
  </si>
  <si>
    <t>LD4HR</t>
  </si>
  <si>
    <t>SOT235140419213</t>
  </si>
  <si>
    <t>HF00716</t>
  </si>
  <si>
    <t>LD4HS</t>
  </si>
  <si>
    <t>N7MTP-2</t>
  </si>
  <si>
    <t>HF00717</t>
  </si>
  <si>
    <t>LD4HT</t>
  </si>
  <si>
    <t>SOT235140420025</t>
  </si>
  <si>
    <t>HF00718</t>
  </si>
  <si>
    <t>LD4HU</t>
  </si>
  <si>
    <t>N7MTS-1</t>
  </si>
  <si>
    <t>HF00719</t>
  </si>
  <si>
    <t>LD4HV</t>
  </si>
  <si>
    <t>N7MTS-2</t>
  </si>
  <si>
    <t>HF00720</t>
  </si>
  <si>
    <t>AKT4HA</t>
  </si>
  <si>
    <t>N9519.06+N9795.05</t>
  </si>
  <si>
    <t>18#~20#+1#~3#</t>
  </si>
  <si>
    <t>N9519.06;N9795.05</t>
  </si>
  <si>
    <t>SY7615DBC</t>
  </si>
  <si>
    <t>I15A3</t>
  </si>
  <si>
    <t>HF00721</t>
  </si>
  <si>
    <t>NS4HA</t>
  </si>
  <si>
    <t>N916H</t>
  </si>
  <si>
    <t>SY7615ADBC</t>
  </si>
  <si>
    <t>I15B1</t>
  </si>
  <si>
    <t>HF00722</t>
  </si>
  <si>
    <t>WY4HA</t>
  </si>
  <si>
    <t>N916H.05</t>
  </si>
  <si>
    <t>HF00723</t>
  </si>
  <si>
    <t>AHI4HB</t>
  </si>
  <si>
    <t>N8W0R.02</t>
  </si>
  <si>
    <t>1#~20#</t>
  </si>
  <si>
    <t>HF00724</t>
  </si>
  <si>
    <t>AHI4HC</t>
  </si>
  <si>
    <t>N8W0S</t>
  </si>
  <si>
    <t>1#-25#</t>
  </si>
  <si>
    <t>HF00725</t>
  </si>
  <si>
    <t>AQF4HA</t>
  </si>
  <si>
    <t>N9795+(N8LF6+N8LF7)</t>
  </si>
  <si>
    <t>16#~25#+(20#~25#+21#~22#)</t>
  </si>
  <si>
    <t>(N8LF6+N8LF7);N9795</t>
  </si>
  <si>
    <t>HF00726</t>
  </si>
  <si>
    <t>AMK4HA</t>
  </si>
  <si>
    <t>N93P0.03+SJ048600</t>
  </si>
  <si>
    <t>12#~23#+1#~16#,18#~25#</t>
  </si>
  <si>
    <t>N93P0.03;SJ048600</t>
  </si>
  <si>
    <t xml:space="preserve">JCET </t>
  </si>
  <si>
    <t>HF00727</t>
  </si>
  <si>
    <t>UV4HA</t>
  </si>
  <si>
    <t>N9846</t>
  </si>
  <si>
    <t>N9846-1</t>
  </si>
  <si>
    <t>HF00728</t>
  </si>
  <si>
    <t>UH4HA</t>
  </si>
  <si>
    <t>HF00729</t>
  </si>
  <si>
    <t>AEP4HA</t>
  </si>
  <si>
    <t>N8LGJ.02</t>
  </si>
  <si>
    <t>HF00730</t>
  </si>
  <si>
    <t>NA4HA</t>
  </si>
  <si>
    <t>N9843.02</t>
  </si>
  <si>
    <r>
      <rPr>
        <sz val="10"/>
        <rFont val="Arial"/>
        <family val="2"/>
        <charset val="134"/>
      </rPr>
      <t>1</t>
    </r>
    <r>
      <rPr>
        <i/>
        <sz val="10"/>
        <rFont val="Arial"/>
        <family val="2"/>
        <charset val="134"/>
      </rPr>
      <t>#~7#</t>
    </r>
  </si>
  <si>
    <t>HF00731</t>
  </si>
  <si>
    <t>TR4HA</t>
  </si>
  <si>
    <t>N95T3</t>
  </si>
  <si>
    <t>HF00732</t>
  </si>
  <si>
    <t>TR4HB</t>
  </si>
  <si>
    <t>N95T3-1</t>
  </si>
  <si>
    <t>HF00733</t>
  </si>
  <si>
    <t>TR4HC</t>
  </si>
  <si>
    <t>N95T3-2</t>
  </si>
  <si>
    <t>HF00734</t>
  </si>
  <si>
    <t>LD4HW</t>
  </si>
  <si>
    <t>ESO016140418143</t>
  </si>
  <si>
    <t>HF00735</t>
  </si>
  <si>
    <t>XE4IA</t>
  </si>
  <si>
    <t>N99N6</t>
  </si>
  <si>
    <t>HF00736</t>
  </si>
  <si>
    <t>TW4IA</t>
  </si>
  <si>
    <t>N997Q</t>
  </si>
  <si>
    <t>HF00737</t>
  </si>
  <si>
    <t>TW4IB</t>
  </si>
  <si>
    <t>N997Q-1</t>
  </si>
  <si>
    <t>HF00738</t>
  </si>
  <si>
    <t>ATC4IA</t>
  </si>
  <si>
    <t>N93P1.05+SJ039200</t>
  </si>
  <si>
    <t>22#-23#+1#~4#</t>
  </si>
  <si>
    <t>N93P1.05;SJ039200</t>
  </si>
  <si>
    <t>HF00739</t>
  </si>
  <si>
    <t>AHI4IA</t>
  </si>
  <si>
    <t>N8W0Q</t>
  </si>
  <si>
    <t>HF00740</t>
  </si>
  <si>
    <t>NT4IA</t>
  </si>
  <si>
    <t>N999F</t>
  </si>
  <si>
    <t>HF00741</t>
  </si>
  <si>
    <t>NB4IA</t>
  </si>
  <si>
    <t>N997M</t>
  </si>
  <si>
    <t>HF00742</t>
  </si>
  <si>
    <t>NB4IB</t>
  </si>
  <si>
    <t>N997M-1</t>
  </si>
  <si>
    <t>HF00743</t>
  </si>
  <si>
    <t>NB4IC</t>
  </si>
  <si>
    <t>N997L</t>
  </si>
  <si>
    <t>HF00744</t>
  </si>
  <si>
    <t>NB4ID</t>
  </si>
  <si>
    <t>N997L-1</t>
  </si>
  <si>
    <t>HF00745</t>
  </si>
  <si>
    <t>UV4IA</t>
  </si>
  <si>
    <t>N9846.03</t>
  </si>
  <si>
    <t>HF00746</t>
  </si>
  <si>
    <t>UW4IA</t>
  </si>
  <si>
    <t>N8H6T.14</t>
  </si>
  <si>
    <t>11#~14#</t>
  </si>
  <si>
    <t>HF00747</t>
  </si>
  <si>
    <t>TW4IC</t>
  </si>
  <si>
    <t>N99GC</t>
  </si>
  <si>
    <t>HF00748</t>
  </si>
  <si>
    <t>TW4ID</t>
  </si>
  <si>
    <t>N99GC-1</t>
  </si>
  <si>
    <t>HF00749</t>
  </si>
  <si>
    <t>EF4IA</t>
  </si>
  <si>
    <t>N99J9</t>
  </si>
  <si>
    <t>HF00750</t>
  </si>
  <si>
    <t>EF4IB</t>
  </si>
  <si>
    <t>N99J9-1</t>
  </si>
  <si>
    <t>SY7319LDEC</t>
  </si>
  <si>
    <t>B35A0</t>
  </si>
  <si>
    <t>HF00751</t>
  </si>
  <si>
    <t>Bh4IA</t>
  </si>
  <si>
    <t>N98GP</t>
  </si>
  <si>
    <t>N98GP-1</t>
  </si>
  <si>
    <t>SY7319DEC</t>
  </si>
  <si>
    <t>B35B0</t>
  </si>
  <si>
    <t>HF00752</t>
  </si>
  <si>
    <t>Ae4IA</t>
  </si>
  <si>
    <t>N98GP.02</t>
  </si>
  <si>
    <t>SY98081EQUC</t>
  </si>
  <si>
    <t>A11R0+MPH160805S1ROMT</t>
  </si>
  <si>
    <t>HF00753</t>
  </si>
  <si>
    <t>QFN2*1.5-8</t>
  </si>
  <si>
    <t>UP4IA</t>
  </si>
  <si>
    <t>N9843.03+(LE1401080386+LE1401060131)</t>
  </si>
  <si>
    <t>N9843.03</t>
  </si>
  <si>
    <t>HF00755</t>
  </si>
  <si>
    <t>JD4IA</t>
  </si>
  <si>
    <t>N99N2</t>
  </si>
  <si>
    <t>HF00756</t>
  </si>
  <si>
    <t>JD4IB</t>
  </si>
  <si>
    <t>N99N2-1</t>
  </si>
  <si>
    <t>HF00757</t>
  </si>
  <si>
    <t>JD4IC</t>
  </si>
  <si>
    <t>N99N5</t>
  </si>
  <si>
    <t>HF00758</t>
  </si>
  <si>
    <t>JD4ID</t>
  </si>
  <si>
    <t>N99N5-1</t>
  </si>
  <si>
    <t>HF00759</t>
  </si>
  <si>
    <t>JD4IE</t>
  </si>
  <si>
    <t>N99N3</t>
  </si>
  <si>
    <t>HF00760</t>
  </si>
  <si>
    <t>HU4IA</t>
  </si>
  <si>
    <t>N99N3-1</t>
  </si>
  <si>
    <t>HF00761</t>
  </si>
  <si>
    <t>TW4IE</t>
  </si>
  <si>
    <t>N99GF</t>
  </si>
  <si>
    <t>HF00762</t>
  </si>
  <si>
    <t>TW4IF</t>
  </si>
  <si>
    <t>N99GF-1</t>
  </si>
  <si>
    <t>HF00763</t>
  </si>
  <si>
    <t>TW4IG</t>
  </si>
  <si>
    <t>N99GG</t>
  </si>
  <si>
    <t>HF00764</t>
  </si>
  <si>
    <t>TW4IH</t>
  </si>
  <si>
    <t>N99GG-1</t>
  </si>
  <si>
    <t>SYH812DEC</t>
  </si>
  <si>
    <t>HF00765</t>
  </si>
  <si>
    <t>PT4IA</t>
  </si>
  <si>
    <t>N9992</t>
  </si>
  <si>
    <t>HF00766</t>
  </si>
  <si>
    <t>PT4IB</t>
  </si>
  <si>
    <t>N9992-1</t>
  </si>
  <si>
    <t>HF00767</t>
  </si>
  <si>
    <t>NY4IA</t>
  </si>
  <si>
    <t>N997P</t>
  </si>
  <si>
    <t>HF00768</t>
  </si>
  <si>
    <t>NY4IB</t>
  </si>
  <si>
    <t>N997P-1</t>
  </si>
  <si>
    <t>HF00769</t>
  </si>
  <si>
    <t>KT4IA</t>
  </si>
  <si>
    <t>N99SW</t>
  </si>
  <si>
    <t>HF00770</t>
  </si>
  <si>
    <t>KT4IB</t>
  </si>
  <si>
    <t>N99SW-1</t>
  </si>
  <si>
    <t>HF00771</t>
  </si>
  <si>
    <t>JD4IF</t>
  </si>
  <si>
    <t>N99N4</t>
  </si>
  <si>
    <t>HF00772</t>
  </si>
  <si>
    <t>JD4IG</t>
  </si>
  <si>
    <t>N99N4-1</t>
  </si>
  <si>
    <t>HF00773</t>
  </si>
  <si>
    <t>EF4IC</t>
  </si>
  <si>
    <t>N99JA</t>
  </si>
  <si>
    <t>HF00774</t>
  </si>
  <si>
    <t>EF4ID</t>
  </si>
  <si>
    <t>N99JA-1</t>
  </si>
  <si>
    <t>HF00775</t>
  </si>
  <si>
    <t>VT4IA</t>
  </si>
  <si>
    <t>N96YK.03</t>
  </si>
  <si>
    <t>3#~14#</t>
  </si>
  <si>
    <t>HF00776</t>
  </si>
  <si>
    <t>VT4IB</t>
  </si>
  <si>
    <t>N96YK.03-1</t>
  </si>
  <si>
    <t>SY8290ABC</t>
  </si>
  <si>
    <t>A71A0</t>
  </si>
  <si>
    <t>HF00777</t>
  </si>
  <si>
    <t>TE4IA</t>
  </si>
  <si>
    <t>N98YK</t>
  </si>
  <si>
    <t>1# 2#</t>
  </si>
  <si>
    <t>HF00778</t>
  </si>
  <si>
    <t>PT4IC</t>
  </si>
  <si>
    <t>N998Y</t>
  </si>
  <si>
    <t>HF00779</t>
  </si>
  <si>
    <t>PT4ID</t>
  </si>
  <si>
    <t>N998Y-1</t>
  </si>
  <si>
    <t>HF00780</t>
  </si>
  <si>
    <t>GZ4IA</t>
  </si>
  <si>
    <t>N93P1.08</t>
  </si>
  <si>
    <t>HF00781</t>
  </si>
  <si>
    <t>MH4IA</t>
  </si>
  <si>
    <t>N93NW.02</t>
  </si>
  <si>
    <t>SY5824ABC</t>
  </si>
  <si>
    <t>E02V1</t>
  </si>
  <si>
    <t>HF00782</t>
  </si>
  <si>
    <t>TD4IA</t>
  </si>
  <si>
    <t>N83RF.01</t>
  </si>
  <si>
    <t>N83RF.01-1</t>
  </si>
  <si>
    <t>HF00783</t>
  </si>
  <si>
    <t>XE4IB</t>
  </si>
  <si>
    <t>N99N6-1</t>
  </si>
  <si>
    <t>HF00784</t>
  </si>
  <si>
    <t>NT4IB</t>
  </si>
  <si>
    <t>N999F-1</t>
  </si>
  <si>
    <t>HF00785</t>
  </si>
  <si>
    <t>ALK4IA</t>
  </si>
  <si>
    <t>N8WJ5.03</t>
  </si>
  <si>
    <t xml:space="preserve"> 1#~4#</t>
  </si>
  <si>
    <t>HF00786</t>
  </si>
  <si>
    <t>TW4II</t>
  </si>
  <si>
    <t>N99SY</t>
  </si>
  <si>
    <t>HF00787</t>
  </si>
  <si>
    <t>TW4IJ</t>
  </si>
  <si>
    <t>N99SY-1</t>
  </si>
  <si>
    <t>SY8703ABC</t>
  </si>
  <si>
    <t>HF00788</t>
  </si>
  <si>
    <t>EF4IE</t>
  </si>
  <si>
    <t>N9A7S</t>
  </si>
  <si>
    <t>HF00789</t>
  </si>
  <si>
    <t>EF4IF</t>
  </si>
  <si>
    <t>N9A7S-1</t>
  </si>
  <si>
    <t>HF00790</t>
  </si>
  <si>
    <t>EF4IG</t>
  </si>
  <si>
    <t>N9A7T</t>
  </si>
  <si>
    <t>HF00791</t>
  </si>
  <si>
    <t>EF4IH</t>
  </si>
  <si>
    <t>N9A7T-1</t>
  </si>
  <si>
    <t>HF00793</t>
  </si>
  <si>
    <t>RC4IB</t>
  </si>
  <si>
    <t>N9A7Q</t>
  </si>
  <si>
    <t>HF00794</t>
  </si>
  <si>
    <t>VL4IA</t>
  </si>
  <si>
    <t>N9A7R</t>
  </si>
  <si>
    <t>HF00795</t>
  </si>
  <si>
    <t>VL4IB</t>
  </si>
  <si>
    <t>N9A7R-1</t>
  </si>
  <si>
    <t>HF00796</t>
  </si>
  <si>
    <t>VL4IC</t>
  </si>
  <si>
    <t>N9A7P</t>
  </si>
  <si>
    <t>N9A7P-1</t>
  </si>
  <si>
    <t>HF00797</t>
  </si>
  <si>
    <t>VL4ID</t>
  </si>
  <si>
    <t>HF00798</t>
  </si>
  <si>
    <t>JR4IA</t>
  </si>
  <si>
    <t>N99JC</t>
  </si>
  <si>
    <t>HF00799</t>
  </si>
  <si>
    <t>JR4IB</t>
  </si>
  <si>
    <t>N99JC-1</t>
  </si>
  <si>
    <t>HF00800</t>
  </si>
  <si>
    <t>JR4IC</t>
  </si>
  <si>
    <t>N99JF</t>
  </si>
  <si>
    <t>HF00801</t>
  </si>
  <si>
    <t>JR4ID</t>
  </si>
  <si>
    <t>N99JF-1</t>
  </si>
  <si>
    <t>HF00802</t>
  </si>
  <si>
    <t>AHI4IB</t>
  </si>
  <si>
    <t>N8WAL</t>
  </si>
  <si>
    <t>HF00803</t>
  </si>
  <si>
    <t>WQ4IA</t>
  </si>
  <si>
    <t xml:space="preserve">N8PFN.05 </t>
  </si>
  <si>
    <t>17#~18#</t>
  </si>
  <si>
    <t>N8PFN.05</t>
  </si>
  <si>
    <t>HF00804</t>
  </si>
  <si>
    <t>WQ4IB</t>
  </si>
  <si>
    <t>N8PFN.10</t>
  </si>
  <si>
    <t>3#-13#</t>
  </si>
  <si>
    <t>HF00805</t>
  </si>
  <si>
    <t>AML4IA</t>
  </si>
  <si>
    <t>N9A80+SJ039200</t>
  </si>
  <si>
    <t>1#-10#+5#~24#</t>
  </si>
  <si>
    <t>N9A80;SJ039200</t>
  </si>
  <si>
    <t>HF00806</t>
  </si>
  <si>
    <t>AMK4IA</t>
  </si>
  <si>
    <t>N9A80+SJ048700</t>
  </si>
  <si>
    <t>11#-14#+18#~25#</t>
  </si>
  <si>
    <t>N9A80;SJ048700</t>
  </si>
  <si>
    <t>HF00807</t>
  </si>
  <si>
    <t>AMK4IB</t>
  </si>
  <si>
    <t>N9A80+SJ049200</t>
  </si>
  <si>
    <t>15#-25#+3#~24#</t>
  </si>
  <si>
    <t>N9A80;SJ049200</t>
  </si>
  <si>
    <t>需Bumping</t>
  </si>
  <si>
    <t>A42B0</t>
  </si>
  <si>
    <t>HF00808</t>
  </si>
  <si>
    <t>KT4IC</t>
  </si>
  <si>
    <t>N99ST</t>
  </si>
  <si>
    <t>HF00809</t>
  </si>
  <si>
    <t>KT4ID</t>
  </si>
  <si>
    <t>N99ST-1</t>
  </si>
  <si>
    <t>HF00810</t>
  </si>
  <si>
    <t>VL4IE</t>
  </si>
  <si>
    <t>N9AF6</t>
  </si>
  <si>
    <t>N9AF6-1</t>
  </si>
  <si>
    <t>HF00811</t>
  </si>
  <si>
    <t>VL4IF</t>
  </si>
  <si>
    <t>HF00812</t>
  </si>
  <si>
    <t>VL4IG</t>
  </si>
  <si>
    <t>N9AF9</t>
  </si>
  <si>
    <t>HF00813</t>
  </si>
  <si>
    <t>VL4IH</t>
  </si>
  <si>
    <t>N9AF9-1</t>
  </si>
  <si>
    <t>HF00816</t>
  </si>
  <si>
    <t>VB4JA</t>
  </si>
  <si>
    <t>N9C12</t>
  </si>
  <si>
    <t>HF00817</t>
  </si>
  <si>
    <t>VB4JB</t>
  </si>
  <si>
    <t>N9C12-1</t>
  </si>
  <si>
    <t>HF00818</t>
  </si>
  <si>
    <t>TW4JA</t>
  </si>
  <si>
    <t>N9AJ3</t>
  </si>
  <si>
    <t>HF00819</t>
  </si>
  <si>
    <t>TW4JB</t>
  </si>
  <si>
    <t>N9AJ3-1</t>
  </si>
  <si>
    <t>HF00820</t>
  </si>
  <si>
    <t>TW4JC</t>
  </si>
  <si>
    <t>N9AW5</t>
  </si>
  <si>
    <t>HF00821</t>
  </si>
  <si>
    <t>TW4JD</t>
  </si>
  <si>
    <t>N9AW5-1</t>
  </si>
  <si>
    <t>HF00822</t>
  </si>
  <si>
    <t>PT4JA</t>
  </si>
  <si>
    <t>N9AWN</t>
  </si>
  <si>
    <t>HF00823</t>
  </si>
  <si>
    <t>PT4JB</t>
  </si>
  <si>
    <t>N9AWN-1</t>
  </si>
  <si>
    <t>HF00824</t>
  </si>
  <si>
    <t>PT4JC</t>
  </si>
  <si>
    <t>N9AWR</t>
  </si>
  <si>
    <t>HF00825</t>
  </si>
  <si>
    <t>PT4JD</t>
  </si>
  <si>
    <t>N9AWR-1</t>
  </si>
  <si>
    <t>HF00826</t>
  </si>
  <si>
    <t>WQ4JA</t>
  </si>
  <si>
    <t>N8PFN.03</t>
  </si>
  <si>
    <t>HF00827</t>
  </si>
  <si>
    <t>AKW4JA</t>
  </si>
  <si>
    <t>N9A7W+SJ061800</t>
  </si>
  <si>
    <t>1#-9#+4#,6#~14#</t>
  </si>
  <si>
    <t>N9A7W;SJ061800</t>
  </si>
  <si>
    <t>HF00828</t>
  </si>
  <si>
    <t>AKW4JB</t>
  </si>
  <si>
    <t>16+18</t>
  </si>
  <si>
    <t>N9A7W+SJ074100</t>
  </si>
  <si>
    <t>10#-25#+1#-18#</t>
  </si>
  <si>
    <t>N9A7W;SJ074100</t>
  </si>
  <si>
    <t>HF00829</t>
  </si>
  <si>
    <t>AKW4JC</t>
  </si>
  <si>
    <t>N9A7Y+(SJ061800+SJ074100)</t>
  </si>
  <si>
    <t>1#-16#+(15#~25#+19#-25#)</t>
  </si>
  <si>
    <t>N9A7Y;(SJ061800+SJ074100)</t>
  </si>
  <si>
    <t>HF00830</t>
  </si>
  <si>
    <t>AML4JA</t>
  </si>
  <si>
    <t>N9AHN+SJ039100</t>
  </si>
  <si>
    <t>1#-12#+1#~24#</t>
  </si>
  <si>
    <t>N9AHN;SJ039100</t>
  </si>
  <si>
    <t>HF00831</t>
  </si>
  <si>
    <t>AML4JB</t>
  </si>
  <si>
    <t>N9AHN+(SJ039500+SJ039100)</t>
  </si>
  <si>
    <t>13#-25#+(1#~25#+25#)</t>
  </si>
  <si>
    <t>N9AHN;(SJ039500+SJ039100)</t>
  </si>
  <si>
    <t>HF00832</t>
  </si>
  <si>
    <t>JX4JA</t>
  </si>
  <si>
    <t>N9C13</t>
  </si>
  <si>
    <t>1#-5#</t>
  </si>
  <si>
    <t>HF00833</t>
  </si>
  <si>
    <t>TW4JE</t>
  </si>
  <si>
    <t>N9AW4</t>
  </si>
  <si>
    <t>HF00834</t>
  </si>
  <si>
    <t>TW4JF</t>
  </si>
  <si>
    <t>N9AW4-1</t>
  </si>
  <si>
    <t>HF00835</t>
  </si>
  <si>
    <t>TW4JG</t>
  </si>
  <si>
    <t>N9AW3</t>
  </si>
  <si>
    <t>HF00836</t>
  </si>
  <si>
    <t>TW4JH</t>
  </si>
  <si>
    <t>N9AW3-1</t>
  </si>
  <si>
    <t>HF00837</t>
  </si>
  <si>
    <t>EF4JA</t>
  </si>
  <si>
    <t>N9AJ1</t>
  </si>
  <si>
    <t>HF00838</t>
  </si>
  <si>
    <t>EF4JB</t>
  </si>
  <si>
    <t>N9AJ1-1</t>
  </si>
  <si>
    <t>HF00839</t>
  </si>
  <si>
    <t>Aa4JA</t>
  </si>
  <si>
    <t>N9AST</t>
  </si>
  <si>
    <t>N9AST-1</t>
  </si>
  <si>
    <t>HF00840</t>
  </si>
  <si>
    <t>Aa4JB</t>
  </si>
  <si>
    <t>HF00841</t>
  </si>
  <si>
    <t>VL4JA</t>
  </si>
  <si>
    <t>N9ASW</t>
  </si>
  <si>
    <t>HF00842</t>
  </si>
  <si>
    <t>VL4JB</t>
  </si>
  <si>
    <t>N9ASW-1</t>
  </si>
  <si>
    <t>HF00843</t>
  </si>
  <si>
    <t>VL4JC</t>
  </si>
  <si>
    <t>N9AT0</t>
  </si>
  <si>
    <t>HF00844</t>
  </si>
  <si>
    <t>VL4JD</t>
  </si>
  <si>
    <t>N9AT0-1</t>
  </si>
  <si>
    <t>HF00845</t>
  </si>
  <si>
    <t>VL4JE</t>
  </si>
  <si>
    <t>N9AF7</t>
  </si>
  <si>
    <t>N9AF7-1</t>
  </si>
  <si>
    <t>HF00846</t>
  </si>
  <si>
    <t>VL4JF</t>
  </si>
  <si>
    <t>HF00847</t>
  </si>
  <si>
    <t>VL4JG</t>
  </si>
  <si>
    <t>N9AF8</t>
  </si>
  <si>
    <t>HF00848</t>
  </si>
  <si>
    <t>VL4JH</t>
  </si>
  <si>
    <t>N9AF8-1</t>
  </si>
  <si>
    <t>HF00849</t>
  </si>
  <si>
    <t>JR4JA</t>
  </si>
  <si>
    <t>N9ASS</t>
  </si>
  <si>
    <t>HF00850</t>
  </si>
  <si>
    <t>JR4JB</t>
  </si>
  <si>
    <t>N9ASS-1</t>
  </si>
  <si>
    <t>HF00851</t>
  </si>
  <si>
    <t>AIV4JA</t>
  </si>
  <si>
    <t>9#~25#</t>
  </si>
  <si>
    <t>N8CWH-1</t>
  </si>
  <si>
    <t>HF00852</t>
  </si>
  <si>
    <t>AIV4JB</t>
  </si>
  <si>
    <t>N8CWF.02</t>
  </si>
  <si>
    <t>HF00853</t>
  </si>
  <si>
    <t>AJM4JA</t>
  </si>
  <si>
    <t>N8WAH+(SJ048400+SJ049200)</t>
  </si>
  <si>
    <t>10#~22#+(1#~25#+25#)</t>
  </si>
  <si>
    <t>N8WAH;(SJ048400+SJ049200)</t>
  </si>
  <si>
    <t>HF00854</t>
  </si>
  <si>
    <t>AML4JC</t>
  </si>
  <si>
    <t>N9AHM+SJ039400</t>
  </si>
  <si>
    <t>N9AHM;SJ039400</t>
  </si>
  <si>
    <t>HF00855</t>
  </si>
  <si>
    <t>AML4JD</t>
  </si>
  <si>
    <t>N9AHM+(SJ041200+SJ039400)</t>
  </si>
  <si>
    <t>N9AHM;(SJ041200+SJ039400)</t>
  </si>
  <si>
    <t>HF00857</t>
  </si>
  <si>
    <t>AHI4JA</t>
  </si>
  <si>
    <t>N8WAK</t>
  </si>
  <si>
    <t>5#-25#</t>
  </si>
  <si>
    <t>V5501</t>
  </si>
  <si>
    <t>HF00858</t>
  </si>
  <si>
    <t>V54JA</t>
  </si>
  <si>
    <t>N98YK.04</t>
  </si>
  <si>
    <t>3#-6#</t>
  </si>
  <si>
    <t>HF00860</t>
  </si>
  <si>
    <t>AQX4JA</t>
  </si>
  <si>
    <t>N92AR+(SJ060200+SJ060203)</t>
  </si>
  <si>
    <t>22#~25#+(18#~25#+1#~2#,4#~8#)</t>
  </si>
  <si>
    <t>(SJ060200+SJ060203);N92AR</t>
  </si>
  <si>
    <t>Relabel SYLS83FAC</t>
  </si>
  <si>
    <t>HF00861</t>
  </si>
  <si>
    <t>Relabel SYK491FAC</t>
  </si>
  <si>
    <t>HF00862</t>
  </si>
  <si>
    <t>HF00863</t>
  </si>
  <si>
    <t>GZ4JA</t>
  </si>
  <si>
    <t>N9AW1</t>
  </si>
  <si>
    <t>HF00864</t>
  </si>
  <si>
    <t>GZ4JB</t>
  </si>
  <si>
    <t>N9AW1-1</t>
  </si>
  <si>
    <t>HF00865</t>
  </si>
  <si>
    <t>JW4JB</t>
  </si>
  <si>
    <t>N9C3N</t>
  </si>
  <si>
    <t>HF00866</t>
  </si>
  <si>
    <t>HB4JA</t>
  </si>
  <si>
    <t>N9C3Q</t>
  </si>
  <si>
    <t>HF00867</t>
  </si>
  <si>
    <t>HB4JB</t>
  </si>
  <si>
    <t>N9C3Q-1</t>
  </si>
  <si>
    <t>HF00868</t>
  </si>
  <si>
    <t>APS4JA</t>
  </si>
  <si>
    <t>7+19</t>
  </si>
  <si>
    <t>N93P1.03+SJ065200</t>
  </si>
  <si>
    <t>1#~7#+1#~19#</t>
  </si>
  <si>
    <t>N93P1.03;SJ065200</t>
  </si>
  <si>
    <t>HF00869</t>
  </si>
  <si>
    <t>AJU4JA</t>
  </si>
  <si>
    <t>(N8QMG+N8WAH)+SJ062500</t>
  </si>
  <si>
    <t>(24#~25#+23#~25#)+21#~25#</t>
  </si>
  <si>
    <t>(N8QMG+N8WAH);SJ062500</t>
  </si>
  <si>
    <t>HF00870</t>
  </si>
  <si>
    <t>AJU4JB</t>
  </si>
  <si>
    <t>15+17</t>
  </si>
  <si>
    <t>N8WAJ+SJ062600</t>
  </si>
  <si>
    <t>11#~25#+1#~17#</t>
  </si>
  <si>
    <t>N8WAJ;SJ062600</t>
  </si>
  <si>
    <t>HF00871</t>
  </si>
  <si>
    <t>AJU4JC</t>
  </si>
  <si>
    <t>7+8</t>
  </si>
  <si>
    <t>N90KA+SJ062600</t>
  </si>
  <si>
    <t>10#~16#+18#~25#</t>
  </si>
  <si>
    <t>N90KA;SJ062600</t>
  </si>
  <si>
    <t>HF00872</t>
  </si>
  <si>
    <t>AJU4JD</t>
  </si>
  <si>
    <t>N90KA+SJ061900</t>
  </si>
  <si>
    <t>17#~25#+1#~10#</t>
  </si>
  <si>
    <t>N90KA;SJ061900</t>
  </si>
  <si>
    <t>HF00873</t>
  </si>
  <si>
    <t>AJU4JE</t>
  </si>
  <si>
    <t>N9137+SJ061900</t>
  </si>
  <si>
    <t>1#~9#+11#~20#</t>
  </si>
  <si>
    <t>N9137;SJ061900</t>
  </si>
  <si>
    <t>HF00874</t>
  </si>
  <si>
    <t>GZ4JC</t>
  </si>
  <si>
    <t>N9C3W.01</t>
  </si>
  <si>
    <t>HF00875</t>
  </si>
  <si>
    <t>WQ4JB</t>
  </si>
  <si>
    <t>N9C42</t>
  </si>
  <si>
    <t>HF00877</t>
  </si>
  <si>
    <t>GZ4JD</t>
  </si>
  <si>
    <t>N9C3S.04</t>
  </si>
  <si>
    <t>1#~4#,6#</t>
  </si>
  <si>
    <t>HF00878</t>
  </si>
  <si>
    <t>PR4JA</t>
  </si>
  <si>
    <t>N8YM8.02</t>
  </si>
  <si>
    <t>HF00879</t>
  </si>
  <si>
    <t>TB4JA</t>
  </si>
  <si>
    <t>N9C3S.05</t>
  </si>
  <si>
    <t>7#~21#</t>
  </si>
  <si>
    <t>HF00880</t>
  </si>
  <si>
    <t>TW4JI</t>
  </si>
  <si>
    <t>N9CPK</t>
  </si>
  <si>
    <t>HF00881</t>
  </si>
  <si>
    <t>TW4JJ</t>
  </si>
  <si>
    <t>N9CPK-1</t>
  </si>
  <si>
    <t>HF00882</t>
  </si>
  <si>
    <t>EF4JC</t>
  </si>
  <si>
    <t>N9CHL</t>
  </si>
  <si>
    <t>HF00883</t>
  </si>
  <si>
    <t>EF4JD</t>
  </si>
  <si>
    <t>N9CHL-1</t>
  </si>
  <si>
    <t>HF00884</t>
  </si>
  <si>
    <t>EF4JE</t>
  </si>
  <si>
    <t>N9CHM</t>
  </si>
  <si>
    <t>HF00885</t>
  </si>
  <si>
    <t>EF4JF</t>
  </si>
  <si>
    <t>N9CHM-1</t>
  </si>
  <si>
    <t>HF00886</t>
  </si>
  <si>
    <t>EF4JG</t>
  </si>
  <si>
    <t>N9CHN</t>
  </si>
  <si>
    <t>HF00887</t>
  </si>
  <si>
    <t>EF4JH</t>
  </si>
  <si>
    <t>N9CHN-1</t>
  </si>
  <si>
    <t>HF00888</t>
  </si>
  <si>
    <t>EF4JI</t>
  </si>
  <si>
    <t>N9CHP</t>
  </si>
  <si>
    <t>HF00889</t>
  </si>
  <si>
    <t>EF4JJ</t>
  </si>
  <si>
    <t>N9CHP-1</t>
  </si>
  <si>
    <t>HF00891</t>
  </si>
  <si>
    <t>JR4JC</t>
  </si>
  <si>
    <t>N9C8G</t>
  </si>
  <si>
    <t>HF00892</t>
  </si>
  <si>
    <t>JR4JD</t>
  </si>
  <si>
    <t>N9C8G-1</t>
  </si>
  <si>
    <t>HF00893</t>
  </si>
  <si>
    <t>WQ4JC</t>
  </si>
  <si>
    <t>N9C43</t>
  </si>
  <si>
    <t>HF00894</t>
  </si>
  <si>
    <t>XO4JA</t>
  </si>
  <si>
    <t>N94CK.11</t>
  </si>
  <si>
    <t>HF00895</t>
  </si>
  <si>
    <t>AKW4JD</t>
  </si>
  <si>
    <t>N9A7Y+SJ074000</t>
  </si>
  <si>
    <t>17#-25#+1#-10#</t>
  </si>
  <si>
    <t>N9A7Y;SJ074000</t>
  </si>
  <si>
    <t>HF00896</t>
  </si>
  <si>
    <t>AKW4JE</t>
  </si>
  <si>
    <t>N9AW0+SJ074000</t>
  </si>
  <si>
    <t>1#~9#+11#-20#</t>
  </si>
  <si>
    <t>N9AW0;SJ074000</t>
  </si>
  <si>
    <t>HF00897</t>
  </si>
  <si>
    <t>AMK4JA</t>
  </si>
  <si>
    <t>N9C3T+SJ045600</t>
  </si>
  <si>
    <t>N9C3T;SJ045600</t>
  </si>
  <si>
    <t>HF00898</t>
  </si>
  <si>
    <t>AMK4JB</t>
  </si>
  <si>
    <t>N9C3T+(SJ046900+SJ045600)</t>
  </si>
  <si>
    <t>N9C3T;(SJ046900+SJ045600)</t>
  </si>
  <si>
    <t>HF00899</t>
  </si>
  <si>
    <t>TW4JK</t>
  </si>
  <si>
    <t>N9CPP</t>
  </si>
  <si>
    <t>HF00900</t>
  </si>
  <si>
    <t>TW4JL</t>
  </si>
  <si>
    <t>N9CPP-1</t>
  </si>
  <si>
    <t>HF00901</t>
  </si>
  <si>
    <t>AMJ4JA</t>
  </si>
  <si>
    <t>N9ATT+SJ065300</t>
  </si>
  <si>
    <t>1#-9#+1#~25#</t>
  </si>
  <si>
    <t>N9ATT;SJ065300</t>
  </si>
  <si>
    <t>HF00902</t>
  </si>
  <si>
    <t>AMJ4JB</t>
  </si>
  <si>
    <t>N9ATT+SJ065200</t>
  </si>
  <si>
    <t>10#-11#+21#~25#</t>
  </si>
  <si>
    <t>N9ATT;SJ065200</t>
  </si>
  <si>
    <t>HF00903</t>
  </si>
  <si>
    <t>AML4JE</t>
  </si>
  <si>
    <t>N9ATT+SJ039800</t>
  </si>
  <si>
    <t>12#-23#+2#~25#</t>
  </si>
  <si>
    <t>N9ATT;SJ039800</t>
  </si>
  <si>
    <t>HF00904</t>
  </si>
  <si>
    <t>VL4JI</t>
  </si>
  <si>
    <t>N9ASY.01</t>
  </si>
  <si>
    <t>HF00905</t>
  </si>
  <si>
    <t>VL4JJ</t>
  </si>
  <si>
    <t>N9ASY.01-1</t>
  </si>
  <si>
    <t>HF00907</t>
  </si>
  <si>
    <t>JD4KA</t>
  </si>
  <si>
    <t>6#-15#</t>
  </si>
  <si>
    <t>N9C13-1</t>
  </si>
  <si>
    <t>HF00908</t>
  </si>
  <si>
    <t>JD4KB</t>
  </si>
  <si>
    <t>N9C14</t>
  </si>
  <si>
    <t>HF00909</t>
  </si>
  <si>
    <t>JD4KC</t>
  </si>
  <si>
    <t>N9C14-1</t>
  </si>
  <si>
    <t>HF00910</t>
  </si>
  <si>
    <t>JD4KD</t>
  </si>
  <si>
    <t>N9F07</t>
  </si>
  <si>
    <t>HF00911</t>
  </si>
  <si>
    <t>JD4KE</t>
  </si>
  <si>
    <t>N9F07-1</t>
  </si>
  <si>
    <t>HF00912</t>
  </si>
  <si>
    <t>JD4KF</t>
  </si>
  <si>
    <t>N9F02</t>
  </si>
  <si>
    <t>HF00913</t>
  </si>
  <si>
    <t>JD4KG</t>
  </si>
  <si>
    <t>N9F02-1</t>
  </si>
  <si>
    <t>HF00914</t>
  </si>
  <si>
    <t>VB4KA</t>
  </si>
  <si>
    <t>N9C13.01</t>
  </si>
  <si>
    <t>16#-25#</t>
  </si>
  <si>
    <t>HF00915</t>
  </si>
  <si>
    <t>KT4KA</t>
  </si>
  <si>
    <t>N971C.07</t>
  </si>
  <si>
    <t>2#-4#</t>
  </si>
  <si>
    <t>HF00916</t>
  </si>
  <si>
    <t>VL4KA</t>
  </si>
  <si>
    <t>N9F4H</t>
  </si>
  <si>
    <t>HF00917</t>
  </si>
  <si>
    <t>VL4KB</t>
  </si>
  <si>
    <t>N9F4H-1</t>
  </si>
  <si>
    <t>HF00918</t>
  </si>
  <si>
    <t>HB4KA</t>
  </si>
  <si>
    <t>N9CYY</t>
  </si>
  <si>
    <t>HF00919</t>
  </si>
  <si>
    <t>HB4KB</t>
  </si>
  <si>
    <t>N9CYY-1</t>
  </si>
  <si>
    <t>HF00921</t>
  </si>
  <si>
    <t>PT4KB</t>
  </si>
  <si>
    <t>N9C3N-2</t>
  </si>
  <si>
    <t>HF00922</t>
  </si>
  <si>
    <t>AHI4KA</t>
  </si>
  <si>
    <t>N8WAK.02</t>
  </si>
  <si>
    <t>HF00923</t>
  </si>
  <si>
    <t>WQ4KA</t>
  </si>
  <si>
    <t>N9C43.02</t>
  </si>
  <si>
    <t>HF00924</t>
  </si>
  <si>
    <t>Aa4KA</t>
  </si>
  <si>
    <t>N9F4C</t>
  </si>
  <si>
    <t>HF00925</t>
  </si>
  <si>
    <t>HB4KC</t>
  </si>
  <si>
    <t>N9CYW</t>
  </si>
  <si>
    <t>HF00926</t>
  </si>
  <si>
    <t>HB4KD</t>
  </si>
  <si>
    <t>N9CYW-1</t>
  </si>
  <si>
    <t>HF00927</t>
  </si>
  <si>
    <t>HB4KE</t>
  </si>
  <si>
    <t>N9CYS</t>
  </si>
  <si>
    <t>HF00928</t>
  </si>
  <si>
    <t>HB4KF</t>
  </si>
  <si>
    <t>N9CYS-1</t>
  </si>
  <si>
    <t>HF00929</t>
  </si>
  <si>
    <t>HB4KG</t>
  </si>
  <si>
    <t xml:space="preserve"> 20#-25#</t>
  </si>
  <si>
    <t>N9CYS-2</t>
  </si>
  <si>
    <t>HF00931</t>
  </si>
  <si>
    <t>AMY4KA</t>
  </si>
  <si>
    <t>N9ATY+SJ006000</t>
  </si>
  <si>
    <t>1#~6#+1#~5#,7#~18#</t>
  </si>
  <si>
    <t>N9ATY;SJ006000</t>
  </si>
  <si>
    <t>HF00932</t>
  </si>
  <si>
    <t>TW4KA</t>
  </si>
  <si>
    <t>N9CPL</t>
  </si>
  <si>
    <t>HF00933</t>
  </si>
  <si>
    <t>TW4KB</t>
  </si>
  <si>
    <t>N9CPL-1</t>
  </si>
  <si>
    <t>HF00937</t>
  </si>
  <si>
    <t>TW4KF</t>
  </si>
  <si>
    <t>N9CPN</t>
  </si>
  <si>
    <t>N9CPN-1</t>
  </si>
  <si>
    <t>SY6823DFC</t>
  </si>
  <si>
    <t>C22A0</t>
  </si>
  <si>
    <t>HF00938</t>
  </si>
  <si>
    <t>DFN2*2-8(FC)</t>
  </si>
  <si>
    <t>WP4KA</t>
  </si>
  <si>
    <t xml:space="preserve">N91NW.05 </t>
  </si>
  <si>
    <t>3#</t>
  </si>
  <si>
    <t>N91NW.05</t>
  </si>
  <si>
    <t>HF00939</t>
  </si>
  <si>
    <t>GZ4KA</t>
  </si>
  <si>
    <t>N9G42</t>
  </si>
  <si>
    <t>HF00940</t>
  </si>
  <si>
    <t>LX4KA</t>
  </si>
  <si>
    <t>N9FTC</t>
  </si>
  <si>
    <t>HF00941</t>
  </si>
  <si>
    <t>NA4KA</t>
  </si>
  <si>
    <t>8#-10#</t>
  </si>
  <si>
    <t>N9843.02-1</t>
  </si>
  <si>
    <t>HF00942</t>
  </si>
  <si>
    <t>KW4KA</t>
  </si>
  <si>
    <t>N9G99.02</t>
  </si>
  <si>
    <t>1#-10#</t>
  </si>
  <si>
    <t>HF00943</t>
  </si>
  <si>
    <t>VC4KA</t>
  </si>
  <si>
    <t>12#~19#</t>
  </si>
  <si>
    <t>N99N6-3</t>
  </si>
  <si>
    <t>HF00944</t>
  </si>
  <si>
    <t>NT4KA</t>
  </si>
  <si>
    <t>N9G99.03</t>
  </si>
  <si>
    <t>11#-18#</t>
  </si>
  <si>
    <t>HF00945</t>
  </si>
  <si>
    <t>KT4KB</t>
  </si>
  <si>
    <t>N9FK4</t>
  </si>
  <si>
    <t>HF00946</t>
  </si>
  <si>
    <t>KT4KC</t>
  </si>
  <si>
    <t>N9FK4-1</t>
  </si>
  <si>
    <t>HF00947</t>
  </si>
  <si>
    <t>KT4KD</t>
  </si>
  <si>
    <t>N9FK3</t>
  </si>
  <si>
    <t>8#-16#</t>
  </si>
  <si>
    <t>HF00948</t>
  </si>
  <si>
    <t>KT4KE</t>
  </si>
  <si>
    <t>17#-25#</t>
  </si>
  <si>
    <t>N9FK3-1</t>
  </si>
  <si>
    <t>HF00949</t>
  </si>
  <si>
    <t>AHH4KA</t>
  </si>
  <si>
    <t>N9G2T</t>
  </si>
  <si>
    <t>3#-25#</t>
  </si>
  <si>
    <t>HF00950</t>
  </si>
  <si>
    <t>V54KA</t>
  </si>
  <si>
    <t>N9FSC</t>
  </si>
  <si>
    <t>HF00952</t>
  </si>
  <si>
    <t>ARC4KA</t>
  </si>
  <si>
    <t>N976P+SJ062100</t>
  </si>
  <si>
    <t>3#~10#+1#~15#</t>
  </si>
  <si>
    <t>SJ062100;N976P</t>
  </si>
  <si>
    <t>HF00953</t>
  </si>
  <si>
    <t>ARC4KB</t>
  </si>
  <si>
    <t>N976P+(SJ062100+SJ061900)</t>
  </si>
  <si>
    <t>11#~18#+(16#~25#+21#~25#)</t>
  </si>
  <si>
    <t>(SJ062100+SJ061900);N976P</t>
  </si>
  <si>
    <t>HF00954</t>
  </si>
  <si>
    <t>ARC4KC</t>
  </si>
  <si>
    <t>N976P+SJ062700</t>
  </si>
  <si>
    <t>SJ062700;N976P</t>
  </si>
  <si>
    <t>HF00955</t>
  </si>
  <si>
    <t>ARC4KD</t>
  </si>
  <si>
    <t>N976N+SJ062800</t>
  </si>
  <si>
    <t>SJ062800;N976N</t>
  </si>
  <si>
    <t>HF00956</t>
  </si>
  <si>
    <t>ARC4KE</t>
  </si>
  <si>
    <t>N976N+SJ065700</t>
  </si>
  <si>
    <t>SJ065700;N976N</t>
  </si>
  <si>
    <t>HF00957</t>
  </si>
  <si>
    <t>ARC4KF</t>
  </si>
  <si>
    <t>N976N+(SJ062700+SJ062800)</t>
  </si>
  <si>
    <t>17#~25#+(14#~25#+16#~20#)</t>
  </si>
  <si>
    <t>(SJ062700+SJ062800);N976N</t>
  </si>
  <si>
    <t>HF00958</t>
  </si>
  <si>
    <t>ARC4KG</t>
  </si>
  <si>
    <t>N985N+(SJ065700+SJ062800)</t>
  </si>
  <si>
    <t>1#~8#+(16#~25#+21#~25#)</t>
  </si>
  <si>
    <t>(SJ065700+SJ062800);N985N</t>
  </si>
  <si>
    <t>HF00959</t>
  </si>
  <si>
    <t>ARC4KH</t>
  </si>
  <si>
    <t>N985N+SJ066100</t>
  </si>
  <si>
    <t>SJ066100;N985N</t>
  </si>
  <si>
    <t>HF00960</t>
  </si>
  <si>
    <t>ARC4KI</t>
  </si>
  <si>
    <t>N985N+(SJ066100+SJ066800)</t>
  </si>
  <si>
    <t>17#~25#+(16#~25#+1#~7#)</t>
  </si>
  <si>
    <t>(SJ066100+SJ066800);N985N</t>
  </si>
  <si>
    <t>HF00961</t>
  </si>
  <si>
    <t>ALH4LA</t>
  </si>
  <si>
    <t>N9G45</t>
  </si>
  <si>
    <t>HF00963</t>
  </si>
  <si>
    <t>MH4LB</t>
  </si>
  <si>
    <t>N8QM6-2</t>
  </si>
  <si>
    <t>HF00964</t>
  </si>
  <si>
    <t>AJE4LA</t>
  </si>
  <si>
    <t>N93NP.01</t>
  </si>
  <si>
    <t>HF00965</t>
  </si>
  <si>
    <t>MN4LA</t>
  </si>
  <si>
    <t>N916Q.03</t>
  </si>
  <si>
    <t>HF00966</t>
  </si>
  <si>
    <t>KW4LA</t>
  </si>
  <si>
    <t>N9G98</t>
  </si>
  <si>
    <t>HF00967</t>
  </si>
  <si>
    <t>KW4LB</t>
  </si>
  <si>
    <t>N9G98-1</t>
  </si>
  <si>
    <t>HF00968</t>
  </si>
  <si>
    <t>KW4LC</t>
  </si>
  <si>
    <t>N9G9A</t>
  </si>
  <si>
    <t>HF00969</t>
  </si>
  <si>
    <t>KW4LD</t>
  </si>
  <si>
    <t>N9G9C</t>
  </si>
  <si>
    <t>HF00970</t>
  </si>
  <si>
    <t>KW4LE</t>
  </si>
  <si>
    <t>N9G9C-1</t>
  </si>
  <si>
    <t>HF00971</t>
  </si>
  <si>
    <t>VB4LA</t>
  </si>
  <si>
    <t>N9G9A.02</t>
  </si>
  <si>
    <t>HF00972</t>
  </si>
  <si>
    <t>VB4LB</t>
  </si>
  <si>
    <t>N9G9A.02-1</t>
  </si>
  <si>
    <t>HF00973</t>
  </si>
  <si>
    <t>UV4LA</t>
  </si>
  <si>
    <t>N9C0H</t>
  </si>
  <si>
    <t>HF00974</t>
  </si>
  <si>
    <t>UW4LA</t>
  </si>
  <si>
    <t>N9C0H-1</t>
  </si>
  <si>
    <t>HF00975</t>
  </si>
  <si>
    <t>VT4LA</t>
  </si>
  <si>
    <t>N9FSG</t>
  </si>
  <si>
    <t>11#-25#</t>
  </si>
  <si>
    <t>HF00976</t>
  </si>
  <si>
    <t>JW4LA</t>
  </si>
  <si>
    <t>N9CYT</t>
  </si>
  <si>
    <t>HF00977</t>
  </si>
  <si>
    <t>JR4LA</t>
  </si>
  <si>
    <t>N9C8H</t>
  </si>
  <si>
    <t>HF00978</t>
  </si>
  <si>
    <t>JR4LB</t>
  </si>
  <si>
    <t>N9C8H-1</t>
  </si>
  <si>
    <t>HF00979</t>
  </si>
  <si>
    <t>JR4LC</t>
  </si>
  <si>
    <t>N9FJP</t>
  </si>
  <si>
    <t>HF00980</t>
  </si>
  <si>
    <t>JR4LD</t>
  </si>
  <si>
    <t>N9FJP-1</t>
  </si>
  <si>
    <t>HF00981</t>
  </si>
  <si>
    <t>JR4LE</t>
  </si>
  <si>
    <t>N9FT4</t>
  </si>
  <si>
    <t>5#-14#</t>
  </si>
  <si>
    <t>HF00982</t>
  </si>
  <si>
    <t>JR4LF</t>
  </si>
  <si>
    <t>15#-25#</t>
  </si>
  <si>
    <t>N9FT4-1</t>
  </si>
  <si>
    <t>HF00983</t>
  </si>
  <si>
    <t>ADS4LA</t>
  </si>
  <si>
    <t>N9G2S</t>
  </si>
  <si>
    <t>N9G2S-1</t>
  </si>
  <si>
    <t>HF00984</t>
  </si>
  <si>
    <t>AHI4LA</t>
  </si>
  <si>
    <t>HF00985</t>
  </si>
  <si>
    <t>AMY4LA</t>
  </si>
  <si>
    <t>N9ATY+SJ006100</t>
  </si>
  <si>
    <t>7#~11#+7#~8#,10#~11#,13#~16#,18#~23#</t>
  </si>
  <si>
    <t>N9ATY;SJ006100</t>
  </si>
  <si>
    <t>HF00986</t>
  </si>
  <si>
    <t>YB4LD</t>
  </si>
  <si>
    <t>N9894+SJ066600</t>
  </si>
  <si>
    <t>1#-8#+1#-15#</t>
  </si>
  <si>
    <t>SJ066600;N9894</t>
  </si>
  <si>
    <t>HF00987</t>
  </si>
  <si>
    <t>YB4LE</t>
  </si>
  <si>
    <t>N9894+(SJ066600+SJ066700)</t>
  </si>
  <si>
    <t>9#-16#+(16#-25#+1#-5#)</t>
  </si>
  <si>
    <t>(SJ066600+SJ066700);N9894</t>
  </si>
  <si>
    <t>HF00988</t>
  </si>
  <si>
    <t>YB4LA</t>
  </si>
  <si>
    <t>N985P+SJ066700</t>
  </si>
  <si>
    <t>1#-8#+6#-20#</t>
  </si>
  <si>
    <t>SJ066700;N985P</t>
  </si>
  <si>
    <t>HF00989</t>
  </si>
  <si>
    <t>YB4LB</t>
  </si>
  <si>
    <t>N985P+(SJ066700+SJ065900)</t>
  </si>
  <si>
    <t>9#-16#+(21#-25#+1#-10#)</t>
  </si>
  <si>
    <t>(SJ066700+SJ065900);N985P</t>
  </si>
  <si>
    <t>HF00990</t>
  </si>
  <si>
    <t>YB4LC</t>
  </si>
  <si>
    <t>N985P+(SJ065900+SJ066800)</t>
  </si>
  <si>
    <t>17#-25#+(11#-12#,14#~25#+8#~10#)</t>
  </si>
  <si>
    <t>(SJ065900+SJ066800);N985P</t>
  </si>
  <si>
    <t>HF00991</t>
  </si>
  <si>
    <t>AJU4LA</t>
  </si>
  <si>
    <t>N9137+SJ066800</t>
  </si>
  <si>
    <t>10#~17#+11#~19#</t>
  </si>
  <si>
    <t>N9137;SJ066800</t>
  </si>
  <si>
    <t>HF00992</t>
  </si>
  <si>
    <t>AJM4LA</t>
  </si>
  <si>
    <t>N9138+SJ046700</t>
  </si>
  <si>
    <t>N9138;SJ046700</t>
  </si>
  <si>
    <t>HF00994</t>
  </si>
  <si>
    <t>AML4LA</t>
  </si>
  <si>
    <t>N9G46+SJ039700</t>
  </si>
  <si>
    <t>N9G46;SJ039700</t>
  </si>
  <si>
    <t>HF00995</t>
  </si>
  <si>
    <t>AML4LB</t>
  </si>
  <si>
    <t>N9G46+(SJ039300+SJ039700)</t>
  </si>
  <si>
    <t>N9G46;(SJ039300+SJ039700)</t>
  </si>
  <si>
    <t>HF00996</t>
  </si>
  <si>
    <t>AML4LC</t>
  </si>
  <si>
    <t>N9G43+SJ041400</t>
  </si>
  <si>
    <t>N9G43;SJ041400</t>
  </si>
  <si>
    <t>HF00997</t>
  </si>
  <si>
    <t>AML4LD</t>
  </si>
  <si>
    <t>N9G43+(SJ041300+SJ041400)</t>
  </si>
  <si>
    <t>N9G43;(SJ041300+SJ041400)</t>
  </si>
  <si>
    <t>HF00998</t>
  </si>
  <si>
    <t>AMJ4LA</t>
  </si>
  <si>
    <t>N9G44+SJ073200</t>
  </si>
  <si>
    <t>1#-9#+1#-25#</t>
  </si>
  <si>
    <t>N9G44;SJ073200</t>
  </si>
  <si>
    <t>HF00999</t>
  </si>
  <si>
    <t>AMJ4LB</t>
  </si>
  <si>
    <t>N9G44+SJ073700</t>
  </si>
  <si>
    <t>10#-18#+1#-25#</t>
  </si>
  <si>
    <t>N9G44;SJ073700</t>
  </si>
  <si>
    <t>HF01000</t>
  </si>
  <si>
    <t>AMJ4LC</t>
  </si>
  <si>
    <t>N9G44+SJ073400</t>
  </si>
  <si>
    <t>19#-25#+2#-21#</t>
  </si>
  <si>
    <t>N9G44;SJ073400</t>
  </si>
  <si>
    <t>HF01001</t>
  </si>
  <si>
    <t>AMM4LA</t>
  </si>
  <si>
    <t>N9G42.01+(SJ027800+SJ027804)</t>
  </si>
  <si>
    <t>1#~9#+(1#~20#,22#~25#+21#)</t>
  </si>
  <si>
    <t>N9G42.01;(SJ027800+SJ027804)</t>
  </si>
  <si>
    <t>HF01002</t>
  </si>
  <si>
    <t>AMM4LB</t>
  </si>
  <si>
    <t>N9G42.01+SJ027900</t>
  </si>
  <si>
    <t>10#-15#+3#~19#</t>
  </si>
  <si>
    <t>N9G42.01;SJ027900</t>
  </si>
  <si>
    <t>E10E2</t>
  </si>
  <si>
    <t>HF01003</t>
  </si>
  <si>
    <t>ARV4LA</t>
  </si>
  <si>
    <t>N94CK.07</t>
  </si>
  <si>
    <t>N94CK.07-1</t>
  </si>
  <si>
    <t>SY8704FCC</t>
  </si>
  <si>
    <t>HF01004</t>
  </si>
  <si>
    <t>AJQ4LA</t>
  </si>
  <si>
    <t>N9G41</t>
  </si>
  <si>
    <t>1#-2#</t>
  </si>
  <si>
    <t>HF01005</t>
  </si>
  <si>
    <t>AQT4LA</t>
  </si>
  <si>
    <t>N92J0+(SJ059900+SJ058800)</t>
  </si>
  <si>
    <t>16#~20#+(1#~13#,15#~25#+1#~2#)</t>
  </si>
  <si>
    <t>(SJ059900+SJ058800);N92J0</t>
  </si>
  <si>
    <t>HF01006</t>
  </si>
  <si>
    <t>AQT4LB</t>
  </si>
  <si>
    <t>N92J0+SJ058800</t>
  </si>
  <si>
    <t>21#~24#+3#~12#,14#,15#,17#~25#</t>
  </si>
  <si>
    <t>SJ058800;N92J0</t>
  </si>
  <si>
    <t>SY58110AAC</t>
  </si>
  <si>
    <t>E34C2+A2X03A</t>
  </si>
  <si>
    <t>HF01007</t>
  </si>
  <si>
    <t>WM4LA</t>
  </si>
  <si>
    <t>N947H.02+EP285400</t>
  </si>
  <si>
    <t>23#+12#~13#</t>
  </si>
  <si>
    <t>EP285400;N947H.02</t>
  </si>
  <si>
    <t>HF01009</t>
  </si>
  <si>
    <t>AMK4LB</t>
  </si>
  <si>
    <t>N9GRS+(SJ048500+SJ046700)</t>
  </si>
  <si>
    <t>N9GRS;(SJ048500+SJ046700)</t>
  </si>
  <si>
    <t>HF01010</t>
  </si>
  <si>
    <t>AML4LE</t>
  </si>
  <si>
    <t>N9GRY+SJ039600</t>
  </si>
  <si>
    <t>N9GRY;SJ039600</t>
  </si>
  <si>
    <t>HF01011</t>
  </si>
  <si>
    <t>AML4LF</t>
  </si>
  <si>
    <t>N9GRY+(SJ057100+SJ039600)</t>
  </si>
  <si>
    <t>N9GRY;(SJ057100+SJ039600)</t>
  </si>
  <si>
    <t>HF01012</t>
  </si>
  <si>
    <t>GZ4LA</t>
  </si>
  <si>
    <t>N9GRW</t>
  </si>
  <si>
    <t>SOT235140623013</t>
  </si>
  <si>
    <t>HF01013</t>
  </si>
  <si>
    <t>GZ4LB</t>
  </si>
  <si>
    <t>N9GRW-1</t>
  </si>
  <si>
    <t>HF01014</t>
  </si>
  <si>
    <t>TB4LA</t>
  </si>
  <si>
    <t>N9H4L</t>
  </si>
  <si>
    <t>HF01015</t>
  </si>
  <si>
    <t>AKL4LA</t>
  </si>
  <si>
    <t xml:space="preserve">N9C3S </t>
  </si>
  <si>
    <t>N9C3S</t>
  </si>
  <si>
    <t>HF01016</t>
  </si>
  <si>
    <t>AMK4LC</t>
  </si>
  <si>
    <t xml:space="preserve">N9H4J+SJ056400 </t>
  </si>
  <si>
    <t>1#~12#+(1#~24#)</t>
  </si>
  <si>
    <t>N9H4J;SJ056400</t>
  </si>
  <si>
    <t>HF01017</t>
  </si>
  <si>
    <t>AMK4LD</t>
  </si>
  <si>
    <t>N9H4J+(SJ056500+SJ056400)</t>
  </si>
  <si>
    <t>N9H4J;(SJ056500+SJ056400)</t>
  </si>
  <si>
    <t>HF01018</t>
  </si>
  <si>
    <t>AMJ4LD</t>
  </si>
  <si>
    <t>9+26</t>
  </si>
  <si>
    <t>N9H4K+(SJ074600+SJ073400)</t>
  </si>
  <si>
    <t>1#-9#+(1#~25#+25#)</t>
  </si>
  <si>
    <t>N9H4K;(SJ074600+SJ073400)</t>
  </si>
  <si>
    <t>HF01019</t>
  </si>
  <si>
    <t>AMJ4LE</t>
  </si>
  <si>
    <t>N9H4K+(SJ073600+SJ073602)</t>
  </si>
  <si>
    <t>10#~18#+(1#~12#,15#~25#+13# 14#)</t>
  </si>
  <si>
    <t>N9H4K;(SJ073600+SJ073602)</t>
  </si>
  <si>
    <t>HF01020</t>
  </si>
  <si>
    <t>AMJ4LF</t>
  </si>
  <si>
    <t>N9H4K+SJ073800</t>
  </si>
  <si>
    <t>19#~25#+1#~19#</t>
  </si>
  <si>
    <t>N9H4K;SJ073800</t>
  </si>
  <si>
    <t>HF01021</t>
  </si>
  <si>
    <t>KW4LF</t>
  </si>
  <si>
    <t>N9HKJ</t>
  </si>
  <si>
    <t>HF01022</t>
  </si>
  <si>
    <t>KW4LG</t>
  </si>
  <si>
    <t>N9HKJ-1</t>
  </si>
  <si>
    <t>HF01023</t>
  </si>
  <si>
    <t>KW4LH</t>
  </si>
  <si>
    <t>N9HKA</t>
  </si>
  <si>
    <t>HF01024</t>
  </si>
  <si>
    <t>KW4LI</t>
  </si>
  <si>
    <t>N9HKA-1</t>
  </si>
  <si>
    <t>HF01025</t>
  </si>
  <si>
    <t>AHI4LB</t>
  </si>
  <si>
    <t>N9HCM</t>
  </si>
  <si>
    <t>HF01026</t>
  </si>
  <si>
    <t>AHH4LA</t>
  </si>
  <si>
    <t>N9HCN</t>
  </si>
  <si>
    <t>SY8029AIC</t>
  </si>
  <si>
    <t>A70A0</t>
  </si>
  <si>
    <t>HF01027</t>
  </si>
  <si>
    <t>TSOT23-8</t>
  </si>
  <si>
    <t>ZY4LA</t>
  </si>
  <si>
    <t>N97QC.03</t>
  </si>
  <si>
    <t>5#,6#</t>
  </si>
  <si>
    <t>SY50135FAC</t>
  </si>
  <si>
    <t>E51G0+A2X07A</t>
  </si>
  <si>
    <t>HF01028</t>
  </si>
  <si>
    <t>ATH4LA</t>
  </si>
  <si>
    <t>2+(5+4)</t>
  </si>
  <si>
    <t>N9HFY+(SJ060203+SJ065500)</t>
  </si>
  <si>
    <t>22#-23#+((12#~14#,16#,17#)+20#~23#)</t>
  </si>
  <si>
    <t>(SJ060203+SJ065500);N9HFY</t>
  </si>
  <si>
    <t>SY50103CFAC</t>
  </si>
  <si>
    <t>E51G0+A2X01A</t>
  </si>
  <si>
    <t>HF01029</t>
  </si>
  <si>
    <t>ASK4LA</t>
  </si>
  <si>
    <t>N9HFY+SJ073300</t>
  </si>
  <si>
    <t>24#-25#+1#-6#</t>
  </si>
  <si>
    <t>N9HFY;SJ073300</t>
  </si>
  <si>
    <t>E02R3</t>
  </si>
  <si>
    <t>HF01030</t>
  </si>
  <si>
    <t>AGB4LA</t>
  </si>
  <si>
    <t>N923N.01</t>
  </si>
  <si>
    <t>N923N.01-1</t>
  </si>
  <si>
    <t>HF01031</t>
  </si>
  <si>
    <t>AQF4LA</t>
  </si>
  <si>
    <t>N9H8K.02+N86NP.07</t>
  </si>
  <si>
    <t>4#+10#</t>
  </si>
  <si>
    <t>N9H8K.02;N86NP.07-1</t>
  </si>
  <si>
    <t>SY5839ABC</t>
  </si>
  <si>
    <t>E10G3</t>
  </si>
  <si>
    <t>HF01032</t>
  </si>
  <si>
    <t>ZT4LA</t>
  </si>
  <si>
    <t>0.9+1</t>
  </si>
  <si>
    <t>N94CK.12</t>
  </si>
  <si>
    <r>
      <rPr>
        <sz val="10"/>
        <rFont val="Arial"/>
        <family val="2"/>
        <charset val="134"/>
      </rPr>
      <t>8#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+9#</t>
    </r>
  </si>
  <si>
    <t>N94CK.12-1</t>
  </si>
  <si>
    <t>HF01033</t>
  </si>
  <si>
    <t>AIV4MA</t>
  </si>
  <si>
    <t>N9HCQ</t>
  </si>
  <si>
    <t>1#~16#</t>
  </si>
  <si>
    <t>HF01034</t>
  </si>
  <si>
    <t>AIV4MB</t>
  </si>
  <si>
    <t>N9HCQ-1</t>
  </si>
  <si>
    <t>HF01035</t>
  </si>
  <si>
    <t>JD4MA</t>
  </si>
  <si>
    <t>N9HKC</t>
  </si>
  <si>
    <t>HF01036</t>
  </si>
  <si>
    <t>JD4MB</t>
  </si>
  <si>
    <t>N9HKC-1</t>
  </si>
  <si>
    <t>HF01037</t>
  </si>
  <si>
    <t>MH4MA</t>
  </si>
  <si>
    <t>N9C3W.03</t>
  </si>
  <si>
    <t xml:space="preserve"> 11#~20#</t>
  </si>
  <si>
    <t>HF01038</t>
  </si>
  <si>
    <t>TC4MA</t>
  </si>
  <si>
    <t xml:space="preserve">N92AS </t>
  </si>
  <si>
    <t>N92AS</t>
  </si>
  <si>
    <t>HF01039</t>
  </si>
  <si>
    <t>AGB4MA</t>
  </si>
  <si>
    <t>N9GRR</t>
  </si>
  <si>
    <t>HF01040</t>
  </si>
  <si>
    <t>NT4MA</t>
  </si>
  <si>
    <t>N9HP0</t>
  </si>
  <si>
    <t>HF01041</t>
  </si>
  <si>
    <t>NT4MB</t>
  </si>
  <si>
    <t>N9HP0-1</t>
  </si>
  <si>
    <t>HF01042</t>
  </si>
  <si>
    <t>NT4MC</t>
  </si>
  <si>
    <t>N9HP4</t>
  </si>
  <si>
    <t>HF01043</t>
  </si>
  <si>
    <t>NT4MD</t>
  </si>
  <si>
    <t>N9HP4-1</t>
  </si>
  <si>
    <t>HF01044</t>
  </si>
  <si>
    <t>JR4MA</t>
  </si>
  <si>
    <t>N9FJP.02</t>
  </si>
  <si>
    <t>SYC812FAC</t>
  </si>
  <si>
    <t>HF01045</t>
  </si>
  <si>
    <t>AIU4MA</t>
  </si>
  <si>
    <t>N8CWG.06-1</t>
  </si>
  <si>
    <t>HF01046</t>
  </si>
  <si>
    <t>AIU4MB</t>
  </si>
  <si>
    <t>N91LY.02</t>
  </si>
  <si>
    <t>9#~23#</t>
  </si>
  <si>
    <t>HF01047</t>
  </si>
  <si>
    <t>AIU4MC</t>
  </si>
  <si>
    <t>N91LY.03</t>
  </si>
  <si>
    <t>HF01048</t>
  </si>
  <si>
    <t>AIU4MD</t>
  </si>
  <si>
    <t>N91WA</t>
  </si>
  <si>
    <t>HF01049</t>
  </si>
  <si>
    <t>VT4MA</t>
  </si>
  <si>
    <t>N9FSG.03</t>
  </si>
  <si>
    <t>5#-10#</t>
  </si>
  <si>
    <t>HF01050</t>
  </si>
  <si>
    <t>AQF4MA</t>
  </si>
  <si>
    <t>12+10</t>
  </si>
  <si>
    <t>N9HF2+N8LGL</t>
  </si>
  <si>
    <t>1#-12#+1#-10#</t>
  </si>
  <si>
    <t>N8LGL;N9HF2</t>
  </si>
  <si>
    <t>HF01051</t>
  </si>
  <si>
    <t>AQF4MB</t>
  </si>
  <si>
    <t>13+11</t>
  </si>
  <si>
    <t>N9HF2+N8LF7+N8LGK</t>
  </si>
  <si>
    <t>13#-25#+23#~25#+18#~25#</t>
  </si>
  <si>
    <t>(N8LF7+N8LGK);N9HF2</t>
  </si>
  <si>
    <t>HF01052</t>
  </si>
  <si>
    <t>AKT4MA</t>
  </si>
  <si>
    <t>N9HF7+N9HF7.03</t>
  </si>
  <si>
    <t>16#-25#+1#~10#</t>
  </si>
  <si>
    <t>N9HF7;N9HF7.03</t>
  </si>
  <si>
    <t>HF01053</t>
  </si>
  <si>
    <t>WQ4MA</t>
  </si>
  <si>
    <t>N9HKM</t>
  </si>
  <si>
    <t>需换成特殊标签</t>
  </si>
  <si>
    <t>HF01054</t>
  </si>
  <si>
    <t>relabelSYPH82FAC</t>
  </si>
  <si>
    <t>HF01055</t>
  </si>
  <si>
    <t>relabelSYPH83FAC</t>
  </si>
  <si>
    <t>HF01056</t>
  </si>
  <si>
    <t>retest</t>
  </si>
  <si>
    <t>HF01057</t>
  </si>
  <si>
    <t>JCETN9ATY;SJ006000</t>
  </si>
  <si>
    <r>
      <rPr>
        <sz val="10"/>
        <rFont val="Arial"/>
        <family val="2"/>
        <charset val="134"/>
      </rPr>
      <t>relabel</t>
    </r>
    <r>
      <rPr>
        <sz val="10"/>
        <rFont val="宋体"/>
        <family val="3"/>
        <charset val="134"/>
      </rPr>
      <t>成</t>
    </r>
    <r>
      <rPr>
        <sz val="10"/>
        <rFont val="Arial"/>
        <family val="2"/>
        <charset val="134"/>
      </rPr>
      <t>SYT704FAC</t>
    </r>
  </si>
  <si>
    <t>HF01058</t>
  </si>
  <si>
    <r>
      <rPr>
        <sz val="10"/>
        <rFont val="Arial"/>
        <family val="2"/>
        <charset val="134"/>
      </rPr>
      <t>relabel</t>
    </r>
    <r>
      <rPr>
        <sz val="10"/>
        <rFont val="宋体"/>
        <family val="3"/>
        <charset val="134"/>
      </rPr>
      <t>成</t>
    </r>
    <r>
      <rPr>
        <sz val="10"/>
        <rFont val="Arial"/>
        <family val="2"/>
        <charset val="134"/>
      </rPr>
      <t>SYT936ABC</t>
    </r>
  </si>
  <si>
    <t>HF01059</t>
  </si>
  <si>
    <t>HF01061</t>
  </si>
  <si>
    <t>AMY4MA</t>
  </si>
  <si>
    <t xml:space="preserve">N9ATY+SJ018200 </t>
  </si>
  <si>
    <t xml:space="preserve"> 12#~20#+1#~25#</t>
  </si>
  <si>
    <t>N9ATY;SJ018200</t>
  </si>
  <si>
    <t>HF01062</t>
  </si>
  <si>
    <t xml:space="preserve">N9ATY+SJ018100 </t>
  </si>
  <si>
    <t>21#~25#+1#~14#</t>
  </si>
  <si>
    <t>N9ATY;SJ018100</t>
  </si>
  <si>
    <t>HF01063</t>
  </si>
  <si>
    <t>AJU4MA</t>
  </si>
  <si>
    <t>N9137+SJ065800</t>
  </si>
  <si>
    <t xml:space="preserve"> 18#~25#+1#~9#</t>
  </si>
  <si>
    <t>N9137;SJ065800</t>
  </si>
  <si>
    <t>HF01065</t>
  </si>
  <si>
    <t>YB4MA</t>
  </si>
  <si>
    <t>N9895+SJ066000</t>
  </si>
  <si>
    <t>1#-8#+1#~15#</t>
  </si>
  <si>
    <t>SJ066000;N9895</t>
  </si>
  <si>
    <t>HF01066</t>
  </si>
  <si>
    <t>YB4MB</t>
  </si>
  <si>
    <t>N9895+(SJ066000+SJ066800)</t>
  </si>
  <si>
    <t>9#-16#+(16#~25#+20#~24#)</t>
  </si>
  <si>
    <t>(SJ066000+SJ066800);N9895</t>
  </si>
  <si>
    <t>HF01067</t>
  </si>
  <si>
    <t>YB4MC</t>
  </si>
  <si>
    <t>9+16</t>
  </si>
  <si>
    <t>N9895+(SJ066800+SJ065800)</t>
  </si>
  <si>
    <t>17#-25#+(25#+20#~24#)</t>
  </si>
  <si>
    <t>(SJ066800+SJ065800);N9895</t>
  </si>
  <si>
    <t>HF01068</t>
  </si>
  <si>
    <t>AFB4MA</t>
  </si>
  <si>
    <t>N9AHP</t>
  </si>
  <si>
    <t>SYT704FAC</t>
  </si>
  <si>
    <t>HF01070</t>
  </si>
  <si>
    <r>
      <rPr>
        <sz val="10"/>
        <rFont val="Arial"/>
        <family val="2"/>
        <charset val="134"/>
      </rPr>
      <t>S08(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</si>
  <si>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AGB4MB</t>
  </si>
  <si>
    <t>N9GRT</t>
  </si>
  <si>
    <t>N9GRT-1</t>
  </si>
  <si>
    <t>HF01071</t>
  </si>
  <si>
    <t>AGB4MC</t>
  </si>
  <si>
    <t>HF01072</t>
  </si>
  <si>
    <t>KW4MA</t>
  </si>
  <si>
    <t>N9HKH</t>
  </si>
  <si>
    <t>HF01073</t>
  </si>
  <si>
    <t>KW4MB</t>
  </si>
  <si>
    <t>N9HKH-1</t>
  </si>
  <si>
    <t>HF01074</t>
  </si>
  <si>
    <t>PT4MA</t>
  </si>
  <si>
    <t>N9CYT-1</t>
  </si>
  <si>
    <t>HF01075</t>
  </si>
  <si>
    <t>PT4MB</t>
  </si>
  <si>
    <t>N9CYT-2</t>
  </si>
  <si>
    <t>HF01076</t>
  </si>
  <si>
    <t>PT4MC</t>
  </si>
  <si>
    <t>N9FK0</t>
  </si>
  <si>
    <t>HF01077</t>
  </si>
  <si>
    <t>PT4MD</t>
  </si>
  <si>
    <t>N9FK0-1</t>
  </si>
  <si>
    <t>HF01078</t>
  </si>
  <si>
    <t>AIV4MC</t>
  </si>
  <si>
    <t xml:space="preserve">N8CWF.02 </t>
  </si>
  <si>
    <t>16#~22#</t>
  </si>
  <si>
    <t>N8CWF.02-1</t>
  </si>
  <si>
    <t>HF01079</t>
  </si>
  <si>
    <t>EF4MA</t>
  </si>
  <si>
    <t>3#-18#</t>
  </si>
  <si>
    <t>N9G41-2</t>
  </si>
  <si>
    <t>HF01080</t>
  </si>
  <si>
    <t>AJQ4MA</t>
  </si>
  <si>
    <t>19#-25#</t>
  </si>
  <si>
    <t>N9G41-1</t>
  </si>
  <si>
    <t>SY7208CABC</t>
  </si>
  <si>
    <t>B27P0</t>
  </si>
  <si>
    <t>HF01081</t>
  </si>
  <si>
    <t>JU4MA</t>
  </si>
  <si>
    <t>HTJC</t>
  </si>
  <si>
    <t>N87TS</t>
  </si>
  <si>
    <t>N87TS-1</t>
  </si>
  <si>
    <t>HF01082</t>
  </si>
  <si>
    <t>JU4MB</t>
  </si>
  <si>
    <t>N87TW</t>
  </si>
  <si>
    <t>HF01083</t>
  </si>
  <si>
    <t>JU4MC</t>
  </si>
  <si>
    <t>N87TW-1</t>
  </si>
  <si>
    <t>SY8106RAC</t>
  </si>
  <si>
    <t>Marcom需要,需Bumping</t>
  </si>
  <si>
    <t>A74A0</t>
  </si>
  <si>
    <t>HF01084</t>
  </si>
  <si>
    <t>QFN3*3-20</t>
  </si>
  <si>
    <t>AST4MA</t>
  </si>
  <si>
    <t>N9GN7</t>
  </si>
  <si>
    <t>HF01086</t>
  </si>
  <si>
    <t>AJU4NA</t>
  </si>
  <si>
    <t>13+14</t>
  </si>
  <si>
    <t>N9138+SJ066400</t>
  </si>
  <si>
    <t>13#~25#+1#~14#</t>
  </si>
  <si>
    <t>N9138;SJ066400</t>
  </si>
  <si>
    <t>HF01089</t>
  </si>
  <si>
    <t>AML4NA</t>
  </si>
  <si>
    <t>N9JJM+SJ078200</t>
  </si>
  <si>
    <t>1#-12#+1#-24#</t>
  </si>
  <si>
    <t>N9JJM;SJ078200</t>
  </si>
  <si>
    <t>HF01090</t>
  </si>
  <si>
    <t>AMJ4NA</t>
  </si>
  <si>
    <t>N9JJM+SJ073300</t>
  </si>
  <si>
    <t>13#-19#+7#-25#</t>
  </si>
  <si>
    <t>N9JJM;SJ073300</t>
  </si>
  <si>
    <t>HF01091</t>
  </si>
  <si>
    <t>AMJ4NB</t>
  </si>
  <si>
    <t>N9JP3+SJ074500</t>
  </si>
  <si>
    <t>N9JP3;SJ074500</t>
  </si>
  <si>
    <t>HF01092</t>
  </si>
  <si>
    <t>JD4NA</t>
  </si>
  <si>
    <t>N9KAL</t>
  </si>
  <si>
    <t>HF01093</t>
  </si>
  <si>
    <t>EF4NA</t>
  </si>
  <si>
    <t>N9H8L</t>
  </si>
  <si>
    <t>1#-14#</t>
  </si>
  <si>
    <t>HF01094</t>
  </si>
  <si>
    <t>JU4NA</t>
  </si>
  <si>
    <t>N87TR</t>
  </si>
  <si>
    <t>HF01095</t>
  </si>
  <si>
    <t>JU4NB</t>
  </si>
  <si>
    <t>N87TR-1</t>
  </si>
  <si>
    <t>HF01096</t>
  </si>
  <si>
    <t>JU4NC</t>
  </si>
  <si>
    <t>N87TQ</t>
  </si>
  <si>
    <t>HF01097</t>
  </si>
  <si>
    <t>JU4ND</t>
  </si>
  <si>
    <t>N87TQ-1</t>
  </si>
  <si>
    <t>HF01098</t>
  </si>
  <si>
    <t>JU4NE</t>
  </si>
  <si>
    <t>N8AN9</t>
  </si>
  <si>
    <t>HF01099</t>
  </si>
  <si>
    <t>JU4NF</t>
  </si>
  <si>
    <t>N8AN9-1</t>
  </si>
  <si>
    <t>HF01100</t>
  </si>
  <si>
    <t>JU4NG</t>
  </si>
  <si>
    <t>N8ANA</t>
  </si>
  <si>
    <t>HF01101</t>
  </si>
  <si>
    <t>JU4NH</t>
  </si>
  <si>
    <t>N8ANA-1</t>
  </si>
  <si>
    <t>HF01102</t>
  </si>
  <si>
    <t>JU4NI</t>
  </si>
  <si>
    <t>N8CAQ</t>
  </si>
  <si>
    <t>HF01103</t>
  </si>
  <si>
    <t>JU4NJ</t>
  </si>
  <si>
    <t>N8CAQ-1</t>
  </si>
  <si>
    <t>HF01104</t>
  </si>
  <si>
    <t>JU4NK</t>
  </si>
  <si>
    <t>N8CW8.02</t>
  </si>
  <si>
    <t>HF01105</t>
  </si>
  <si>
    <t>JU4NL</t>
  </si>
  <si>
    <t>N8CW8.02-1</t>
  </si>
  <si>
    <t>HF01106</t>
  </si>
  <si>
    <t>HB4NA</t>
  </si>
  <si>
    <t>N9GC3</t>
  </si>
  <si>
    <t>HF01107</t>
  </si>
  <si>
    <t>NB4NA</t>
  </si>
  <si>
    <t>N9KAM</t>
  </si>
  <si>
    <t>HF01108</t>
  </si>
  <si>
    <t>NB4NB</t>
  </si>
  <si>
    <t>N9KAM-1</t>
  </si>
  <si>
    <t>HF01109</t>
  </si>
  <si>
    <t>NB4NC</t>
  </si>
  <si>
    <t>N9KAN</t>
  </si>
  <si>
    <t>HF01110</t>
  </si>
  <si>
    <t>NB4ND</t>
  </si>
  <si>
    <t>N9KAN-1</t>
  </si>
  <si>
    <t>SY58206AFAC</t>
  </si>
  <si>
    <t>E02GC0+A1X06B</t>
  </si>
  <si>
    <t>HF01111</t>
  </si>
  <si>
    <t>ARK4NA</t>
  </si>
  <si>
    <t>N9GS0+SJ076700</t>
  </si>
  <si>
    <t>SJ076700;N9GS0</t>
  </si>
  <si>
    <t>HF01112</t>
  </si>
  <si>
    <t>ARK4NB</t>
  </si>
  <si>
    <t>N9GS0+SJ077100</t>
  </si>
  <si>
    <t>SJ077100;N9GS0</t>
  </si>
  <si>
    <t>HF01113</t>
  </si>
  <si>
    <t>ARK4NC</t>
  </si>
  <si>
    <t>N9GS0+SJ076800</t>
  </si>
  <si>
    <t>SJ076800;N9GS0</t>
  </si>
  <si>
    <t>HF01114</t>
  </si>
  <si>
    <t>AHK4NA</t>
  </si>
  <si>
    <t xml:space="preserve">N8LF4.04 </t>
  </si>
  <si>
    <t>N8LF4.04-1</t>
  </si>
  <si>
    <t>HF01116</t>
  </si>
  <si>
    <t>AGB4NA</t>
  </si>
  <si>
    <t>13#-18#</t>
  </si>
  <si>
    <t>N9GRR-1</t>
  </si>
  <si>
    <t>HF01117</t>
  </si>
  <si>
    <t>ALH4NA</t>
  </si>
  <si>
    <t>13#-19#</t>
  </si>
  <si>
    <t>N9G45-1</t>
  </si>
  <si>
    <t>HF01118</t>
  </si>
  <si>
    <t xml:space="preserve">N92YR </t>
  </si>
  <si>
    <t>N92YR</t>
  </si>
  <si>
    <t>HF01119</t>
  </si>
  <si>
    <t>NT4NA</t>
  </si>
  <si>
    <t>N9KAL.01</t>
  </si>
  <si>
    <t>SY8702ABC</t>
  </si>
  <si>
    <t>HF01120</t>
  </si>
  <si>
    <t>DR4NA</t>
  </si>
  <si>
    <t>15#-21#</t>
  </si>
  <si>
    <t>N9H8L-1</t>
  </si>
  <si>
    <t>HF01123</t>
  </si>
  <si>
    <t>WG4NA</t>
  </si>
  <si>
    <t>N8JP4.02-2</t>
  </si>
  <si>
    <t>HF01124</t>
  </si>
  <si>
    <t>VL4NA</t>
  </si>
  <si>
    <t>N9F4C-1</t>
  </si>
  <si>
    <t>HF01125</t>
  </si>
  <si>
    <t>VL4NB</t>
  </si>
  <si>
    <t>N9F4G</t>
  </si>
  <si>
    <t>HF01126</t>
  </si>
  <si>
    <t>VL4NC</t>
  </si>
  <si>
    <t>N9F4G-1</t>
  </si>
  <si>
    <t>HF01127</t>
  </si>
  <si>
    <t>VL4ND</t>
  </si>
  <si>
    <t>N9F4J</t>
  </si>
  <si>
    <t>HF01128</t>
  </si>
  <si>
    <t>HT4NA</t>
  </si>
  <si>
    <t>N9FJW</t>
  </si>
  <si>
    <t>HF01129</t>
  </si>
  <si>
    <t>HT4NB</t>
  </si>
  <si>
    <t>N9FJW-1</t>
  </si>
  <si>
    <t>HF01130</t>
  </si>
  <si>
    <t>HT4NC</t>
  </si>
  <si>
    <t>N9FJY</t>
  </si>
  <si>
    <t>HF01132</t>
  </si>
  <si>
    <t>AIV4NA</t>
  </si>
  <si>
    <t>N91WA.04</t>
  </si>
  <si>
    <t>HF01134</t>
  </si>
  <si>
    <t>AML4NB</t>
  </si>
  <si>
    <t>N9JP3+(SJ077800+SJ078200)</t>
  </si>
  <si>
    <t>10#-22#+(1#~25#+25#)</t>
  </si>
  <si>
    <t>N9JP3;(SJ077800+SJ078200)</t>
  </si>
  <si>
    <t>HF01135</t>
  </si>
  <si>
    <t>YB4NA</t>
  </si>
  <si>
    <t>N9894+(SJ066300+SJ066500)</t>
  </si>
  <si>
    <t>17#-25#+(1#~8#+18#~25#)</t>
  </si>
  <si>
    <t>(SJ066300+SJ066500);N9894</t>
  </si>
  <si>
    <t>HF01136</t>
  </si>
  <si>
    <t>YB4NB</t>
  </si>
  <si>
    <t>N98F1+SJ070000</t>
  </si>
  <si>
    <t>1#-5#+1#~9#</t>
  </si>
  <si>
    <t>SJ070000;N98F1</t>
  </si>
  <si>
    <t>E02CB4</t>
  </si>
  <si>
    <t>HF01138</t>
  </si>
  <si>
    <t>QS4NA</t>
  </si>
  <si>
    <t>N9H4L.04</t>
  </si>
  <si>
    <t>3#-4#</t>
  </si>
  <si>
    <t>HF01139</t>
  </si>
  <si>
    <t>WQ4NB</t>
  </si>
  <si>
    <t>N9K1Y</t>
  </si>
  <si>
    <t>原来错下成SY58593，MARK打成AMK4NA,后来重新Remark</t>
  </si>
  <si>
    <t>HF01141</t>
  </si>
  <si>
    <t>AML4NE</t>
  </si>
  <si>
    <t>N9KF7.01+SJ078100</t>
  </si>
  <si>
    <t>1#-6#+13#~24#</t>
  </si>
  <si>
    <t>N9KF7.01;SJ078100</t>
  </si>
  <si>
    <t>HF01142</t>
  </si>
  <si>
    <t>NB4NE</t>
  </si>
  <si>
    <t>N9KLM</t>
  </si>
  <si>
    <t>HF01144</t>
  </si>
  <si>
    <t>NB4NG</t>
  </si>
  <si>
    <t>N9KLN</t>
  </si>
  <si>
    <t>HF01145</t>
  </si>
  <si>
    <t>NB4NH</t>
  </si>
  <si>
    <t>N9KLN-1</t>
  </si>
  <si>
    <t>HF01146</t>
  </si>
  <si>
    <t>NB4NI</t>
  </si>
  <si>
    <t>N9KLQ</t>
  </si>
  <si>
    <t>HF01147</t>
  </si>
  <si>
    <t>NB4NJ</t>
  </si>
  <si>
    <t>N9KLQ-1</t>
  </si>
  <si>
    <t>YG272FAC</t>
  </si>
  <si>
    <t>HF01148</t>
  </si>
  <si>
    <r>
      <rPr>
        <sz val="10"/>
        <color indexed="8"/>
        <rFont val="Arial"/>
        <family val="2"/>
        <charset val="134"/>
      </rPr>
      <t>S08(</t>
    </r>
    <r>
      <rPr>
        <sz val="10"/>
        <color indexed="8"/>
        <rFont val="宋体"/>
        <family val="3"/>
        <charset val="134"/>
      </rPr>
      <t>铜线</t>
    </r>
    <r>
      <rPr>
        <sz val="10"/>
        <color indexed="8"/>
        <rFont val="Arial"/>
        <family val="2"/>
        <charset val="134"/>
      </rPr>
      <t>)</t>
    </r>
  </si>
  <si>
    <t>YG2724NA</t>
  </si>
  <si>
    <t xml:space="preserve">N8H6L.02 </t>
  </si>
  <si>
    <t>N8H6L.02-1</t>
  </si>
  <si>
    <t>HF01150</t>
  </si>
  <si>
    <t>NB4NK</t>
  </si>
  <si>
    <t>N9KLP</t>
  </si>
  <si>
    <t>HF01151</t>
  </si>
  <si>
    <t>NB4NL</t>
  </si>
  <si>
    <t>N9KLP-1</t>
  </si>
  <si>
    <t>HF01152</t>
  </si>
  <si>
    <t>JR4NA</t>
  </si>
  <si>
    <t>N9KCF</t>
  </si>
  <si>
    <t>HF01153</t>
  </si>
  <si>
    <t>AIV4NB</t>
  </si>
  <si>
    <t>N9KLR</t>
  </si>
  <si>
    <t>HF01154</t>
  </si>
  <si>
    <t>AIV4NC</t>
  </si>
  <si>
    <t>N9KLR-1</t>
  </si>
  <si>
    <t xml:space="preserve">E02F1 </t>
  </si>
  <si>
    <t>HF01155</t>
  </si>
  <si>
    <t>GZ4NA</t>
  </si>
  <si>
    <t>N9KF2</t>
  </si>
  <si>
    <t>HF01156</t>
  </si>
  <si>
    <t>GZ4NB</t>
  </si>
  <si>
    <t>N9KF2-1</t>
  </si>
  <si>
    <t>HF01157</t>
  </si>
  <si>
    <t>JD4NB</t>
  </si>
  <si>
    <t>N9KWR</t>
  </si>
  <si>
    <t>HF01158</t>
  </si>
  <si>
    <t>JD4NC</t>
  </si>
  <si>
    <t>N9KWR-1</t>
  </si>
  <si>
    <t>HF01159</t>
  </si>
  <si>
    <t>KT4NA</t>
  </si>
  <si>
    <t>N9K27</t>
  </si>
  <si>
    <t>HF01160</t>
  </si>
  <si>
    <t>KT4NB</t>
  </si>
  <si>
    <t>N9K27-1</t>
  </si>
  <si>
    <t>HF01162</t>
  </si>
  <si>
    <t>KT4ND</t>
  </si>
  <si>
    <t>N9K28</t>
  </si>
  <si>
    <t>N9K28-1</t>
  </si>
  <si>
    <t>HF01163</t>
  </si>
  <si>
    <t>KT4NE</t>
  </si>
  <si>
    <t>N9K29</t>
  </si>
  <si>
    <t>HF01164</t>
  </si>
  <si>
    <t>KT4NF</t>
  </si>
  <si>
    <t>N9K29-1</t>
  </si>
  <si>
    <t>HF01165</t>
  </si>
  <si>
    <t>KT4NG</t>
  </si>
  <si>
    <t>N9KYA</t>
  </si>
  <si>
    <t>N9KYA-1</t>
  </si>
  <si>
    <t>HF01166</t>
  </si>
  <si>
    <t>KT4NH</t>
  </si>
  <si>
    <t>HF01167</t>
  </si>
  <si>
    <t>ARC4NA</t>
  </si>
  <si>
    <t>N98F1+SJ066300</t>
  </si>
  <si>
    <t>6#-11#+9#~19#</t>
  </si>
  <si>
    <t>SJ066300;N98F1</t>
  </si>
  <si>
    <t>HF01168</t>
  </si>
  <si>
    <t>ARC4NB</t>
  </si>
  <si>
    <t>12#-17#+10#~20#</t>
  </si>
  <si>
    <t>SJ070000;N98F1-1</t>
  </si>
  <si>
    <t>HF01169</t>
  </si>
  <si>
    <t>AML4NC</t>
  </si>
  <si>
    <t>N9JP4+SJ077700</t>
  </si>
  <si>
    <t>1#-8#+1#~16#</t>
  </si>
  <si>
    <t>N9JP4;SJ077700</t>
  </si>
  <si>
    <t>SY58181AAC</t>
  </si>
  <si>
    <t>E34J0+U8X10A</t>
  </si>
  <si>
    <t>HF01171</t>
  </si>
  <si>
    <r>
      <rPr>
        <sz val="10"/>
        <color indexed="8"/>
        <rFont val="Arial"/>
        <family val="2"/>
        <charset val="134"/>
      </rPr>
      <t>SOT23-5(</t>
    </r>
    <r>
      <rPr>
        <sz val="10"/>
        <color indexed="8"/>
        <rFont val="宋体"/>
        <family val="3"/>
        <charset val="134"/>
      </rPr>
      <t>铜线</t>
    </r>
    <r>
      <rPr>
        <sz val="10"/>
        <color indexed="8"/>
        <rFont val="Arial"/>
        <family val="2"/>
        <charset val="134"/>
      </rPr>
      <t>)</t>
    </r>
  </si>
  <si>
    <t>Eg4OA</t>
  </si>
  <si>
    <t>N9A4N.01+F649W</t>
  </si>
  <si>
    <t>9#+6#~8#</t>
  </si>
  <si>
    <t>F649W;N9A4N.01-1</t>
  </si>
  <si>
    <t>SY58182FAC</t>
  </si>
  <si>
    <t>HF01172</t>
  </si>
  <si>
    <r>
      <rPr>
        <sz val="10"/>
        <color indexed="8"/>
        <rFont val="Arial"/>
        <family val="2"/>
        <charset val="134"/>
      </rPr>
      <t>SO8(</t>
    </r>
    <r>
      <rPr>
        <sz val="10"/>
        <color indexed="8"/>
        <rFont val="宋体"/>
        <family val="3"/>
        <charset val="134"/>
      </rPr>
      <t>铜线</t>
    </r>
    <r>
      <rPr>
        <sz val="10"/>
        <color indexed="8"/>
        <rFont val="Arial"/>
        <family val="2"/>
        <charset val="134"/>
      </rPr>
      <t>)</t>
    </r>
  </si>
  <si>
    <t>AWM4OA</t>
  </si>
  <si>
    <t>10#+9#</t>
  </si>
  <si>
    <t>F649W;N9A4N.01</t>
  </si>
  <si>
    <t>relabel</t>
  </si>
  <si>
    <r>
      <rPr>
        <sz val="10"/>
        <rFont val="Arial"/>
        <family val="2"/>
        <charset val="134"/>
      </rPr>
      <t>(HF00886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HF00882)</t>
    </r>
  </si>
  <si>
    <t>HF01173</t>
  </si>
  <si>
    <t>(HE01285,HE01532,HE01404)</t>
  </si>
  <si>
    <t>SY5814A1ABC</t>
  </si>
  <si>
    <t>HF01174</t>
  </si>
  <si>
    <t>(HE01289)</t>
  </si>
  <si>
    <t>SYU315FAC</t>
  </si>
  <si>
    <t>HF01175</t>
  </si>
  <si>
    <t>SY58183FAC</t>
  </si>
  <si>
    <t>E34J0+U8X14A</t>
  </si>
  <si>
    <t>HF01176</t>
  </si>
  <si>
    <t>AWK4OA</t>
  </si>
  <si>
    <r>
      <rPr>
        <sz val="10"/>
        <rFont val="Arial"/>
        <family val="2"/>
        <charset val="134"/>
      </rPr>
      <t>N9A4N.01</t>
    </r>
    <r>
      <rPr>
        <sz val="10"/>
        <rFont val="Arial"/>
        <family val="2"/>
        <charset val="134"/>
      </rPr>
      <t>+FWC92.A1</t>
    </r>
  </si>
  <si>
    <r>
      <rPr>
        <sz val="10"/>
        <rFont val="Arial"/>
        <family val="2"/>
        <charset val="134"/>
      </rPr>
      <t>10#(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)+14#~15#</t>
    </r>
  </si>
  <si>
    <t>FWC92;N9A4N.01</t>
  </si>
  <si>
    <t>HF01178</t>
  </si>
  <si>
    <t>LX4OA</t>
  </si>
  <si>
    <t>N9KWF</t>
  </si>
  <si>
    <t>HF01179</t>
  </si>
  <si>
    <t>JD4OA</t>
  </si>
  <si>
    <t>N9KWY</t>
  </si>
  <si>
    <t>HF01180</t>
  </si>
  <si>
    <t>JD4OB</t>
  </si>
  <si>
    <t>N9KWY-1</t>
  </si>
  <si>
    <t>HF01181</t>
  </si>
  <si>
    <t>JD4OC</t>
  </si>
  <si>
    <t>N9KWQ.02</t>
  </si>
  <si>
    <t>HF01182</t>
  </si>
  <si>
    <t>JD4OD</t>
  </si>
  <si>
    <t>13#~23#</t>
  </si>
  <si>
    <t>N9KWQ.02-1</t>
  </si>
  <si>
    <t>HF01183</t>
  </si>
  <si>
    <t>JD4OE</t>
  </si>
  <si>
    <t>N9LLS</t>
  </si>
  <si>
    <t>HF01184</t>
  </si>
  <si>
    <t>JD4OF</t>
  </si>
  <si>
    <t>N9LLM</t>
  </si>
  <si>
    <t>HF01185</t>
  </si>
  <si>
    <t>JD4OG</t>
  </si>
  <si>
    <t>N9LLM-1</t>
  </si>
  <si>
    <t>HF01186</t>
  </si>
  <si>
    <t>NT4OA</t>
  </si>
  <si>
    <t>N9LHC</t>
  </si>
  <si>
    <t>HF01187</t>
  </si>
  <si>
    <t>KT4OA</t>
  </si>
  <si>
    <t>N9KY9</t>
  </si>
  <si>
    <t>HF01188</t>
  </si>
  <si>
    <t>KT4OB</t>
  </si>
  <si>
    <t>N9KY9-1</t>
  </si>
  <si>
    <t>HF01190</t>
  </si>
  <si>
    <t>NB4OA</t>
  </si>
  <si>
    <t>N9LF5</t>
  </si>
  <si>
    <t>HF01191</t>
  </si>
  <si>
    <t>NB4OB</t>
  </si>
  <si>
    <t>N9LF5-1</t>
  </si>
  <si>
    <t>HF01192</t>
  </si>
  <si>
    <t>NB4OC</t>
  </si>
  <si>
    <t>N9LF6</t>
  </si>
  <si>
    <t>HF01193</t>
  </si>
  <si>
    <t>JR4OA</t>
  </si>
  <si>
    <t>N9FT4.01</t>
  </si>
  <si>
    <t>HF01194</t>
  </si>
  <si>
    <t>JR4OB</t>
  </si>
  <si>
    <t>N9KCF.01</t>
  </si>
  <si>
    <t>HF01195</t>
  </si>
  <si>
    <t>AIV4OA</t>
  </si>
  <si>
    <t>N9LHM</t>
  </si>
  <si>
    <t>HF01196</t>
  </si>
  <si>
    <t>AIV4OB</t>
  </si>
  <si>
    <t>N9LHM-1</t>
  </si>
  <si>
    <t>HF01197</t>
  </si>
  <si>
    <t>AIU4OA</t>
  </si>
  <si>
    <t>N9LHL</t>
  </si>
  <si>
    <t>HF01198</t>
  </si>
  <si>
    <t>LX4OB</t>
  </si>
  <si>
    <t>N9M1K.01</t>
  </si>
  <si>
    <t>HF01199</t>
  </si>
  <si>
    <t>QV4OA</t>
  </si>
  <si>
    <t>N9M1L</t>
  </si>
  <si>
    <t>1#-8#</t>
  </si>
  <si>
    <t>HF01200</t>
  </si>
  <si>
    <t>JD4OH</t>
  </si>
  <si>
    <t>N9M1R</t>
  </si>
  <si>
    <t>HF01201</t>
  </si>
  <si>
    <t>JD4OI</t>
  </si>
  <si>
    <t>13#,15#~25#</t>
  </si>
  <si>
    <t>N9M1R-1</t>
  </si>
  <si>
    <t>HF01202</t>
  </si>
  <si>
    <t>JD4OJ</t>
  </si>
  <si>
    <t>N9M1S</t>
  </si>
  <si>
    <t>HF01204</t>
  </si>
  <si>
    <t>AHI4OA</t>
  </si>
  <si>
    <t>N9HCL</t>
  </si>
  <si>
    <t>HF01205</t>
  </si>
  <si>
    <t>AHI4OB</t>
  </si>
  <si>
    <t>14#-25#</t>
  </si>
  <si>
    <t>N9HCL-1</t>
  </si>
  <si>
    <t>HF01206</t>
  </si>
  <si>
    <t>WQ4OA</t>
  </si>
  <si>
    <t>N9KQT</t>
  </si>
  <si>
    <t>HF01207</t>
  </si>
  <si>
    <t>WQ4OB</t>
  </si>
  <si>
    <t>N9KQT-1</t>
  </si>
  <si>
    <t>HF01208</t>
  </si>
  <si>
    <t>NT4OB</t>
  </si>
  <si>
    <t>9#-16#</t>
  </si>
  <si>
    <t>N9LHC-1</t>
  </si>
  <si>
    <t>HF01209</t>
  </si>
  <si>
    <t>VT4OA</t>
  </si>
  <si>
    <t>N9FSG.06</t>
  </si>
  <si>
    <t>HF01210</t>
  </si>
  <si>
    <t>APS4OA</t>
  </si>
  <si>
    <t>10+28</t>
  </si>
  <si>
    <t>N9ML3.03+(SJ073500+SJ073800)</t>
  </si>
  <si>
    <t>11#-20#+(1#-23#+20#~22#,24#~25#)</t>
  </si>
  <si>
    <t>N9ML3.03;(SJ073500+SJ073800)</t>
  </si>
  <si>
    <t>SYT706FAC</t>
  </si>
  <si>
    <t>Marcom需要(原是SY58122FAC后产品改名为SYT706FAC)</t>
  </si>
  <si>
    <t>E24D0+U2X14A</t>
  </si>
  <si>
    <t>HF01211</t>
  </si>
  <si>
    <t>AVN4PA</t>
  </si>
  <si>
    <t>8+27</t>
  </si>
  <si>
    <t>N9NJ6+(FWC92+FCWPN)</t>
  </si>
  <si>
    <r>
      <rPr>
        <sz val="10"/>
        <rFont val="Arial"/>
        <family val="2"/>
        <charset val="134"/>
      </rPr>
      <t>1#-8#+(7#(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)~9#+1#~8#,10#~25#)</t>
    </r>
  </si>
  <si>
    <t>N9NJ6;(FWC92+FCWPN)</t>
  </si>
  <si>
    <t>SYT714AAC</t>
  </si>
  <si>
    <t>Marcom(原是SY58120AAC后来产品名字改成了SYT714AAC)</t>
  </si>
  <si>
    <t>E24D0+U2X10A</t>
  </si>
  <si>
    <t>HF01212</t>
  </si>
  <si>
    <t>Ba4PA</t>
  </si>
  <si>
    <t>8+22</t>
  </si>
  <si>
    <t>N9NJ6+F886S</t>
  </si>
  <si>
    <t>9#~16#+1#-22#</t>
  </si>
  <si>
    <t>F886S;N9NJ6</t>
  </si>
  <si>
    <t>SYT705FAC</t>
  </si>
  <si>
    <t>Marcom需要(原是SY58121FAC后产品改名为SYT705FAC)</t>
  </si>
  <si>
    <t>HF01213</t>
  </si>
  <si>
    <t>AVM4PA</t>
  </si>
  <si>
    <t>9+24</t>
  </si>
  <si>
    <t>N9NJ6+FPKSC</t>
  </si>
  <si>
    <t>17#~25#+1#-10#,12#~25#</t>
  </si>
  <si>
    <t>FPKSC;N9NJ6</t>
  </si>
  <si>
    <t>HF01215</t>
  </si>
  <si>
    <t>AVN4PB</t>
  </si>
  <si>
    <t>N9NJ7+(FWYFF+FWC92)</t>
  </si>
  <si>
    <t>2#-9#+(1#-25#+10#~11#)</t>
  </si>
  <si>
    <t>N9NJ7;(FWYFF+FWC92)</t>
  </si>
  <si>
    <t>HF01217</t>
  </si>
  <si>
    <t>AVM4PB</t>
  </si>
  <si>
    <t>N9NJ7+(F886S+FWAP2)</t>
  </si>
  <si>
    <t>18#-19#+(23#-25#+24#~25#)</t>
  </si>
  <si>
    <t>(F886S+FWAP2);N9NJ7</t>
  </si>
  <si>
    <t>HF01219</t>
  </si>
  <si>
    <t>ARK4PB</t>
  </si>
  <si>
    <t>N9GS0+SJ077000</t>
  </si>
  <si>
    <t>20#-24#+1#-25#</t>
  </si>
  <si>
    <t>SJ077000;N9GS0</t>
  </si>
  <si>
    <t>HF01220</t>
  </si>
  <si>
    <t>AGB4PA</t>
  </si>
  <si>
    <t>N9ML7</t>
  </si>
  <si>
    <t>HF01221</t>
  </si>
  <si>
    <t>AGB4PB</t>
  </si>
  <si>
    <t>N9ML7-1</t>
  </si>
  <si>
    <t>HF01222</t>
  </si>
  <si>
    <t>AGB4PC</t>
  </si>
  <si>
    <t>N9N34.01</t>
  </si>
  <si>
    <t>SY5805FAC</t>
  </si>
  <si>
    <t>HF01223</t>
  </si>
  <si>
    <t>ANE4PA</t>
  </si>
  <si>
    <t>N9ML4</t>
  </si>
  <si>
    <t>9#-13#</t>
  </si>
  <si>
    <t>HF01224</t>
  </si>
  <si>
    <t>ALH4PA</t>
  </si>
  <si>
    <t>20#-25#</t>
  </si>
  <si>
    <t>N9G45-2</t>
  </si>
  <si>
    <t>HF01226</t>
  </si>
  <si>
    <t>MH4PB</t>
  </si>
  <si>
    <t>N9ML8</t>
  </si>
  <si>
    <t>11#-21#</t>
  </si>
  <si>
    <t>HF01227</t>
  </si>
  <si>
    <t>TR4PA</t>
  </si>
  <si>
    <t xml:space="preserve">N95T3 </t>
  </si>
  <si>
    <t>HF01228</t>
  </si>
  <si>
    <t>TR4PB</t>
  </si>
  <si>
    <t>N95T2</t>
  </si>
  <si>
    <t>HF01229</t>
  </si>
  <si>
    <t>NT4PA</t>
  </si>
  <si>
    <t>N9LHC-2</t>
  </si>
  <si>
    <t>HF01230</t>
  </si>
  <si>
    <t>NT4PB</t>
  </si>
  <si>
    <t>N9M1P</t>
  </si>
  <si>
    <t>HF01231</t>
  </si>
  <si>
    <t>NT4PC</t>
  </si>
  <si>
    <t>N9M1P-1</t>
  </si>
  <si>
    <t>HF01233</t>
  </si>
  <si>
    <t>NM4PB</t>
  </si>
  <si>
    <t>N9AWL</t>
  </si>
  <si>
    <t xml:space="preserve"> 11#~21#</t>
  </si>
  <si>
    <t>N9AWL-1</t>
  </si>
  <si>
    <t>SY8705FCC</t>
  </si>
  <si>
    <t>B18E0</t>
  </si>
  <si>
    <t>HF01234</t>
  </si>
  <si>
    <t>AKU4PA</t>
  </si>
  <si>
    <t>N9LY5</t>
  </si>
  <si>
    <t>21#-25#</t>
  </si>
  <si>
    <t>HF01236</t>
  </si>
  <si>
    <t>EF4PA</t>
  </si>
  <si>
    <t>22#-25#</t>
  </si>
  <si>
    <t>HF01237</t>
  </si>
  <si>
    <t>EF4PB</t>
  </si>
  <si>
    <t>N9H8K</t>
  </si>
  <si>
    <t>EF4PD</t>
  </si>
  <si>
    <t>N9H8M</t>
  </si>
  <si>
    <t>HF01240</t>
  </si>
  <si>
    <t>EF4PE</t>
  </si>
  <si>
    <t>N8P8Q.03</t>
  </si>
  <si>
    <t>HF01241</t>
  </si>
  <si>
    <t>VT4PA</t>
  </si>
  <si>
    <t>N9N7F</t>
  </si>
  <si>
    <t>HF01242</t>
  </si>
  <si>
    <t>VT4PB</t>
  </si>
  <si>
    <t>HF01244</t>
  </si>
  <si>
    <t>AIV4PB</t>
  </si>
  <si>
    <t>N9LHK</t>
  </si>
  <si>
    <t>HF01246</t>
  </si>
  <si>
    <t>WQ4PB</t>
  </si>
  <si>
    <t>N9KQW</t>
  </si>
  <si>
    <t>HF01248</t>
  </si>
  <si>
    <t>AVM4PC</t>
  </si>
  <si>
    <t>N9NJ5+FY47S</t>
  </si>
  <si>
    <t>1#-8#+1#-20#</t>
  </si>
  <si>
    <t>FY47S;N9NJ5</t>
  </si>
  <si>
    <t>HF01249</t>
  </si>
  <si>
    <t>AHI4PA</t>
  </si>
  <si>
    <t>N9LWR</t>
  </si>
  <si>
    <t>11#-15#</t>
  </si>
  <si>
    <t>HF01250</t>
  </si>
  <si>
    <t>AHH4PA</t>
  </si>
  <si>
    <t>N9HCP</t>
  </si>
  <si>
    <t>HF01252</t>
  </si>
  <si>
    <t>ADS4PA</t>
  </si>
  <si>
    <t>SY8246DNC</t>
  </si>
  <si>
    <t>HF01253</t>
  </si>
  <si>
    <t>DFN4*3-12</t>
  </si>
  <si>
    <t>AFZ4PA</t>
  </si>
  <si>
    <t>N9LWR-1</t>
  </si>
  <si>
    <t>HF01254</t>
  </si>
  <si>
    <t>AFZ4PB</t>
  </si>
  <si>
    <t>N9G2T.03</t>
  </si>
  <si>
    <t>HF01256</t>
  </si>
  <si>
    <t xml:space="preserve">N9ML3+SJ006200 </t>
  </si>
  <si>
    <t>21#-25#+1#~4#,6#~15#</t>
  </si>
  <si>
    <t>N9ML3;SJ006200</t>
  </si>
  <si>
    <t>HF01258</t>
  </si>
  <si>
    <t>AJM4PB</t>
  </si>
  <si>
    <t xml:space="preserve">N9ML6+SJ056700 </t>
  </si>
  <si>
    <t>13#-17#+1#~5#,7#~11#</t>
  </si>
  <si>
    <t>N9ML6;SJ056700</t>
  </si>
  <si>
    <t>HF01259</t>
  </si>
  <si>
    <t>AOX4PA</t>
  </si>
  <si>
    <t>N93NN+SJ034400</t>
  </si>
  <si>
    <t xml:space="preserve"> 15#~19#+11#~17#</t>
  </si>
  <si>
    <t>N93NN;SJ034400</t>
  </si>
  <si>
    <t>HF01260</t>
  </si>
  <si>
    <t>AML4PA</t>
  </si>
  <si>
    <t>N9JP4+SJ078300</t>
  </si>
  <si>
    <t>9#-20#+1#-24#</t>
  </si>
  <si>
    <t>HF01261</t>
  </si>
  <si>
    <t>AML4PB</t>
  </si>
  <si>
    <t>N9JP4+(SJ077700+SJ078300)</t>
  </si>
  <si>
    <t>21#-25#+(17#~25#+25#)</t>
  </si>
  <si>
    <t>HF01262</t>
  </si>
  <si>
    <t>AMJ4PA</t>
  </si>
  <si>
    <t>N9KF5+SJ074800</t>
  </si>
  <si>
    <t>N9KF5;SJ074800</t>
  </si>
  <si>
    <t>HF01263</t>
  </si>
  <si>
    <t>AMJ4PB</t>
  </si>
  <si>
    <t>N9KF5+(SJ074700+SJ075000)</t>
  </si>
  <si>
    <t>10#~18#+(1#-24#+1#~2#)</t>
  </si>
  <si>
    <t>N9KF5;(SJ074700+SJ075000)</t>
  </si>
  <si>
    <t>HF01264</t>
  </si>
  <si>
    <t>AJM4PC</t>
  </si>
  <si>
    <t>N9ML6+SJ056700</t>
  </si>
  <si>
    <t>18#-22#+ 12#~21#</t>
  </si>
  <si>
    <t>HF01265</t>
  </si>
  <si>
    <t>MH4PC</t>
  </si>
  <si>
    <t>N9N33</t>
  </si>
  <si>
    <t>HF01267</t>
  </si>
  <si>
    <t>MH4PE</t>
  </si>
  <si>
    <t>N9N32</t>
  </si>
  <si>
    <t>N9N32-1</t>
  </si>
  <si>
    <t>HF01268</t>
  </si>
  <si>
    <t>MH4PF</t>
  </si>
  <si>
    <t>N9N32-2</t>
  </si>
  <si>
    <t>HF01269</t>
  </si>
  <si>
    <t>KT4PA</t>
  </si>
  <si>
    <t>N9N2A</t>
  </si>
  <si>
    <t>N9N2A-1</t>
  </si>
  <si>
    <t>HF01270</t>
  </si>
  <si>
    <t>KT4PB</t>
  </si>
  <si>
    <t>HF01271</t>
  </si>
  <si>
    <t>KT4PC</t>
  </si>
  <si>
    <t>N9N2C</t>
  </si>
  <si>
    <t>N9N2C-1</t>
  </si>
  <si>
    <t>HF01272</t>
  </si>
  <si>
    <t>KT4PD</t>
  </si>
  <si>
    <t>HF01273</t>
  </si>
  <si>
    <t>KT4PE</t>
  </si>
  <si>
    <t>N9N2F</t>
  </si>
  <si>
    <t>HF01274</t>
  </si>
  <si>
    <t>KT4PF</t>
  </si>
  <si>
    <t>N9N2F-1</t>
  </si>
  <si>
    <t>SYU128DEC</t>
  </si>
  <si>
    <t>SY8121DEC</t>
  </si>
  <si>
    <t>HF01276</t>
  </si>
  <si>
    <t>SYPH82FAC</t>
  </si>
  <si>
    <t>HF01277</t>
  </si>
  <si>
    <t>SYPH83FAC</t>
  </si>
  <si>
    <t>HF01278</t>
  </si>
  <si>
    <t>HF01280</t>
  </si>
  <si>
    <t>AFB4PB</t>
  </si>
  <si>
    <t>N9ML4.01</t>
  </si>
  <si>
    <t>SOT236140811018</t>
  </si>
  <si>
    <t>HF01281</t>
  </si>
  <si>
    <t>AGB4PD</t>
  </si>
  <si>
    <t>SOT236140809221</t>
  </si>
  <si>
    <t>HF01282</t>
  </si>
  <si>
    <t>GZ4PA</t>
  </si>
  <si>
    <t>N9KF7</t>
  </si>
  <si>
    <t>SOT236140810033</t>
  </si>
  <si>
    <t>HF01283</t>
  </si>
  <si>
    <t>TC4PA</t>
  </si>
  <si>
    <t xml:space="preserve"> 19#~21#</t>
  </si>
  <si>
    <t>SOT236140809195</t>
  </si>
  <si>
    <t>HF01284</t>
  </si>
  <si>
    <t>QV4PA</t>
  </si>
  <si>
    <t>SOT236140810028</t>
  </si>
  <si>
    <t>HF01285</t>
  </si>
  <si>
    <t>QV4PB</t>
  </si>
  <si>
    <t>SOT236140817322</t>
  </si>
  <si>
    <t>HF01286</t>
  </si>
  <si>
    <t>KW4PA</t>
  </si>
  <si>
    <t>N9HP2</t>
  </si>
  <si>
    <t>HF01287</t>
  </si>
  <si>
    <t>KW4PB</t>
  </si>
  <si>
    <t>N9HP2-1</t>
  </si>
  <si>
    <t>HF01288</t>
  </si>
  <si>
    <t>AIS4PA</t>
  </si>
  <si>
    <t>4+4</t>
  </si>
  <si>
    <t>N8N0J.01+N8LF7.03</t>
  </si>
  <si>
    <t>1#-4#+12#-15#</t>
  </si>
  <si>
    <t>N8N0J.01;N8LF7.03</t>
  </si>
  <si>
    <t>HF01290</t>
  </si>
  <si>
    <t>ARK4PD</t>
  </si>
  <si>
    <t>N9KF7.02+SJ077300</t>
  </si>
  <si>
    <t>12#-16#+1#~25#</t>
  </si>
  <si>
    <t>SJ077300;N9KF7.02</t>
  </si>
  <si>
    <t>HF01291</t>
  </si>
  <si>
    <t>VL4PA</t>
  </si>
  <si>
    <t>N9F4J-1</t>
  </si>
  <si>
    <t>HF01292</t>
  </si>
  <si>
    <t>VL4PB</t>
  </si>
  <si>
    <t>N9F4L</t>
  </si>
  <si>
    <t>8#~16#</t>
  </si>
  <si>
    <t>HF01293</t>
  </si>
  <si>
    <t>VL4PC</t>
  </si>
  <si>
    <t>N9F4L-1</t>
  </si>
  <si>
    <t>HF01295</t>
  </si>
  <si>
    <t>VL4PE</t>
  </si>
  <si>
    <t>N9F4F</t>
  </si>
  <si>
    <t>N9F4F-1</t>
  </si>
  <si>
    <t>HF01296</t>
  </si>
  <si>
    <t>VL4PF</t>
  </si>
  <si>
    <t>N9F4P</t>
  </si>
  <si>
    <t>HF01298</t>
  </si>
  <si>
    <t>VL4PH</t>
  </si>
  <si>
    <t>N9F4N.01</t>
  </si>
  <si>
    <t>HF01299</t>
  </si>
  <si>
    <t>NB4PA</t>
  </si>
  <si>
    <t>N9LF6-1</t>
  </si>
  <si>
    <t>HF01300</t>
  </si>
  <si>
    <t>NB4PB</t>
  </si>
  <si>
    <t>N9LHH</t>
  </si>
  <si>
    <t>HF01301</t>
  </si>
  <si>
    <t>NB4PC</t>
  </si>
  <si>
    <t>N9LHH-1</t>
  </si>
  <si>
    <t>HF01302</t>
  </si>
  <si>
    <t>JR4PA</t>
  </si>
  <si>
    <t>N9M8T</t>
  </si>
  <si>
    <t>HF01303</t>
  </si>
  <si>
    <t>JR4PB</t>
  </si>
  <si>
    <t>N9M8T-1</t>
  </si>
  <si>
    <t>SY58591QFAC</t>
  </si>
  <si>
    <t>E02EE0+A2X03A</t>
  </si>
  <si>
    <t>HF01305</t>
  </si>
  <si>
    <t>ANS4PA</t>
  </si>
  <si>
    <t>N850P.03+SJ068100</t>
  </si>
  <si>
    <t>7#+1#</t>
  </si>
  <si>
    <t>SY50133FAC</t>
  </si>
  <si>
    <t>E51G0+A2X01B</t>
  </si>
  <si>
    <t>HF01306</t>
  </si>
  <si>
    <t>ATK4PA</t>
  </si>
  <si>
    <t>N9HFY.07+(EP333000+EP333001 )</t>
  </si>
  <si>
    <r>
      <rPr>
        <sz val="10"/>
        <rFont val="Arial"/>
        <family val="2"/>
        <charset val="134"/>
      </rPr>
      <t>1#-2#+(6#,1#(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5#(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)+2#-4#) )</t>
    </r>
  </si>
  <si>
    <t>(EP333000+EP333001 );N9HFY.07</t>
  </si>
  <si>
    <t>SY8088LACC</t>
  </si>
  <si>
    <t>HF01307</t>
  </si>
  <si>
    <r>
      <rPr>
        <sz val="10"/>
        <rFont val="Arial"/>
        <family val="2"/>
        <charset val="134"/>
      </rP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</si>
  <si>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ZW4PA</t>
  </si>
  <si>
    <t xml:space="preserve">N8YRQ.01 </t>
  </si>
  <si>
    <t>2#~6#</t>
  </si>
  <si>
    <t>N8YRQ.01</t>
  </si>
  <si>
    <t>HF01308</t>
  </si>
  <si>
    <t>VT4PC</t>
  </si>
  <si>
    <t>N9NM2</t>
  </si>
  <si>
    <t>HF01309</t>
  </si>
  <si>
    <t>VT4PD</t>
  </si>
  <si>
    <t>N9NM2-1</t>
  </si>
  <si>
    <t>HF01310</t>
  </si>
  <si>
    <t>VT4PE</t>
  </si>
  <si>
    <t>N9NM3</t>
  </si>
  <si>
    <t>1#-15#</t>
  </si>
  <si>
    <t>HF01311</t>
  </si>
  <si>
    <t>ASK4PA</t>
  </si>
  <si>
    <t>7+23</t>
  </si>
  <si>
    <t>N9HFY.07+(SJ075000+SJ075402)</t>
  </si>
  <si>
    <t>3#-9#+(3#~9#,11#~25#+20#)</t>
  </si>
  <si>
    <t>N9HFY.07;(SJ075000+SJ075402)</t>
  </si>
  <si>
    <t>HF01312</t>
  </si>
  <si>
    <t>ASK4PB</t>
  </si>
  <si>
    <t>4+13</t>
  </si>
  <si>
    <t>N9HFY.07+SJ075300</t>
  </si>
  <si>
    <t>10#-13#+1#-13#</t>
  </si>
  <si>
    <t>N9HFY.07;SJ075300</t>
  </si>
  <si>
    <t>HF01313</t>
  </si>
  <si>
    <t>AFB4PC</t>
  </si>
  <si>
    <t>N9N33.02</t>
  </si>
  <si>
    <t>HF01314</t>
  </si>
  <si>
    <t>GZ4PB</t>
  </si>
  <si>
    <t>N9N31</t>
  </si>
  <si>
    <t>HF01316</t>
  </si>
  <si>
    <t>MH4PG</t>
  </si>
  <si>
    <t>N9N33.01</t>
  </si>
  <si>
    <t>HF01317</t>
  </si>
  <si>
    <t>XE4PA</t>
  </si>
  <si>
    <t>N99N6-4</t>
  </si>
  <si>
    <t>HF01318</t>
  </si>
  <si>
    <t>ALK4PA</t>
  </si>
  <si>
    <t>N9G99</t>
  </si>
  <si>
    <t>19#-21#</t>
  </si>
  <si>
    <t>HF01319</t>
  </si>
  <si>
    <t>AJM4PD</t>
  </si>
  <si>
    <t>N9ML6+SJ056200</t>
  </si>
  <si>
    <t>23#-25#+1#~6#</t>
  </si>
  <si>
    <t>N9ML6;SJ056200</t>
  </si>
  <si>
    <t>HF01320</t>
  </si>
  <si>
    <t>AJM4PE</t>
  </si>
  <si>
    <t>N9N34.02+SJ056200</t>
  </si>
  <si>
    <t>6#-13#+7#~22#</t>
  </si>
  <si>
    <t>N9N34.02;SJ056200</t>
  </si>
  <si>
    <t>HF01321</t>
  </si>
  <si>
    <t>HB4PA</t>
  </si>
  <si>
    <t>N9FJY-1</t>
  </si>
  <si>
    <t>HF01322</t>
  </si>
  <si>
    <t>NB4PD</t>
  </si>
  <si>
    <t>N9LHJ</t>
  </si>
  <si>
    <t>HF01323</t>
  </si>
  <si>
    <t>NB4PE</t>
  </si>
  <si>
    <t>N9LHJ-1</t>
  </si>
  <si>
    <t>HF01324</t>
  </si>
  <si>
    <t>AIV4PC</t>
  </si>
  <si>
    <t>N9LHK-2</t>
  </si>
  <si>
    <t>HF01325</t>
  </si>
  <si>
    <t>AHI4PB</t>
  </si>
  <si>
    <t>N9LWR.07</t>
  </si>
  <si>
    <t>HF01326</t>
  </si>
  <si>
    <t>WQ4PC</t>
  </si>
  <si>
    <t>N9K1Y-1</t>
  </si>
  <si>
    <t>HF01327</t>
  </si>
  <si>
    <t>TD4PA</t>
  </si>
  <si>
    <t xml:space="preserve">N83RF.01 </t>
  </si>
  <si>
    <t>7#~9#</t>
  </si>
  <si>
    <t>N83RF.01-2</t>
  </si>
  <si>
    <t xml:space="preserve"> JCET</t>
  </si>
  <si>
    <t>HF01329</t>
  </si>
  <si>
    <t>ZW4QA</t>
  </si>
  <si>
    <t>N9P9S</t>
  </si>
  <si>
    <t>HF01330</t>
  </si>
  <si>
    <t>ZW4QB</t>
  </si>
  <si>
    <t>N9P9S-1</t>
  </si>
  <si>
    <t>HF01331</t>
  </si>
  <si>
    <t>ZW4QC</t>
  </si>
  <si>
    <t>15#~20#</t>
  </si>
  <si>
    <t>N9P9S-2</t>
  </si>
  <si>
    <t>HF01332</t>
  </si>
  <si>
    <t>NA4QA</t>
  </si>
  <si>
    <t>N9KWF.01</t>
  </si>
  <si>
    <t>HF01334</t>
  </si>
  <si>
    <t>LX4QA</t>
  </si>
  <si>
    <t>N9PA1</t>
  </si>
  <si>
    <t>HF01335</t>
  </si>
  <si>
    <t>AVM4QA</t>
  </si>
  <si>
    <t>N9NJ5+F3LY2</t>
  </si>
  <si>
    <t>9#-13#+2#-15#</t>
  </si>
  <si>
    <t>F3LY2;N9NJ5</t>
  </si>
  <si>
    <t>HF01336</t>
  </si>
  <si>
    <t>Ba4QA</t>
  </si>
  <si>
    <t>N9NJ7+F3LY2</t>
  </si>
  <si>
    <t>22#-24#+16#-23#</t>
  </si>
  <si>
    <t>F3LY2;N9NJ7</t>
  </si>
  <si>
    <t>HF01338</t>
  </si>
  <si>
    <t>AML4QA</t>
  </si>
  <si>
    <t>N9KF3+SJ077900</t>
  </si>
  <si>
    <t>N9KF3;SJ077900</t>
  </si>
  <si>
    <t>relabel(HE01962)</t>
  </si>
  <si>
    <t>HF01339</t>
  </si>
  <si>
    <t>relabel(HF00853,HF00992)</t>
  </si>
  <si>
    <t>HF01340</t>
  </si>
  <si>
    <t>SYPH294FAC</t>
  </si>
  <si>
    <t>relabel(HE00937)</t>
  </si>
  <si>
    <t>SY58294FAC</t>
  </si>
  <si>
    <t>HF01341</t>
  </si>
  <si>
    <t>HF01344</t>
  </si>
  <si>
    <t>NT4QA</t>
  </si>
  <si>
    <t>N9Q22</t>
  </si>
  <si>
    <t>HF01345</t>
  </si>
  <si>
    <t>NT4QB</t>
  </si>
  <si>
    <t>N9Q22-1</t>
  </si>
  <si>
    <t>HF01346</t>
  </si>
  <si>
    <t>NT4QC</t>
  </si>
  <si>
    <t>N9Q23</t>
  </si>
  <si>
    <t>HF01347</t>
  </si>
  <si>
    <t>KT4QA</t>
  </si>
  <si>
    <t>N9KYC</t>
  </si>
  <si>
    <t>1#-9#</t>
  </si>
  <si>
    <t>HF01348</t>
  </si>
  <si>
    <t>KT4QB</t>
  </si>
  <si>
    <t>N9KYC-1</t>
  </si>
  <si>
    <t>HF01350</t>
  </si>
  <si>
    <t>VL4QA</t>
  </si>
  <si>
    <t>N9MJJ</t>
  </si>
  <si>
    <t>HF01351</t>
  </si>
  <si>
    <t>VL4QB</t>
  </si>
  <si>
    <t>N9MJJ-1</t>
  </si>
  <si>
    <t>E10G4</t>
  </si>
  <si>
    <t>HF01352</t>
  </si>
  <si>
    <t>ZT4QA</t>
  </si>
  <si>
    <t>N9MLA.04</t>
  </si>
  <si>
    <t>11#-12#</t>
  </si>
  <si>
    <t>HF01353</t>
  </si>
  <si>
    <t>AQT4QA</t>
  </si>
  <si>
    <t xml:space="preserve">N9KF7.02+SJ059300 </t>
  </si>
  <si>
    <t>17#-18#+3#~4#,7#~14#</t>
  </si>
  <si>
    <t>SJ059300;N9KF7.02</t>
  </si>
  <si>
    <t>HF01354</t>
  </si>
  <si>
    <t>YB4QA</t>
  </si>
  <si>
    <t>N98G7.02+SJ070500</t>
  </si>
  <si>
    <t>3#-8#+1#-11#</t>
  </si>
  <si>
    <t>SJ070500;N98G7.02-1</t>
  </si>
  <si>
    <t>HF01355</t>
  </si>
  <si>
    <t>ARC4QA</t>
  </si>
  <si>
    <t>N98F1+SJ070700</t>
  </si>
  <si>
    <t>18#-25#+1#-15#</t>
  </si>
  <si>
    <t>SJ070700;N98F1</t>
  </si>
  <si>
    <t>HF01357</t>
  </si>
  <si>
    <t>Ba4QB</t>
  </si>
  <si>
    <t>N9NJ5+FLGT8</t>
  </si>
  <si>
    <t>16#-24#+1#-25#</t>
  </si>
  <si>
    <t>FLGT8;N9NJ5</t>
  </si>
  <si>
    <t>SY8034DFC</t>
  </si>
  <si>
    <t>HF01358</t>
  </si>
  <si>
    <t>UW4QA</t>
  </si>
  <si>
    <t>N9KF1</t>
  </si>
  <si>
    <t>11#-19#</t>
  </si>
  <si>
    <t>HF01359</t>
  </si>
  <si>
    <t>ZW4QD</t>
  </si>
  <si>
    <t>21#-23#</t>
  </si>
  <si>
    <t>N9P9S-3</t>
  </si>
  <si>
    <t>HF01360</t>
  </si>
  <si>
    <t>KT4QD</t>
  </si>
  <si>
    <t>N9FK4.03</t>
  </si>
  <si>
    <t>HF01361</t>
  </si>
  <si>
    <t>VL4QC</t>
  </si>
  <si>
    <t>N9F4L.02</t>
  </si>
  <si>
    <t>4#-7#</t>
  </si>
  <si>
    <t>HF01364</t>
  </si>
  <si>
    <t>AVM4QB</t>
  </si>
  <si>
    <t>N9NR9+FPL9Y</t>
  </si>
  <si>
    <t>FPL9Y;N9NR9</t>
  </si>
  <si>
    <t>HF01365</t>
  </si>
  <si>
    <t>AVM4QC</t>
  </si>
  <si>
    <t>N9NR9+FYFLA</t>
  </si>
  <si>
    <t>10#-14#+1#-14#</t>
  </si>
  <si>
    <t>FYFLA;N9NR9</t>
  </si>
  <si>
    <t>HF01366</t>
  </si>
  <si>
    <t>Ba4QC</t>
  </si>
  <si>
    <t>15#-18#+15#-25#</t>
  </si>
  <si>
    <t>FYFLA;N9NR9-1</t>
  </si>
  <si>
    <t>HF01368</t>
  </si>
  <si>
    <t>AVM4QD</t>
  </si>
  <si>
    <t>N9NR8+F88LY</t>
  </si>
  <si>
    <t>10#~18+1#-25#</t>
  </si>
  <si>
    <t>F88LY;N9NR8</t>
  </si>
  <si>
    <t>HF01369</t>
  </si>
  <si>
    <t>ZT4QB</t>
  </si>
  <si>
    <t>N9MLA.04-1</t>
  </si>
  <si>
    <t>HF01371</t>
  </si>
  <si>
    <t>ARK4RA</t>
  </si>
  <si>
    <t>(N92J0+N9GS0)+SJ079800</t>
  </si>
  <si>
    <t>(25#+25#)+1#~10#</t>
  </si>
  <si>
    <t>SJ079800;(N92J0+N9GS0)</t>
  </si>
  <si>
    <t>HF01373</t>
  </si>
  <si>
    <t>GZ4RA</t>
  </si>
  <si>
    <t>N9N31-1</t>
  </si>
  <si>
    <t>HF01375</t>
  </si>
  <si>
    <t>TC4RA</t>
  </si>
  <si>
    <t>N92AS-2</t>
  </si>
  <si>
    <t>HF01376</t>
  </si>
  <si>
    <t>TR4RA</t>
  </si>
  <si>
    <t>N95T2-1</t>
  </si>
  <si>
    <t>HF01377</t>
  </si>
  <si>
    <t>TR4RB</t>
  </si>
  <si>
    <t>N95T2-2</t>
  </si>
  <si>
    <t>HF01378</t>
  </si>
  <si>
    <t>TR4RC</t>
  </si>
  <si>
    <t>N95T4</t>
  </si>
  <si>
    <t>HF01379</t>
  </si>
  <si>
    <t>JD4RA</t>
  </si>
  <si>
    <t>N9PA5</t>
  </si>
  <si>
    <t>HF01380</t>
  </si>
  <si>
    <t>JD4RB</t>
  </si>
  <si>
    <t>N9PA5-1</t>
  </si>
  <si>
    <t>HF01381</t>
  </si>
  <si>
    <t>JD4RC</t>
  </si>
  <si>
    <t>N9PA4</t>
  </si>
  <si>
    <t>HF01382</t>
  </si>
  <si>
    <t>JD4RD</t>
  </si>
  <si>
    <t>N9PA4-1</t>
  </si>
  <si>
    <t>HF01384</t>
  </si>
  <si>
    <t>JD4RF</t>
  </si>
  <si>
    <t>N9PA2</t>
  </si>
  <si>
    <t>N9PA2-1</t>
  </si>
  <si>
    <t>HF01385</t>
  </si>
  <si>
    <t>NT4RA</t>
  </si>
  <si>
    <t>N9PA5.02</t>
  </si>
  <si>
    <t>HF01386</t>
  </si>
  <si>
    <t>NT4RB</t>
  </si>
  <si>
    <t>N9Q23-1</t>
  </si>
  <si>
    <t>HF01387</t>
  </si>
  <si>
    <t>NT4RC</t>
  </si>
  <si>
    <t>N9Q24</t>
  </si>
  <si>
    <t>HF01388</t>
  </si>
  <si>
    <t>NT4RD</t>
  </si>
  <si>
    <t>N9Q24-1</t>
  </si>
  <si>
    <t>HF01389</t>
  </si>
  <si>
    <t>ALK4RA</t>
  </si>
  <si>
    <t>N9G99-1</t>
  </si>
  <si>
    <t>HF01390</t>
  </si>
  <si>
    <t>VT4RA</t>
  </si>
  <si>
    <t>N9NM3-1</t>
  </si>
  <si>
    <t>HF01391</t>
  </si>
  <si>
    <t>AHI4RA</t>
  </si>
  <si>
    <t>N9Q8M</t>
  </si>
  <si>
    <t>HF01392</t>
  </si>
  <si>
    <t>AHI4RB</t>
  </si>
  <si>
    <t>N9Q8M-1</t>
  </si>
  <si>
    <t>HF01393</t>
  </si>
  <si>
    <t>AHH4RA</t>
  </si>
  <si>
    <t>N9Q8M-2</t>
  </si>
  <si>
    <t>HF01395</t>
  </si>
  <si>
    <t>WM4RA</t>
  </si>
  <si>
    <t>N9QYW+SJ068100</t>
  </si>
  <si>
    <t>21#-25#+2#-10#</t>
  </si>
  <si>
    <t>SJ068100;N9QYW</t>
  </si>
  <si>
    <t>HF01397</t>
  </si>
  <si>
    <t>AQK4RA</t>
  </si>
  <si>
    <t xml:space="preserve">N98G7.02+SJ060900 </t>
  </si>
  <si>
    <t>13#-19#+1#~17#</t>
  </si>
  <si>
    <t>SJ060900;N98G7.02</t>
  </si>
  <si>
    <t>HF01398</t>
  </si>
  <si>
    <t>AQK4RB</t>
  </si>
  <si>
    <t>N99J5+(SJ060900+SJ061100)</t>
  </si>
  <si>
    <t>1#~7#+(18#~25#+1#~9#)</t>
  </si>
  <si>
    <t>(SJ060900+SJ061100);N99J5</t>
  </si>
  <si>
    <t>HF01399</t>
  </si>
  <si>
    <t>AJM4RA</t>
  </si>
  <si>
    <t>N9QPQ+SJ056800</t>
  </si>
  <si>
    <t>N9QPQ;SJ056800</t>
  </si>
  <si>
    <t>HF01400</t>
  </si>
  <si>
    <t>AJM4RB</t>
  </si>
  <si>
    <t>N9QPQ+(SJ056800+SJ056900)</t>
  </si>
  <si>
    <t>13#-25#+(25#+1#~25#)</t>
  </si>
  <si>
    <t>N9QPQ;(SJ056800+SJ056900)</t>
  </si>
  <si>
    <t>HF01401</t>
  </si>
  <si>
    <t>YB4RA</t>
  </si>
  <si>
    <t>N99J5+(SJ066300+SJ070000)</t>
  </si>
  <si>
    <t>8#~13#+(20#-25#+21#-25#)</t>
  </si>
  <si>
    <t>(SJ066300+SJ070000);N99J5</t>
  </si>
  <si>
    <t>HF01402</t>
  </si>
  <si>
    <t>YB4RB</t>
  </si>
  <si>
    <t>N99J5+(SJ070700+SJ066200)</t>
  </si>
  <si>
    <t>14#~19#+(16#-25#+1#)</t>
  </si>
  <si>
    <t>(SJ070700+SJ066200);N99J5</t>
  </si>
  <si>
    <t>HF01403</t>
  </si>
  <si>
    <t>YB4RC</t>
  </si>
  <si>
    <t>N99J5+SJ066200</t>
  </si>
  <si>
    <t>20#~25#+2#-12#</t>
  </si>
  <si>
    <t>SJ066200;N99J5</t>
  </si>
  <si>
    <t>HF01404</t>
  </si>
  <si>
    <t>YB4RD</t>
  </si>
  <si>
    <t>4+7</t>
  </si>
  <si>
    <t>N99J6+SJ066200</t>
  </si>
  <si>
    <t>1#~4#+13#~19#</t>
  </si>
  <si>
    <t>SJ066200;N99J6</t>
  </si>
  <si>
    <t>HF01405</t>
  </si>
  <si>
    <t>VT4RB</t>
  </si>
  <si>
    <t>N9QQ5</t>
  </si>
  <si>
    <t>HF01407</t>
  </si>
  <si>
    <t>VT4RD</t>
  </si>
  <si>
    <t>N9QQ5.02</t>
  </si>
  <si>
    <t>HF01408</t>
  </si>
  <si>
    <t>QS4RA</t>
  </si>
  <si>
    <t>N9RCL.02</t>
  </si>
  <si>
    <t>13#-17#</t>
  </si>
  <si>
    <t>HF01409</t>
  </si>
  <si>
    <t>GZ4RC</t>
  </si>
  <si>
    <t>N9QPL.01</t>
  </si>
  <si>
    <t>HF01410</t>
  </si>
  <si>
    <t>AMY4RA</t>
  </si>
  <si>
    <t>N9RCG+SJ043800</t>
  </si>
  <si>
    <t>N9RCG;SJ043800</t>
  </si>
  <si>
    <t>HF01411</t>
  </si>
  <si>
    <t>AMY4RB</t>
  </si>
  <si>
    <t>N9RCG+SJ043600</t>
  </si>
  <si>
    <t>N9RCG;SJ043600</t>
  </si>
  <si>
    <t>HF01413</t>
  </si>
  <si>
    <t>ARK4RD</t>
  </si>
  <si>
    <t>N9QPM+SJ080000</t>
  </si>
  <si>
    <t>8#~12#+1#~25#</t>
  </si>
  <si>
    <t>SJ080000;N9QPM</t>
  </si>
  <si>
    <t>retest(工单为HF01140)</t>
  </si>
  <si>
    <t>HF01415</t>
  </si>
  <si>
    <t>retest(工单为HF01141)</t>
  </si>
  <si>
    <t>HF01416</t>
  </si>
  <si>
    <t>SY8743FCC</t>
  </si>
  <si>
    <t>B61F0</t>
  </si>
  <si>
    <t>HF01417</t>
  </si>
  <si>
    <t>ARJ4RA</t>
  </si>
  <si>
    <t>N9M0M.02</t>
  </si>
  <si>
    <t>9#-10#</t>
  </si>
  <si>
    <t>HF01420</t>
  </si>
  <si>
    <t>AFB4RA</t>
  </si>
  <si>
    <t>N9QPN</t>
  </si>
  <si>
    <t>HF01421</t>
  </si>
  <si>
    <t>AFB4RB</t>
  </si>
  <si>
    <t>N9QPN-1</t>
  </si>
  <si>
    <t>HF01422</t>
  </si>
  <si>
    <t>AFB4RC</t>
  </si>
  <si>
    <t>N9QPP</t>
  </si>
  <si>
    <t>HF01423</t>
  </si>
  <si>
    <t>AGB4RA</t>
  </si>
  <si>
    <t>N9QPP-1</t>
  </si>
  <si>
    <t>HF01425</t>
  </si>
  <si>
    <t>AHK4RA</t>
  </si>
  <si>
    <t>14#-17#</t>
  </si>
  <si>
    <t>N9ML4-1</t>
  </si>
  <si>
    <t>HF01427</t>
  </si>
  <si>
    <t>ZW4RA</t>
  </si>
  <si>
    <t>24#-25#</t>
  </si>
  <si>
    <t>N9P9S-4</t>
  </si>
  <si>
    <t>HF01428</t>
  </si>
  <si>
    <t>ZW4RB</t>
  </si>
  <si>
    <t>N9Q8P</t>
  </si>
  <si>
    <t>HF01431</t>
  </si>
  <si>
    <t>AWM4RA</t>
  </si>
  <si>
    <t>N9QYW.01+FL60K</t>
  </si>
  <si>
    <t>1#-5#+12#-25#</t>
  </si>
  <si>
    <t>FL60K;N9QYW.01</t>
  </si>
  <si>
    <t>HF01432</t>
  </si>
  <si>
    <t>AWM4RB</t>
  </si>
  <si>
    <t>N9QYS+(F7L3G+FLMTF)</t>
  </si>
  <si>
    <t>13#-18#+(24#-25#+1#-15#)</t>
  </si>
  <si>
    <t>(F7L3G+FLMTF);N9QYS</t>
  </si>
  <si>
    <t>HF01435</t>
  </si>
  <si>
    <t>TR4RD</t>
  </si>
  <si>
    <t>8#~10#</t>
  </si>
  <si>
    <t>N95T4-1</t>
  </si>
  <si>
    <t>HF01436</t>
  </si>
  <si>
    <t>QV4RA</t>
  </si>
  <si>
    <t>N9Q8Q.02</t>
  </si>
  <si>
    <r>
      <rPr>
        <sz val="10"/>
        <rFont val="Arial"/>
        <family val="2"/>
        <charset val="134"/>
      </rPr>
      <t>1#-2#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7#-10#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14#-15#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18#</t>
    </r>
  </si>
  <si>
    <t>HF01437</t>
  </si>
  <si>
    <t>QV4RB</t>
  </si>
  <si>
    <t>N9Q8Q.05</t>
  </si>
  <si>
    <r>
      <rPr>
        <sz val="10"/>
        <rFont val="Arial"/>
        <family val="2"/>
        <charset val="134"/>
      </rPr>
      <t>3#-6#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11#-13#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16#-17#</t>
    </r>
  </si>
  <si>
    <t>HF01439</t>
  </si>
  <si>
    <t>KW4RA</t>
  </si>
  <si>
    <t>N9KAJ</t>
  </si>
  <si>
    <t>HF01441</t>
  </si>
  <si>
    <t>KT4RA</t>
  </si>
  <si>
    <t>N9RF6</t>
  </si>
  <si>
    <t>HF01442</t>
  </si>
  <si>
    <t>KT4RB</t>
  </si>
  <si>
    <t>N9RF6-1</t>
  </si>
  <si>
    <t>HF01443</t>
  </si>
  <si>
    <t>TW4RA</t>
  </si>
  <si>
    <t>N9GAA</t>
  </si>
  <si>
    <t>HF01445</t>
  </si>
  <si>
    <t>TW4RC</t>
  </si>
  <si>
    <t>N9HF3</t>
  </si>
  <si>
    <t>HF01446</t>
  </si>
  <si>
    <t>TW4RD</t>
  </si>
  <si>
    <t>N9HF3-1</t>
  </si>
  <si>
    <t>HF01447</t>
  </si>
  <si>
    <t>TW4RE</t>
  </si>
  <si>
    <t>N9HF5</t>
  </si>
  <si>
    <t>HF01448</t>
  </si>
  <si>
    <t>TW4RF</t>
  </si>
  <si>
    <t>N9HF5-1</t>
  </si>
  <si>
    <t>HF01449</t>
  </si>
  <si>
    <t>AKU4RA</t>
  </si>
  <si>
    <t>N9PR8.03</t>
  </si>
  <si>
    <t>1#-3#</t>
  </si>
  <si>
    <t>HF01450</t>
  </si>
  <si>
    <t>EF4RA</t>
  </si>
  <si>
    <t>N9H8K.03</t>
  </si>
  <si>
    <t>HF01453</t>
  </si>
  <si>
    <t>RC4RA</t>
  </si>
  <si>
    <t>N9F13</t>
  </si>
  <si>
    <t>HF01454</t>
  </si>
  <si>
    <t>RC4RB</t>
  </si>
  <si>
    <t>N9F13-1</t>
  </si>
  <si>
    <t>HF01456</t>
  </si>
  <si>
    <t>RC4RD</t>
  </si>
  <si>
    <t>N9F4K</t>
  </si>
  <si>
    <t>HF01457</t>
  </si>
  <si>
    <t>JR4SA</t>
  </si>
  <si>
    <t>N9M8W</t>
  </si>
  <si>
    <t>HF01464</t>
  </si>
  <si>
    <t>TD4SA</t>
  </si>
  <si>
    <t xml:space="preserve">N84AA </t>
  </si>
  <si>
    <t>N84AA</t>
  </si>
  <si>
    <t>HF01467</t>
  </si>
  <si>
    <t>AMY4SB</t>
  </si>
  <si>
    <t>N9QPL.02+(SJ006200+SJ018100)</t>
  </si>
  <si>
    <t>9#~14#+(16#~25#+15#,17#~22#)</t>
  </si>
  <si>
    <t>N9QPL.02;(SJ006200+SJ018100)</t>
  </si>
  <si>
    <t>HF01468</t>
  </si>
  <si>
    <t>AMJ4RA</t>
  </si>
  <si>
    <t>N9KF3+SJ076000</t>
  </si>
  <si>
    <t>9#-14#+1#~17#</t>
  </si>
  <si>
    <t>N9KF3;SJ076000</t>
  </si>
  <si>
    <t>HF01470</t>
  </si>
  <si>
    <t>AMM4SA</t>
  </si>
  <si>
    <t xml:space="preserve">N9KF6+SJ028300 </t>
  </si>
  <si>
    <t>N9KF6;SJ028300</t>
  </si>
  <si>
    <t>SY5861FAC</t>
  </si>
  <si>
    <t>H15A0</t>
  </si>
  <si>
    <t>HF01476</t>
  </si>
  <si>
    <r>
      <rPr>
        <sz val="10"/>
        <rFont val="Arial"/>
        <family val="2"/>
        <charset val="134"/>
      </rPr>
      <t>SOP8(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</si>
  <si>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ATN4SB</t>
  </si>
  <si>
    <t>N9ST7</t>
  </si>
  <si>
    <t>N9ST7-1</t>
  </si>
  <si>
    <t>SYU9914FAC</t>
  </si>
  <si>
    <t>relabel(工单号是HE01201)</t>
  </si>
  <si>
    <t>SY5804AFAC</t>
  </si>
  <si>
    <t>HF01477</t>
  </si>
  <si>
    <t>HF01478</t>
  </si>
  <si>
    <t>ARK4SA</t>
  </si>
  <si>
    <t>N9QPM+SJ080200</t>
  </si>
  <si>
    <t>13#-16#+1#~16#,18#~22#</t>
  </si>
  <si>
    <t>SJ080200;N9QPM</t>
  </si>
  <si>
    <t>HF01479</t>
  </si>
  <si>
    <t>ARK4SB</t>
  </si>
  <si>
    <t>5+27</t>
  </si>
  <si>
    <t>N9QPM+(SJ080200+SJ080600)</t>
  </si>
  <si>
    <t>17#-21#+(23#~25#+1#~24#)</t>
  </si>
  <si>
    <t>(SJ080200+SJ080600);N9QPM</t>
  </si>
  <si>
    <t>HF01480</t>
  </si>
  <si>
    <t>ARK4SC</t>
  </si>
  <si>
    <t>N9RCN+(SJ080600+SJ080100)</t>
  </si>
  <si>
    <t>21#-25#+(25#+1#-25#)</t>
  </si>
  <si>
    <t>(SJ080600+SJ080100);N9RCN</t>
  </si>
  <si>
    <t>SYPH593FAC</t>
  </si>
  <si>
    <t>HF01483</t>
  </si>
  <si>
    <t>AJM4SA</t>
  </si>
  <si>
    <t>N9RCM+SJ056700</t>
  </si>
  <si>
    <t>9#-10#+22#~25#</t>
  </si>
  <si>
    <t>N9RCM;SJ056700</t>
  </si>
  <si>
    <t>HF01488</t>
  </si>
  <si>
    <t>ASK4SA</t>
  </si>
  <si>
    <t>N9RF8+SJ075700</t>
  </si>
  <si>
    <t>1#-7#+1#~23#</t>
  </si>
  <si>
    <t>N9RF8;SJ075700</t>
  </si>
  <si>
    <t>HF01490</t>
  </si>
  <si>
    <t>ASK4SC</t>
  </si>
  <si>
    <t>N9RF8+SJ075800</t>
  </si>
  <si>
    <t>15#-21#+1#~23#</t>
  </si>
  <si>
    <t>N9RF8;SJ075800</t>
  </si>
  <si>
    <t>HF01491</t>
  </si>
  <si>
    <t>ASK4SD</t>
  </si>
  <si>
    <t>N9RF8+(SJ075500+SJ075700)</t>
  </si>
  <si>
    <t>22#-25#+(14#~25#+24#)</t>
  </si>
  <si>
    <t>N9RF8;(SJ075500+SJ075700)</t>
  </si>
  <si>
    <t>HF01497</t>
  </si>
  <si>
    <t>TC4SA</t>
  </si>
  <si>
    <t>N9SC8</t>
  </si>
  <si>
    <t>HF01498</t>
  </si>
  <si>
    <t>TC4SB</t>
  </si>
  <si>
    <t>N9SC8-1</t>
  </si>
  <si>
    <t>HF01499</t>
  </si>
  <si>
    <r>
      <rPr>
        <sz val="10"/>
        <rFont val="Arial"/>
        <family val="2"/>
        <charset val="134"/>
      </rP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</si>
  <si>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VT4SA</t>
  </si>
  <si>
    <t>N9SC6</t>
  </si>
  <si>
    <t>HF01502</t>
  </si>
  <si>
    <t>UW4SA</t>
  </si>
  <si>
    <t xml:space="preserve">N9C0H </t>
  </si>
  <si>
    <t>N9C0H-3</t>
  </si>
  <si>
    <t>HF01505</t>
  </si>
  <si>
    <t>KT4SA</t>
  </si>
  <si>
    <t>N9RF7</t>
  </si>
  <si>
    <t>HF01507</t>
  </si>
  <si>
    <t>AHI4SB</t>
  </si>
  <si>
    <t>N9RRN</t>
  </si>
  <si>
    <t xml:space="preserve">A10A2 </t>
  </si>
  <si>
    <t>HF01508</t>
  </si>
  <si>
    <t>AHH4SA</t>
  </si>
  <si>
    <t>N9RRN-1</t>
  </si>
  <si>
    <t>E51H0+A2X07A</t>
  </si>
  <si>
    <t>HF01511</t>
  </si>
  <si>
    <t>ATH4SA</t>
  </si>
  <si>
    <t>N9HFY.04+SJ076300</t>
  </si>
  <si>
    <t>21#+22#~25#</t>
  </si>
  <si>
    <t>SJ076300;N9HFY.04</t>
  </si>
  <si>
    <t>HF01512</t>
  </si>
  <si>
    <t>JR4SC</t>
  </si>
  <si>
    <t>N9QQ3</t>
  </si>
  <si>
    <t>N9QQ3-1</t>
  </si>
  <si>
    <t>HF01515</t>
  </si>
  <si>
    <t>JR4SF</t>
  </si>
  <si>
    <t>N9QQ2</t>
  </si>
  <si>
    <t>HF01517</t>
  </si>
  <si>
    <t>VT4SB</t>
  </si>
  <si>
    <t>N9SC6.02</t>
  </si>
  <si>
    <t>HF01518</t>
  </si>
  <si>
    <t>NB4SA</t>
  </si>
  <si>
    <t>N9LHG</t>
  </si>
  <si>
    <t>N9LHG-1</t>
  </si>
  <si>
    <t>HF01519</t>
  </si>
  <si>
    <t>NB4SB</t>
  </si>
  <si>
    <t>HF01520</t>
  </si>
  <si>
    <t>NB4SC</t>
  </si>
  <si>
    <t>N9LY4</t>
  </si>
  <si>
    <t>HF01521</t>
  </si>
  <si>
    <t>NB4SD</t>
  </si>
  <si>
    <t>N9LY4-1</t>
  </si>
  <si>
    <t>HF01524</t>
  </si>
  <si>
    <t>HB4SC</t>
  </si>
  <si>
    <t>N9ML1</t>
  </si>
  <si>
    <t>N9ML1-1</t>
  </si>
  <si>
    <t>HF01525</t>
  </si>
  <si>
    <t>AFB4SA</t>
  </si>
  <si>
    <t>N9RCK</t>
  </si>
  <si>
    <t>N9RCK-1</t>
  </si>
  <si>
    <t>HF01528</t>
  </si>
  <si>
    <t>ASK4SE</t>
  </si>
  <si>
    <t>N9SC9+SJ075900</t>
  </si>
  <si>
    <r>
      <rPr>
        <sz val="10"/>
        <rFont val="Arial"/>
        <family val="2"/>
        <charset val="134"/>
      </rPr>
      <t>1#~7#+1#~19#,21#~23#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25#</t>
    </r>
  </si>
  <si>
    <t>N9SC9;SJ075900</t>
  </si>
  <si>
    <t>HF01529</t>
  </si>
  <si>
    <t>ASK4SF</t>
  </si>
  <si>
    <t>N9SC9+SJ076100</t>
  </si>
  <si>
    <t>8#~14#+1#~23#</t>
  </si>
  <si>
    <t>N9SC9;SJ076100</t>
  </si>
  <si>
    <t>HF01530</t>
  </si>
  <si>
    <t>ASK4SG</t>
  </si>
  <si>
    <t>N9SC9+SJ075400</t>
  </si>
  <si>
    <t>15#~16#+17#~19#,21#~23#</t>
  </si>
  <si>
    <t>N9SC9;SJ075400</t>
  </si>
  <si>
    <t>HF01531</t>
  </si>
  <si>
    <t>ASK4SH</t>
  </si>
  <si>
    <t>N9SC9+SJ075600</t>
  </si>
  <si>
    <t>17#~18#+1#~6#</t>
  </si>
  <si>
    <t>N9SC9;SJ075600</t>
  </si>
  <si>
    <t>HF01533</t>
  </si>
  <si>
    <t>YB4SA</t>
  </si>
  <si>
    <t>N99J6+SJ071000</t>
  </si>
  <si>
    <t>8#-16#+10#-25#</t>
  </si>
  <si>
    <t>SJ071000;N99J6</t>
  </si>
  <si>
    <t>HF01534</t>
  </si>
  <si>
    <t>YB4SB</t>
  </si>
  <si>
    <t>N99J7+SJ071200</t>
  </si>
  <si>
    <t>SJ071200;N99J7</t>
  </si>
  <si>
    <t>HF01535</t>
  </si>
  <si>
    <t>YB4SC</t>
  </si>
  <si>
    <t>N99J6+SJ071200</t>
  </si>
  <si>
    <t>17#-25#+10#~25#</t>
  </si>
  <si>
    <t>SJ071200;N99J6</t>
  </si>
  <si>
    <t>HF01536</t>
  </si>
  <si>
    <t>Ba4SA</t>
  </si>
  <si>
    <t>6+16</t>
  </si>
  <si>
    <t>N9NR8+FL32Y</t>
  </si>
  <si>
    <t>19#~21#,23#~25#+1#-16#</t>
  </si>
  <si>
    <t>FL32Y;N9NR8</t>
  </si>
  <si>
    <t>HF01541</t>
  </si>
  <si>
    <t>XE4SA</t>
  </si>
  <si>
    <t>N9LHA</t>
  </si>
  <si>
    <t>SY5810DABC</t>
  </si>
  <si>
    <t>E02UA0</t>
  </si>
  <si>
    <t>HF01542</t>
  </si>
  <si>
    <t>PC4SA</t>
  </si>
  <si>
    <t>N9JJL.02</t>
  </si>
  <si>
    <t>HF01544</t>
  </si>
  <si>
    <t>ALK4SA</t>
  </si>
  <si>
    <t>N9M1P.02</t>
  </si>
  <si>
    <t>HF01545</t>
  </si>
  <si>
    <t>TW4SA</t>
  </si>
  <si>
    <t>N9HF4</t>
  </si>
  <si>
    <t>HF01547</t>
  </si>
  <si>
    <t>TW4SC</t>
  </si>
  <si>
    <t>N9HF6</t>
  </si>
  <si>
    <t>HF01548</t>
  </si>
  <si>
    <t>TW4SD</t>
  </si>
  <si>
    <t>N9HF6-1</t>
  </si>
  <si>
    <t>HF01550</t>
  </si>
  <si>
    <t>TW4SF</t>
  </si>
  <si>
    <t>N9HF7.04</t>
  </si>
  <si>
    <t>HF01551</t>
  </si>
  <si>
    <t>LX4SA</t>
  </si>
  <si>
    <t>N9SFK</t>
  </si>
  <si>
    <t>1#-10#,23#-25#</t>
  </si>
  <si>
    <t>HF01552</t>
  </si>
  <si>
    <t>LX4SB</t>
  </si>
  <si>
    <t>N9SFK.05</t>
  </si>
  <si>
    <t>11#-22#</t>
  </si>
  <si>
    <t>HF01553</t>
  </si>
  <si>
    <t>RC4SA</t>
  </si>
  <si>
    <t>N9T12</t>
  </si>
  <si>
    <t>HF01557</t>
  </si>
  <si>
    <t>YB4SD</t>
  </si>
  <si>
    <t>N99J7+SJ070900</t>
  </si>
  <si>
    <t>6#-10#+1#~9#</t>
  </si>
  <si>
    <t>SJ070900;N99J7</t>
  </si>
  <si>
    <t>HF01558</t>
  </si>
  <si>
    <t>YB4SE</t>
  </si>
  <si>
    <t>11#~19#+10#~25#</t>
  </si>
  <si>
    <t>SJ070900;N99J7-1</t>
  </si>
  <si>
    <t>HF01559</t>
  </si>
  <si>
    <t>ARC4SA</t>
  </si>
  <si>
    <t>N99J7+SJ071100</t>
  </si>
  <si>
    <t>20#-25#+1#~11#</t>
  </si>
  <si>
    <t>SJ071100;N99J7</t>
  </si>
  <si>
    <t>HF01561</t>
  </si>
  <si>
    <t>ATH4SB</t>
  </si>
  <si>
    <t>6+27</t>
  </si>
  <si>
    <t>N9SYN.03+(SJ065400+SJ065600)</t>
  </si>
  <si>
    <t>1#~6#+(1#~25#+1#~2#)</t>
  </si>
  <si>
    <t>(SJ065400+SJ065600);N9SYN.03</t>
  </si>
  <si>
    <t>HF01562</t>
  </si>
  <si>
    <t>ATK4TA</t>
  </si>
  <si>
    <t>3+9</t>
  </si>
  <si>
    <t>N9SC9+SJ083000</t>
  </si>
  <si>
    <t>19#~21#+1#~9#</t>
  </si>
  <si>
    <t>SJ083000;N9SC9</t>
  </si>
  <si>
    <t>HF01563</t>
  </si>
  <si>
    <t>ATK4TB</t>
  </si>
  <si>
    <t>22#~25#+10#~19#,23#~25#</t>
  </si>
  <si>
    <t>SJ083000;N9SC9-1</t>
  </si>
  <si>
    <t>HF01566</t>
  </si>
  <si>
    <t>JD4TA</t>
  </si>
  <si>
    <t>N9PA7</t>
  </si>
  <si>
    <t>9#-18#</t>
  </si>
  <si>
    <t>N9PA7-1</t>
  </si>
  <si>
    <t>HF01568</t>
  </si>
  <si>
    <t>KW4TA</t>
  </si>
  <si>
    <t>N9NQ9</t>
  </si>
  <si>
    <t>HF01569</t>
  </si>
  <si>
    <t>KW4TB</t>
  </si>
  <si>
    <t>N9NQ9-1</t>
  </si>
  <si>
    <t>HF01570</t>
  </si>
  <si>
    <t>VC4TA</t>
  </si>
  <si>
    <t>N9LHF</t>
  </si>
  <si>
    <t>HF01572</t>
  </si>
  <si>
    <t>ZT4TA</t>
  </si>
  <si>
    <t>N9MLA.06</t>
  </si>
  <si>
    <t>HF01574</t>
  </si>
  <si>
    <t>YB4TB</t>
  </si>
  <si>
    <t>N99J8+SJ070800</t>
  </si>
  <si>
    <t>14#~22#+10#~25#</t>
  </si>
  <si>
    <t>SJ070800;N99J8-1</t>
  </si>
  <si>
    <t>HF01575</t>
  </si>
  <si>
    <t>YB4TC</t>
  </si>
  <si>
    <t>N9A4N+SJ069800</t>
  </si>
  <si>
    <t>11#-15#+1#-9#</t>
  </si>
  <si>
    <t>SJ069800;N9A4N</t>
  </si>
  <si>
    <t>HF01576</t>
  </si>
  <si>
    <t>YB4TD</t>
  </si>
  <si>
    <t>16#-24#+10#~25#</t>
  </si>
  <si>
    <t>SJ069800;N9A4N-1</t>
  </si>
  <si>
    <t>HF01577</t>
  </si>
  <si>
    <t>ATH4TA</t>
  </si>
  <si>
    <t>N9SYN.02+SJ065600</t>
  </si>
  <si>
    <t>17#-20#+3#-19#,21#</t>
  </si>
  <si>
    <t>SJ065600;N9SYN.02</t>
  </si>
  <si>
    <t>HF01579</t>
  </si>
  <si>
    <t>AHK4TA</t>
  </si>
  <si>
    <t>18#-21#</t>
  </si>
  <si>
    <t>N9ML4-3</t>
  </si>
  <si>
    <t>HF01581</t>
  </si>
  <si>
    <t>MH4TA</t>
  </si>
  <si>
    <t>N9RCJ</t>
  </si>
  <si>
    <t>6#-12#</t>
  </si>
  <si>
    <t>N9RCJ-1</t>
  </si>
  <si>
    <t>HF01582</t>
  </si>
  <si>
    <t>ZW4TA</t>
  </si>
  <si>
    <t>4#-12#</t>
  </si>
  <si>
    <t>N9Q8P-1</t>
  </si>
  <si>
    <t>HF01584</t>
  </si>
  <si>
    <t>TR4TA</t>
  </si>
  <si>
    <t>N95T4-2</t>
  </si>
  <si>
    <t>HF01585</t>
  </si>
  <si>
    <t>KW4TC</t>
  </si>
  <si>
    <t>N9KAJ-2</t>
  </si>
  <si>
    <t>HF01586</t>
  </si>
  <si>
    <t>KW4TD</t>
  </si>
  <si>
    <t>N9KAJ-1</t>
  </si>
  <si>
    <t>HF01589</t>
  </si>
  <si>
    <t>NT4TB</t>
  </si>
  <si>
    <t>N9TJA</t>
  </si>
  <si>
    <t>N9TJA-1</t>
  </si>
  <si>
    <t>HF01591</t>
  </si>
  <si>
    <t>ALK4TB</t>
  </si>
  <si>
    <t>N9TJ8</t>
  </si>
  <si>
    <t>N9TJ8-1</t>
  </si>
  <si>
    <t>HF01592</t>
  </si>
  <si>
    <t>TW4TA</t>
  </si>
  <si>
    <t>N9PR8.05</t>
  </si>
  <si>
    <t>HF01593</t>
  </si>
  <si>
    <t>AIS4TA</t>
  </si>
  <si>
    <t>N8H68 +N8LF8</t>
  </si>
  <si>
    <t>9#~12#+1#-4#</t>
  </si>
  <si>
    <t>N8H68;N8LF8</t>
  </si>
  <si>
    <t>HF01602</t>
  </si>
  <si>
    <t>AHH4TB</t>
  </si>
  <si>
    <t>N9RRQ</t>
  </si>
  <si>
    <t>HF01604</t>
  </si>
  <si>
    <t>TC4TA</t>
  </si>
  <si>
    <t>N9W3H.04</t>
  </si>
  <si>
    <t>SY50281AAC</t>
  </si>
  <si>
    <t>E34B2+U3X10A</t>
  </si>
  <si>
    <t>HF01605</t>
  </si>
  <si>
    <t>SOT23-5</t>
  </si>
  <si>
    <t>ZR4TA</t>
  </si>
  <si>
    <t>UMC</t>
  </si>
  <si>
    <t>N9QYW.04+F4L69</t>
  </si>
  <si>
    <t>F4L69;N9QYW.04-1</t>
  </si>
  <si>
    <t>HF01607</t>
  </si>
  <si>
    <t>APS4TA</t>
  </si>
  <si>
    <t>N9W3H.05+SJ075600</t>
  </si>
  <si>
    <t>17# 18#+7#-11#</t>
  </si>
  <si>
    <t>N9W3H.05;SJ075600</t>
  </si>
  <si>
    <t xml:space="preserve">E51G0+A2X01B </t>
  </si>
  <si>
    <t>HF01608</t>
  </si>
  <si>
    <t>ATK4TC</t>
  </si>
  <si>
    <t>7+22</t>
  </si>
  <si>
    <t>N9SYM+SJ082800</t>
  </si>
  <si>
    <t>1#-7#+1#~11#,13#~23#</t>
  </si>
  <si>
    <t>SJ082800;N9SYM</t>
  </si>
  <si>
    <t>HF01611</t>
  </si>
  <si>
    <t>ARC4TA</t>
  </si>
  <si>
    <t>N9NQ0+SJ070600</t>
  </si>
  <si>
    <t>14#-21#+1#~15#</t>
  </si>
  <si>
    <t>SJ070600;N9NQ0</t>
  </si>
  <si>
    <t>HF01613</t>
  </si>
  <si>
    <t>Eg4TA</t>
  </si>
  <si>
    <t>N9QYY+F4AL4</t>
  </si>
  <si>
    <t>21#-25#+1#-14#</t>
  </si>
  <si>
    <t>F4AL4;N9QYY</t>
  </si>
  <si>
    <t>HF01615</t>
  </si>
  <si>
    <t>AWM4TA</t>
  </si>
  <si>
    <t>N9QYT+FKL2P</t>
  </si>
  <si>
    <t>5#-11#+1#~20#</t>
  </si>
  <si>
    <t>FKL2P;N9QYT</t>
  </si>
  <si>
    <t>HF01618</t>
  </si>
  <si>
    <t>VT4UA</t>
  </si>
  <si>
    <t>N9W3G</t>
  </si>
  <si>
    <t>HF01619</t>
  </si>
  <si>
    <t>VT4UB</t>
  </si>
  <si>
    <t>N9W3G-1</t>
  </si>
  <si>
    <t>HF01620</t>
  </si>
  <si>
    <t>VT4UC</t>
  </si>
  <si>
    <t>N9W3F</t>
  </si>
  <si>
    <t>HF01621</t>
  </si>
  <si>
    <t>VT4UD</t>
  </si>
  <si>
    <t>N9W3F-1</t>
  </si>
  <si>
    <t>HF01626</t>
  </si>
  <si>
    <t>AEF4UA</t>
  </si>
  <si>
    <t>N9W3J</t>
  </si>
  <si>
    <t>HF01631</t>
  </si>
  <si>
    <t>TD4UB</t>
  </si>
  <si>
    <t>N84AA-1</t>
  </si>
  <si>
    <t>HF01632</t>
  </si>
  <si>
    <t>TC4UA</t>
  </si>
  <si>
    <t>N9WQ5.01</t>
  </si>
  <si>
    <t>HF01645</t>
  </si>
  <si>
    <t>NM4UB</t>
  </si>
  <si>
    <t>N9AWL.02</t>
  </si>
  <si>
    <t>HF01646</t>
  </si>
  <si>
    <t>TW4UA</t>
  </si>
  <si>
    <t>N9WTJ</t>
  </si>
  <si>
    <t>HF01647</t>
  </si>
  <si>
    <t>TW4UB</t>
  </si>
  <si>
    <t>N9WTJ-1</t>
  </si>
  <si>
    <t>HF01652</t>
  </si>
  <si>
    <t>HT4UA</t>
  </si>
  <si>
    <t>N9NH0</t>
  </si>
  <si>
    <t>HF01655</t>
  </si>
  <si>
    <t>AIV4UA</t>
  </si>
  <si>
    <t>N9NYM</t>
  </si>
  <si>
    <t>HF01656</t>
  </si>
  <si>
    <t>AIV4UB</t>
  </si>
  <si>
    <t>N9NYM-1</t>
  </si>
  <si>
    <t>HF01674</t>
  </si>
  <si>
    <t>Ba4UA</t>
  </si>
  <si>
    <t>N9T8T+F866H</t>
  </si>
  <si>
    <t>F866H;N9T8T</t>
  </si>
  <si>
    <t>HF01677</t>
  </si>
  <si>
    <t>AVM4UA</t>
  </si>
  <si>
    <t>N9T91+F2K8S</t>
  </si>
  <si>
    <t>10#-18#+1#~25#</t>
  </si>
  <si>
    <t>F2K8S;N9T91</t>
  </si>
  <si>
    <t>HF01682</t>
  </si>
  <si>
    <t>AIG4UB</t>
  </si>
  <si>
    <t xml:space="preserve"> 6+12</t>
  </si>
  <si>
    <t>N8A8T++SJ044000</t>
  </si>
  <si>
    <t>20#~25#+13#~24#</t>
  </si>
  <si>
    <t>N8A8T;SJ044000</t>
  </si>
  <si>
    <t>HF01687</t>
  </si>
  <si>
    <t>AHK4UA</t>
  </si>
  <si>
    <t>N9WQ5</t>
  </si>
  <si>
    <t>HF01691</t>
  </si>
  <si>
    <t>TC4UB</t>
  </si>
  <si>
    <t>N9YJY</t>
  </si>
  <si>
    <t>HF01692</t>
  </si>
  <si>
    <t>TC4UC</t>
  </si>
  <si>
    <t>N9YJY-1</t>
  </si>
  <si>
    <t>HF01694</t>
  </si>
  <si>
    <t>TW4UC</t>
  </si>
  <si>
    <t>N9HF7.06</t>
  </si>
  <si>
    <t>11# 12#</t>
  </si>
  <si>
    <t>HF01697</t>
  </si>
  <si>
    <t>TW4UF</t>
  </si>
  <si>
    <t>N9WTL</t>
  </si>
  <si>
    <t>HF01702</t>
  </si>
  <si>
    <t>VT4UG</t>
  </si>
  <si>
    <t>N9Y4M</t>
  </si>
  <si>
    <t>HF01704</t>
  </si>
  <si>
    <t>HT4UC</t>
  </si>
  <si>
    <t>N9NH1</t>
  </si>
  <si>
    <t>SY7152ABC</t>
  </si>
  <si>
    <t>B27T0</t>
  </si>
  <si>
    <t>HTKJ</t>
  </si>
  <si>
    <t>TE00236</t>
  </si>
  <si>
    <t>LE3TA</t>
  </si>
  <si>
    <t>N86NJ.04</t>
  </si>
  <si>
    <t>SOT236131009355</t>
  </si>
  <si>
    <t>TE00237</t>
  </si>
  <si>
    <t>LE3TB</t>
  </si>
  <si>
    <t>SOT236131009369</t>
  </si>
  <si>
    <t>TE00238</t>
  </si>
  <si>
    <t>LE3TC</t>
  </si>
  <si>
    <t>N86NH</t>
  </si>
  <si>
    <t>SOT236131010501/SOT236131011306</t>
  </si>
  <si>
    <t>TE00241</t>
  </si>
  <si>
    <t>KV3UC</t>
  </si>
  <si>
    <t>N85G9</t>
  </si>
  <si>
    <t>SOT235131023047</t>
  </si>
  <si>
    <t>TE00293</t>
  </si>
  <si>
    <t>LE3XA</t>
  </si>
  <si>
    <t>N82AQ</t>
  </si>
  <si>
    <t>SOT236131127246</t>
  </si>
  <si>
    <t>TE00294</t>
  </si>
  <si>
    <t>LE3XB</t>
  </si>
  <si>
    <t>N82C4</t>
  </si>
  <si>
    <t>SOT236131127247</t>
  </si>
  <si>
    <t>TE00295</t>
  </si>
  <si>
    <t>LE3XC</t>
  </si>
  <si>
    <t>N82AS</t>
  </si>
  <si>
    <t>SOT236131128129</t>
  </si>
  <si>
    <t>TE00296</t>
  </si>
  <si>
    <t>LE3XD</t>
  </si>
  <si>
    <t>SOT236131128395</t>
  </si>
  <si>
    <t>TE00297</t>
  </si>
  <si>
    <t>LE3XE</t>
  </si>
  <si>
    <t>N82AW</t>
  </si>
  <si>
    <t>SOT236131128396</t>
  </si>
  <si>
    <t>TE00298</t>
  </si>
  <si>
    <t>LE3XF</t>
  </si>
  <si>
    <t>SOT236131127242</t>
  </si>
  <si>
    <t>SY7208LABC</t>
  </si>
  <si>
    <t>TE00300</t>
  </si>
  <si>
    <t>MI3XB</t>
  </si>
  <si>
    <t>N82AT</t>
  </si>
  <si>
    <t>SOT236131209030</t>
  </si>
  <si>
    <t>TE00339</t>
  </si>
  <si>
    <t>LD3ZA</t>
  </si>
  <si>
    <t>N8WHM</t>
  </si>
  <si>
    <t>SOT235131220014</t>
  </si>
  <si>
    <t>TE00340</t>
  </si>
  <si>
    <t>LD3ZB</t>
  </si>
  <si>
    <t>SOT235131220015</t>
  </si>
  <si>
    <t>TE00341</t>
  </si>
  <si>
    <t>LD3ZC</t>
  </si>
  <si>
    <t>SOT235131220018</t>
  </si>
  <si>
    <t>TE00342</t>
  </si>
  <si>
    <t>LD3ZD</t>
  </si>
  <si>
    <t>SOT235131220020</t>
  </si>
  <si>
    <t>TE00343</t>
  </si>
  <si>
    <t>KV3ZA</t>
  </si>
  <si>
    <t>N8WAC</t>
  </si>
  <si>
    <t>SOT235131220021</t>
  </si>
  <si>
    <t>TE00344</t>
  </si>
  <si>
    <t>KV3ZB</t>
  </si>
  <si>
    <t>SOT235131220023</t>
  </si>
  <si>
    <t>TE00345</t>
  </si>
  <si>
    <t>KV3ZC</t>
  </si>
  <si>
    <t>N8WJ5</t>
  </si>
  <si>
    <t>SOT235131224521</t>
  </si>
  <si>
    <t>TE00346</t>
  </si>
  <si>
    <t>KV3ZD</t>
  </si>
  <si>
    <t>N8WNC</t>
  </si>
  <si>
    <t>SOT235131224522</t>
  </si>
  <si>
    <t>TE00347</t>
  </si>
  <si>
    <t>KV3ZE</t>
  </si>
  <si>
    <t>SOT235131224494</t>
  </si>
  <si>
    <t>TE00348</t>
  </si>
  <si>
    <t>LD3ZE</t>
  </si>
  <si>
    <t>N8WN8.03</t>
  </si>
  <si>
    <t>SOT235131229156</t>
  </si>
  <si>
    <t>TE00349</t>
  </si>
  <si>
    <t>LD3ZF</t>
  </si>
  <si>
    <t>N8WJ7</t>
  </si>
  <si>
    <t>SOT235131229157</t>
  </si>
  <si>
    <t>TE00350</t>
  </si>
  <si>
    <t>LD3ZG</t>
  </si>
  <si>
    <t>SOT235131229158</t>
  </si>
  <si>
    <t>TE00351</t>
  </si>
  <si>
    <t>LD3ZH</t>
  </si>
  <si>
    <t>SOT235131229159</t>
  </si>
  <si>
    <t>TE00352</t>
  </si>
  <si>
    <t>LD3ZI</t>
  </si>
  <si>
    <t>SOT235131229160</t>
  </si>
  <si>
    <t>TE00353</t>
  </si>
  <si>
    <t>LD3ZJ</t>
  </si>
  <si>
    <t>N8WN7</t>
  </si>
  <si>
    <t>SOT235131229161</t>
  </si>
  <si>
    <t>TE00354</t>
  </si>
  <si>
    <t>LD3ZK</t>
  </si>
  <si>
    <t>SOT235131230156</t>
  </si>
  <si>
    <t>TE00355</t>
  </si>
  <si>
    <t>LD3ZL</t>
  </si>
  <si>
    <t>SOT235131230157</t>
  </si>
  <si>
    <t>TE00356</t>
  </si>
  <si>
    <t>LD3ZM</t>
  </si>
  <si>
    <t>N8WN7.02</t>
  </si>
  <si>
    <t>SOT235131230160</t>
  </si>
  <si>
    <t>TE00357</t>
  </si>
  <si>
    <t>KV3ZF</t>
  </si>
  <si>
    <t>N8YM6.01</t>
  </si>
  <si>
    <t>SOT235140107216</t>
  </si>
  <si>
    <t>TE00358</t>
  </si>
  <si>
    <t>KV3ZG</t>
  </si>
  <si>
    <t>SOT235140107217</t>
  </si>
  <si>
    <t>TE00359</t>
  </si>
  <si>
    <t>KV3ZH</t>
  </si>
  <si>
    <t>N8YQ1</t>
  </si>
  <si>
    <t>SOT235140107218</t>
  </si>
  <si>
    <t>TE00360</t>
  </si>
  <si>
    <t>KV3ZI</t>
  </si>
  <si>
    <t>SOT235140107219</t>
  </si>
  <si>
    <t>SYQ201ABC</t>
  </si>
  <si>
    <t>TE00361</t>
  </si>
  <si>
    <t>HY3ZB</t>
  </si>
  <si>
    <t>N8762</t>
  </si>
  <si>
    <t>SOT236140104447/SOT236140104448</t>
  </si>
  <si>
    <t>TF00001</t>
  </si>
  <si>
    <t>LD4AD</t>
  </si>
  <si>
    <t>N8YRR</t>
  </si>
  <si>
    <t>SOT235140109212</t>
  </si>
  <si>
    <t>TF00002</t>
  </si>
  <si>
    <t>LD4AE</t>
  </si>
  <si>
    <t>SOT235140109217</t>
  </si>
  <si>
    <t>TF00003</t>
  </si>
  <si>
    <t>LD4AF</t>
  </si>
  <si>
    <t>SOT235140109220</t>
  </si>
  <si>
    <t>TF00004</t>
  </si>
  <si>
    <t>LD4AG</t>
  </si>
  <si>
    <t>SOT235140109227</t>
  </si>
  <si>
    <t>TF00005</t>
  </si>
  <si>
    <t>KG4AA</t>
  </si>
  <si>
    <t>N8YQ0</t>
  </si>
  <si>
    <t>SOT236140113321</t>
  </si>
  <si>
    <t>TF00006</t>
  </si>
  <si>
    <t>KG4AB</t>
  </si>
  <si>
    <t>SOT236140114353</t>
  </si>
  <si>
    <t>TF00007</t>
  </si>
  <si>
    <t>KV4BA</t>
  </si>
  <si>
    <t>N8YM7.04</t>
  </si>
  <si>
    <t>SOT235140122063</t>
  </si>
  <si>
    <t>TF00008</t>
  </si>
  <si>
    <t>KV4BB</t>
  </si>
  <si>
    <t>N913Q</t>
  </si>
  <si>
    <t>SOT235140122064</t>
  </si>
  <si>
    <t>TF00009</t>
  </si>
  <si>
    <t>KV4BC</t>
  </si>
  <si>
    <t>SOT235140122065</t>
  </si>
  <si>
    <t>TF00010</t>
  </si>
  <si>
    <t>HY4BA</t>
  </si>
  <si>
    <t>N875W</t>
  </si>
  <si>
    <t>SOT236140120291</t>
  </si>
  <si>
    <t>TF00011</t>
  </si>
  <si>
    <t>DQ4BA</t>
  </si>
  <si>
    <t>SOT236140124051</t>
  </si>
  <si>
    <t>TF00012</t>
  </si>
  <si>
    <t>DQ4BB</t>
  </si>
  <si>
    <t>SOT236140124021</t>
  </si>
  <si>
    <t>SYN761AABC</t>
  </si>
  <si>
    <t>TF00013</t>
  </si>
  <si>
    <t>HY4BB</t>
  </si>
  <si>
    <t>N8761</t>
  </si>
  <si>
    <t>SOT236140124045</t>
  </si>
  <si>
    <t>TF00014</t>
  </si>
  <si>
    <t>KV4BD</t>
  </si>
  <si>
    <t>N913R</t>
  </si>
  <si>
    <t>SOT235140123062</t>
  </si>
  <si>
    <t>TF00015</t>
  </si>
  <si>
    <t>KV4BE</t>
  </si>
  <si>
    <t>SOT235140123064</t>
  </si>
  <si>
    <t>TF00016</t>
  </si>
  <si>
    <t>LD4BA</t>
  </si>
  <si>
    <t>N916Q</t>
  </si>
  <si>
    <t>SOT235140126175</t>
  </si>
  <si>
    <t>TF00017</t>
  </si>
  <si>
    <t>LD4BB</t>
  </si>
  <si>
    <t>SOT235140208191/SOT235140208192</t>
  </si>
  <si>
    <t>TF00018</t>
  </si>
  <si>
    <t>LD4BC</t>
  </si>
  <si>
    <t>N916R</t>
  </si>
  <si>
    <t>SOT235140211117</t>
  </si>
  <si>
    <t>TF00019</t>
  </si>
  <si>
    <t>LD4BD</t>
  </si>
  <si>
    <t>SOT235140126176</t>
  </si>
  <si>
    <t>TF00020</t>
  </si>
  <si>
    <t>LD4BE</t>
  </si>
  <si>
    <t>SOT235140126178/SOT235140126179</t>
  </si>
  <si>
    <t>TF00021</t>
  </si>
  <si>
    <t>LD4BF</t>
  </si>
  <si>
    <t>N916S</t>
  </si>
  <si>
    <t>SOT235140126180</t>
  </si>
  <si>
    <t>TF00022</t>
  </si>
  <si>
    <t>LD4BG</t>
  </si>
  <si>
    <t>SOT235140211120</t>
  </si>
  <si>
    <t>TF00023</t>
  </si>
  <si>
    <r>
      <rPr>
        <sz val="10"/>
        <rFont val="Arial"/>
        <family val="2"/>
        <charset val="134"/>
      </rPr>
      <t>LD4B</t>
    </r>
    <r>
      <rPr>
        <sz val="11"/>
        <rFont val="Arial"/>
        <family val="2"/>
        <charset val="134"/>
      </rPr>
      <t>H</t>
    </r>
  </si>
  <si>
    <t>SOT235140211121/SOT235140211122</t>
  </si>
  <si>
    <t>TF00024</t>
  </si>
  <si>
    <t>LD4BI</t>
  </si>
  <si>
    <t>N916T</t>
  </si>
  <si>
    <t>SOT235140210057</t>
  </si>
  <si>
    <t>TF00025</t>
  </si>
  <si>
    <t>LD4BJ</t>
  </si>
  <si>
    <t>SOT235140210058</t>
  </si>
  <si>
    <t>TF00026</t>
  </si>
  <si>
    <t>LD4BK</t>
  </si>
  <si>
    <t>SOT235140209131/SOT235140209132</t>
  </si>
  <si>
    <t>TF00027</t>
  </si>
  <si>
    <t>LD4CA</t>
  </si>
  <si>
    <t>N91LS</t>
  </si>
  <si>
    <t>SOT235140214183</t>
  </si>
  <si>
    <t>TF00028</t>
  </si>
  <si>
    <t>LD4CB</t>
  </si>
  <si>
    <t>SOT235140221074</t>
  </si>
  <si>
    <t>TF00029</t>
  </si>
  <si>
    <t>LD4CC</t>
  </si>
  <si>
    <t>SOT235140213263/SOT235140213264</t>
  </si>
  <si>
    <t>TF00030</t>
  </si>
  <si>
    <t>LD4CD</t>
  </si>
  <si>
    <t>N91LQ</t>
  </si>
  <si>
    <t>SOT235140213266</t>
  </si>
  <si>
    <t>TF00031</t>
  </si>
  <si>
    <t>LD4CE</t>
  </si>
  <si>
    <t>SOT235140215064</t>
  </si>
  <si>
    <t>TF00032</t>
  </si>
  <si>
    <t>LD4CF</t>
  </si>
  <si>
    <t>SOT235140220375/SOT235140221086</t>
  </si>
  <si>
    <t>TF00033</t>
  </si>
  <si>
    <t>LD4CG</t>
  </si>
  <si>
    <t>N91LR</t>
  </si>
  <si>
    <t>SOT235140221351</t>
  </si>
  <si>
    <t>TF00034</t>
  </si>
  <si>
    <t>LD4CH</t>
  </si>
  <si>
    <t>SOT235140222234</t>
  </si>
  <si>
    <t>TF00035</t>
  </si>
  <si>
    <t>LD4CI</t>
  </si>
  <si>
    <t>SOT235140221353/SOT235140223158</t>
  </si>
  <si>
    <t>TF00036</t>
  </si>
  <si>
    <t>KV4CA</t>
  </si>
  <si>
    <t>N913P</t>
  </si>
  <si>
    <t>SOT235140225187</t>
  </si>
  <si>
    <t>TF00037</t>
  </si>
  <si>
    <t>KV4CB</t>
  </si>
  <si>
    <t>SOT235140308049</t>
  </si>
  <si>
    <t>TF00038</t>
  </si>
  <si>
    <t>KV4CC</t>
  </si>
  <si>
    <t>N916N</t>
  </si>
  <si>
    <t>SOT235140308047</t>
  </si>
  <si>
    <t>TF00039</t>
  </si>
  <si>
    <t>KV4CD</t>
  </si>
  <si>
    <t>SOT235140308050</t>
  </si>
  <si>
    <t>TF00040</t>
  </si>
  <si>
    <t>KV4CE</t>
  </si>
  <si>
    <t>N913T</t>
  </si>
  <si>
    <t>SOT235140209159</t>
  </si>
  <si>
    <t>TF00041</t>
  </si>
  <si>
    <t>KG4CA</t>
  </si>
  <si>
    <t>SOT236140213306</t>
  </si>
  <si>
    <t>TF00042</t>
  </si>
  <si>
    <t>KG4CB</t>
  </si>
  <si>
    <t>N91M1</t>
  </si>
  <si>
    <t>SOT236140214097</t>
  </si>
  <si>
    <t>TF00043</t>
  </si>
  <si>
    <t>KG4CC</t>
  </si>
  <si>
    <t>SOT236140305197</t>
  </si>
  <si>
    <t>TF00044</t>
  </si>
  <si>
    <t>HY4CA</t>
  </si>
  <si>
    <t>SOT236140213309</t>
  </si>
  <si>
    <t>TF00045</t>
  </si>
  <si>
    <t>HY4CB</t>
  </si>
  <si>
    <t>SOT236140214051</t>
  </si>
  <si>
    <t>TF00046</t>
  </si>
  <si>
    <t>HY4CC</t>
  </si>
  <si>
    <t>N87HQ</t>
  </si>
  <si>
    <t>SOT236140214102</t>
  </si>
  <si>
    <t>TF00047</t>
  </si>
  <si>
    <t>LD4CJ</t>
  </si>
  <si>
    <t>N91LP</t>
  </si>
  <si>
    <t>SOT235140220007</t>
  </si>
  <si>
    <t>TF00048</t>
  </si>
  <si>
    <t>LD4CK</t>
  </si>
  <si>
    <t>SOT235140220008</t>
  </si>
  <si>
    <t>TF00049</t>
  </si>
  <si>
    <t>LD4CL</t>
  </si>
  <si>
    <t>SOT235140223106/SOT235140223108</t>
  </si>
  <si>
    <t>TF00050</t>
  </si>
  <si>
    <t>LD4CM</t>
  </si>
  <si>
    <t>N91W1</t>
  </si>
  <si>
    <t>SOT235140224137</t>
  </si>
  <si>
    <t>TF00051</t>
  </si>
  <si>
    <t>LD4CN</t>
  </si>
  <si>
    <t>SOT235140224140</t>
  </si>
  <si>
    <t>TF00052</t>
  </si>
  <si>
    <t>LD4CO</t>
  </si>
  <si>
    <t>SOT235140222001/SOT235140222002</t>
  </si>
  <si>
    <t>TF00053</t>
  </si>
  <si>
    <t>LD4CP</t>
  </si>
  <si>
    <t>N91W2</t>
  </si>
  <si>
    <t>SOT235140215065/SOT235140215066</t>
  </si>
  <si>
    <t>TF00054</t>
  </si>
  <si>
    <t>LD4CQ</t>
  </si>
  <si>
    <t>SOT235140222207/SOT235140222209</t>
  </si>
  <si>
    <t>TF00055</t>
  </si>
  <si>
    <t>LD4CR</t>
  </si>
  <si>
    <t>N91W2.01</t>
  </si>
  <si>
    <t>SOT235140213268</t>
  </si>
  <si>
    <t>TF00056</t>
  </si>
  <si>
    <t>LD4CS</t>
  </si>
  <si>
    <t>N92YQ</t>
  </si>
  <si>
    <t>SOT235140224297</t>
  </si>
  <si>
    <t>TF00057</t>
  </si>
  <si>
    <t>LD4CT</t>
  </si>
  <si>
    <t>SOT235140219079</t>
  </si>
  <si>
    <t>TF00058</t>
  </si>
  <si>
    <t>LD4CU</t>
  </si>
  <si>
    <t>SOT235140220009/SOT235140220378</t>
  </si>
  <si>
    <t>TF00059</t>
  </si>
  <si>
    <t>HY4DA</t>
  </si>
  <si>
    <t>10#~13#</t>
  </si>
  <si>
    <t>SOT236140305199</t>
  </si>
  <si>
    <t>TF00060</t>
  </si>
  <si>
    <t>DQ4DA</t>
  </si>
  <si>
    <t>SOT236140305200</t>
  </si>
  <si>
    <t>TF00061</t>
  </si>
  <si>
    <t>MI4DA</t>
  </si>
  <si>
    <t>N82C1</t>
  </si>
  <si>
    <t>SOT236140305294</t>
  </si>
  <si>
    <t>TF00062</t>
  </si>
  <si>
    <t>LD4DA</t>
  </si>
  <si>
    <t>N93NL</t>
  </si>
  <si>
    <t>SOT235140219010</t>
  </si>
  <si>
    <t>TF00063</t>
  </si>
  <si>
    <t>LD4DB</t>
  </si>
  <si>
    <t>SOT235140219017</t>
  </si>
  <si>
    <t>TF00064</t>
  </si>
  <si>
    <t>LD4DC</t>
  </si>
  <si>
    <t>SOT235140223105/SOT235140223107</t>
  </si>
  <si>
    <t>TF00065</t>
  </si>
  <si>
    <t>LD4EA</t>
  </si>
  <si>
    <t>N92YP</t>
  </si>
  <si>
    <t>SOT235140301126</t>
  </si>
  <si>
    <t>LD4EB</t>
  </si>
  <si>
    <t>SOT235140301127</t>
  </si>
  <si>
    <t>TF00067</t>
  </si>
  <si>
    <t>LD4EC</t>
  </si>
  <si>
    <t>SOT235140301140/SOT235140301141</t>
  </si>
  <si>
    <t>TF00068</t>
  </si>
  <si>
    <t>LD4ED</t>
  </si>
  <si>
    <t>N93NF</t>
  </si>
  <si>
    <t>SOT235140301176</t>
  </si>
  <si>
    <t>TF00069</t>
  </si>
  <si>
    <t>LD4EE</t>
  </si>
  <si>
    <t>SOT235140301177</t>
  </si>
  <si>
    <t>TF00070</t>
  </si>
  <si>
    <t>LD4EF</t>
  </si>
  <si>
    <t>SOT235140302099/SOT235140302100</t>
  </si>
  <si>
    <t>TF00071</t>
  </si>
  <si>
    <t>LD4EG</t>
  </si>
  <si>
    <t>N93NG</t>
  </si>
  <si>
    <t>SOT235140302101</t>
  </si>
  <si>
    <t>TF00072</t>
  </si>
  <si>
    <t>LD4EH</t>
  </si>
  <si>
    <t>SOT235140302103</t>
  </si>
  <si>
    <t>TF00073</t>
  </si>
  <si>
    <t>LD4EI</t>
  </si>
  <si>
    <t>SOT235140303080/SOT235140303081</t>
  </si>
  <si>
    <t>TF00074</t>
  </si>
  <si>
    <t>LD4EJ</t>
  </si>
  <si>
    <t>N93NH</t>
  </si>
  <si>
    <t>SOT235140302367</t>
  </si>
  <si>
    <t>TF00075</t>
  </si>
  <si>
    <t>LD4EK</t>
  </si>
  <si>
    <t>SOT235140303100</t>
  </si>
  <si>
    <t>TF00076</t>
  </si>
  <si>
    <t>LD4EL</t>
  </si>
  <si>
    <t>SOT235140303101/SOT235140303102</t>
  </si>
  <si>
    <t>TF00077</t>
  </si>
  <si>
    <t>LD4EM</t>
  </si>
  <si>
    <t>N93NJ</t>
  </si>
  <si>
    <t>SOT235140303231</t>
  </si>
  <si>
    <t>TF00078</t>
  </si>
  <si>
    <t>LD4EN</t>
  </si>
  <si>
    <t>SOT235140304048</t>
  </si>
  <si>
    <t>TF00079</t>
  </si>
  <si>
    <t>LD4EO</t>
  </si>
  <si>
    <t>SOT235140304056/SOT235140304059</t>
  </si>
  <si>
    <t>TF00080</t>
  </si>
  <si>
    <t>LD4EP</t>
  </si>
  <si>
    <t>N93NK</t>
  </si>
  <si>
    <t>SOT235140302034</t>
  </si>
  <si>
    <t>TF00081</t>
  </si>
  <si>
    <t>LD4EQ</t>
  </si>
  <si>
    <t>SOT235140304063</t>
  </si>
  <si>
    <t>TF00082</t>
  </si>
  <si>
    <t>LD4ER</t>
  </si>
  <si>
    <t>SOT235140304066/SOT235140304067</t>
  </si>
  <si>
    <t>TF00083</t>
  </si>
  <si>
    <t>LD4ES</t>
  </si>
  <si>
    <t>N92YR.01</t>
  </si>
  <si>
    <t>SOT235140306146/SOT235140306148</t>
  </si>
  <si>
    <t>TF00084</t>
  </si>
  <si>
    <t>HY4EA</t>
  </si>
  <si>
    <t>N87HR</t>
  </si>
  <si>
    <t>SOT236140307094</t>
  </si>
  <si>
    <t>TF00085</t>
  </si>
  <si>
    <t>DQ4EA</t>
  </si>
  <si>
    <t>SOT236140307095</t>
  </si>
  <si>
    <t>TF00086</t>
  </si>
  <si>
    <t>MI4EA</t>
  </si>
  <si>
    <t>SOT236140306100</t>
  </si>
  <si>
    <t>TF00087</t>
  </si>
  <si>
    <t>MI4EB</t>
  </si>
  <si>
    <t>SOT236140306103</t>
  </si>
  <si>
    <t>TF00088</t>
  </si>
  <si>
    <t>HT4EE</t>
  </si>
  <si>
    <t>N951C</t>
  </si>
  <si>
    <t>SOT236140309278</t>
  </si>
  <si>
    <t>TF00089</t>
  </si>
  <si>
    <t>TV4EC</t>
  </si>
  <si>
    <t>N951A</t>
  </si>
  <si>
    <t>SOT236140309282</t>
  </si>
  <si>
    <t>TF00090</t>
  </si>
  <si>
    <t>TV4ED</t>
  </si>
  <si>
    <t>SOT236140316246</t>
  </si>
  <si>
    <t>TF00091</t>
  </si>
  <si>
    <t>TV4EE</t>
  </si>
  <si>
    <t>N951C.02</t>
  </si>
  <si>
    <t>SOT236140316247</t>
  </si>
  <si>
    <t>TF00092</t>
  </si>
  <si>
    <t>NB4FA</t>
  </si>
  <si>
    <t>N9517.01</t>
  </si>
  <si>
    <t>SOT236140320258</t>
  </si>
  <si>
    <t>TF00093</t>
  </si>
  <si>
    <t>NB4FB</t>
  </si>
  <si>
    <t>12#~23#</t>
  </si>
  <si>
    <t>SOT236140320259</t>
  </si>
  <si>
    <t>TF00094</t>
  </si>
  <si>
    <t>LD4FA</t>
  </si>
  <si>
    <t>N9533</t>
  </si>
  <si>
    <t>SOT235140319009</t>
  </si>
  <si>
    <t>TF00095</t>
  </si>
  <si>
    <t>LD4FB</t>
  </si>
  <si>
    <t>SOT235140319015</t>
  </si>
  <si>
    <t>TF00096</t>
  </si>
  <si>
    <t>LD4FC</t>
  </si>
  <si>
    <t>SOT235140324014</t>
  </si>
  <si>
    <t>TF00097</t>
  </si>
  <si>
    <t>LD4FD</t>
  </si>
  <si>
    <t>N9534</t>
  </si>
  <si>
    <t>SOT235140319048</t>
  </si>
  <si>
    <t>TF00098</t>
  </si>
  <si>
    <t>LD4FE</t>
  </si>
  <si>
    <t>SOT235140324015</t>
  </si>
  <si>
    <t>TF00099</t>
  </si>
  <si>
    <t>LD4FF</t>
  </si>
  <si>
    <t>SOT235140325016</t>
  </si>
  <si>
    <t>TF00100</t>
  </si>
  <si>
    <t>LD4FG</t>
  </si>
  <si>
    <t>N9535</t>
  </si>
  <si>
    <t>SOT235140325128</t>
  </si>
  <si>
    <t>TF00101</t>
  </si>
  <si>
    <t>LD4FH</t>
  </si>
  <si>
    <t>SOT235140401093</t>
  </si>
  <si>
    <t>TF00102</t>
  </si>
  <si>
    <t>LD4FI</t>
  </si>
  <si>
    <t>SOT235140326152/SOT235140326153</t>
  </si>
  <si>
    <t>TF00103</t>
  </si>
  <si>
    <t>LD4FJ</t>
  </si>
  <si>
    <t>N9536</t>
  </si>
  <si>
    <t>SOT235140326154</t>
  </si>
  <si>
    <t>TF00104</t>
  </si>
  <si>
    <t>LD4FK</t>
  </si>
  <si>
    <t>SOT235140401094</t>
  </si>
  <si>
    <t>TF00105</t>
  </si>
  <si>
    <t>LD4FL</t>
  </si>
  <si>
    <t>SOT235140402023/SOT235140402025</t>
  </si>
  <si>
    <t>TF00106</t>
  </si>
  <si>
    <t>LD4FM</t>
  </si>
  <si>
    <t>N9537</t>
  </si>
  <si>
    <t>SOT235140402037</t>
  </si>
  <si>
    <t>TF00107</t>
  </si>
  <si>
    <t>LD4FN</t>
  </si>
  <si>
    <t>SOT235140403062</t>
  </si>
  <si>
    <t>TF00108</t>
  </si>
  <si>
    <t>LD4FO</t>
  </si>
  <si>
    <t>SOT235140403065/SOT235140403066</t>
  </si>
  <si>
    <t>TF00109</t>
  </si>
  <si>
    <t>KV4FH</t>
  </si>
  <si>
    <t>N9530</t>
  </si>
  <si>
    <t>SOT235140323214</t>
  </si>
  <si>
    <t>TF00110</t>
  </si>
  <si>
    <t>KG4FB</t>
  </si>
  <si>
    <t>SOT236140314070</t>
  </si>
  <si>
    <t>TF00111</t>
  </si>
  <si>
    <t>KV4FI</t>
  </si>
  <si>
    <t>N9532</t>
  </si>
  <si>
    <t>SOT235140323217</t>
  </si>
  <si>
    <t>TF00112</t>
  </si>
  <si>
    <r>
      <rPr>
        <sz val="10"/>
        <rFont val="Arial"/>
        <family val="2"/>
        <charset val="134"/>
      </rPr>
      <t>KV4F</t>
    </r>
    <r>
      <rPr>
        <b/>
        <sz val="10"/>
        <rFont val="Arial"/>
        <family val="2"/>
        <charset val="134"/>
      </rPr>
      <t>A</t>
    </r>
  </si>
  <si>
    <t>SOT235140315414</t>
  </si>
  <si>
    <t>TF00113</t>
  </si>
  <si>
    <t>KV4FB</t>
  </si>
  <si>
    <t>N952P</t>
  </si>
  <si>
    <t>SOT235140317007</t>
  </si>
  <si>
    <t>TF00114</t>
  </si>
  <si>
    <t>KV4FC</t>
  </si>
  <si>
    <t>SOT235140317013</t>
  </si>
  <si>
    <t>TF00115</t>
  </si>
  <si>
    <t>KV4FD</t>
  </si>
  <si>
    <t>N952Y</t>
  </si>
  <si>
    <t>SOT235140317014</t>
  </si>
  <si>
    <t>TF00116</t>
  </si>
  <si>
    <t>KV4FE</t>
  </si>
  <si>
    <t>SOT235140318143</t>
  </si>
  <si>
    <t>西安</t>
  </si>
  <si>
    <t>TF00117</t>
  </si>
  <si>
    <t>KW4FA</t>
  </si>
  <si>
    <t>XDFN008140317070/XDFN008140325031</t>
  </si>
  <si>
    <t>TF00118</t>
  </si>
  <si>
    <t>KV4FF</t>
  </si>
  <si>
    <t>N95YT</t>
  </si>
  <si>
    <t>SOT235140318253</t>
  </si>
  <si>
    <t>TF00119</t>
  </si>
  <si>
    <t>KV4FG</t>
  </si>
  <si>
    <t>SOT235140318252</t>
  </si>
  <si>
    <t>TF00120</t>
  </si>
  <si>
    <t>LD4FP</t>
  </si>
  <si>
    <t>N9538</t>
  </si>
  <si>
    <t>SOT235140404025</t>
  </si>
  <si>
    <t>TF00121</t>
  </si>
  <si>
    <t>LD4FQ</t>
  </si>
  <si>
    <t>SOT235140322149</t>
  </si>
  <si>
    <t>TF00122</t>
  </si>
  <si>
    <t>LD4FR</t>
  </si>
  <si>
    <t>SOT235140322175/SOT235140322176</t>
  </si>
  <si>
    <t>TF00123</t>
  </si>
  <si>
    <t>TV4FA</t>
  </si>
  <si>
    <t>N951C.03</t>
  </si>
  <si>
    <t>SOT236140323066</t>
  </si>
  <si>
    <t>TF00124</t>
  </si>
  <si>
    <t>LD4GA</t>
  </si>
  <si>
    <t>N96WC</t>
  </si>
  <si>
    <t>SOT235140404188/SOT235140404189</t>
  </si>
  <si>
    <t>TF00125</t>
  </si>
  <si>
    <t>LD4GB</t>
  </si>
  <si>
    <t>SOT235140405134/SOT235140405135</t>
  </si>
  <si>
    <t>TF00126</t>
  </si>
  <si>
    <t>LD4GC</t>
  </si>
  <si>
    <t>N96W9</t>
  </si>
  <si>
    <t>SOT235140405136/SOT235140407247</t>
  </si>
  <si>
    <t>TF00127</t>
  </si>
  <si>
    <t>LD4GD</t>
  </si>
  <si>
    <t>SOT235140407028/SOT235140407029</t>
  </si>
  <si>
    <t>TF00128</t>
  </si>
  <si>
    <t>LD4GE</t>
  </si>
  <si>
    <t>N96WA</t>
  </si>
  <si>
    <t>SOT235140408147/SOT235140408149</t>
  </si>
  <si>
    <t>TF00129</t>
  </si>
  <si>
    <t>LD4GF</t>
  </si>
  <si>
    <t>SOT235140408142/SOT235140408144</t>
  </si>
  <si>
    <t>TF00130</t>
  </si>
  <si>
    <t>LD4GG</t>
  </si>
  <si>
    <t>N96WF</t>
  </si>
  <si>
    <t>SOT235140409017/SOT235140409018</t>
  </si>
  <si>
    <t>TF00131</t>
  </si>
  <si>
    <t>LD4GH</t>
  </si>
  <si>
    <t>SOT235140409019/SOT235140409020</t>
  </si>
  <si>
    <t>TF00132</t>
  </si>
  <si>
    <t>LD4GI</t>
  </si>
  <si>
    <t>N9769</t>
  </si>
  <si>
    <t>SOT235140424018/SOT235140425391</t>
  </si>
  <si>
    <t>TF00133</t>
  </si>
  <si>
    <t>LD4GJ</t>
  </si>
  <si>
    <t>SOT235140423242/SOT235140423243</t>
  </si>
  <si>
    <t>TF00134</t>
  </si>
  <si>
    <t>HT4GA</t>
  </si>
  <si>
    <t>N96WP</t>
  </si>
  <si>
    <t>SOT236140417090</t>
  </si>
  <si>
    <t>TF00135</t>
  </si>
  <si>
    <t>HT4GB</t>
  </si>
  <si>
    <t>SOT236140417093</t>
  </si>
  <si>
    <t>TF00136</t>
  </si>
  <si>
    <t>TV4GA</t>
  </si>
  <si>
    <t>N96WQ</t>
  </si>
  <si>
    <t>SOT236140415253/SOT236140422054</t>
  </si>
  <si>
    <t>TF00137</t>
  </si>
  <si>
    <t>TV4GB</t>
  </si>
  <si>
    <t>SOT236140423260</t>
  </si>
  <si>
    <t>TF00138</t>
  </si>
  <si>
    <t>TV4GC</t>
  </si>
  <si>
    <t>N96WM</t>
  </si>
  <si>
    <t>SOT236140422103</t>
  </si>
  <si>
    <t>TF00139</t>
  </si>
  <si>
    <t>TV4GD</t>
  </si>
  <si>
    <t>SOT236140423262</t>
  </si>
  <si>
    <t>TF00140</t>
  </si>
  <si>
    <t>NB4GH</t>
  </si>
  <si>
    <t>N96WW</t>
  </si>
  <si>
    <t>SOT236140406143</t>
  </si>
  <si>
    <t>TF00141</t>
  </si>
  <si>
    <t>NB4GI</t>
  </si>
  <si>
    <t>SOT236140406146</t>
  </si>
  <si>
    <t>TF00142</t>
  </si>
  <si>
    <t>JW4GA</t>
  </si>
  <si>
    <t>N951C.01</t>
  </si>
  <si>
    <t>SOT236140416361</t>
  </si>
  <si>
    <t>TF00143</t>
  </si>
  <si>
    <t>KV4GA</t>
  </si>
  <si>
    <t>N97HT</t>
  </si>
  <si>
    <t>SOT235140410042</t>
  </si>
  <si>
    <t>TF00144</t>
  </si>
  <si>
    <t>KV4GB</t>
  </si>
  <si>
    <t>SOT235140412069/SOT235140414264</t>
  </si>
  <si>
    <t>TF00145</t>
  </si>
  <si>
    <t>KV4GC</t>
  </si>
  <si>
    <t>N97HR</t>
  </si>
  <si>
    <t>SOT235140414262</t>
  </si>
  <si>
    <t>TF00146</t>
  </si>
  <si>
    <t>KV4GD</t>
  </si>
  <si>
    <t>SOT235140410075</t>
  </si>
  <si>
    <t>TF00147</t>
  </si>
  <si>
    <t>KV4GE</t>
  </si>
  <si>
    <t>N97HW</t>
  </si>
  <si>
    <t>SOT235140414261/SOT235140415020</t>
  </si>
  <si>
    <t>TF00148</t>
  </si>
  <si>
    <t>KV4GF</t>
  </si>
  <si>
    <t>SOT235140415021</t>
  </si>
  <si>
    <t>TF00149</t>
  </si>
  <si>
    <t>TV4GE</t>
  </si>
  <si>
    <t>N96WN</t>
  </si>
  <si>
    <t>SOT236140424021</t>
  </si>
  <si>
    <t>TF00150</t>
  </si>
  <si>
    <t>TV4GF</t>
  </si>
  <si>
    <t>SOT236140424335/SOT236140425393</t>
  </si>
  <si>
    <t>TF00151</t>
  </si>
  <si>
    <t>LE4GA</t>
  </si>
  <si>
    <t>N8ANC</t>
  </si>
  <si>
    <t>SOT236140417171</t>
  </si>
  <si>
    <t>TF00152</t>
  </si>
  <si>
    <t>LE4GB</t>
  </si>
  <si>
    <t>TF00153</t>
  </si>
  <si>
    <t>LE4GC</t>
  </si>
  <si>
    <t>N8CAS</t>
  </si>
  <si>
    <t>TF00154</t>
  </si>
  <si>
    <t>LE4GD</t>
  </si>
  <si>
    <t>TF00155</t>
  </si>
  <si>
    <t>LE4GE</t>
  </si>
  <si>
    <t>N8CAR</t>
  </si>
  <si>
    <t>SOT236140518365</t>
  </si>
  <si>
    <t>MI4GA</t>
  </si>
  <si>
    <t>TF00157</t>
  </si>
  <si>
    <t>HY4GA</t>
  </si>
  <si>
    <t>N87LA</t>
  </si>
  <si>
    <t>SOT236140420083</t>
  </si>
  <si>
    <t>TF00158</t>
  </si>
  <si>
    <t>HY4GB</t>
  </si>
  <si>
    <t>TF00159</t>
  </si>
  <si>
    <t>HY4GC</t>
  </si>
  <si>
    <t>N8763</t>
  </si>
  <si>
    <t>TF00160</t>
  </si>
  <si>
    <t>HY4GD</t>
  </si>
  <si>
    <t>TF00161</t>
  </si>
  <si>
    <t>HY4GE</t>
  </si>
  <si>
    <t>N87HL</t>
  </si>
  <si>
    <t>TF00162</t>
  </si>
  <si>
    <t>HY4GF</t>
  </si>
  <si>
    <t>TF00163</t>
  </si>
  <si>
    <t>HY4GG</t>
  </si>
  <si>
    <t>N87HP</t>
  </si>
  <si>
    <t>TF00164</t>
  </si>
  <si>
    <t>HY4GH</t>
  </si>
  <si>
    <t>TF00165</t>
  </si>
  <si>
    <t>HY4GI</t>
  </si>
  <si>
    <t>N882L</t>
  </si>
  <si>
    <t>TF00166</t>
  </si>
  <si>
    <t>HY4GJ</t>
  </si>
  <si>
    <t>TF00167</t>
  </si>
  <si>
    <t>DQ4GA</t>
  </si>
  <si>
    <t>SOT236140708306</t>
  </si>
  <si>
    <t>TF00168</t>
  </si>
  <si>
    <t>KV4GG</t>
  </si>
  <si>
    <t>N981S</t>
  </si>
  <si>
    <t>SOT235140413293</t>
  </si>
  <si>
    <t>TF00169</t>
  </si>
  <si>
    <t>KV4GH</t>
  </si>
  <si>
    <t>SOT235140413263</t>
  </si>
  <si>
    <t>TF00170</t>
  </si>
  <si>
    <t>NB4GJ</t>
  </si>
  <si>
    <t>N97H9</t>
  </si>
  <si>
    <t>SOT236140413266</t>
  </si>
  <si>
    <t>TF00171</t>
  </si>
  <si>
    <t>NB4GK</t>
  </si>
  <si>
    <t>SOT236140416288</t>
  </si>
  <si>
    <t>SY7803DUC</t>
  </si>
  <si>
    <t>B51A0</t>
  </si>
  <si>
    <t>TF00172</t>
  </si>
  <si>
    <t>DFN3x2-14</t>
  </si>
  <si>
    <t>XY4HA</t>
  </si>
  <si>
    <t>N9834</t>
  </si>
  <si>
    <t>8#~12#</t>
  </si>
  <si>
    <t>XDFN014140411007/XDFN014140424003</t>
  </si>
  <si>
    <t>TF00173</t>
  </si>
  <si>
    <t>LD4HA</t>
  </si>
  <si>
    <t>N981R</t>
  </si>
  <si>
    <t>TF00174</t>
  </si>
  <si>
    <t>LD4HB</t>
  </si>
  <si>
    <t>TF00175</t>
  </si>
  <si>
    <t>LD4HC</t>
  </si>
  <si>
    <t>N981N</t>
  </si>
  <si>
    <t>TF00176</t>
  </si>
  <si>
    <t>LD4HD</t>
  </si>
  <si>
    <t>TF00177</t>
  </si>
  <si>
    <t>LD4HE</t>
  </si>
  <si>
    <t>N981Q</t>
  </si>
  <si>
    <t>TF00178</t>
  </si>
  <si>
    <t>LD4HF</t>
  </si>
  <si>
    <t>TF00179</t>
  </si>
  <si>
    <t>NB4HA</t>
  </si>
  <si>
    <t>N97H8</t>
  </si>
  <si>
    <t>SOT236140413284</t>
  </si>
  <si>
    <t>TF00180</t>
  </si>
  <si>
    <t>NB4HB</t>
  </si>
  <si>
    <t>SOT236140418401</t>
  </si>
  <si>
    <t>TF00181</t>
  </si>
  <si>
    <t>NB4HC</t>
  </si>
  <si>
    <t>N97HA</t>
  </si>
  <si>
    <t>SOT236140416301/SOT236140421017</t>
  </si>
  <si>
    <t>TF00182</t>
  </si>
  <si>
    <t>NB4HD</t>
  </si>
  <si>
    <t>SOT236140418402/SOT236140419401</t>
  </si>
  <si>
    <t>TF00183</t>
  </si>
  <si>
    <t>NB4HE</t>
  </si>
  <si>
    <t>N981W</t>
  </si>
  <si>
    <t>SOT236140419300</t>
  </si>
  <si>
    <t>TF00184</t>
  </si>
  <si>
    <t>NB4HF</t>
  </si>
  <si>
    <t>SOT236140420275</t>
  </si>
  <si>
    <t>TF00185</t>
  </si>
  <si>
    <t>KV4HA</t>
  </si>
  <si>
    <t>N98CY</t>
  </si>
  <si>
    <t>TF00186</t>
  </si>
  <si>
    <t>KV4HB</t>
  </si>
  <si>
    <t>TF00187</t>
  </si>
  <si>
    <t>LD4HG</t>
  </si>
  <si>
    <t>N981P</t>
  </si>
  <si>
    <t>TF00188</t>
  </si>
  <si>
    <t>LD4HH</t>
  </si>
  <si>
    <t>TF00189</t>
  </si>
  <si>
    <t>HT4HA</t>
  </si>
  <si>
    <t>N981H.03</t>
  </si>
  <si>
    <t>SOT236140416232</t>
  </si>
  <si>
    <t>TF00190</t>
  </si>
  <si>
    <t>HT4HB</t>
  </si>
  <si>
    <t>N981G</t>
  </si>
  <si>
    <t>SOT236140416233</t>
  </si>
  <si>
    <t>TF00191</t>
  </si>
  <si>
    <t>HT4HC</t>
  </si>
  <si>
    <t>SOT236140419153</t>
  </si>
  <si>
    <t>TF00192</t>
  </si>
  <si>
    <t>TV4HA</t>
  </si>
  <si>
    <t>N981H</t>
  </si>
  <si>
    <t>SOT236140422056</t>
  </si>
  <si>
    <t>TF00193</t>
  </si>
  <si>
    <t>LD4HI</t>
  </si>
  <si>
    <t>N9843</t>
  </si>
  <si>
    <t>TF00194</t>
  </si>
  <si>
    <t>LD4HJ</t>
  </si>
  <si>
    <t>N9844</t>
  </si>
  <si>
    <t>TF00195</t>
  </si>
  <si>
    <t>LD4HK</t>
  </si>
  <si>
    <t>TF00196</t>
  </si>
  <si>
    <t>LD4HL</t>
  </si>
  <si>
    <t>N9845</t>
  </si>
  <si>
    <t>TF00197</t>
  </si>
  <si>
    <t>LD4HM</t>
  </si>
  <si>
    <t>SOT235140518366</t>
  </si>
  <si>
    <t>TF00198</t>
  </si>
  <si>
    <t>KV4HC</t>
  </si>
  <si>
    <t>N98CS</t>
  </si>
  <si>
    <t>TF00199</t>
  </si>
  <si>
    <t>KV4HD</t>
  </si>
  <si>
    <t>TF00200</t>
  </si>
  <si>
    <t>KV4HE</t>
  </si>
  <si>
    <t>N98CW</t>
  </si>
  <si>
    <t>TF00201</t>
  </si>
  <si>
    <t>KV4HF</t>
  </si>
  <si>
    <t>TF00202</t>
  </si>
  <si>
    <t>KV4HG</t>
  </si>
  <si>
    <t>N98G4</t>
  </si>
  <si>
    <t>SOT235140605035</t>
  </si>
  <si>
    <t>TF00203</t>
  </si>
  <si>
    <t>KV4HH</t>
  </si>
  <si>
    <t>TF00204</t>
  </si>
  <si>
    <t>HT4HD</t>
  </si>
  <si>
    <t>N9899</t>
  </si>
  <si>
    <t>SOT236140419329</t>
  </si>
  <si>
    <t>TF00205</t>
  </si>
  <si>
    <t>HY4HA</t>
  </si>
  <si>
    <t>N881M</t>
  </si>
  <si>
    <t>TF00206</t>
  </si>
  <si>
    <t>HY4HB</t>
  </si>
  <si>
    <t>TF00207</t>
  </si>
  <si>
    <t>DQ4HA</t>
  </si>
  <si>
    <t>N8760</t>
  </si>
  <si>
    <t>TF00208</t>
  </si>
  <si>
    <t>KV4HI</t>
  </si>
  <si>
    <t>N98R8</t>
  </si>
  <si>
    <t>SOT235140418146</t>
  </si>
  <si>
    <t>TF00209</t>
  </si>
  <si>
    <t>KV4HJ</t>
  </si>
  <si>
    <t>TF00210</t>
  </si>
  <si>
    <t>KV4HK</t>
  </si>
  <si>
    <t>N98CT</t>
  </si>
  <si>
    <t>TF00211</t>
  </si>
  <si>
    <t>KV4HL</t>
  </si>
  <si>
    <t>TF00212</t>
  </si>
  <si>
    <t>KV4HM</t>
  </si>
  <si>
    <t>N98G2</t>
  </si>
  <si>
    <t>SOT235140419213/SOT235140420025</t>
  </si>
  <si>
    <t>TF00213</t>
  </si>
  <si>
    <t>KV4HN</t>
  </si>
  <si>
    <t>SOT235140420026</t>
  </si>
  <si>
    <t>TF00214</t>
  </si>
  <si>
    <t>KV4HO</t>
  </si>
  <si>
    <t>N98R3</t>
  </si>
  <si>
    <t>SOT235140420197/SOT235140421203</t>
  </si>
  <si>
    <t>TF00215</t>
  </si>
  <si>
    <t>KV4HP</t>
  </si>
  <si>
    <t>TF00216</t>
  </si>
  <si>
    <t>KV4HQ</t>
  </si>
  <si>
    <t>N98R5</t>
  </si>
  <si>
    <t>SOT235140421202</t>
  </si>
  <si>
    <t>TF00217</t>
  </si>
  <si>
    <t>KV4HR</t>
  </si>
  <si>
    <t>SOT235140421368/SOT235140422292</t>
  </si>
  <si>
    <t>TF00218</t>
  </si>
  <si>
    <t>TV4HD</t>
  </si>
  <si>
    <t>N981H.04</t>
  </si>
  <si>
    <t>SOT236140422222</t>
  </si>
  <si>
    <t>TF00219</t>
  </si>
  <si>
    <t>LE4HA</t>
  </si>
  <si>
    <t>N8G9Q</t>
  </si>
  <si>
    <t>TF00220</t>
  </si>
  <si>
    <t>LE4HB</t>
  </si>
  <si>
    <t>SY7728CFEC</t>
  </si>
  <si>
    <t>B41C0</t>
  </si>
  <si>
    <t>TF00221</t>
  </si>
  <si>
    <r>
      <rPr>
        <sz val="10"/>
        <rFont val="Arial"/>
        <family val="2"/>
        <charset val="134"/>
      </rPr>
      <t>SOP16E(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</si>
  <si>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ARF4HA</t>
  </si>
  <si>
    <t>N9833</t>
  </si>
  <si>
    <t>ESO016140418142/ESO016140418143</t>
  </si>
  <si>
    <t>TF00222</t>
  </si>
  <si>
    <t>KV4HS</t>
  </si>
  <si>
    <t>N98R7</t>
  </si>
  <si>
    <t>SOT235140602100</t>
  </si>
  <si>
    <t>TF00223</t>
  </si>
  <si>
    <t>KV4HT</t>
  </si>
  <si>
    <t>SOT235140602105</t>
  </si>
  <si>
    <t>TF00224</t>
  </si>
  <si>
    <t>LD4IA</t>
  </si>
  <si>
    <t>N8YPW</t>
  </si>
  <si>
    <t>TF00225</t>
  </si>
  <si>
    <t>LD4IB</t>
  </si>
  <si>
    <t>TF00226</t>
  </si>
  <si>
    <t>KV4IA</t>
  </si>
  <si>
    <t>N98R2</t>
  </si>
  <si>
    <t>TF00227</t>
  </si>
  <si>
    <t>KV4IB</t>
  </si>
  <si>
    <t>TF00228</t>
  </si>
  <si>
    <t>KV4IC</t>
  </si>
  <si>
    <t>N999A</t>
  </si>
  <si>
    <t>TF00229</t>
  </si>
  <si>
    <t>KV4ID</t>
  </si>
  <si>
    <t>TF00230</t>
  </si>
  <si>
    <t>KV4IE</t>
  </si>
  <si>
    <t>N98R4</t>
  </si>
  <si>
    <t>SOT235140606119</t>
  </si>
  <si>
    <t>TF00231</t>
  </si>
  <si>
    <t>KV4IF</t>
  </si>
  <si>
    <t>SOT235140606122</t>
  </si>
  <si>
    <t>TF00232</t>
  </si>
  <si>
    <t>KV4IG</t>
  </si>
  <si>
    <t>N999C</t>
  </si>
  <si>
    <t>SOT235140609120</t>
  </si>
  <si>
    <t>TF00233</t>
  </si>
  <si>
    <t>KV4IH</t>
  </si>
  <si>
    <t>SOT235140603186</t>
  </si>
  <si>
    <t>TF00234</t>
  </si>
  <si>
    <t>KV4II</t>
  </si>
  <si>
    <t>N999G</t>
  </si>
  <si>
    <t>SOT235140603187</t>
  </si>
  <si>
    <t>TF00235</t>
  </si>
  <si>
    <t>KV4IJ</t>
  </si>
  <si>
    <t>TF00236</t>
  </si>
  <si>
    <t>RY4IA</t>
  </si>
  <si>
    <t>N93PH</t>
  </si>
  <si>
    <t>TSO236140513384</t>
  </si>
  <si>
    <t>TF00237</t>
  </si>
  <si>
    <t>TV4IA</t>
  </si>
  <si>
    <t>N9991</t>
  </si>
  <si>
    <t>TF00238</t>
  </si>
  <si>
    <t>TV4IB</t>
  </si>
  <si>
    <t>TF00239</t>
  </si>
  <si>
    <t>TV4IC</t>
  </si>
  <si>
    <t>N9993</t>
  </si>
  <si>
    <t>TF00240</t>
  </si>
  <si>
    <t>TV4ID</t>
  </si>
  <si>
    <t>TF00241</t>
  </si>
  <si>
    <t>HT4IA</t>
  </si>
  <si>
    <t>N998G</t>
  </si>
  <si>
    <t>TF00242</t>
  </si>
  <si>
    <t>HT4IB</t>
  </si>
  <si>
    <t>TF00243</t>
  </si>
  <si>
    <t>NB4IE</t>
  </si>
  <si>
    <t>N997N</t>
  </si>
  <si>
    <t>TF00244</t>
  </si>
  <si>
    <t>NB4IF</t>
  </si>
  <si>
    <t>TF00245</t>
  </si>
  <si>
    <t>ARF4IA</t>
  </si>
  <si>
    <t>N9833.03</t>
  </si>
  <si>
    <t>ESO016140427423</t>
  </si>
  <si>
    <t>MI4IA</t>
  </si>
  <si>
    <t>N8GNM</t>
  </si>
  <si>
    <t>TF00247</t>
  </si>
  <si>
    <t>MI4IB</t>
  </si>
  <si>
    <t>SOT236140513058</t>
  </si>
  <si>
    <t>TF00248</t>
  </si>
  <si>
    <t>MI4IC</t>
  </si>
  <si>
    <t>N8G9L</t>
  </si>
  <si>
    <t>SOT236140513061</t>
  </si>
  <si>
    <t>MI4ID</t>
  </si>
  <si>
    <t>TF00250</t>
  </si>
  <si>
    <t>HY4IA</t>
  </si>
  <si>
    <t>N8C29</t>
  </si>
  <si>
    <t>TF00251</t>
  </si>
  <si>
    <t>HY4IB</t>
  </si>
  <si>
    <t>TF00252</t>
  </si>
  <si>
    <t>HY4IC</t>
  </si>
  <si>
    <t>N8C26</t>
  </si>
  <si>
    <t>TF00253</t>
  </si>
  <si>
    <t>HY4ID</t>
  </si>
  <si>
    <t>TF00254</t>
  </si>
  <si>
    <t>HY4IE</t>
  </si>
  <si>
    <t>N882H</t>
  </si>
  <si>
    <t>TF00255</t>
  </si>
  <si>
    <t>HY4IF</t>
  </si>
  <si>
    <t>TF00256</t>
  </si>
  <si>
    <t>HT4IC</t>
  </si>
  <si>
    <t>N9990</t>
  </si>
  <si>
    <t>TF00257</t>
  </si>
  <si>
    <t>HT4ID</t>
  </si>
  <si>
    <t>TF00258</t>
  </si>
  <si>
    <t>HT4IE</t>
  </si>
  <si>
    <t>N9AF0</t>
  </si>
  <si>
    <t>TF00259</t>
  </si>
  <si>
    <t>HT4IF</t>
  </si>
  <si>
    <t>SOT236140509421</t>
  </si>
  <si>
    <t>TF00260</t>
  </si>
  <si>
    <t>HT4IG</t>
  </si>
  <si>
    <t>N9AF1</t>
  </si>
  <si>
    <t>TF00261</t>
  </si>
  <si>
    <t>HT4IH</t>
  </si>
  <si>
    <t>TF00262</t>
  </si>
  <si>
    <t>TV4IE</t>
  </si>
  <si>
    <t>N99SS</t>
  </si>
  <si>
    <t>SOT236140508403</t>
  </si>
  <si>
    <t>TF00263</t>
  </si>
  <si>
    <t>TV4IF</t>
  </si>
  <si>
    <t>TF00264</t>
  </si>
  <si>
    <t>NB4IG</t>
  </si>
  <si>
    <t>N99PK</t>
  </si>
  <si>
    <t>TF00265</t>
  </si>
  <si>
    <t>NB4IH</t>
  </si>
  <si>
    <t>SOT236140510287</t>
  </si>
  <si>
    <t>TF00266</t>
  </si>
  <si>
    <t>NB4II</t>
  </si>
  <si>
    <t>N99PL</t>
  </si>
  <si>
    <t>TF00267</t>
  </si>
  <si>
    <t>NB4IJ</t>
  </si>
  <si>
    <t>TF00268</t>
  </si>
  <si>
    <t>KV4IK</t>
  </si>
  <si>
    <t>N9AF5</t>
  </si>
  <si>
    <t>TF00269</t>
  </si>
  <si>
    <t>KV4IL</t>
  </si>
  <si>
    <t>SOT235140602349</t>
  </si>
  <si>
    <t>TF00270</t>
  </si>
  <si>
    <t>KV4IM</t>
  </si>
  <si>
    <t>N9AF4</t>
  </si>
  <si>
    <t>SOT235140605075</t>
  </si>
  <si>
    <t>TF00271</t>
  </si>
  <si>
    <t>KV4IN</t>
  </si>
  <si>
    <t>SOT235140605077</t>
  </si>
  <si>
    <t>TF00272</t>
  </si>
  <si>
    <t>HT4II</t>
  </si>
  <si>
    <t>N9AF2</t>
  </si>
  <si>
    <t>TF00273</t>
  </si>
  <si>
    <t>HT4IJ</t>
  </si>
  <si>
    <t>TF00274</t>
  </si>
  <si>
    <t>LD4JA</t>
  </si>
  <si>
    <t>N9C49</t>
  </si>
  <si>
    <t>TF00275</t>
  </si>
  <si>
    <t>LD4JB</t>
  </si>
  <si>
    <t>TF00276</t>
  </si>
  <si>
    <t>HT4JA</t>
  </si>
  <si>
    <t>N9AF3</t>
  </si>
  <si>
    <t>SOT236140607307</t>
  </si>
  <si>
    <t>TF00277</t>
  </si>
  <si>
    <t>HT4JB</t>
  </si>
  <si>
    <t>SOT236140708314</t>
  </si>
  <si>
    <t>TF00278</t>
  </si>
  <si>
    <t>HY4JA</t>
  </si>
  <si>
    <t>TF00279</t>
  </si>
  <si>
    <t>HY4JB</t>
  </si>
  <si>
    <t>N881H</t>
  </si>
  <si>
    <t>SOT236140517417</t>
  </si>
  <si>
    <t>TF00280</t>
  </si>
  <si>
    <t>DQ4JA</t>
  </si>
  <si>
    <t>TF00281</t>
  </si>
  <si>
    <t>TV4JA</t>
  </si>
  <si>
    <t>N9AWQ</t>
  </si>
  <si>
    <t>SOT236140615079</t>
  </si>
  <si>
    <t>TF00282</t>
  </si>
  <si>
    <t>TV4JB</t>
  </si>
  <si>
    <t>SOT236140615245</t>
  </si>
  <si>
    <t>TF00283</t>
  </si>
  <si>
    <t>TV4JC</t>
  </si>
  <si>
    <t>N9AWS</t>
  </si>
  <si>
    <t>TF00284</t>
  </si>
  <si>
    <t>TV4JD</t>
  </si>
  <si>
    <t>TF00285</t>
  </si>
  <si>
    <t>RY4JA</t>
  </si>
  <si>
    <t>2#-13#</t>
  </si>
  <si>
    <t>TSO236140512385</t>
  </si>
  <si>
    <t>TF00286</t>
  </si>
  <si>
    <t>RY4JB</t>
  </si>
  <si>
    <t>TF00287</t>
  </si>
  <si>
    <t>LD4JC</t>
  </si>
  <si>
    <t>N9C45</t>
  </si>
  <si>
    <t>TF00288</t>
  </si>
  <si>
    <t>LD4JD</t>
  </si>
  <si>
    <t>N9C46</t>
  </si>
  <si>
    <t>TF00289</t>
  </si>
  <si>
    <t>LD4JE</t>
  </si>
  <si>
    <t>TF00290</t>
  </si>
  <si>
    <t>LD4JF</t>
  </si>
  <si>
    <t>N9C47</t>
  </si>
  <si>
    <t>TF00291</t>
  </si>
  <si>
    <t>LD4JG</t>
  </si>
  <si>
    <t>TF00292</t>
  </si>
  <si>
    <t>LD4JH</t>
  </si>
  <si>
    <t>N9C3R</t>
  </si>
  <si>
    <t>SOT235140525096</t>
  </si>
  <si>
    <t>TF00293</t>
  </si>
  <si>
    <t>LD4JI</t>
  </si>
  <si>
    <t>TF00294</t>
  </si>
  <si>
    <t>LD4JJ</t>
  </si>
  <si>
    <t>N9C48</t>
  </si>
  <si>
    <t>TF00295</t>
  </si>
  <si>
    <t>LD4JK</t>
  </si>
  <si>
    <t>TF00296</t>
  </si>
  <si>
    <t>LD4JL</t>
  </si>
  <si>
    <t>N9C3Y</t>
  </si>
  <si>
    <t>TF00297</t>
  </si>
  <si>
    <t>LD4JM</t>
  </si>
  <si>
    <t>TF00298</t>
  </si>
  <si>
    <t>LD4JN</t>
  </si>
  <si>
    <t>N9C69</t>
  </si>
  <si>
    <t>TF00299</t>
  </si>
  <si>
    <t>LD4JO</t>
  </si>
  <si>
    <t>TF00300</t>
  </si>
  <si>
    <t>LD4JP</t>
  </si>
  <si>
    <t>SOT235140604079</t>
  </si>
  <si>
    <t>TF00301</t>
  </si>
  <si>
    <t>LD4KA</t>
  </si>
  <si>
    <t>N9C6A</t>
  </si>
  <si>
    <t>SOT235140612107</t>
  </si>
  <si>
    <t>TF00302</t>
  </si>
  <si>
    <t>LD4KB</t>
  </si>
  <si>
    <t>SOT235140611057/SOT235140611058</t>
  </si>
  <si>
    <t>TF00303</t>
  </si>
  <si>
    <t>LD4KC</t>
  </si>
  <si>
    <t>N9CKL</t>
  </si>
  <si>
    <t>SOT235140609363/SOT235140609365</t>
  </si>
  <si>
    <t>TF00304</t>
  </si>
  <si>
    <t>LD4KD</t>
  </si>
  <si>
    <t>SOT235140611060/SOT235140611061</t>
  </si>
  <si>
    <t>TF00305</t>
  </si>
  <si>
    <t>LD4KE</t>
  </si>
  <si>
    <t>N9CKK</t>
  </si>
  <si>
    <t>SOT235140609366</t>
  </si>
  <si>
    <t>TF00306</t>
  </si>
  <si>
    <t>LD4KF</t>
  </si>
  <si>
    <t>SOT235140612110/SOT235140612111</t>
  </si>
  <si>
    <t>TF00307</t>
  </si>
  <si>
    <t>KV4KA</t>
  </si>
  <si>
    <t>N9F03</t>
  </si>
  <si>
    <t>SOT235140607017</t>
  </si>
  <si>
    <t>TF00308</t>
  </si>
  <si>
    <t>KV4KB</t>
  </si>
  <si>
    <t>SOT235140607018</t>
  </si>
  <si>
    <t>TF00309</t>
  </si>
  <si>
    <t>KV4KC</t>
  </si>
  <si>
    <t>N9F04</t>
  </si>
  <si>
    <t>TF00310</t>
  </si>
  <si>
    <t>KV4KD</t>
  </si>
  <si>
    <t>SOT235140608132</t>
  </si>
  <si>
    <t>TF00311</t>
  </si>
  <si>
    <t>KV4KE</t>
  </si>
  <si>
    <t>N9F05</t>
  </si>
  <si>
    <t>SOT235140608137</t>
  </si>
  <si>
    <t>TF00312</t>
  </si>
  <si>
    <t>KV4KF</t>
  </si>
  <si>
    <t>SOT235140608139</t>
  </si>
  <si>
    <t>TF00313</t>
  </si>
  <si>
    <t>KV4KG</t>
  </si>
  <si>
    <t>N9F06</t>
  </si>
  <si>
    <t>SOT235140610053</t>
  </si>
  <si>
    <t>TF00314</t>
  </si>
  <si>
    <t>KV4KH</t>
  </si>
  <si>
    <t>SOT235140610056</t>
  </si>
  <si>
    <t>TF00315</t>
  </si>
  <si>
    <t>RY4KA</t>
  </si>
  <si>
    <t>N8JP5.02</t>
  </si>
  <si>
    <t>2#~4#</t>
  </si>
  <si>
    <t>TSO236140528215</t>
  </si>
  <si>
    <t>TF00316</t>
  </si>
  <si>
    <t>TV4KA</t>
  </si>
  <si>
    <t>N9AWW</t>
  </si>
  <si>
    <t>SOT236140623090</t>
  </si>
  <si>
    <t>TF00317</t>
  </si>
  <si>
    <t>TV4KB</t>
  </si>
  <si>
    <t>TF00318</t>
  </si>
  <si>
    <t>TV4KC</t>
  </si>
  <si>
    <t>N9AWY</t>
  </si>
  <si>
    <t>SOT236140626058</t>
  </si>
  <si>
    <t>TF00319</t>
  </si>
  <si>
    <t>TV4KD</t>
  </si>
  <si>
    <t>TF00320</t>
  </si>
  <si>
    <t>TV4KE</t>
  </si>
  <si>
    <t>N9AWT</t>
  </si>
  <si>
    <t>TF00321</t>
  </si>
  <si>
    <t>TV4KF</t>
  </si>
  <si>
    <t>TF00322</t>
  </si>
  <si>
    <t>NB4KA</t>
  </si>
  <si>
    <t>N9A4A</t>
  </si>
  <si>
    <t>SOT236140618075</t>
  </si>
  <si>
    <t>TF00323</t>
  </si>
  <si>
    <t>NB4KB</t>
  </si>
  <si>
    <t>SOT236140618066</t>
  </si>
  <si>
    <t>TF00324</t>
  </si>
  <si>
    <t>NB4KC</t>
  </si>
  <si>
    <t>N9A4A.03</t>
  </si>
  <si>
    <t xml:space="preserve"> 11#~12#</t>
  </si>
  <si>
    <t>SOT236140618069</t>
  </si>
  <si>
    <t>TF00325</t>
  </si>
  <si>
    <t>LD4KG</t>
  </si>
  <si>
    <t>N9FT5</t>
  </si>
  <si>
    <t>SOT235140613047/SOT235140613048</t>
  </si>
  <si>
    <t>TF00326</t>
  </si>
  <si>
    <t>LD4KH</t>
  </si>
  <si>
    <t>SOT235140613309/SOT235140613311</t>
  </si>
  <si>
    <t>TF00327</t>
  </si>
  <si>
    <t>LD4KI</t>
  </si>
  <si>
    <t>N9FT6</t>
  </si>
  <si>
    <t>SOT235140614042/SOT235140614043</t>
  </si>
  <si>
    <t>TF00328</t>
  </si>
  <si>
    <t>LD4KJ</t>
  </si>
  <si>
    <t>SOT235140614046/SOT235140614047</t>
  </si>
  <si>
    <t>TF00329</t>
  </si>
  <si>
    <t>LD4KK</t>
  </si>
  <si>
    <t>N9FT7</t>
  </si>
  <si>
    <t>SOT235140616345/SOT235140616346</t>
  </si>
  <si>
    <t>TF00330</t>
  </si>
  <si>
    <t>LD4KL</t>
  </si>
  <si>
    <t>SOT235140617127/SOT235140617129</t>
  </si>
  <si>
    <t>TF00331</t>
  </si>
  <si>
    <t>LD4KM</t>
  </si>
  <si>
    <t>N9FT9</t>
  </si>
  <si>
    <t>SOT235140616347/SOT235140616348</t>
  </si>
  <si>
    <t>TF00332</t>
  </si>
  <si>
    <t>LD4KN</t>
  </si>
  <si>
    <t>SOT235140617380/SOT235140617381</t>
  </si>
  <si>
    <t>TF00333</t>
  </si>
  <si>
    <t>LD4KO</t>
  </si>
  <si>
    <t>N9FTA</t>
  </si>
  <si>
    <t>SOT235140618033/SOT235140618034</t>
  </si>
  <si>
    <t>TF00334</t>
  </si>
  <si>
    <t>LD4KP</t>
  </si>
  <si>
    <t>SOT235140618014/SOT235140618016</t>
  </si>
  <si>
    <t>TF00335</t>
  </si>
  <si>
    <t>LD4KQ</t>
  </si>
  <si>
    <t>N9FTF</t>
  </si>
  <si>
    <t>SOT235140615022/SOT235140615023</t>
  </si>
  <si>
    <t>TF00336</t>
  </si>
  <si>
    <t>LD4KR</t>
  </si>
  <si>
    <t>SOT235140615299/SOT235140615300</t>
  </si>
  <si>
    <t>TF00337</t>
  </si>
  <si>
    <t>HY4KA</t>
  </si>
  <si>
    <t>TF00338</t>
  </si>
  <si>
    <t>HY4KB</t>
  </si>
  <si>
    <t>N881G</t>
  </si>
  <si>
    <t>TF00339</t>
  </si>
  <si>
    <t>HY4KC</t>
  </si>
  <si>
    <t>TF00340</t>
  </si>
  <si>
    <t>HT4KA</t>
  </si>
  <si>
    <t>N9AWM</t>
  </si>
  <si>
    <t>SOT236140723110</t>
  </si>
  <si>
    <t>TF00341</t>
  </si>
  <si>
    <t>HT4KB</t>
  </si>
  <si>
    <t>SOT236140723114/SOT236140724055</t>
  </si>
  <si>
    <t>TF00342</t>
  </si>
  <si>
    <t>HT4KC</t>
  </si>
  <si>
    <t>N9AWP</t>
  </si>
  <si>
    <t>SOT236140725108</t>
  </si>
  <si>
    <t>TF00343</t>
  </si>
  <si>
    <t>HT4KD</t>
  </si>
  <si>
    <t>SOT236140725109</t>
  </si>
  <si>
    <t>TF00344</t>
  </si>
  <si>
    <t>NB4KD</t>
  </si>
  <si>
    <t>N9FJQ</t>
  </si>
  <si>
    <t xml:space="preserve"> 1#~12#</t>
  </si>
  <si>
    <t>SOT236140611184</t>
  </si>
  <si>
    <t>TF00345</t>
  </si>
  <si>
    <t>NB4KE</t>
  </si>
  <si>
    <t xml:space="preserve"> 13#~25#</t>
  </si>
  <si>
    <t>SOT236140611185</t>
  </si>
  <si>
    <t>TF00346</t>
  </si>
  <si>
    <t>LD4LA</t>
  </si>
  <si>
    <t>N9FT8</t>
  </si>
  <si>
    <t>SOT235140619034/SOT235140619036</t>
  </si>
  <si>
    <t>TF00347</t>
  </si>
  <si>
    <r>
      <rPr>
        <sz val="10"/>
        <color indexed="8"/>
        <rFont val="Arial"/>
        <family val="2"/>
        <charset val="134"/>
      </rP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</si>
  <si>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LD4LB</t>
  </si>
  <si>
    <t>SOT235140619341/SOT235140619342</t>
  </si>
  <si>
    <t>TF00348</t>
  </si>
  <si>
    <t>LD4LC</t>
  </si>
  <si>
    <t>N9FTG</t>
  </si>
  <si>
    <t>SOT235140622341/SOT235140623139</t>
  </si>
  <si>
    <t>TF00349</t>
  </si>
  <si>
    <t>LD4LD</t>
  </si>
  <si>
    <t>SOT235140623188</t>
  </si>
  <si>
    <t>TF00350</t>
  </si>
  <si>
    <t>LD4LE</t>
  </si>
  <si>
    <t>N9FTC.01</t>
  </si>
  <si>
    <t>SOT235140622340</t>
  </si>
  <si>
    <t>TF00351</t>
  </si>
  <si>
    <t>LD4LF</t>
  </si>
  <si>
    <t>SOT235140622048</t>
  </si>
  <si>
    <t>TF00352</t>
  </si>
  <si>
    <t>MI4LA</t>
  </si>
  <si>
    <t>N8CWC</t>
  </si>
  <si>
    <t>SOT236140719091</t>
  </si>
  <si>
    <t>TF00353</t>
  </si>
  <si>
    <t>MI4LB</t>
  </si>
  <si>
    <t>SOT236140719092/SOT236140720146</t>
  </si>
  <si>
    <t>TF00354</t>
  </si>
  <si>
    <t>HY4LA</t>
  </si>
  <si>
    <t>N881K</t>
  </si>
  <si>
    <t>TF00355</t>
  </si>
  <si>
    <t>HY4LB</t>
  </si>
  <si>
    <t>TF00356</t>
  </si>
  <si>
    <t>RY4LA</t>
  </si>
  <si>
    <t>N9GAG</t>
  </si>
  <si>
    <t>TSO236140609441</t>
  </si>
  <si>
    <t>TF00357</t>
  </si>
  <si>
    <t>RY4LB</t>
  </si>
  <si>
    <t>TSO236140610510</t>
  </si>
  <si>
    <t>TF00358</t>
  </si>
  <si>
    <t>RY4LC</t>
  </si>
  <si>
    <t>N9GAH</t>
  </si>
  <si>
    <t>TSO236140611439</t>
  </si>
  <si>
    <t>TF00359</t>
  </si>
  <si>
    <t>RY4LD</t>
  </si>
  <si>
    <t>TSO236140616369/TSO236140617398</t>
  </si>
  <si>
    <t>TF00360</t>
  </si>
  <si>
    <t>RY4LE</t>
  </si>
  <si>
    <t>N9GAK</t>
  </si>
  <si>
    <t>TSO236140618483</t>
  </si>
  <si>
    <t>TF00361</t>
  </si>
  <si>
    <t>RY4LF</t>
  </si>
  <si>
    <t>TSO236140728156</t>
  </si>
  <si>
    <t>TF00362</t>
  </si>
  <si>
    <t>NB4LA</t>
  </si>
  <si>
    <t>N9FJR</t>
  </si>
  <si>
    <t>SOT236140612339</t>
  </si>
  <si>
    <t>TF00363</t>
  </si>
  <si>
    <t>NB4LB</t>
  </si>
  <si>
    <t>SOT236140612341</t>
  </si>
  <si>
    <t>TF00364</t>
  </si>
  <si>
    <t>NB4LC</t>
  </si>
  <si>
    <t>N9FJS</t>
  </si>
  <si>
    <t>SOT236140613254</t>
  </si>
  <si>
    <t>TF00365</t>
  </si>
  <si>
    <t>NB4LD</t>
  </si>
  <si>
    <t xml:space="preserve"> 13#~23#</t>
  </si>
  <si>
    <t>SOT236140613253</t>
  </si>
  <si>
    <t>TF00366</t>
  </si>
  <si>
    <t>HY4LC</t>
  </si>
  <si>
    <t>N7WWN.02</t>
  </si>
  <si>
    <t>SOT236140613346</t>
  </si>
  <si>
    <t>TF00367</t>
  </si>
  <si>
    <t>ARF4LA</t>
  </si>
  <si>
    <t>N9833.05</t>
  </si>
  <si>
    <t>ESO016140621354</t>
  </si>
  <si>
    <t>TF00368</t>
  </si>
  <si>
    <t>LD4LG</t>
  </si>
  <si>
    <t>N9H68</t>
  </si>
  <si>
    <t>TF00369</t>
  </si>
  <si>
    <t>LD4LH</t>
  </si>
  <si>
    <t>TF00370</t>
  </si>
  <si>
    <t>LD4LI</t>
  </si>
  <si>
    <t>N9H69</t>
  </si>
  <si>
    <t>5#~16#</t>
  </si>
  <si>
    <t>TF00371</t>
  </si>
  <si>
    <t>LD4LJ</t>
  </si>
  <si>
    <t>TF00372</t>
  </si>
  <si>
    <t>LD4MA</t>
  </si>
  <si>
    <t>N9H6A</t>
  </si>
  <si>
    <t>SOT235140620076</t>
  </si>
  <si>
    <t>TF00373</t>
  </si>
  <si>
    <t>LD4MB</t>
  </si>
  <si>
    <t>TF00374</t>
  </si>
  <si>
    <t>LD4MC</t>
  </si>
  <si>
    <t>N9H6C</t>
  </si>
  <si>
    <t xml:space="preserve"> 1#~10#</t>
  </si>
  <si>
    <t>TF00375</t>
  </si>
  <si>
    <t>LD4MD</t>
  </si>
  <si>
    <t xml:space="preserve"> 15#~25#</t>
  </si>
  <si>
    <t>TF00376</t>
  </si>
  <si>
    <t>LD4ME</t>
  </si>
  <si>
    <t>N9H6F</t>
  </si>
  <si>
    <t>TF00377</t>
  </si>
  <si>
    <t>LD4MF</t>
  </si>
  <si>
    <t>TF00378</t>
  </si>
  <si>
    <t>LD4MG</t>
  </si>
  <si>
    <t>N9H6H</t>
  </si>
  <si>
    <t>TF00379</t>
  </si>
  <si>
    <t>LD4MH</t>
  </si>
  <si>
    <t>TF00380</t>
  </si>
  <si>
    <t>KV4MA</t>
  </si>
  <si>
    <t>N9HKG</t>
  </si>
  <si>
    <t>SOT235140620100</t>
  </si>
  <si>
    <t>TF00381</t>
  </si>
  <si>
    <t>KV4MB</t>
  </si>
  <si>
    <t>SOT235140620074</t>
  </si>
  <si>
    <t>TF00382</t>
  </si>
  <si>
    <t>KV4MC</t>
  </si>
  <si>
    <t>N9HKF</t>
  </si>
  <si>
    <t>SOT235140620101</t>
  </si>
  <si>
    <t>TF00383</t>
  </si>
  <si>
    <t>KV4MD</t>
  </si>
  <si>
    <t>SOT235140621127</t>
  </si>
  <si>
    <t>TF00384</t>
  </si>
  <si>
    <t>KV4ME</t>
  </si>
  <si>
    <t>N9HKL</t>
  </si>
  <si>
    <t>SOT235140621129</t>
  </si>
  <si>
    <t>TF00385</t>
  </si>
  <si>
    <t>KV4MF</t>
  </si>
  <si>
    <t>SOT235140621133</t>
  </si>
  <si>
    <t>TF00386</t>
  </si>
  <si>
    <t>KV4MG</t>
  </si>
  <si>
    <t>N9HNY</t>
  </si>
  <si>
    <t>SOT235140622076</t>
  </si>
  <si>
    <t>TF00387</t>
  </si>
  <si>
    <t>KV4MH</t>
  </si>
  <si>
    <t>SOT235140622077</t>
  </si>
  <si>
    <t>TF00388</t>
  </si>
  <si>
    <t>KG4MA</t>
  </si>
  <si>
    <t>N9HKK</t>
  </si>
  <si>
    <t>SOT236140718103</t>
  </si>
  <si>
    <t>TF00389</t>
  </si>
  <si>
    <t>KG4MB</t>
  </si>
  <si>
    <t>SOT236140720150/SOT236140721060</t>
  </si>
  <si>
    <t>TF00390</t>
  </si>
  <si>
    <t>KV4MI</t>
  </si>
  <si>
    <t>N9HP1</t>
  </si>
  <si>
    <t>TF00391</t>
  </si>
  <si>
    <t>KV4MJ</t>
  </si>
  <si>
    <t>TF00392</t>
  </si>
  <si>
    <t>LD4MI</t>
  </si>
  <si>
    <t>N9H6G</t>
  </si>
  <si>
    <t>TF00393</t>
  </si>
  <si>
    <t>LD4MJ</t>
  </si>
  <si>
    <t>TF00394</t>
  </si>
  <si>
    <t>LD4MK</t>
  </si>
  <si>
    <t>N9JP1</t>
  </si>
  <si>
    <t>TF00395</t>
  </si>
  <si>
    <t>LD4ML</t>
  </si>
  <si>
    <t>TF00396</t>
  </si>
  <si>
    <t>LD4MM</t>
  </si>
  <si>
    <t>N9JNY</t>
  </si>
  <si>
    <t>TF00397</t>
  </si>
  <si>
    <t>LD4MN</t>
  </si>
  <si>
    <t>TF00398</t>
  </si>
  <si>
    <t>LD4MO</t>
  </si>
  <si>
    <t>N9JP0</t>
  </si>
  <si>
    <t>SOT235140703158</t>
  </si>
  <si>
    <t>TF00399</t>
  </si>
  <si>
    <t>LD4MP</t>
  </si>
  <si>
    <t>SOT235140703162</t>
  </si>
  <si>
    <t>TF00400</t>
  </si>
  <si>
    <t>LD4MQ</t>
  </si>
  <si>
    <t>N9JP2</t>
  </si>
  <si>
    <t>TF00401</t>
  </si>
  <si>
    <t>LD4MR</t>
  </si>
  <si>
    <t>TF00402</t>
  </si>
  <si>
    <t>MI4MA</t>
  </si>
  <si>
    <t>N8G9N</t>
  </si>
  <si>
    <t>SOT236140719098</t>
  </si>
  <si>
    <t>TF00403</t>
  </si>
  <si>
    <t>MI4MB</t>
  </si>
  <si>
    <t>SOT236140720173</t>
  </si>
  <si>
    <t>TF00404</t>
  </si>
  <si>
    <t>HY4MA</t>
  </si>
  <si>
    <t>N881J</t>
  </si>
  <si>
    <t>SOT236140721093</t>
  </si>
  <si>
    <t>TF00405</t>
  </si>
  <si>
    <t>HY4MB</t>
  </si>
  <si>
    <t>SOT236140722126</t>
  </si>
  <si>
    <t>TF00406</t>
  </si>
  <si>
    <t>HY4MC</t>
  </si>
  <si>
    <t>N882K</t>
  </si>
  <si>
    <t>SOT236140716032/SOT236140718096</t>
  </si>
  <si>
    <t>TF00407</t>
  </si>
  <si>
    <t>HY4MD</t>
  </si>
  <si>
    <t>TF00408</t>
  </si>
  <si>
    <t>HY4ME</t>
  </si>
  <si>
    <t>N88K0</t>
  </si>
  <si>
    <t>SOT236140717221</t>
  </si>
  <si>
    <t>TF00409</t>
  </si>
  <si>
    <t>HY4MF</t>
  </si>
  <si>
    <t>TF00410</t>
  </si>
  <si>
    <t>HY4MG</t>
  </si>
  <si>
    <t>N88K1</t>
  </si>
  <si>
    <t>TF00411</t>
  </si>
  <si>
    <t>HY4MH</t>
  </si>
  <si>
    <t>SOT236140705223</t>
  </si>
  <si>
    <t>TF00412</t>
  </si>
  <si>
    <t>HY4MI</t>
  </si>
  <si>
    <t>N882J</t>
  </si>
  <si>
    <t>SOT236140717222</t>
  </si>
  <si>
    <t>TF00413</t>
  </si>
  <si>
    <t>HY4MJ</t>
  </si>
  <si>
    <t>SOT236140717225/SOT236140718097</t>
  </si>
  <si>
    <t>TF00414</t>
  </si>
  <si>
    <t>LE4MA</t>
  </si>
  <si>
    <t>N8G9P</t>
  </si>
  <si>
    <t>TF00415</t>
  </si>
  <si>
    <t>LE4MB</t>
  </si>
  <si>
    <t>TF00416</t>
  </si>
  <si>
    <t>LE4MC</t>
  </si>
  <si>
    <t>N8G9R</t>
  </si>
  <si>
    <t>TF00417</t>
  </si>
  <si>
    <t>LE4MD</t>
  </si>
  <si>
    <t>TF00418</t>
  </si>
  <si>
    <t>HY4NA</t>
  </si>
  <si>
    <t>N8A99</t>
  </si>
  <si>
    <t>TF00419</t>
  </si>
  <si>
    <t>HY4NB</t>
  </si>
  <si>
    <t>TF00420</t>
  </si>
  <si>
    <t>HY4NC</t>
  </si>
  <si>
    <t>N8A3G</t>
  </si>
  <si>
    <t>SOT236140719086</t>
  </si>
  <si>
    <t>TF00421</t>
  </si>
  <si>
    <t>HY4ND</t>
  </si>
  <si>
    <t>TF00422</t>
  </si>
  <si>
    <t>HY4NE</t>
  </si>
  <si>
    <t>N8A97</t>
  </si>
  <si>
    <t>SOT236140720174</t>
  </si>
  <si>
    <t>TF00423</t>
  </si>
  <si>
    <t>HY4NF</t>
  </si>
  <si>
    <t>SOT236140720175</t>
  </si>
  <si>
    <t>TF00424</t>
  </si>
  <si>
    <t>HY4NG</t>
  </si>
  <si>
    <t>N8A96</t>
  </si>
  <si>
    <t>1#,5#,15-17#,24#,25#</t>
  </si>
  <si>
    <t>SOT236140722130</t>
  </si>
  <si>
    <t>TF00425</t>
  </si>
  <si>
    <t>HY4NH</t>
  </si>
  <si>
    <t>N8A96.08</t>
  </si>
  <si>
    <t>3#,7#,10#,13#,19#,22#</t>
  </si>
  <si>
    <t>SOT236140721001</t>
  </si>
  <si>
    <t>TF00426</t>
  </si>
  <si>
    <t>HY4NI</t>
  </si>
  <si>
    <t>N8A96.09</t>
  </si>
  <si>
    <t>4#,8#,11#,14#,20#,23#</t>
  </si>
  <si>
    <t>SOT236140722131</t>
  </si>
  <si>
    <t>TF00427</t>
  </si>
  <si>
    <t>HY4NJ</t>
  </si>
  <si>
    <t>N8A96.07</t>
  </si>
  <si>
    <t>2#,6#,9#,12#,18#,21#</t>
  </si>
  <si>
    <t>SOT236140722128</t>
  </si>
  <si>
    <t>TF00428</t>
  </si>
  <si>
    <t>KV4NA</t>
  </si>
  <si>
    <t>N9K4T</t>
  </si>
  <si>
    <t>TF00429</t>
  </si>
  <si>
    <t>KV4NB</t>
  </si>
  <si>
    <t>TF00430</t>
  </si>
  <si>
    <t>KV4NC</t>
  </si>
  <si>
    <t>N9KAF</t>
  </si>
  <si>
    <t>TF00431</t>
  </si>
  <si>
    <t>KV4ND</t>
  </si>
  <si>
    <t>TF00432</t>
  </si>
  <si>
    <t>KV4NE</t>
  </si>
  <si>
    <t>N9KAG</t>
  </si>
  <si>
    <t>TF00433</t>
  </si>
  <si>
    <t>KV4NF</t>
  </si>
  <si>
    <t>TF00434</t>
  </si>
  <si>
    <t>KV4NG</t>
  </si>
  <si>
    <t>N9KAH</t>
  </si>
  <si>
    <t>SOT235140711373/SOT235140721211</t>
  </si>
  <si>
    <t>TF00435</t>
  </si>
  <si>
    <t>KV4NH</t>
  </si>
  <si>
    <t>SOT235140722182</t>
  </si>
  <si>
    <t>TF00436</t>
  </si>
  <si>
    <t>KV4NI</t>
  </si>
  <si>
    <t>N9KAK</t>
  </si>
  <si>
    <t>TF00437</t>
  </si>
  <si>
    <t>KV4NJ</t>
  </si>
  <si>
    <t>SOT235140712093</t>
  </si>
  <si>
    <t>TF00438</t>
  </si>
  <si>
    <t>KV4NK</t>
  </si>
  <si>
    <t>N9KWW</t>
  </si>
  <si>
    <t>TF00439</t>
  </si>
  <si>
    <t>KV4NL</t>
  </si>
  <si>
    <t>SOT235140714165</t>
  </si>
  <si>
    <t>TF00440</t>
  </si>
  <si>
    <t>KV4NM</t>
  </si>
  <si>
    <t>N9KWS</t>
  </si>
  <si>
    <t>SOT235140726135</t>
  </si>
  <si>
    <t>TF00441</t>
  </si>
  <si>
    <t>KV4NN</t>
  </si>
  <si>
    <t>SOT235140723107</t>
  </si>
  <si>
    <t>TF00442</t>
  </si>
  <si>
    <t>LE4NA</t>
  </si>
  <si>
    <t>N8G9M</t>
  </si>
  <si>
    <t>SOT236140715201</t>
  </si>
  <si>
    <t>TF00443</t>
  </si>
  <si>
    <t>LE4NB</t>
  </si>
  <si>
    <t>TF00444</t>
  </si>
  <si>
    <t>LD4OA</t>
  </si>
  <si>
    <t>N9KW9</t>
  </si>
  <si>
    <t>SOT235140723132/SOT235140723135</t>
  </si>
  <si>
    <t>TF00445</t>
  </si>
  <si>
    <t>LD4OB</t>
  </si>
  <si>
    <t>SOT235140724117/SOT235140724118</t>
  </si>
  <si>
    <t>TF00446</t>
  </si>
  <si>
    <t>LD4OC</t>
  </si>
  <si>
    <t>N9KWC</t>
  </si>
  <si>
    <t>SOT235140724092/SOT235140724093</t>
  </si>
  <si>
    <t>TF00447</t>
  </si>
  <si>
    <t>LD4OD</t>
  </si>
  <si>
    <t>SOT235140724095/SOT235140725114/SOT235140725116</t>
  </si>
  <si>
    <t>TF00448</t>
  </si>
  <si>
    <t>LD4OE</t>
  </si>
  <si>
    <t>N9KWH</t>
  </si>
  <si>
    <t>SOT235140722077/SOT235140725119</t>
  </si>
  <si>
    <t>TF00449</t>
  </si>
  <si>
    <t>LD4OF</t>
  </si>
  <si>
    <t>SOT235140726045/SOT235140726046</t>
  </si>
  <si>
    <t>TF00450</t>
  </si>
  <si>
    <t>KV4OA</t>
  </si>
  <si>
    <t>N9KWT</t>
  </si>
  <si>
    <t>SOT235140729088</t>
  </si>
  <si>
    <t>TF00451</t>
  </si>
  <si>
    <t>KV4OB</t>
  </si>
  <si>
    <t>SOT235140726031</t>
  </si>
  <si>
    <t>TF00452</t>
  </si>
  <si>
    <t>LD4OG</t>
  </si>
  <si>
    <t>N9KWA</t>
  </si>
  <si>
    <t>SOT235140728077/SOT235140728078</t>
  </si>
  <si>
    <t>TF00453</t>
  </si>
  <si>
    <t>LD4OH</t>
  </si>
  <si>
    <t>SOT235140726184/SOT235140727091</t>
  </si>
  <si>
    <t>TF00454</t>
  </si>
  <si>
    <t>LD4OI</t>
  </si>
  <si>
    <t>N9KWG</t>
  </si>
  <si>
    <t>SOT235140728079/SOT235140728080</t>
  </si>
  <si>
    <t>TF00455</t>
  </si>
  <si>
    <t>LD4OJ</t>
  </si>
  <si>
    <t>SOT235140729072/SOT235140729074</t>
  </si>
  <si>
    <t>TF00456</t>
  </si>
  <si>
    <t>LD4OK</t>
  </si>
  <si>
    <t>N9LLT</t>
  </si>
  <si>
    <t>SOT235140727144/SOT235140727145</t>
  </si>
  <si>
    <t>TF00457</t>
  </si>
  <si>
    <t>LD4OL</t>
  </si>
  <si>
    <t>SOT235140729078/SOT235140729079</t>
  </si>
  <si>
    <t>TF00458</t>
  </si>
  <si>
    <t>KV4OC</t>
  </si>
  <si>
    <t>N9LLN</t>
  </si>
  <si>
    <t>SOT235140727110</t>
  </si>
  <si>
    <t>TF00459</t>
  </si>
  <si>
    <t>KV4OD</t>
  </si>
  <si>
    <t>SOT235140727112</t>
  </si>
  <si>
    <t>TF00460</t>
  </si>
  <si>
    <t>KV4OE</t>
  </si>
  <si>
    <t>N9LLQ</t>
  </si>
  <si>
    <t>SOT235140728151</t>
  </si>
  <si>
    <t>TF00461</t>
  </si>
  <si>
    <t>KV4OF</t>
  </si>
  <si>
    <t>SOT235140731173</t>
  </si>
  <si>
    <t>TF00462</t>
  </si>
  <si>
    <t>KV4OG</t>
  </si>
  <si>
    <t>N9LLP</t>
  </si>
  <si>
    <t>SOT235140731174</t>
  </si>
  <si>
    <t>TF00463</t>
  </si>
  <si>
    <t>KV4OH</t>
  </si>
  <si>
    <t>SOT235140731176/SOT235140801017</t>
  </si>
  <si>
    <t>TF00464</t>
  </si>
  <si>
    <t>HY4PA</t>
  </si>
  <si>
    <t>N8N0J</t>
  </si>
  <si>
    <t>12#-25#</t>
  </si>
  <si>
    <t>SOT236140804112</t>
  </si>
  <si>
    <t>TF00465</t>
  </si>
  <si>
    <t>LD4PA</t>
  </si>
  <si>
    <t>N9M1J</t>
  </si>
  <si>
    <t>SOT235140730275/SOT235140730276</t>
  </si>
  <si>
    <t>TF00466</t>
  </si>
  <si>
    <t>LD4PB</t>
  </si>
  <si>
    <t>SOT235140730277/SOT235140730278</t>
  </si>
  <si>
    <t>TF00467</t>
  </si>
  <si>
    <t>LD4PC</t>
  </si>
  <si>
    <t>N9M1K</t>
  </si>
  <si>
    <t>SOT235140730227/SOT235140731156</t>
  </si>
  <si>
    <t>TF00468</t>
  </si>
  <si>
    <t>LD4PD</t>
  </si>
  <si>
    <t>N9M1M</t>
  </si>
  <si>
    <t>SOT235140801201/SOT235140801210</t>
  </si>
  <si>
    <t>TF00469</t>
  </si>
  <si>
    <t>LD4PE</t>
  </si>
  <si>
    <t>SOT235140801213/SOT235140801214</t>
  </si>
  <si>
    <t>TF00470</t>
  </si>
  <si>
    <t>LD4PF</t>
  </si>
  <si>
    <t>N9LLW</t>
  </si>
  <si>
    <t>SOT235140802204</t>
  </si>
  <si>
    <t>TF00471</t>
  </si>
  <si>
    <t>LD4PG</t>
  </si>
  <si>
    <t>SOT235140802210</t>
  </si>
  <si>
    <t>TF00472</t>
  </si>
  <si>
    <t>LD4PH</t>
  </si>
  <si>
    <t>N9M1N</t>
  </si>
  <si>
    <t>SOT235140802035</t>
  </si>
  <si>
    <t>TF00473</t>
  </si>
  <si>
    <t>LD4PI</t>
  </si>
  <si>
    <t>SOT235140803007/SOT235140803008</t>
  </si>
  <si>
    <t>TF00474</t>
  </si>
  <si>
    <t>KV4PA</t>
  </si>
  <si>
    <t>N9LLR</t>
  </si>
  <si>
    <t xml:space="preserve">1#~10# </t>
  </si>
  <si>
    <t>SOT235140803014</t>
  </si>
  <si>
    <t>TF00475</t>
  </si>
  <si>
    <t>KV4PB</t>
  </si>
  <si>
    <t>12#~25#</t>
  </si>
  <si>
    <t>SOT235140804105</t>
  </si>
  <si>
    <t>TF00476</t>
  </si>
  <si>
    <t>KV4PC</t>
  </si>
  <si>
    <t>N9LLS.01</t>
  </si>
  <si>
    <t>SOT235140804108</t>
  </si>
  <si>
    <t>TF00477</t>
  </si>
  <si>
    <t>KV4PD</t>
  </si>
  <si>
    <t>11#-20#</t>
  </si>
  <si>
    <t>SOT235140804104</t>
  </si>
  <si>
    <t>TF00478</t>
  </si>
  <si>
    <t>KV4PE</t>
  </si>
  <si>
    <t>N9M1Q</t>
  </si>
  <si>
    <t>SOT235140805064</t>
  </si>
  <si>
    <t>TF00479</t>
  </si>
  <si>
    <t>KV4PF</t>
  </si>
  <si>
    <t>SOT235140805066</t>
  </si>
  <si>
    <t>TF00480</t>
  </si>
  <si>
    <t>TV4PA</t>
  </si>
  <si>
    <t>N9F00</t>
  </si>
  <si>
    <t>SOT236140808210</t>
  </si>
  <si>
    <t>TF00481</t>
  </si>
  <si>
    <t>TV4PB</t>
  </si>
  <si>
    <t>SOT236140808271</t>
  </si>
  <si>
    <t>TF00482</t>
  </si>
  <si>
    <t>TV4PC</t>
  </si>
  <si>
    <t>N9FJT</t>
  </si>
  <si>
    <t>SOT236140808270</t>
  </si>
  <si>
    <t>TF00483</t>
  </si>
  <si>
    <t>TV4PD</t>
  </si>
  <si>
    <t>SOT236140805150</t>
  </si>
  <si>
    <t>TF00484</t>
  </si>
  <si>
    <t>TV4PE</t>
  </si>
  <si>
    <t>N9C3P</t>
  </si>
  <si>
    <t>2#~13#</t>
  </si>
  <si>
    <t>SOT236140805337</t>
  </si>
  <si>
    <t>TF00485</t>
  </si>
  <si>
    <t>TV4PF</t>
  </si>
  <si>
    <t>SOT236140806196</t>
  </si>
  <si>
    <t>TF00486</t>
  </si>
  <si>
    <t>TV4PG</t>
  </si>
  <si>
    <t>N9F01</t>
  </si>
  <si>
    <t>SOT236140806192</t>
  </si>
  <si>
    <t>TF00487</t>
  </si>
  <si>
    <t>TV4PH</t>
  </si>
  <si>
    <t>SOT236140806229/SOT236140807050</t>
  </si>
  <si>
    <t>SY8061ADEC</t>
  </si>
  <si>
    <t>西安Marcom 需要</t>
  </si>
  <si>
    <t>TF00488</t>
  </si>
  <si>
    <t>Es4PA</t>
  </si>
  <si>
    <t>N9H69.03</t>
  </si>
  <si>
    <t>XDFN006140801052</t>
  </si>
  <si>
    <t>TF00489</t>
  </si>
  <si>
    <t>LE4PA</t>
  </si>
  <si>
    <t>N9N7G</t>
  </si>
  <si>
    <t>SOT236140808342</t>
  </si>
  <si>
    <t>TF00490</t>
  </si>
  <si>
    <t>LE4PB</t>
  </si>
  <si>
    <t>SOT236140811083</t>
  </si>
  <si>
    <t>TF00491</t>
  </si>
  <si>
    <t>KG4PA</t>
  </si>
  <si>
    <t>N9NQC</t>
  </si>
  <si>
    <t>TF00492</t>
  </si>
  <si>
    <t>LE4PC</t>
  </si>
  <si>
    <t>N9N7J</t>
  </si>
  <si>
    <t>TF00493</t>
  </si>
  <si>
    <t>LE4PD</t>
  </si>
  <si>
    <t>TF00494</t>
  </si>
  <si>
    <t>LE4PE</t>
  </si>
  <si>
    <t>N9N7K</t>
  </si>
  <si>
    <t>TF00495</t>
  </si>
  <si>
    <t>LE4PF</t>
  </si>
  <si>
    <t>TF00496</t>
  </si>
  <si>
    <t>DQ4QA</t>
  </si>
  <si>
    <t>N9P2Q</t>
  </si>
  <si>
    <t>TF00497</t>
  </si>
  <si>
    <t>LD4QA</t>
  </si>
  <si>
    <t>N9P9T</t>
  </si>
  <si>
    <t>SOT235140815235/SOT235140815236</t>
  </si>
  <si>
    <t>TF00498</t>
  </si>
  <si>
    <t>LD4QB</t>
  </si>
  <si>
    <t>SOT235140816100/SOT235140816101</t>
  </si>
  <si>
    <t>TF00499</t>
  </si>
  <si>
    <t>LD4QC</t>
  </si>
  <si>
    <t>N9P9Y</t>
  </si>
  <si>
    <t>SOT235140819089/SOT235140819090</t>
  </si>
  <si>
    <t>TF00500</t>
  </si>
  <si>
    <t>LD4QD</t>
  </si>
  <si>
    <t>SOT235140820079/SOT235140820080/SOT235140821040</t>
  </si>
  <si>
    <t>TF00501</t>
  </si>
  <si>
    <t>LD4QE</t>
  </si>
  <si>
    <t>N9PA1.01</t>
  </si>
  <si>
    <t>SOT235140817153/SOT235140817154</t>
  </si>
  <si>
    <t>TF00502</t>
  </si>
  <si>
    <t>LD4QF</t>
  </si>
  <si>
    <t>SOT235140818027/SOT235140818028</t>
  </si>
  <si>
    <t>TF00503</t>
  </si>
  <si>
    <t>LD4QG</t>
  </si>
  <si>
    <t>N9P9W</t>
  </si>
  <si>
    <t>SOT235140821043/SOT235140821044</t>
  </si>
  <si>
    <t>TF00504</t>
  </si>
  <si>
    <t>LD4QH</t>
  </si>
  <si>
    <t>13#~20#,22#~25#</t>
  </si>
  <si>
    <t>SOT235140822020/SOT235140822021</t>
  </si>
  <si>
    <t>TF00505</t>
  </si>
  <si>
    <t>LD4QI</t>
  </si>
  <si>
    <t>N9PA0</t>
  </si>
  <si>
    <t>SOT235140823005/SOT235140823006</t>
  </si>
  <si>
    <t>TF00506</t>
  </si>
  <si>
    <t>LD4QJ</t>
  </si>
  <si>
    <t>SOT235140824075/SOT235140824076</t>
  </si>
  <si>
    <t>TF00507</t>
  </si>
  <si>
    <t>LD4QK</t>
  </si>
  <si>
    <t>N9Q2S</t>
  </si>
  <si>
    <t>TF00508</t>
  </si>
  <si>
    <t>LD4QL</t>
  </si>
  <si>
    <t>TF00509</t>
  </si>
  <si>
    <t>LD4QM</t>
  </si>
  <si>
    <t>N9Q2T</t>
  </si>
  <si>
    <t>TF00510</t>
  </si>
  <si>
    <t>LD4QN</t>
  </si>
  <si>
    <t>TF00511</t>
  </si>
  <si>
    <t>LD4QO</t>
  </si>
  <si>
    <t>N9Q2W</t>
  </si>
  <si>
    <t>TF00512</t>
  </si>
  <si>
    <t>LD4QP</t>
  </si>
  <si>
    <t>SY6280AAAC</t>
  </si>
  <si>
    <t>C03D0</t>
  </si>
  <si>
    <t>TF00514</t>
  </si>
  <si>
    <t>QW4QC</t>
  </si>
  <si>
    <t>N87TM.02</t>
  </si>
  <si>
    <t>17#~23#</t>
  </si>
  <si>
    <t>TF00515</t>
  </si>
  <si>
    <t>HY4QA</t>
  </si>
  <si>
    <t>TF00516</t>
  </si>
  <si>
    <t>LD4RA</t>
  </si>
  <si>
    <t>N9Q2Y</t>
  </si>
  <si>
    <t>TF00517</t>
  </si>
  <si>
    <t>LD4RB</t>
  </si>
  <si>
    <t>TF00518</t>
  </si>
  <si>
    <t>LD4RC</t>
  </si>
  <si>
    <t>N9Q8Q</t>
  </si>
  <si>
    <t>TF00519</t>
  </si>
  <si>
    <t>LD4RD</t>
  </si>
  <si>
    <t>N9Q8Q.04</t>
  </si>
  <si>
    <t>19#~22#</t>
  </si>
  <si>
    <t>TF00520</t>
  </si>
  <si>
    <t>LD4RE</t>
  </si>
  <si>
    <t>N9Q8R</t>
  </si>
  <si>
    <t>1#-2#,7#-10#,14#-15#,18#,23#-25#</t>
  </si>
  <si>
    <t>TF00521</t>
  </si>
  <si>
    <t>LD4RF</t>
  </si>
  <si>
    <t>N9Q8R.02</t>
  </si>
  <si>
    <t>3#-6#,11#-13#,16#-17#,19#-22#</t>
  </si>
  <si>
    <t>TF00522</t>
  </si>
  <si>
    <t>LD4RG</t>
  </si>
  <si>
    <t>N9Q8S</t>
  </si>
  <si>
    <t>11#-17#</t>
  </si>
  <si>
    <t>TF00523</t>
  </si>
  <si>
    <t>LD4RH</t>
  </si>
  <si>
    <t>18#-25#</t>
  </si>
  <si>
    <t>TF00524</t>
  </si>
  <si>
    <t>KV4RA</t>
  </si>
  <si>
    <t>TF00525</t>
  </si>
  <si>
    <t>KV4RB</t>
  </si>
  <si>
    <t>N9NQG</t>
  </si>
  <si>
    <t>TF00526</t>
  </si>
  <si>
    <t>KV4RC</t>
  </si>
  <si>
    <t>TF00527</t>
  </si>
  <si>
    <t>KG4RA</t>
  </si>
  <si>
    <t>N9NQ8</t>
  </si>
  <si>
    <t>TF00528</t>
  </si>
  <si>
    <t>KG4RB</t>
  </si>
  <si>
    <t>TF00529</t>
  </si>
  <si>
    <t>KG4RC</t>
  </si>
  <si>
    <t>N9NQA</t>
  </si>
  <si>
    <t>TF00530</t>
  </si>
  <si>
    <t>KG4RD</t>
  </si>
  <si>
    <t>MI4RA</t>
  </si>
  <si>
    <t>N9N7L</t>
  </si>
  <si>
    <t>1#-13#</t>
  </si>
  <si>
    <t>TF00532</t>
  </si>
  <si>
    <t>LE4RA</t>
  </si>
  <si>
    <t>TF00533</t>
  </si>
  <si>
    <t>LE4RB</t>
  </si>
  <si>
    <t>N9N7M</t>
  </si>
  <si>
    <t>TF00534</t>
  </si>
  <si>
    <t>LE4RC</t>
  </si>
  <si>
    <t>TF00535</t>
  </si>
  <si>
    <t>HY4RA</t>
  </si>
  <si>
    <t>TF00536</t>
  </si>
  <si>
    <t>HY4RB</t>
  </si>
  <si>
    <t>N9P2R</t>
  </si>
  <si>
    <t>TF00537</t>
  </si>
  <si>
    <t>HY4RC</t>
  </si>
  <si>
    <t>TF00538</t>
  </si>
  <si>
    <t>HY4RD</t>
  </si>
  <si>
    <t>N9P38</t>
  </si>
  <si>
    <t>TF00539</t>
  </si>
  <si>
    <t>HY4RE</t>
  </si>
  <si>
    <t>TF00540</t>
  </si>
  <si>
    <t>DQ4RA</t>
  </si>
  <si>
    <t>N8N0J.02</t>
  </si>
  <si>
    <t>8#-11#</t>
  </si>
  <si>
    <t>TF00541</t>
  </si>
  <si>
    <t>Es4RA</t>
  </si>
  <si>
    <t>TF00542</t>
  </si>
  <si>
    <t>KV4RD</t>
  </si>
  <si>
    <t>N9PA3</t>
  </si>
  <si>
    <t>TF00543</t>
  </si>
  <si>
    <t>KV4RE</t>
  </si>
  <si>
    <t>TF00544</t>
  </si>
  <si>
    <t>KV4RF</t>
  </si>
  <si>
    <t>N9PA6</t>
  </si>
  <si>
    <t>TF00545</t>
  </si>
  <si>
    <t>KV4RG</t>
  </si>
  <si>
    <t>TF00546</t>
  </si>
  <si>
    <t>KV4RH</t>
  </si>
  <si>
    <t>N9Q21</t>
  </si>
  <si>
    <t>TF00547</t>
  </si>
  <si>
    <t>KV4RI</t>
  </si>
  <si>
    <t>MI4RB</t>
  </si>
  <si>
    <t>N9NQL</t>
  </si>
  <si>
    <t>TF00549</t>
  </si>
  <si>
    <t>HY4RF</t>
  </si>
  <si>
    <t>N9QPK</t>
  </si>
  <si>
    <t>5#-11#</t>
  </si>
  <si>
    <t>TF00551</t>
  </si>
  <si>
    <t>LD4SA</t>
  </si>
  <si>
    <t>N9S0J</t>
  </si>
  <si>
    <t>TF00552</t>
  </si>
  <si>
    <t>LD4SB</t>
  </si>
  <si>
    <t>TF00553</t>
  </si>
  <si>
    <t>LD4SC</t>
  </si>
  <si>
    <t>N9S0H</t>
  </si>
  <si>
    <t>TF00554</t>
  </si>
  <si>
    <t>LD4SD</t>
  </si>
  <si>
    <t>TF00555</t>
  </si>
  <si>
    <t>LD4SE</t>
  </si>
  <si>
    <t>N9S0K</t>
  </si>
  <si>
    <t>TF00556</t>
  </si>
  <si>
    <t>LD4SF</t>
  </si>
  <si>
    <t>TF00557</t>
  </si>
  <si>
    <t>LD4SG</t>
  </si>
  <si>
    <t>N9S0L</t>
  </si>
  <si>
    <t>TF00558</t>
  </si>
  <si>
    <t>LD4SH</t>
  </si>
  <si>
    <t>TF00559</t>
  </si>
  <si>
    <t>LD4SI</t>
  </si>
  <si>
    <t>N9S0M</t>
  </si>
  <si>
    <t>TF00560</t>
  </si>
  <si>
    <t>LD4SJ</t>
  </si>
  <si>
    <t>TF00561</t>
  </si>
  <si>
    <t>LD4SK</t>
  </si>
  <si>
    <t>N9S0G</t>
  </si>
  <si>
    <t>TF00562</t>
  </si>
  <si>
    <t>LD4SL</t>
  </si>
  <si>
    <t>TF00563</t>
  </si>
  <si>
    <t>LD4SM</t>
  </si>
  <si>
    <t>N9SFJ</t>
  </si>
  <si>
    <t>TF00564</t>
  </si>
  <si>
    <t>LD4SN</t>
  </si>
  <si>
    <t>TF00565</t>
  </si>
  <si>
    <t>LD4SO</t>
  </si>
  <si>
    <t>N9SFN</t>
  </si>
  <si>
    <t>TF00566</t>
  </si>
  <si>
    <t>LD4SP</t>
  </si>
  <si>
    <t>TF00567</t>
  </si>
  <si>
    <t>LD4SQ</t>
  </si>
  <si>
    <t>N9SFP</t>
  </si>
  <si>
    <t>TF00568</t>
  </si>
  <si>
    <t>LD4SR</t>
  </si>
  <si>
    <t>TF00569</t>
  </si>
  <si>
    <t>LD4SS</t>
  </si>
  <si>
    <t>N9S96</t>
  </si>
  <si>
    <t>TF00570</t>
  </si>
  <si>
    <t>LD4ST</t>
  </si>
  <si>
    <t>TF00571</t>
  </si>
  <si>
    <t>LD4SU</t>
  </si>
  <si>
    <t>N9S98</t>
  </si>
  <si>
    <t>TF00572</t>
  </si>
  <si>
    <t>LD4SV</t>
  </si>
  <si>
    <t>TF00573</t>
  </si>
  <si>
    <t>LD4SW</t>
  </si>
  <si>
    <t>N9S99</t>
  </si>
  <si>
    <t>TF00574</t>
  </si>
  <si>
    <t>LD4SX</t>
  </si>
  <si>
    <t>TF00576</t>
  </si>
  <si>
    <t>LD4SZ</t>
  </si>
  <si>
    <t>N9S9A</t>
  </si>
  <si>
    <t>B35B2</t>
  </si>
  <si>
    <t>TF00577</t>
  </si>
  <si>
    <t>Ae4SA</t>
  </si>
  <si>
    <t>N98GP.09</t>
  </si>
  <si>
    <t>TF00578</t>
  </si>
  <si>
    <t>LD4TA</t>
  </si>
  <si>
    <t>N9SFL</t>
  </si>
  <si>
    <t>23#-25#</t>
  </si>
  <si>
    <t>TF00579</t>
  </si>
  <si>
    <t>LD4TB</t>
  </si>
  <si>
    <t>N9SFL.05</t>
  </si>
  <si>
    <t>MI4TA</t>
  </si>
  <si>
    <t>TF00584</t>
  </si>
  <si>
    <t>MI4TB</t>
  </si>
  <si>
    <t>N9NQM</t>
  </si>
  <si>
    <t>TF00586</t>
  </si>
  <si>
    <t>LE4TA</t>
  </si>
  <si>
    <t>N9N7H</t>
  </si>
  <si>
    <t>TF00587</t>
  </si>
  <si>
    <t>LE4TB</t>
  </si>
  <si>
    <t>TF00588</t>
  </si>
  <si>
    <t>LE4TC</t>
  </si>
  <si>
    <t>N9NQN</t>
  </si>
  <si>
    <t>TF00590</t>
  </si>
  <si>
    <t>KV4TB</t>
  </si>
  <si>
    <t>N9TJ7</t>
  </si>
  <si>
    <t>TF00591</t>
  </si>
  <si>
    <t>KV4TC</t>
  </si>
  <si>
    <t>N9TJ8.02</t>
  </si>
  <si>
    <t>TF00592</t>
  </si>
  <si>
    <t>KV4TD</t>
  </si>
  <si>
    <t>N9TJ9</t>
  </si>
  <si>
    <t>TF00593</t>
  </si>
  <si>
    <t>KV4TE</t>
  </si>
  <si>
    <t>TF00594</t>
  </si>
  <si>
    <t>EF4UA</t>
  </si>
  <si>
    <t>N9W9L</t>
  </si>
  <si>
    <t>TF00595</t>
  </si>
  <si>
    <t>EF4UB</t>
  </si>
  <si>
    <t>TF00598</t>
  </si>
  <si>
    <t>LE4UC</t>
  </si>
  <si>
    <t>N9NQH</t>
  </si>
  <si>
    <t>TF00599</t>
  </si>
  <si>
    <t>HY4UA</t>
  </si>
  <si>
    <t>N9QPK.02</t>
  </si>
  <si>
    <t>TF00600</t>
  </si>
  <si>
    <t>HY4UB</t>
  </si>
  <si>
    <t>N9QPK.03</t>
  </si>
  <si>
    <t>TF00601</t>
  </si>
  <si>
    <t>HY4UC</t>
  </si>
  <si>
    <t>N9WT5</t>
  </si>
  <si>
    <t>TF00602</t>
  </si>
  <si>
    <t>HY4UD</t>
  </si>
  <si>
    <t>TF00603</t>
  </si>
  <si>
    <t>HY4UE</t>
  </si>
  <si>
    <t>N9WT6</t>
  </si>
  <si>
    <t>TF00605</t>
  </si>
  <si>
    <t>HY4UG</t>
  </si>
  <si>
    <t>N9WT7</t>
  </si>
  <si>
    <t>TF00612</t>
  </si>
  <si>
    <t>KV4VA</t>
  </si>
  <si>
    <t>N9YSF</t>
  </si>
  <si>
    <t>1#-10# 23#-25#</t>
  </si>
  <si>
    <t>TF00613</t>
  </si>
  <si>
    <t>KV4VB</t>
  </si>
  <si>
    <t>N9YSF.05</t>
  </si>
  <si>
    <t>11# 14#-22#</t>
  </si>
  <si>
    <t>TF00614</t>
  </si>
  <si>
    <t>KV4VC</t>
  </si>
  <si>
    <t>N9YS9</t>
  </si>
  <si>
    <t>TF00628</t>
  </si>
  <si>
    <t>KV4VF</t>
  </si>
  <si>
    <t>N9YSH.03</t>
  </si>
  <si>
    <t>HF00446</t>
  </si>
  <si>
    <t>AQK4EN</t>
  </si>
  <si>
    <t>N9370+SJ052300</t>
  </si>
  <si>
    <t>订单取消，MOSwafer问题</t>
  </si>
  <si>
    <t>HF00493</t>
  </si>
  <si>
    <t>AQK4FD</t>
  </si>
  <si>
    <t>N92Y7+(SJ052000+SJ061000)</t>
  </si>
  <si>
    <t>18#~19#+(7#~9#+13#~14#)</t>
  </si>
  <si>
    <t>因SJ052000批次有问题，取消订单</t>
  </si>
  <si>
    <t>HF00920</t>
  </si>
  <si>
    <t>PT4KA</t>
  </si>
  <si>
    <r>
      <rPr>
        <sz val="10"/>
        <rFont val="Arial"/>
        <family val="2"/>
        <charset val="134"/>
      </rPr>
      <t>wafer</t>
    </r>
    <r>
      <rPr>
        <sz val="10"/>
        <rFont val="宋体"/>
        <family val="3"/>
        <charset val="134"/>
      </rPr>
      <t>已用，取消</t>
    </r>
  </si>
  <si>
    <t>工单已取消</t>
  </si>
  <si>
    <t>HF01133</t>
  </si>
  <si>
    <t>APS4NA</t>
  </si>
  <si>
    <t>N8M21+SJ074800</t>
  </si>
  <si>
    <t>7#~10#+1#~11#</t>
  </si>
  <si>
    <t>HF01137</t>
  </si>
  <si>
    <t>AGB4NB</t>
  </si>
  <si>
    <t>取消</t>
  </si>
  <si>
    <t>HF01279</t>
  </si>
  <si>
    <t>AFB4PA</t>
  </si>
  <si>
    <t xml:space="preserve"> 2#</t>
  </si>
  <si>
    <t>工程用过，为蓝膜芯片，取消订单</t>
  </si>
  <si>
    <t>需Bumping(工单取消)</t>
  </si>
  <si>
    <t>HF01349</t>
  </si>
  <si>
    <t>KT4QC</t>
  </si>
  <si>
    <t>N9KYC.15</t>
  </si>
  <si>
    <t>10#-15#</t>
  </si>
  <si>
    <t>芯片为工程实验片，订单取消</t>
  </si>
  <si>
    <t>已取消</t>
  </si>
  <si>
    <t>E51G4+U2X11A</t>
  </si>
  <si>
    <t>TF00671</t>
  </si>
  <si>
    <t>USMC</t>
  </si>
  <si>
    <t>N9Y9H+FTRYW</t>
  </si>
  <si>
    <t>22#-23#+7#-16#</t>
  </si>
  <si>
    <t>TF00672</t>
  </si>
  <si>
    <t>2+9</t>
  </si>
  <si>
    <t>24#~25#+17#~25#</t>
  </si>
  <si>
    <t>GF00013</t>
  </si>
  <si>
    <t>ZQ4OA</t>
  </si>
  <si>
    <t>N9KR0</t>
  </si>
  <si>
    <t>GF00016</t>
  </si>
  <si>
    <t>Bc4OA</t>
  </si>
  <si>
    <t>N9FCH.01</t>
  </si>
  <si>
    <t>GF00017</t>
  </si>
  <si>
    <t>Ab4OA</t>
  </si>
  <si>
    <t>N9FCH</t>
  </si>
  <si>
    <t>GF00018</t>
  </si>
  <si>
    <t>Ab4PA</t>
  </si>
  <si>
    <t>GF00022</t>
  </si>
  <si>
    <t>Ab4RB</t>
  </si>
  <si>
    <t>N9FCM.03</t>
  </si>
  <si>
    <t>14#-23#</t>
  </si>
  <si>
    <t>GF00024</t>
  </si>
  <si>
    <t>Bc4RB</t>
  </si>
  <si>
    <t>N9FCM.06</t>
  </si>
  <si>
    <t>Ab4SA</t>
  </si>
  <si>
    <t>N9FCJ</t>
  </si>
  <si>
    <t>GF00031</t>
  </si>
  <si>
    <t>Bc4TA</t>
  </si>
  <si>
    <t>N9W2W</t>
  </si>
  <si>
    <t>GF00032</t>
  </si>
  <si>
    <t>Bc4TB</t>
  </si>
  <si>
    <t>GF00033</t>
  </si>
  <si>
    <t>YH4UA</t>
  </si>
  <si>
    <t>GF00035</t>
  </si>
  <si>
    <t>ZQ4UA</t>
  </si>
  <si>
    <t>N9RTG</t>
  </si>
  <si>
    <t>GF00036</t>
  </si>
  <si>
    <t>ZQ4UB</t>
  </si>
  <si>
    <t>GF00037</t>
  </si>
  <si>
    <t>Ab4UA</t>
  </si>
  <si>
    <t>N9W2Y</t>
  </si>
  <si>
    <t>GF00038</t>
  </si>
  <si>
    <t>Ab4UB</t>
  </si>
  <si>
    <t>GF00039</t>
  </si>
  <si>
    <t>Ab4UC</t>
  </si>
  <si>
    <t>N9Y4N.02</t>
  </si>
  <si>
    <t>GF00040</t>
  </si>
  <si>
    <t>Bc4UA</t>
  </si>
  <si>
    <t>N9Y4N</t>
  </si>
  <si>
    <t>GF00041</t>
  </si>
  <si>
    <t>Ab4VA</t>
  </si>
  <si>
    <t>NA03A.03</t>
  </si>
  <si>
    <t>GF00042</t>
  </si>
  <si>
    <t>Bc4VA</t>
  </si>
  <si>
    <t>NA03A</t>
  </si>
  <si>
    <t>GF00043</t>
  </si>
  <si>
    <t>YH4VA</t>
  </si>
  <si>
    <t>NA0JM</t>
  </si>
  <si>
    <t>GF00044</t>
  </si>
  <si>
    <t>YH4VB</t>
  </si>
  <si>
    <t>GF00045</t>
  </si>
  <si>
    <t>YH4VC</t>
  </si>
  <si>
    <t>NA0JN</t>
  </si>
  <si>
    <t>GF00046</t>
  </si>
  <si>
    <t>YH4VD</t>
  </si>
  <si>
    <t>GF00047</t>
  </si>
  <si>
    <t>YH4WA</t>
  </si>
  <si>
    <t>NA1JG</t>
  </si>
  <si>
    <t>GF00048</t>
  </si>
  <si>
    <t>YH4WB</t>
  </si>
  <si>
    <t>GF00049</t>
  </si>
  <si>
    <t>Ab4WA</t>
  </si>
  <si>
    <t>NA1TA</t>
  </si>
  <si>
    <t>GF00050</t>
  </si>
  <si>
    <t>Ab4WB</t>
  </si>
  <si>
    <t>GF00051</t>
  </si>
  <si>
    <t>Bc4WA</t>
  </si>
  <si>
    <t>NA1T8</t>
  </si>
  <si>
    <t>GF00052</t>
  </si>
  <si>
    <t>Bc4WB</t>
  </si>
  <si>
    <t>HF00579</t>
  </si>
  <si>
    <t>AQK4GC</t>
  </si>
  <si>
    <t>N947A+SJ060800</t>
  </si>
  <si>
    <t>SJ060800;N947A</t>
  </si>
  <si>
    <t>SYJS596AFAC</t>
  </si>
  <si>
    <t>HF00651</t>
  </si>
  <si>
    <t>AQU4GF</t>
  </si>
  <si>
    <t>N92AR+SJ059100</t>
  </si>
  <si>
    <t>14#~16#+6#~14#,16#~21#</t>
  </si>
  <si>
    <t>SJ059100;N92AR</t>
  </si>
  <si>
    <t>SY8714FCC</t>
  </si>
  <si>
    <t>B18J0</t>
  </si>
  <si>
    <t>HF00652</t>
  </si>
  <si>
    <t>AKV4GA</t>
  </si>
  <si>
    <t>N9519.05</t>
  </si>
  <si>
    <t>HF00692</t>
  </si>
  <si>
    <t>LX4HA</t>
  </si>
  <si>
    <t>N8YRQ-1</t>
  </si>
  <si>
    <t>SY98081QUC</t>
  </si>
  <si>
    <t>A11Q0+MPH160805S1ROMT</t>
  </si>
  <si>
    <t>HF00754</t>
  </si>
  <si>
    <t>YG4IA</t>
  </si>
  <si>
    <t>N9843.04+LE1401060131</t>
  </si>
  <si>
    <t>N9843.04</t>
  </si>
  <si>
    <t>HF00792</t>
  </si>
  <si>
    <t>RC4IA</t>
  </si>
  <si>
    <t>N9A7Q-1</t>
  </si>
  <si>
    <t>SY5804FAC</t>
  </si>
  <si>
    <t>E02E1</t>
  </si>
  <si>
    <t>HF00814</t>
  </si>
  <si>
    <t>AFK4JA</t>
  </si>
  <si>
    <t>N7QSL.01</t>
  </si>
  <si>
    <t>HF00815</t>
  </si>
  <si>
    <t>VC4JA</t>
  </si>
  <si>
    <t>9#~11#</t>
  </si>
  <si>
    <t>N99N6-2</t>
  </si>
  <si>
    <t>HF00856</t>
  </si>
  <si>
    <t>JW4JA</t>
  </si>
  <si>
    <t>N9C3Q.01</t>
  </si>
  <si>
    <t>HF00859</t>
  </si>
  <si>
    <t>ATC4JA</t>
  </si>
  <si>
    <t>N93NT+(SJ039200+SJ039800)</t>
  </si>
  <si>
    <t>25#+(25#+1#)</t>
  </si>
  <si>
    <t>N93NT;(SJ039200+SJ039800)</t>
  </si>
  <si>
    <t>HF00876</t>
  </si>
  <si>
    <t>AQX4JB</t>
  </si>
  <si>
    <t>5+19</t>
  </si>
  <si>
    <t>N9ATW+SJ065500</t>
  </si>
  <si>
    <t>1#~5#+1#~19#</t>
  </si>
  <si>
    <t>SJ065500;N9ATW</t>
  </si>
  <si>
    <t>HF00890</t>
  </si>
  <si>
    <t>RC4JA</t>
  </si>
  <si>
    <t>N9ASY</t>
  </si>
  <si>
    <t>AQF4JA</t>
  </si>
  <si>
    <t>21+17</t>
  </si>
  <si>
    <t>N9CPQ+N8LGK</t>
  </si>
  <si>
    <t>5#-25#+1#~17#</t>
  </si>
  <si>
    <t>N8LGK;N9CPQ</t>
  </si>
  <si>
    <t>HF00930</t>
  </si>
  <si>
    <t>AKW4KA</t>
  </si>
  <si>
    <t>N9AW0+ SJ073900</t>
  </si>
  <si>
    <t>10#~25#+2#~19#</t>
  </si>
  <si>
    <t>N9AW0;SJ073900</t>
  </si>
  <si>
    <t>HF00934</t>
  </si>
  <si>
    <t>TW4KC</t>
  </si>
  <si>
    <t>N9CPM</t>
  </si>
  <si>
    <t>HF00935</t>
  </si>
  <si>
    <t>TW4KD</t>
  </si>
  <si>
    <t>N9CPM-1</t>
  </si>
  <si>
    <t>HF00936</t>
  </si>
  <si>
    <t>TW4KE</t>
  </si>
  <si>
    <t>HF00951</t>
  </si>
  <si>
    <t>V54KB</t>
  </si>
  <si>
    <t>N9FSC-1</t>
  </si>
  <si>
    <t>MH4LA</t>
  </si>
  <si>
    <t>13#~19#</t>
  </si>
  <si>
    <t>N8QM6-1</t>
  </si>
  <si>
    <t>AOZ4LA</t>
  </si>
  <si>
    <t>11#~14#+10#~15#</t>
  </si>
  <si>
    <t>N93NN;SJ037100-1</t>
  </si>
  <si>
    <t>HF01008</t>
  </si>
  <si>
    <t>AMK4LA</t>
  </si>
  <si>
    <t>N9GRS+SJ056300</t>
  </si>
  <si>
    <t>1#-12#+1#~22#,24#~25#</t>
  </si>
  <si>
    <t>ARV4MA</t>
  </si>
  <si>
    <r>
      <rPr>
        <sz val="10"/>
        <rFont val="Arial"/>
        <family val="2"/>
        <charset val="134"/>
      </rPr>
      <t>10#(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</t>
    </r>
  </si>
  <si>
    <t>N94CK.07-2</t>
  </si>
  <si>
    <t>SY5070FAC</t>
  </si>
  <si>
    <t>E02K1</t>
  </si>
  <si>
    <t>HF01064</t>
  </si>
  <si>
    <t>AGM4MA</t>
  </si>
  <si>
    <t>N9H4L.02</t>
  </si>
  <si>
    <t>HF01069</t>
  </si>
  <si>
    <t>AFB4MB</t>
  </si>
  <si>
    <t>N9AHP-1</t>
  </si>
  <si>
    <t>HF01085</t>
  </si>
  <si>
    <t>AST4MB</t>
  </si>
  <si>
    <t>N9F8L.03</t>
  </si>
  <si>
    <t>HF01087</t>
  </si>
  <si>
    <t>AJU4NB</t>
  </si>
  <si>
    <t>N923P+ (SJ066400+SJ066500)</t>
  </si>
  <si>
    <t>1#~12#+(15#~17#,19#~25#+1#~3#)</t>
  </si>
  <si>
    <t>N923P;(SJ066400+SJ066500)</t>
  </si>
  <si>
    <t>HF01088</t>
  </si>
  <si>
    <t>AJU4NC</t>
  </si>
  <si>
    <t>N923P+SJ066500</t>
  </si>
  <si>
    <t>13#~25#+4#~17#</t>
  </si>
  <si>
    <t>N923P;SJ066500</t>
  </si>
  <si>
    <t>AHK4NB</t>
  </si>
  <si>
    <t xml:space="preserve">N9C3W.02 </t>
  </si>
  <si>
    <t>N9C3W.02</t>
  </si>
  <si>
    <t>HF01121</t>
  </si>
  <si>
    <t>AEP4NA</t>
  </si>
  <si>
    <t>N8LGJ.02-1</t>
  </si>
  <si>
    <t>SY7302AAAC</t>
  </si>
  <si>
    <t>HF01122</t>
  </si>
  <si>
    <t>PD4HA</t>
  </si>
  <si>
    <t>N8LF7.01</t>
  </si>
  <si>
    <t>16#-20#</t>
  </si>
  <si>
    <t>HF01131</t>
  </si>
  <si>
    <t>JW4NA</t>
  </si>
  <si>
    <t>N9GC3.01</t>
  </si>
  <si>
    <t>3#~10#</t>
  </si>
  <si>
    <t>HF01140</t>
  </si>
  <si>
    <t>AML4ND</t>
  </si>
  <si>
    <t>N9JJM+SJ078100</t>
  </si>
  <si>
    <t>20#-25#+1#~12#</t>
  </si>
  <si>
    <t>N9JJM;SJ078100</t>
  </si>
  <si>
    <t>HF01143</t>
  </si>
  <si>
    <t>NB4NF</t>
  </si>
  <si>
    <t>N9KLM-1</t>
  </si>
  <si>
    <t>E02TM0+A3X01A</t>
  </si>
  <si>
    <t>HF01149</t>
  </si>
  <si>
    <t>AHC4NA</t>
  </si>
  <si>
    <r>
      <rPr>
        <sz val="10"/>
        <rFont val="Arial"/>
        <family val="2"/>
        <charset val="134"/>
      </rPr>
      <t>N9JJL.01+(SJ023300+SJ006400(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))</t>
    </r>
  </si>
  <si>
    <r>
      <rPr>
        <sz val="10"/>
        <rFont val="Arial"/>
        <family val="2"/>
        <charset val="134"/>
      </rPr>
      <t>24#+(24#~25#+</t>
    </r>
    <r>
      <rPr>
        <sz val="10"/>
        <rFont val="宋体"/>
        <family val="3"/>
        <charset val="134"/>
      </rPr>
      <t>任意</t>
    </r>
    <r>
      <rPr>
        <sz val="10"/>
        <rFont val="Arial"/>
        <family val="2"/>
        <charset val="134"/>
      </rPr>
      <t>)</t>
    </r>
  </si>
  <si>
    <t>N9JJL.01;(SJ023300+SJ006400)</t>
  </si>
  <si>
    <t>HF01161</t>
  </si>
  <si>
    <t>KT4NC</t>
  </si>
  <si>
    <t>SY98081CQUC</t>
  </si>
  <si>
    <t>A11H0+MPH160805S1ROMT</t>
  </si>
  <si>
    <t>HF01170</t>
  </si>
  <si>
    <t>TP4OA</t>
  </si>
  <si>
    <t>N9KWF.02+LE1405220638</t>
  </si>
  <si>
    <t>N9KWF.02</t>
  </si>
  <si>
    <t>HF01177</t>
  </si>
  <si>
    <t>YG4OA</t>
  </si>
  <si>
    <t>N9C45.03+LE1405220638</t>
  </si>
  <si>
    <t>N9C45.03</t>
  </si>
  <si>
    <t>HF01189</t>
  </si>
  <si>
    <t>AIS4OA</t>
  </si>
  <si>
    <t>6+6</t>
  </si>
  <si>
    <t>N8H68+N8LF7.03</t>
  </si>
  <si>
    <t>3#~8#+6#-11#</t>
  </si>
  <si>
    <t>N8H68;N8LF7.03</t>
  </si>
  <si>
    <t>HF01203</t>
  </si>
  <si>
    <t>JD4OK</t>
  </si>
  <si>
    <t>12#~20#,22#,24#~25#</t>
  </si>
  <si>
    <t>N9M1S-1</t>
  </si>
  <si>
    <t>E10E3</t>
  </si>
  <si>
    <t>HF01214</t>
  </si>
  <si>
    <t>XO4PA</t>
  </si>
  <si>
    <t>N9MLA.02</t>
  </si>
  <si>
    <t>23#-24#</t>
  </si>
  <si>
    <t>HF01216</t>
  </si>
  <si>
    <t>Ba4PB</t>
  </si>
  <si>
    <t>N9NJ7+FWAP2</t>
  </si>
  <si>
    <t>10#-17#+1#-10#,12#~23#</t>
  </si>
  <si>
    <t>FWAP2;N9NJ7</t>
  </si>
  <si>
    <t>HF01218</t>
  </si>
  <si>
    <t>ARK4PA</t>
  </si>
  <si>
    <t>N9GS0+SJ076900</t>
  </si>
  <si>
    <t>16#-19#+(1#-16# ,19# ,21# ,23#-25#)</t>
  </si>
  <si>
    <t>SJ076900;N9GS0</t>
  </si>
  <si>
    <t>HF01225</t>
  </si>
  <si>
    <t>MH4PA</t>
  </si>
  <si>
    <t>HF01232</t>
  </si>
  <si>
    <t>NM4PA</t>
  </si>
  <si>
    <t>HF01235</t>
  </si>
  <si>
    <t>AJQ4PA</t>
  </si>
  <si>
    <t>5#~18#</t>
  </si>
  <si>
    <t>N9H8K-1</t>
  </si>
  <si>
    <t>HF01238</t>
  </si>
  <si>
    <t>EF4PC</t>
  </si>
  <si>
    <t>HF01243</t>
  </si>
  <si>
    <t>AIV4PA</t>
  </si>
  <si>
    <t>HF01245</t>
  </si>
  <si>
    <t>WQ4PA</t>
  </si>
  <si>
    <t>HF01247</t>
  </si>
  <si>
    <t>Ba4PC</t>
  </si>
  <si>
    <t>N9NJ7+FY47S</t>
  </si>
  <si>
    <t>20#-21#+21#-25#</t>
  </si>
  <si>
    <t>FY47S;N9NJ7</t>
  </si>
  <si>
    <t>HF01251</t>
  </si>
  <si>
    <t>AHH4PB</t>
  </si>
  <si>
    <t>SY5819ABC</t>
  </si>
  <si>
    <t>HF01255</t>
  </si>
  <si>
    <t>MK4PA</t>
  </si>
  <si>
    <t>N9ML8-2</t>
  </si>
  <si>
    <t>HF01257</t>
  </si>
  <si>
    <t>AJM4PA</t>
  </si>
  <si>
    <t xml:space="preserve">N9ML6+SJ056600 </t>
  </si>
  <si>
    <t xml:space="preserve"> 1#-12#+1#~15#,17#~25#</t>
  </si>
  <si>
    <t>N9ML6;SJ056600</t>
  </si>
  <si>
    <t>HF01266</t>
  </si>
  <si>
    <t>MH4PD</t>
  </si>
  <si>
    <t>HF01275</t>
  </si>
  <si>
    <t>ARK4PC</t>
  </si>
  <si>
    <t>N9KF7.02+SJ077200</t>
  </si>
  <si>
    <t>7#-11#+1#-25#</t>
  </si>
  <si>
    <t>SJ077200;N9KF7.02</t>
  </si>
  <si>
    <t>HF01289</t>
  </si>
  <si>
    <t>PR4PA</t>
  </si>
  <si>
    <t>N9ML5</t>
  </si>
  <si>
    <t>HF01294</t>
  </si>
  <si>
    <t>VL4PD</t>
  </si>
  <si>
    <t>HF01297</t>
  </si>
  <si>
    <t>VL4PG</t>
  </si>
  <si>
    <t>N9F4P-1</t>
  </si>
  <si>
    <t>SY7203DBC</t>
  </si>
  <si>
    <t>B18L0</t>
  </si>
  <si>
    <t>HF01304</t>
  </si>
  <si>
    <t>NZ4PA</t>
  </si>
  <si>
    <t xml:space="preserve">N86NQ </t>
  </si>
  <si>
    <t>N86NQ-1</t>
  </si>
  <si>
    <t>HF01315</t>
  </si>
  <si>
    <t>AJE4PA</t>
  </si>
  <si>
    <t xml:space="preserve">N93NP.01 </t>
  </si>
  <si>
    <t>N93NP.01-1</t>
  </si>
  <si>
    <t>SYT936ABC</t>
  </si>
  <si>
    <t>HF01328</t>
  </si>
  <si>
    <t>PR4QA</t>
  </si>
  <si>
    <t>N9ML5-1</t>
  </si>
  <si>
    <t>HF01333</t>
  </si>
  <si>
    <t>NA4QB</t>
  </si>
  <si>
    <t>N9KWF.01-1</t>
  </si>
  <si>
    <t>HF01337</t>
  </si>
  <si>
    <t>WG4QA</t>
  </si>
  <si>
    <t xml:space="preserve">N8JP5 </t>
  </si>
  <si>
    <t>N8JP5</t>
  </si>
  <si>
    <t>HF01342</t>
  </si>
  <si>
    <t>AMJ4QA</t>
  </si>
  <si>
    <t>N9JP3+SJ075300</t>
  </si>
  <si>
    <t>23#-25+14#-21#</t>
  </si>
  <si>
    <t>N9JP3;SJ075300</t>
  </si>
  <si>
    <t>HF01343</t>
  </si>
  <si>
    <t>AQJ4QA</t>
  </si>
  <si>
    <t>N9ATW+SJ061400</t>
  </si>
  <si>
    <t xml:space="preserve"> 6#~7#+1#~10#</t>
  </si>
  <si>
    <t>SJ061400;N9ATW</t>
  </si>
  <si>
    <t>HF01356</t>
  </si>
  <si>
    <t>ARC4QB</t>
  </si>
  <si>
    <t>9#-12#+12#-18#</t>
  </si>
  <si>
    <t>SJ070500;N98G7.02</t>
  </si>
  <si>
    <t>HF01362</t>
  </si>
  <si>
    <t>VI4QA</t>
  </si>
  <si>
    <t>N9PR8</t>
  </si>
  <si>
    <t>13#-14#</t>
  </si>
  <si>
    <t>HF01363</t>
  </si>
  <si>
    <t>ASK4QA</t>
  </si>
  <si>
    <t>N9HFY.08+SJ075500</t>
  </si>
  <si>
    <t>16#-19#+1#-13#</t>
  </si>
  <si>
    <t>N9HFY.08;SJ075500</t>
  </si>
  <si>
    <t>HF01367</t>
  </si>
  <si>
    <t>Ba4QD</t>
  </si>
  <si>
    <t>N9NR8+FRCHR</t>
  </si>
  <si>
    <t>1#~9#+1#-25#</t>
  </si>
  <si>
    <t>FRCHR;N9NR8</t>
  </si>
  <si>
    <t>HF01370</t>
  </si>
  <si>
    <t>AVN4QA</t>
  </si>
  <si>
    <t>5+17</t>
  </si>
  <si>
    <t>N9NR9+FW2TK</t>
  </si>
  <si>
    <t>19#-23#+1#-17#</t>
  </si>
  <si>
    <t>N9NR9;FW2TK</t>
  </si>
  <si>
    <t>HF01372</t>
  </si>
  <si>
    <t>ARK4RB</t>
  </si>
  <si>
    <t>3+14</t>
  </si>
  <si>
    <t>N9KF7.02+SJ079800</t>
  </si>
  <si>
    <t>19#-21#+11#~17#,19#~25#</t>
  </si>
  <si>
    <t>SJ079800;N9KF7.02</t>
  </si>
  <si>
    <t>HF01374</t>
  </si>
  <si>
    <t>GZ4RB</t>
  </si>
  <si>
    <t>N9N31-2</t>
  </si>
  <si>
    <t>HF01383</t>
  </si>
  <si>
    <t>JD4RE</t>
  </si>
  <si>
    <t>HF01394</t>
  </si>
  <si>
    <t>AHH4RB</t>
  </si>
  <si>
    <t>N9Q8N</t>
  </si>
  <si>
    <t>HF01396</t>
  </si>
  <si>
    <t>ARC4RA</t>
  </si>
  <si>
    <t>N9A4N.04+SJ070500</t>
  </si>
  <si>
    <t>1#-4#+19#-25#</t>
  </si>
  <si>
    <t>SJ070500;N9A4N.04</t>
  </si>
  <si>
    <t>HF01406</t>
  </si>
  <si>
    <t>VT4RC</t>
  </si>
  <si>
    <t>N9QQ5-1</t>
  </si>
  <si>
    <t>HF01412</t>
  </si>
  <si>
    <t>ARK4RC</t>
  </si>
  <si>
    <t>N9QPM+SJ079900</t>
  </si>
  <si>
    <t>3#-7#+1#~25#</t>
  </si>
  <si>
    <t>SJ079900;N9QPM</t>
  </si>
  <si>
    <t>HF01414</t>
  </si>
  <si>
    <t>WM4RB</t>
  </si>
  <si>
    <t>N9NPY.02+SJ068100</t>
  </si>
  <si>
    <t>3#-4#+11#-13#</t>
  </si>
  <si>
    <t>SJ068100;N9NPY.02</t>
  </si>
  <si>
    <t>HF01418</t>
  </si>
  <si>
    <t>ARJ4RB</t>
  </si>
  <si>
    <t>N9M0M</t>
  </si>
  <si>
    <t>N9M0M-1</t>
  </si>
  <si>
    <t>SY5210FAC</t>
  </si>
  <si>
    <t>D10A0</t>
  </si>
  <si>
    <t>HF01419</t>
  </si>
  <si>
    <t>ALN4RA</t>
  </si>
  <si>
    <t>N9QL3</t>
  </si>
  <si>
    <t>HF01424</t>
  </si>
  <si>
    <t>AGB4RB</t>
  </si>
  <si>
    <t>HF01426</t>
  </si>
  <si>
    <t>AJE4RA</t>
  </si>
  <si>
    <t>N93NP.01-2</t>
  </si>
  <si>
    <t>Eg4RA</t>
  </si>
  <si>
    <t>8+23</t>
  </si>
  <si>
    <t>N9QYS+F7L3G</t>
  </si>
  <si>
    <t>1#-8#+1#-23#</t>
  </si>
  <si>
    <t>F7L3G;N9QYS</t>
  </si>
  <si>
    <t>HF01430</t>
  </si>
  <si>
    <t>Eg4RB</t>
  </si>
  <si>
    <t>N9QYS+FL60K</t>
  </si>
  <si>
    <t>9#~12#+1#-11#</t>
  </si>
  <si>
    <t>FL60K;N9QYS</t>
  </si>
  <si>
    <t>HF01433</t>
  </si>
  <si>
    <t>AWM4RC</t>
  </si>
  <si>
    <t>N9QYY+(FLMTF+FTL9F)</t>
  </si>
  <si>
    <t>16#-20#+(16#-25#+1#-4#)</t>
  </si>
  <si>
    <t>(FLMTF+FTL9F);N9QYY</t>
  </si>
  <si>
    <t>AWM4RD</t>
  </si>
  <si>
    <t>N9QYS+FTL9F</t>
  </si>
  <si>
    <t>19#-25#+5#-24#</t>
  </si>
  <si>
    <t>FTL9F;N9QYS</t>
  </si>
  <si>
    <t>HF01438</t>
  </si>
  <si>
    <t>JX4RA</t>
  </si>
  <si>
    <t>HF01440</t>
  </si>
  <si>
    <t>UW4RA</t>
  </si>
  <si>
    <t>N9C0H-2</t>
  </si>
  <si>
    <t>HF01444</t>
  </si>
  <si>
    <t>TW4RB</t>
  </si>
  <si>
    <t>N9GAA-1</t>
  </si>
  <si>
    <t>HF01451</t>
  </si>
  <si>
    <t>EF4RB</t>
  </si>
  <si>
    <t>N9QA1</t>
  </si>
  <si>
    <t>HF01452</t>
  </si>
  <si>
    <t>DR4RA</t>
  </si>
  <si>
    <t>N9QA1.02</t>
  </si>
  <si>
    <t>7#-10#</t>
  </si>
  <si>
    <t>HF01455</t>
  </si>
  <si>
    <t>RC4RC</t>
  </si>
  <si>
    <t>N9F4K-1</t>
  </si>
  <si>
    <t>HF01458</t>
  </si>
  <si>
    <t>JR4SB</t>
  </si>
  <si>
    <t>HF01459</t>
  </si>
  <si>
    <t>AIV4SA</t>
  </si>
  <si>
    <t>N9ML2</t>
  </si>
  <si>
    <t>HF01460</t>
  </si>
  <si>
    <t>AIU4SA</t>
  </si>
  <si>
    <t>N9NYL</t>
  </si>
  <si>
    <t>HF01461</t>
  </si>
  <si>
    <t>AIU4SB</t>
  </si>
  <si>
    <t>N9NYL-1</t>
  </si>
  <si>
    <t>HF01462</t>
  </si>
  <si>
    <t>AHI4SA</t>
  </si>
  <si>
    <t>N9Q8N-1</t>
  </si>
  <si>
    <t>HF01463</t>
  </si>
  <si>
    <t>ZT4SA</t>
  </si>
  <si>
    <t>N9MLA.05</t>
  </si>
  <si>
    <t>SY8011BDQC</t>
  </si>
  <si>
    <t>HF01465</t>
  </si>
  <si>
    <t>MC4RA</t>
  </si>
  <si>
    <t xml:space="preserve">N8F8Q </t>
  </si>
  <si>
    <t>N8F8Q-1</t>
  </si>
  <si>
    <t>HF01466</t>
  </si>
  <si>
    <t>AMY4SA</t>
  </si>
  <si>
    <t>N9QPL.02+(SJ006100+SJ006000)</t>
  </si>
  <si>
    <t>6#-8#+(25#+19#~25#)</t>
  </si>
  <si>
    <t>N9QPL.02;(SJ006100+SJ006000)</t>
  </si>
  <si>
    <t>HF01469</t>
  </si>
  <si>
    <t>AMJ4RB</t>
  </si>
  <si>
    <t>15#-17#+18#~25#</t>
  </si>
  <si>
    <t>N9KF3;SJ076000-1</t>
  </si>
  <si>
    <t>HF01471</t>
  </si>
  <si>
    <t>AQJ4SA</t>
  </si>
  <si>
    <t>8#~9#+11#~20#</t>
  </si>
  <si>
    <t>SJ061400;N9ATW-1</t>
  </si>
  <si>
    <t>HF01472</t>
  </si>
  <si>
    <t>AQX4SA</t>
  </si>
  <si>
    <t>N9ATW+SJ076300</t>
  </si>
  <si>
    <t>10#~14#+1#~6#,8#~13#,15#~21#</t>
  </si>
  <si>
    <t>SJ076300;N9ATW</t>
  </si>
  <si>
    <t>HF01473</t>
  </si>
  <si>
    <t>AQU4SA</t>
  </si>
  <si>
    <t>N9ATW+SJ058900</t>
  </si>
  <si>
    <t>15#~16#+1#~10#</t>
  </si>
  <si>
    <t>SJ058900;N9ATW</t>
  </si>
  <si>
    <t>HF01474</t>
  </si>
  <si>
    <t>ALJ4SA</t>
  </si>
  <si>
    <t>N8A8T+EP347900</t>
  </si>
  <si>
    <t>10#~19#+1#-11#</t>
  </si>
  <si>
    <t>N8A8T;EP347900</t>
  </si>
  <si>
    <t>HF01475</t>
  </si>
  <si>
    <t>ATN4SA</t>
  </si>
  <si>
    <t>HF01481</t>
  </si>
  <si>
    <t>ARK4SD</t>
  </si>
  <si>
    <t>N9RCF+(SJ080700+SJ080701)</t>
  </si>
  <si>
    <t>1#-5#+(14#~25#+1#~13#)</t>
  </si>
  <si>
    <t>(SJ080700+SJ080701);N9RCF</t>
  </si>
  <si>
    <t>HF01482</t>
  </si>
  <si>
    <t>AQY4SA</t>
  </si>
  <si>
    <t>N9RCM+SJ071000</t>
  </si>
  <si>
    <t>1#-8#+1#-9#</t>
  </si>
  <si>
    <t>N9RCM;SJ071000</t>
  </si>
  <si>
    <t>HF01484</t>
  </si>
  <si>
    <t>AJM4SB</t>
  </si>
  <si>
    <t>N9RCM+(SJ056602+SJ056200)</t>
  </si>
  <si>
    <t>11#-12#+(16#+23#~25#)</t>
  </si>
  <si>
    <t>N9RCM;(SJ056602+SJ056200)</t>
  </si>
  <si>
    <t>HF01485</t>
  </si>
  <si>
    <t>AQK4SA</t>
  </si>
  <si>
    <t>N99J6++SJ061100</t>
  </si>
  <si>
    <t>5#-7#+10#~16#</t>
  </si>
  <si>
    <t>SJ061100;N99J6</t>
  </si>
  <si>
    <t>HF01486</t>
  </si>
  <si>
    <t>AQT4SA</t>
  </si>
  <si>
    <t>N9RCH+SJ058900</t>
  </si>
  <si>
    <t>6#-8#+11#~25#</t>
  </si>
  <si>
    <t>SJ058900;N9RCH</t>
  </si>
  <si>
    <t>HF01487</t>
  </si>
  <si>
    <t>AQT4AB</t>
  </si>
  <si>
    <t>N9RCH+SJ059600</t>
  </si>
  <si>
    <t>9#-13#+1#~25#</t>
  </si>
  <si>
    <t>SJ059600;N9RCH</t>
  </si>
  <si>
    <t>HF01489</t>
  </si>
  <si>
    <t>ASK4SB</t>
  </si>
  <si>
    <t>N9RF8+(SJ074900+SJ075400)</t>
  </si>
  <si>
    <t>8#~14#+(14#~16#,20#~22#,24#+1#~16#)</t>
  </si>
  <si>
    <t>N9RF8:(SJ074900+SJ075400)</t>
  </si>
  <si>
    <t>HF01492</t>
  </si>
  <si>
    <t>YG4SA</t>
  </si>
  <si>
    <t>SY98081BQUC</t>
  </si>
  <si>
    <t>A11K0+MPH160805S1ROMT</t>
  </si>
  <si>
    <t>HF01493</t>
  </si>
  <si>
    <t>UN4SA</t>
  </si>
  <si>
    <t>N9Q8S.02+LE1409020385</t>
  </si>
  <si>
    <t>7#-8#</t>
  </si>
  <si>
    <t>N9Q8S.02</t>
  </si>
  <si>
    <t>HF01494</t>
  </si>
  <si>
    <t>TP4SA</t>
  </si>
  <si>
    <t>N9Q8S.01+LE1409020385</t>
  </si>
  <si>
    <t>N9Q8S.01</t>
  </si>
  <si>
    <t>SY98081DQUC</t>
  </si>
  <si>
    <t>需bumpping</t>
  </si>
  <si>
    <t>A11P0+MPH160805S1ROMT</t>
  </si>
  <si>
    <t>HF01495</t>
  </si>
  <si>
    <t>UO4SA</t>
  </si>
  <si>
    <t>N9S0J.01+LE1409020385</t>
  </si>
  <si>
    <t>N9S0J.01</t>
  </si>
  <si>
    <t>HF01496</t>
  </si>
  <si>
    <t>VL4SA</t>
  </si>
  <si>
    <t>N9RCC</t>
  </si>
  <si>
    <t>HF01500</t>
  </si>
  <si>
    <t>MH4SA</t>
  </si>
  <si>
    <t>HF01501</t>
  </si>
  <si>
    <t>TB4SA</t>
  </si>
  <si>
    <t>N9JJL</t>
  </si>
  <si>
    <t>HF01503</t>
  </si>
  <si>
    <t>UH4SA</t>
  </si>
  <si>
    <t>N9C0J</t>
  </si>
  <si>
    <t>HF01504</t>
  </si>
  <si>
    <t>UH4SB</t>
  </si>
  <si>
    <t>N9C0J-1</t>
  </si>
  <si>
    <t>HF01506</t>
  </si>
  <si>
    <t>KT4SB</t>
  </si>
  <si>
    <t>N9RF7-1</t>
  </si>
  <si>
    <t>HF01509</t>
  </si>
  <si>
    <t>MK4SA</t>
  </si>
  <si>
    <t>N9QPM.01</t>
  </si>
  <si>
    <t>HF01510</t>
  </si>
  <si>
    <t>NZ4SA</t>
  </si>
  <si>
    <t>N86NQ-2</t>
  </si>
  <si>
    <t>HF01513</t>
  </si>
  <si>
    <t>JR4SD</t>
  </si>
  <si>
    <t>N9QQ4</t>
  </si>
  <si>
    <t>HF01514</t>
  </si>
  <si>
    <t>JR4SE</t>
  </si>
  <si>
    <t>N9QQ4-1</t>
  </si>
  <si>
    <t>HF01516</t>
  </si>
  <si>
    <t>JR4SG</t>
  </si>
  <si>
    <t>N9QQ2-1</t>
  </si>
  <si>
    <t>HF01522</t>
  </si>
  <si>
    <t>HB4SA</t>
  </si>
  <si>
    <t>N9FJY-2</t>
  </si>
  <si>
    <t>HF01523</t>
  </si>
  <si>
    <t>HB4SB</t>
  </si>
  <si>
    <t>HF01526</t>
  </si>
  <si>
    <t>AFB4SB</t>
  </si>
  <si>
    <t>N9RCK-2</t>
  </si>
  <si>
    <t>SY8203DBC</t>
  </si>
  <si>
    <t>HF01527</t>
  </si>
  <si>
    <t>LS4SA</t>
  </si>
  <si>
    <t>N9ML2-1</t>
  </si>
  <si>
    <t>B18QA0+B28EA0</t>
  </si>
  <si>
    <t>HF01532</t>
  </si>
  <si>
    <t>AQF4SA</t>
  </si>
  <si>
    <t>5+4</t>
  </si>
  <si>
    <t>N9PR8.04+N9QA1.01</t>
  </si>
  <si>
    <t>8#-12#+1#-4#</t>
  </si>
  <si>
    <t>N9QA1.01;N9PR8.04</t>
  </si>
  <si>
    <t>HF01537</t>
  </si>
  <si>
    <t>Ba4SB</t>
  </si>
  <si>
    <t>N9NR9+FL32Y</t>
  </si>
  <si>
    <t>24#-25#+17#-21#</t>
  </si>
  <si>
    <t>FL32Y;N9NR9</t>
  </si>
  <si>
    <t>HF01538</t>
  </si>
  <si>
    <t>Ba4SC</t>
  </si>
  <si>
    <t>N9NJ5+FL32Y</t>
  </si>
  <si>
    <t>25#+22#-23#</t>
  </si>
  <si>
    <t>FL32Y;N9NJ5</t>
  </si>
  <si>
    <t>HF01539</t>
  </si>
  <si>
    <t>VC4SA</t>
  </si>
  <si>
    <t>N9LHA-1</t>
  </si>
  <si>
    <t>HF01540</t>
  </si>
  <si>
    <t>VC4SB</t>
  </si>
  <si>
    <t>N9LHA-2</t>
  </si>
  <si>
    <t>HF01543</t>
  </si>
  <si>
    <t>ALH4SA</t>
  </si>
  <si>
    <t>N9ML3.02</t>
  </si>
  <si>
    <t>4#-10#</t>
  </si>
  <si>
    <t>HF01546</t>
  </si>
  <si>
    <t>TW4SB</t>
  </si>
  <si>
    <t>N9HF4-1</t>
  </si>
  <si>
    <t>HF01549</t>
  </si>
  <si>
    <t>TW4SE</t>
  </si>
  <si>
    <t>N9795.06</t>
  </si>
  <si>
    <t>HF01554</t>
  </si>
  <si>
    <t>RC4SB</t>
  </si>
  <si>
    <t>N9T12-1</t>
  </si>
  <si>
    <t>HF01555</t>
  </si>
  <si>
    <t>RC4SC</t>
  </si>
  <si>
    <t>N9T15</t>
  </si>
  <si>
    <t>HF01556</t>
  </si>
  <si>
    <t>RC4SD</t>
  </si>
  <si>
    <t>N9T15-1</t>
  </si>
  <si>
    <t>ARC4SB</t>
  </si>
  <si>
    <t>N99J8+(SJ071100+SJ066401)</t>
  </si>
  <si>
    <t>1#-8#+(12#~25#+18#)</t>
  </si>
  <si>
    <t>(SJ071100+SJ066401);N99J8</t>
  </si>
  <si>
    <t>HF01564</t>
  </si>
  <si>
    <t>ARK4TA</t>
  </si>
  <si>
    <t>N9RCH+SJ080900</t>
  </si>
  <si>
    <t>14#-18#+1#-25#</t>
  </si>
  <si>
    <t>SJ080900;N9RCH</t>
  </si>
  <si>
    <t>HF01565</t>
  </si>
  <si>
    <t>QV4TA</t>
  </si>
  <si>
    <t>N9SFM</t>
  </si>
  <si>
    <t>HF01567</t>
  </si>
  <si>
    <t>JD4TB</t>
  </si>
  <si>
    <t>N9PA7-2</t>
  </si>
  <si>
    <t>HF01571</t>
  </si>
  <si>
    <t>VC4TB</t>
  </si>
  <si>
    <t>N9LHF-1</t>
  </si>
  <si>
    <t>HF01573</t>
  </si>
  <si>
    <t>YB4TA</t>
  </si>
  <si>
    <t>9#-13#+1#-9#</t>
  </si>
  <si>
    <t>SJ070800;N99J8</t>
  </si>
  <si>
    <t>SY8303AIC</t>
  </si>
  <si>
    <t>A57A0</t>
  </si>
  <si>
    <t>HF01578</t>
  </si>
  <si>
    <t>XD4TA</t>
  </si>
  <si>
    <t>N9SYR</t>
  </si>
  <si>
    <t>1#,5#</t>
  </si>
  <si>
    <t>N9SYR-1</t>
  </si>
  <si>
    <t>HF01580</t>
  </si>
  <si>
    <t>ANE4TA</t>
  </si>
  <si>
    <t>N9ML4-2</t>
  </si>
  <si>
    <t>HF01583</t>
  </si>
  <si>
    <t>QV4TB</t>
  </si>
  <si>
    <t>8#-10#,23#-25#</t>
  </si>
  <si>
    <t>N9SFM-1</t>
  </si>
  <si>
    <t>HF01587</t>
  </si>
  <si>
    <t>KW4TE</t>
  </si>
  <si>
    <t>N9NQF</t>
  </si>
  <si>
    <t>HF01588</t>
  </si>
  <si>
    <t>NT4TA</t>
  </si>
  <si>
    <t>HF01590</t>
  </si>
  <si>
    <t>ALK4TA</t>
  </si>
  <si>
    <t>HF01594</t>
  </si>
  <si>
    <t>VL4TA</t>
  </si>
  <si>
    <t>N9T14</t>
  </si>
  <si>
    <t>N9T14-1</t>
  </si>
  <si>
    <t>HF01595</t>
  </si>
  <si>
    <t>VL4TB</t>
  </si>
  <si>
    <t>HF01596</t>
  </si>
  <si>
    <t>VL4TC</t>
  </si>
  <si>
    <t>N9T13</t>
  </si>
  <si>
    <t>HF01597</t>
  </si>
  <si>
    <t>VL4TD</t>
  </si>
  <si>
    <t>N9T13-1</t>
  </si>
  <si>
    <t>HF01598</t>
  </si>
  <si>
    <t>VL4TE</t>
  </si>
  <si>
    <t>N9T16</t>
  </si>
  <si>
    <t>HF01599</t>
  </si>
  <si>
    <t>VL4TF</t>
  </si>
  <si>
    <t>N9T16-1</t>
  </si>
  <si>
    <t>HF01600</t>
  </si>
  <si>
    <t>AHI4TA</t>
  </si>
  <si>
    <t>N9RRN-2</t>
  </si>
  <si>
    <t>HF01601</t>
  </si>
  <si>
    <t>AHH4TA</t>
  </si>
  <si>
    <t>N9RRQ-1</t>
  </si>
  <si>
    <t>HF01603</t>
  </si>
  <si>
    <t>ADS4TA</t>
  </si>
  <si>
    <t>N9RRP</t>
  </si>
  <si>
    <t>SY50282FAC</t>
  </si>
  <si>
    <t>HF01606</t>
  </si>
  <si>
    <t>ASZ4TA</t>
  </si>
  <si>
    <t>20#+3#~4#</t>
  </si>
  <si>
    <t>F4L69;N9QYW.04</t>
  </si>
  <si>
    <t>HF01609</t>
  </si>
  <si>
    <t>YB4TE</t>
  </si>
  <si>
    <t>N9NQ0+SJ069900</t>
  </si>
  <si>
    <t>1#-9#+2#~5#,7~18#</t>
  </si>
  <si>
    <t>SJ069900;N9NQ0</t>
  </si>
  <si>
    <t>HF01610</t>
  </si>
  <si>
    <t xml:space="preserve"> YB4TF</t>
  </si>
  <si>
    <t>10#-13#+19#~25#</t>
  </si>
  <si>
    <t>SJ069900;N9NQ0-1</t>
  </si>
  <si>
    <t>HF01612</t>
  </si>
  <si>
    <t>ARC4TB</t>
  </si>
  <si>
    <t>22#~25#+16#~22#</t>
  </si>
  <si>
    <t>SJ070600;N9NQ0-1</t>
  </si>
  <si>
    <t>HF01614</t>
  </si>
  <si>
    <t>Eg4TB</t>
  </si>
  <si>
    <t>N9QYT+F4AL4</t>
  </si>
  <si>
    <t>1#-4#+15#~25#</t>
  </si>
  <si>
    <t>F4AL4;N9QYT</t>
  </si>
  <si>
    <t>HF01616</t>
  </si>
  <si>
    <t>AWM4TB</t>
  </si>
  <si>
    <t>N9QYT+(FKL2P+FLA06)</t>
  </si>
  <si>
    <t>12#~18#+(21#~25#+1#~15#)</t>
  </si>
  <si>
    <t>(FKL2P+FLA06);N9QYT</t>
  </si>
  <si>
    <t>HF01617</t>
  </si>
  <si>
    <t>AWM4TC</t>
  </si>
  <si>
    <t>N9QYT+(FLA06+FLY4A)</t>
  </si>
  <si>
    <r>
      <rPr>
        <sz val="10"/>
        <rFont val="Arial"/>
        <family val="2"/>
        <charset val="134"/>
      </rPr>
      <t>19#~25#+(16#~25#+1#~10#</t>
    </r>
    <r>
      <rPr>
        <sz val="10"/>
        <rFont val="宋体"/>
        <family val="3"/>
        <charset val="134"/>
      </rPr>
      <t>）</t>
    </r>
  </si>
  <si>
    <t>(FLA06+FLY4A);N9QYT</t>
  </si>
  <si>
    <t>SY6402QVC</t>
  </si>
  <si>
    <t>K13A0</t>
  </si>
  <si>
    <t>HF01622</t>
  </si>
  <si>
    <t>QFN3*4-19</t>
  </si>
  <si>
    <t>AVE4UA</t>
  </si>
  <si>
    <t>N9THP</t>
  </si>
  <si>
    <t>HF01623</t>
  </si>
  <si>
    <t>AVE4UB</t>
  </si>
  <si>
    <t>N9THQ</t>
  </si>
  <si>
    <t>HF01624</t>
  </si>
  <si>
    <t>AGB4UA</t>
  </si>
  <si>
    <t>N9WQ2</t>
  </si>
  <si>
    <t>HF01625</t>
  </si>
  <si>
    <t>AGB4UB</t>
  </si>
  <si>
    <t>N9WQ2-1</t>
  </si>
  <si>
    <t>HF01627</t>
  </si>
  <si>
    <t>QS4UA</t>
  </si>
  <si>
    <t>N9W3J.01</t>
  </si>
  <si>
    <t>HF01628</t>
  </si>
  <si>
    <t>GZ4UA</t>
  </si>
  <si>
    <t>N9W3H.03</t>
  </si>
  <si>
    <t>HF01629</t>
  </si>
  <si>
    <t>MH4UA</t>
  </si>
  <si>
    <t>N9RCJ-2</t>
  </si>
  <si>
    <t>HF01630</t>
  </si>
  <si>
    <t>TD4UA</t>
  </si>
  <si>
    <t>N83RF.01-3</t>
  </si>
  <si>
    <t>HF01633</t>
  </si>
  <si>
    <t>AKL4UA</t>
  </si>
  <si>
    <t>N9W3H</t>
  </si>
  <si>
    <t>HF01634</t>
  </si>
  <si>
    <t>LX4UA</t>
  </si>
  <si>
    <t>N9SFL.04</t>
  </si>
  <si>
    <t>HF01635</t>
  </si>
  <si>
    <t>XE4UA</t>
  </si>
  <si>
    <t>N9LHF-2</t>
  </si>
  <si>
    <t>HF01636</t>
  </si>
  <si>
    <t>KT4UA</t>
  </si>
  <si>
    <t>N9TJ5</t>
  </si>
  <si>
    <t>HF01637</t>
  </si>
  <si>
    <t>KT4UB</t>
  </si>
  <si>
    <t>N9TJ5-1</t>
  </si>
  <si>
    <t>HF01638</t>
  </si>
  <si>
    <t>KT4UC</t>
  </si>
  <si>
    <t>N9TJ6</t>
  </si>
  <si>
    <t>HF01639</t>
  </si>
  <si>
    <t>KT4UD</t>
  </si>
  <si>
    <t>N9TJ6-1</t>
  </si>
  <si>
    <t>HF01640</t>
  </si>
  <si>
    <t>KT4UE</t>
  </si>
  <si>
    <t>N9WCW</t>
  </si>
  <si>
    <t>HF01641</t>
  </si>
  <si>
    <t>KT4UF</t>
  </si>
  <si>
    <t>N9WCW-1</t>
  </si>
  <si>
    <t>HF01642</t>
  </si>
  <si>
    <t>KT4UG</t>
  </si>
  <si>
    <t>N9WCY</t>
  </si>
  <si>
    <t>HF01643</t>
  </si>
  <si>
    <t>KT4UH</t>
  </si>
  <si>
    <t>N9WCY-1</t>
  </si>
  <si>
    <t>HF01644</t>
  </si>
  <si>
    <t>NM4UA</t>
  </si>
  <si>
    <t>N8ALK.05</t>
  </si>
  <si>
    <t>3#-5#</t>
  </si>
  <si>
    <t>SY58294ZFAC</t>
  </si>
  <si>
    <t>E10Q2+U3X11A</t>
  </si>
  <si>
    <t>HF01648</t>
  </si>
  <si>
    <t>APQ4UA</t>
  </si>
  <si>
    <t xml:space="preserve"> UMC</t>
  </si>
  <si>
    <t>1+6</t>
  </si>
  <si>
    <t>N9MLA.07+F94HP</t>
  </si>
  <si>
    <t>5#+1#~6#</t>
  </si>
  <si>
    <t>N9MLA.07;F94HP</t>
  </si>
  <si>
    <t>SY58594ZFAC</t>
  </si>
  <si>
    <t>E10Q2+U2X11A</t>
  </si>
  <si>
    <t>HF01649</t>
  </si>
  <si>
    <t>AXT4UA</t>
  </si>
  <si>
    <t>N9MLA.07+FTRYW</t>
  </si>
  <si>
    <t>6#+1#~6#</t>
  </si>
  <si>
    <t>N9MLA.07;FTRYW</t>
  </si>
  <si>
    <t>HF01650</t>
  </si>
  <si>
    <t>JU4UA</t>
  </si>
  <si>
    <t>N9NQJ</t>
  </si>
  <si>
    <t>HF01651</t>
  </si>
  <si>
    <t>RC4UA</t>
  </si>
  <si>
    <t>N9RCC.01</t>
  </si>
  <si>
    <t>3#-15#</t>
  </si>
  <si>
    <t>HF01653</t>
  </si>
  <si>
    <t>HT4UB</t>
  </si>
  <si>
    <t>N9NH0-1</t>
  </si>
  <si>
    <t>HF01654</t>
  </si>
  <si>
    <t>JR4UA</t>
  </si>
  <si>
    <t>N9M8W.01</t>
  </si>
  <si>
    <t>HF01657</t>
  </si>
  <si>
    <t>AIU4UA</t>
  </si>
  <si>
    <t>N9LHL-1</t>
  </si>
  <si>
    <t>HF01658</t>
  </si>
  <si>
    <t>N9LHL-2</t>
  </si>
  <si>
    <t>HF01659</t>
  </si>
  <si>
    <t>AFZ4UA</t>
  </si>
  <si>
    <t>N9RRR</t>
  </si>
  <si>
    <t>HF01660</t>
  </si>
  <si>
    <t>AFZ4UB</t>
  </si>
  <si>
    <t>N9RRR-1</t>
  </si>
  <si>
    <t>HF01661</t>
  </si>
  <si>
    <t>WQ4UA</t>
  </si>
  <si>
    <t>N9P9R</t>
  </si>
  <si>
    <t>HF01662</t>
  </si>
  <si>
    <t>NY4UA</t>
  </si>
  <si>
    <t>N9ASR</t>
  </si>
  <si>
    <t>N9ASR-1</t>
  </si>
  <si>
    <t>HF01663</t>
  </si>
  <si>
    <t>NY4UB</t>
  </si>
  <si>
    <t>13#~17#</t>
  </si>
  <si>
    <t>N9ASR-2</t>
  </si>
  <si>
    <t>SYH615ADC</t>
  </si>
  <si>
    <t>HF01664</t>
  </si>
  <si>
    <t>NY4UC</t>
  </si>
  <si>
    <t>HF01665</t>
  </si>
  <si>
    <t>NY4UD</t>
  </si>
  <si>
    <t>N9ASR.03</t>
  </si>
  <si>
    <t>SY8213FCC</t>
  </si>
  <si>
    <t>A10C0</t>
  </si>
  <si>
    <t>AJY4UA</t>
  </si>
  <si>
    <t>N8W0R</t>
  </si>
  <si>
    <t>HF01667</t>
  </si>
  <si>
    <t>AQY4UA</t>
  </si>
  <si>
    <t xml:space="preserve">N9RCM+SJ070600 </t>
  </si>
  <si>
    <t>13#-15#+23#~25</t>
  </si>
  <si>
    <t>N9RCM;SJ070600</t>
  </si>
  <si>
    <t>HF01668</t>
  </si>
  <si>
    <t>ARC4UA</t>
  </si>
  <si>
    <t>N9NQ1+SJ069700</t>
  </si>
  <si>
    <t>SJ069700;N9NQ1</t>
  </si>
  <si>
    <t>HF01669</t>
  </si>
  <si>
    <t>ARC4UB</t>
  </si>
  <si>
    <t>9#~13#+16#~24#</t>
  </si>
  <si>
    <t>SJ069700;N9NQ1-1</t>
  </si>
  <si>
    <t>HF01670</t>
  </si>
  <si>
    <t>AQK4UA</t>
  </si>
  <si>
    <t>N9NQ1+SJ061200</t>
  </si>
  <si>
    <t>14#-22#+1#~22#</t>
  </si>
  <si>
    <t>SJ061200;N9NQ1</t>
  </si>
  <si>
    <t>HF01671</t>
  </si>
  <si>
    <t>AQK4UB</t>
  </si>
  <si>
    <t>N9NPY+(SJ061200+SJ062900)</t>
  </si>
  <si>
    <t>5#-9#+(23#~25#+1#~9#)</t>
  </si>
  <si>
    <t>(SJ061200+SJ062900);N9NPY</t>
  </si>
  <si>
    <t>HF01672</t>
  </si>
  <si>
    <t>AJM4UA</t>
  </si>
  <si>
    <t>N9RCN.01+SJ049300</t>
  </si>
  <si>
    <t>N9RCN.01;SJ049300</t>
  </si>
  <si>
    <t>HF01673</t>
  </si>
  <si>
    <t>AQU4UA</t>
  </si>
  <si>
    <t>N9ATW+SJ059500</t>
  </si>
  <si>
    <t>17#~21#+1#~25#</t>
  </si>
  <si>
    <t>SJ059500;N9ATW</t>
  </si>
  <si>
    <t>HF01675</t>
  </si>
  <si>
    <t>Ba4UB</t>
  </si>
  <si>
    <t>N9T8T+FNTW4</t>
  </si>
  <si>
    <t>FNTW4;N9T8T</t>
  </si>
  <si>
    <t>HF01676</t>
  </si>
  <si>
    <t>Ba4UC</t>
  </si>
  <si>
    <t>N9T91+FR8KS</t>
  </si>
  <si>
    <t>FR8KS;N9T91</t>
  </si>
  <si>
    <t>HF01678</t>
  </si>
  <si>
    <t>AVM4UB</t>
  </si>
  <si>
    <t>N9T92+F43S6</t>
  </si>
  <si>
    <t>6#-14#+1#-25#</t>
  </si>
  <si>
    <t>F43S6;N9T92</t>
  </si>
  <si>
    <t>HF01679</t>
  </si>
  <si>
    <t>AVM4UC</t>
  </si>
  <si>
    <t>N9T92+F8WR3</t>
  </si>
  <si>
    <t>15#-23#+1#-25#</t>
  </si>
  <si>
    <t>F8WR3;N9T92</t>
  </si>
  <si>
    <t>HF01680</t>
  </si>
  <si>
    <t>ANS4UA</t>
  </si>
  <si>
    <t>N9W3J.02+SJ068100</t>
  </si>
  <si>
    <t>16#-18#+14#-16#</t>
  </si>
  <si>
    <t>N9W3J.02;SJ068100</t>
  </si>
  <si>
    <t>HF01681</t>
  </si>
  <si>
    <t>AIG4UA</t>
  </si>
  <si>
    <t>N8A8S+SJ044000</t>
  </si>
  <si>
    <t>20#~25#+1#~12#</t>
  </si>
  <si>
    <t>N8A8S;SJ044000</t>
  </si>
  <si>
    <t>SY58281LAAC</t>
  </si>
  <si>
    <t>E34J0+U3X10A</t>
  </si>
  <si>
    <t>HF01683</t>
  </si>
  <si>
    <t>Fa4UA</t>
  </si>
  <si>
    <t>AMC</t>
  </si>
  <si>
    <t>N9WPF.01+F4L69</t>
  </si>
  <si>
    <t>1#+5#~6#</t>
  </si>
  <si>
    <t>F4L69;N9WPF.01-1</t>
  </si>
  <si>
    <t>HF01684</t>
  </si>
  <si>
    <t>Fa4UB</t>
  </si>
  <si>
    <t>2#~3#+7#~10#</t>
  </si>
  <si>
    <t>F4L69;N9WPF.01-2</t>
  </si>
  <si>
    <t>SY58282LFAC</t>
  </si>
  <si>
    <t>HF01685</t>
  </si>
  <si>
    <r>
      <rPr>
        <sz val="10"/>
        <rFont val="Arial"/>
        <family val="2"/>
        <charset val="134"/>
      </rPr>
      <t>SO8(</t>
    </r>
    <r>
      <rPr>
        <sz val="10"/>
        <rFont val="宋体"/>
        <family val="3"/>
        <charset val="134"/>
      </rPr>
      <t>铜线）</t>
    </r>
  </si>
  <si>
    <t>AWU4UA</t>
  </si>
  <si>
    <t>4#+11#-12#</t>
  </si>
  <si>
    <t>F4L69;N9WPF.01</t>
  </si>
  <si>
    <t>SY58283LFAC</t>
  </si>
  <si>
    <t>E34J0+U3X14A</t>
  </si>
  <si>
    <t>HF01686</t>
  </si>
  <si>
    <t>N9WPF.01+FSPF7</t>
  </si>
  <si>
    <t>5#+1#-3#</t>
  </si>
  <si>
    <t>FSPF7;N9WPF.01</t>
  </si>
  <si>
    <t>HF01688</t>
  </si>
  <si>
    <t>GZ4UB</t>
  </si>
  <si>
    <t>N9WQ3</t>
  </si>
  <si>
    <t>HF01689</t>
  </si>
  <si>
    <t>GZ4UC</t>
  </si>
  <si>
    <t>11#-23#</t>
  </si>
  <si>
    <t>N9WQ3-1</t>
  </si>
  <si>
    <t>HF01690</t>
  </si>
  <si>
    <t>PC4UA</t>
  </si>
  <si>
    <t>N9W3H.06</t>
  </si>
  <si>
    <t>19# 20#</t>
  </si>
  <si>
    <t>HF01693</t>
  </si>
  <si>
    <t>TR4UA</t>
  </si>
  <si>
    <t>N95T4.02</t>
  </si>
  <si>
    <t>HF01695</t>
  </si>
  <si>
    <t>TW4UD</t>
  </si>
  <si>
    <t>N9WTK.02</t>
  </si>
  <si>
    <t>3#-12#</t>
  </si>
  <si>
    <t>HF01696</t>
  </si>
  <si>
    <t>TW4UE</t>
  </si>
  <si>
    <t>N9WTK.02-1</t>
  </si>
  <si>
    <t>HF01698</t>
  </si>
  <si>
    <t>TW4UG</t>
  </si>
  <si>
    <t>N9WTL-1</t>
  </si>
  <si>
    <t>HF01699</t>
  </si>
  <si>
    <t>AIS4UA</t>
  </si>
  <si>
    <t>N8N0J.01+N8LF8</t>
  </si>
  <si>
    <t>5#-7#+5#-7#</t>
  </si>
  <si>
    <t>N8N0J.01;N8LF8</t>
  </si>
  <si>
    <t>HF01700</t>
  </si>
  <si>
    <t>VT4UE</t>
  </si>
  <si>
    <t>N9Y4L</t>
  </si>
  <si>
    <t>HF01701</t>
  </si>
  <si>
    <t>VT4UF</t>
  </si>
  <si>
    <t>N9Y4L-1</t>
  </si>
  <si>
    <t>HF01703</t>
  </si>
  <si>
    <t>VT4UH</t>
  </si>
  <si>
    <t>N9Y4M-1</t>
  </si>
  <si>
    <t>HF01705</t>
  </si>
  <si>
    <t>HT4UD</t>
  </si>
  <si>
    <t>N9NH1-1</t>
  </si>
  <si>
    <t>HF01706</t>
  </si>
  <si>
    <t>HT4UE</t>
  </si>
  <si>
    <t>N9P2K</t>
  </si>
  <si>
    <t>HF01707</t>
  </si>
  <si>
    <t>HT4UF</t>
  </si>
  <si>
    <t>N9P2K-1</t>
  </si>
  <si>
    <t>HF01708</t>
  </si>
  <si>
    <t>HB4UA</t>
  </si>
  <si>
    <t>N9P2L</t>
  </si>
  <si>
    <t>6#-17#</t>
  </si>
  <si>
    <t>HF01709</t>
  </si>
  <si>
    <t>ZT4UA</t>
  </si>
  <si>
    <t>N9WS3</t>
  </si>
  <si>
    <t>HF01710</t>
  </si>
  <si>
    <t>ZT4UB</t>
  </si>
  <si>
    <t>N9WS3.02</t>
  </si>
  <si>
    <t>HF01711</t>
  </si>
  <si>
    <t>AIG4UC</t>
  </si>
  <si>
    <t xml:space="preserve">N9YK1.01+SJ044100 </t>
  </si>
  <si>
    <t>1#-10#+1#~20#</t>
  </si>
  <si>
    <t>N9YK1.01;SJ044100</t>
  </si>
  <si>
    <t>HF01712</t>
  </si>
  <si>
    <t>APS4UA</t>
  </si>
  <si>
    <t>N9YK1+SJ075600</t>
  </si>
  <si>
    <t>16#-20#+12#-25#</t>
  </si>
  <si>
    <t>N9YK1;SJ075600</t>
  </si>
  <si>
    <t>SY58293ZFAC</t>
  </si>
  <si>
    <t>E10Q2+U3X12A</t>
  </si>
  <si>
    <t>HF01713</t>
  </si>
  <si>
    <t>AXO4UA</t>
  </si>
  <si>
    <t>N9WS3.01+FAPLN</t>
  </si>
  <si>
    <t>1#+1#~2#,4#~5#</t>
  </si>
  <si>
    <t>N9WS3.01;FAPLN</t>
  </si>
  <si>
    <t>SY58593ZFAC</t>
  </si>
  <si>
    <t>E10Q2+U2X12A</t>
  </si>
  <si>
    <t>HF01714</t>
  </si>
  <si>
    <t>AXN4UA</t>
  </si>
  <si>
    <t>N9WS3.01+F3HNA</t>
  </si>
  <si>
    <t>2#+1#~4#</t>
  </si>
  <si>
    <t>N9WS3.01;F3HNA</t>
  </si>
  <si>
    <t>E02D1</t>
  </si>
  <si>
    <t>HF01715</t>
  </si>
  <si>
    <t>AXH4UA</t>
  </si>
  <si>
    <t xml:space="preserve">N8C7C </t>
  </si>
  <si>
    <t>N8C7C-1</t>
  </si>
  <si>
    <t>HF01716</t>
  </si>
  <si>
    <t>MH4UB</t>
  </si>
  <si>
    <t>N9RCJ-3</t>
  </si>
  <si>
    <t>HF01717</t>
  </si>
  <si>
    <t>ZW4UA</t>
  </si>
  <si>
    <t>N9Q8P-2</t>
  </si>
  <si>
    <t>HF01718</t>
  </si>
  <si>
    <t>ZW4UB</t>
  </si>
  <si>
    <t>N9S97</t>
  </si>
  <si>
    <t>HF01719</t>
  </si>
  <si>
    <t>ZW4UC</t>
  </si>
  <si>
    <t>N9S97-1</t>
  </si>
  <si>
    <t>MN4UA</t>
  </si>
  <si>
    <t>17#~22#</t>
  </si>
  <si>
    <t>N92YR-1</t>
  </si>
  <si>
    <t>HF01721</t>
  </si>
  <si>
    <t>KW4UA</t>
  </si>
  <si>
    <t>N9NQF-1</t>
  </si>
  <si>
    <t>HF01722</t>
  </si>
  <si>
    <t>KW4UB</t>
  </si>
  <si>
    <t>N9NQF-2</t>
  </si>
  <si>
    <t>HF01723</t>
  </si>
  <si>
    <t>AKU4UA</t>
  </si>
  <si>
    <t>N9PR8.03-1</t>
  </si>
  <si>
    <t>HF01724</t>
  </si>
  <si>
    <t>AKU4UB</t>
  </si>
  <si>
    <t>N9WTK</t>
  </si>
  <si>
    <t>HF01725</t>
  </si>
  <si>
    <t>AIS4UB</t>
  </si>
  <si>
    <t>N8H68+N8LF8</t>
  </si>
  <si>
    <t>13#~18#+8#-13#</t>
  </si>
  <si>
    <t>N8H68;N8LF8-1</t>
  </si>
  <si>
    <t>HF01726</t>
  </si>
  <si>
    <t>AQF4UA</t>
  </si>
  <si>
    <t xml:space="preserve">N9LY5.01+N8LGL </t>
  </si>
  <si>
    <t>1#-6#+11#~16#</t>
  </si>
  <si>
    <t>N8LGL;N9LY5.01</t>
  </si>
  <si>
    <t>HF01727</t>
  </si>
  <si>
    <t>MG4UA</t>
  </si>
  <si>
    <t>N9F4N</t>
  </si>
  <si>
    <t>HF01728</t>
  </si>
  <si>
    <t>MG4UB</t>
  </si>
  <si>
    <t>HF01729</t>
  </si>
  <si>
    <t>JW4UA</t>
  </si>
  <si>
    <t>N9GC3.02</t>
  </si>
  <si>
    <t>HF01730</t>
  </si>
  <si>
    <t>JW4UB</t>
  </si>
  <si>
    <t>N9P2L.01</t>
  </si>
  <si>
    <t>HF01731</t>
  </si>
  <si>
    <t>AIV4UC</t>
  </si>
  <si>
    <t>N9ML2-2</t>
  </si>
  <si>
    <t>HF01732</t>
  </si>
  <si>
    <t>WQ4UB</t>
  </si>
  <si>
    <t>N9P9R.01</t>
  </si>
  <si>
    <t>3#-10#</t>
  </si>
  <si>
    <t>HF01733</t>
  </si>
  <si>
    <t>APS4UB</t>
  </si>
  <si>
    <t xml:space="preserve">N9YK1+SJ036800 </t>
  </si>
  <si>
    <t>21#-25#+4#~17#</t>
  </si>
  <si>
    <t>N9YK1;SJ036800</t>
  </si>
  <si>
    <t>HF01734</t>
  </si>
  <si>
    <t>ANL4UA</t>
  </si>
  <si>
    <t>N9RCG+(SJ044100+SJ044000)</t>
  </si>
  <si>
    <t>19#-21#+(21#~25#+25#)</t>
  </si>
  <si>
    <t>N9RCG;(SJ044100+SJ044000)</t>
  </si>
  <si>
    <t>HF01735</t>
  </si>
  <si>
    <t>AMY4UA</t>
  </si>
  <si>
    <t>N9WQ4.02+(SJ043500+SJ043700)</t>
  </si>
  <si>
    <t>11#-19#+(2#,5#~21#,23#+1#~6#)</t>
  </si>
  <si>
    <t>N9WQ4.02;(SJ043500+SJ043700)</t>
  </si>
  <si>
    <t>HF01736</t>
  </si>
  <si>
    <t>WM4UA</t>
  </si>
  <si>
    <t>N9NPY.01+SJ068100</t>
  </si>
  <si>
    <t>1#-2#+17#-19#</t>
  </si>
  <si>
    <t>SJ068100;N9NPY.01</t>
  </si>
  <si>
    <t>HF01737</t>
  </si>
  <si>
    <t>WM4UB</t>
  </si>
  <si>
    <t>N9QYW.02+SJ068100</t>
  </si>
  <si>
    <t>6#~7#+20#-22#</t>
  </si>
  <si>
    <t>SJ068100;N9QYW.02</t>
  </si>
  <si>
    <t>HF01738</t>
  </si>
  <si>
    <t>AQK4UC</t>
  </si>
  <si>
    <t>N9NPY+SJ063000</t>
  </si>
  <si>
    <t>10#-19#+1#~9#,11#~25#</t>
  </si>
  <si>
    <t>SJ063000;N9NPY</t>
  </si>
  <si>
    <t>HF01739</t>
  </si>
  <si>
    <t>AQK4UD</t>
  </si>
  <si>
    <t>N9QYY.01+SJ063200</t>
  </si>
  <si>
    <t>1#-9#+1#~13#,16#~24#</t>
  </si>
  <si>
    <t>SJ063200;N9QYY.01</t>
  </si>
  <si>
    <t>HF01740</t>
  </si>
  <si>
    <t>AQK4UE</t>
  </si>
  <si>
    <t>N9QYW.03+SJ067100</t>
  </si>
  <si>
    <t>8#-16#+1#-11#,13#-23#</t>
  </si>
  <si>
    <t>SJ067100;N9QYW.03</t>
  </si>
  <si>
    <t>HF01741</t>
  </si>
  <si>
    <t>AOX4UA</t>
  </si>
  <si>
    <t xml:space="preserve">N93NN+SJ034400 </t>
  </si>
  <si>
    <t>20#~24#+18#~24#</t>
  </si>
  <si>
    <t>HF01742</t>
  </si>
  <si>
    <t>AMM4UA</t>
  </si>
  <si>
    <t xml:space="preserve">N9KF6+SJ027700 </t>
  </si>
  <si>
    <t>N9KF6;SJ027700</t>
  </si>
  <si>
    <t>HF01743</t>
  </si>
  <si>
    <t>AMM4UB</t>
  </si>
  <si>
    <t xml:space="preserve">N9KF6+SJ028600 </t>
  </si>
  <si>
    <t>19#-25#+1#~19#</t>
  </si>
  <si>
    <t>N9KF6;SJ028600</t>
  </si>
  <si>
    <t>HF01744</t>
  </si>
  <si>
    <t>AMJ4UA</t>
  </si>
  <si>
    <t>N9KF3+(SJ036800+SJ075400)</t>
  </si>
  <si>
    <t>18#-20#+(18#~24#+24#)</t>
  </si>
  <si>
    <t>N9KF3;(SJ036800+SJ075400)</t>
  </si>
  <si>
    <t>HF01745</t>
  </si>
  <si>
    <t>AQJ4UA</t>
  </si>
  <si>
    <t xml:space="preserve">N9WQ5.02+SJ061500 </t>
  </si>
  <si>
    <t>14#~18#+1#~25#</t>
  </si>
  <si>
    <t>SJ061500;N9WQ5.02</t>
  </si>
  <si>
    <t>HF01746</t>
  </si>
  <si>
    <t>AQU4UB</t>
  </si>
  <si>
    <t xml:space="preserve">N9WQ5.02+SJ059000 </t>
  </si>
  <si>
    <t>SJ059000; N9WQ5.02</t>
  </si>
  <si>
    <t>HF01747</t>
  </si>
  <si>
    <t>AQU4UC</t>
  </si>
  <si>
    <t>N9ATW+SJ075200</t>
  </si>
  <si>
    <t>22#~25#+1#~21#</t>
  </si>
  <si>
    <t>SJ075200;N9ATW</t>
  </si>
  <si>
    <t>SY58120AAC</t>
  </si>
  <si>
    <t>HF01748</t>
  </si>
  <si>
    <t>Ba4UD</t>
  </si>
  <si>
    <t>N9T8T+F06WM</t>
  </si>
  <si>
    <t>19#-21#+1#-8#</t>
  </si>
  <si>
    <t>F06WM;N9T8T</t>
  </si>
  <si>
    <t>HF01749</t>
  </si>
  <si>
    <t>Ba4UE</t>
  </si>
  <si>
    <t>N9T8Y+F9LP8</t>
  </si>
  <si>
    <t>N9T8Y;F9LP8</t>
  </si>
  <si>
    <t>HF01750</t>
  </si>
  <si>
    <t>Ba4UF</t>
  </si>
  <si>
    <t>N9T91+F06WM</t>
  </si>
  <si>
    <t>19#-24#+9#-24#</t>
  </si>
  <si>
    <t>F06WM;N9T91</t>
  </si>
  <si>
    <t>HF01751</t>
  </si>
  <si>
    <t>AWM4UA</t>
  </si>
  <si>
    <t>N9WPF.01+FLY4A</t>
  </si>
  <si>
    <t>6#-10#+11#-24#</t>
  </si>
  <si>
    <t>FLY4A;N9WPF.01</t>
  </si>
  <si>
    <t>HF01752</t>
  </si>
  <si>
    <t>AOF4UA</t>
  </si>
  <si>
    <t>N89NC+EP286900</t>
  </si>
  <si>
    <t>10#~13#+9#~19#</t>
  </si>
  <si>
    <t>N89NC;EP286900</t>
  </si>
  <si>
    <t>HF01753</t>
  </si>
  <si>
    <t>GZ4VA</t>
  </si>
  <si>
    <t>N9YJS</t>
  </si>
  <si>
    <t>HF01754</t>
  </si>
  <si>
    <t>GZ4VB</t>
  </si>
  <si>
    <t>N9YJS-1</t>
  </si>
  <si>
    <t>HF01755</t>
  </si>
  <si>
    <t>TC4VA</t>
  </si>
  <si>
    <t>N9YK0</t>
  </si>
  <si>
    <t>HF01756</t>
  </si>
  <si>
    <t>TC4VB</t>
  </si>
  <si>
    <t>N9YK0-1</t>
  </si>
  <si>
    <t>HF01757</t>
  </si>
  <si>
    <t>TC4VC</t>
  </si>
  <si>
    <t>N9YJW</t>
  </si>
  <si>
    <t>HF01758</t>
  </si>
  <si>
    <t>TW4VA</t>
  </si>
  <si>
    <t>NA06T</t>
  </si>
  <si>
    <t>HF01759</t>
  </si>
  <si>
    <t>TW4VB</t>
  </si>
  <si>
    <t>NA06T.02</t>
  </si>
  <si>
    <t>HF01760</t>
  </si>
  <si>
    <t>TW4VC</t>
  </si>
  <si>
    <t>NA06W</t>
  </si>
  <si>
    <t>HF01761</t>
  </si>
  <si>
    <t>TW4VD</t>
  </si>
  <si>
    <t>NA06W.02</t>
  </si>
  <si>
    <t>HF01762</t>
  </si>
  <si>
    <t>VL4VA</t>
  </si>
  <si>
    <t>N99N1</t>
  </si>
  <si>
    <t>HF01763</t>
  </si>
  <si>
    <t>VL4VB</t>
  </si>
  <si>
    <t>11#-15# 17#-20# 25#</t>
  </si>
  <si>
    <t>N99N1-1</t>
  </si>
  <si>
    <t>HF01764</t>
  </si>
  <si>
    <t>VT4VA</t>
  </si>
  <si>
    <t>N9YPT</t>
  </si>
  <si>
    <t>HF01765</t>
  </si>
  <si>
    <t>VT4VB</t>
  </si>
  <si>
    <t>N9YPT-1</t>
  </si>
  <si>
    <t>HF01766</t>
  </si>
  <si>
    <t>VT4VC</t>
  </si>
  <si>
    <t>N9YPW</t>
  </si>
  <si>
    <t>HF01767</t>
  </si>
  <si>
    <t>VT4VD</t>
  </si>
  <si>
    <t>N9YPW-1</t>
  </si>
  <si>
    <t>HF01768</t>
  </si>
  <si>
    <t>VT4VE</t>
  </si>
  <si>
    <t>N9YPY</t>
  </si>
  <si>
    <t>HF01769</t>
  </si>
  <si>
    <t>VT4VF</t>
  </si>
  <si>
    <t>N9YPY-1</t>
  </si>
  <si>
    <t>HF01770</t>
  </si>
  <si>
    <t>VT4VG</t>
  </si>
  <si>
    <t>N9YQ0</t>
  </si>
  <si>
    <t>HF01771</t>
  </si>
  <si>
    <t>VT4VH</t>
  </si>
  <si>
    <t>N9YQ0-1</t>
  </si>
  <si>
    <t>HF01772</t>
  </si>
  <si>
    <t>VT4VI</t>
  </si>
  <si>
    <t>N9YQ2</t>
  </si>
  <si>
    <t>HF01773</t>
  </si>
  <si>
    <t>VT4VJ</t>
  </si>
  <si>
    <t>N9YQ2-1</t>
  </si>
  <si>
    <t>HF01774</t>
  </si>
  <si>
    <t>AGB4VA</t>
  </si>
  <si>
    <t>N9YJT</t>
  </si>
  <si>
    <t>HF01775</t>
  </si>
  <si>
    <t>AEF4VA</t>
  </si>
  <si>
    <t>N9YJW.02</t>
  </si>
  <si>
    <t>HF01776</t>
  </si>
  <si>
    <t>AHK4VA</t>
  </si>
  <si>
    <t>N9YK1.02</t>
  </si>
  <si>
    <t>HF01777</t>
  </si>
  <si>
    <t>JX4VA</t>
  </si>
  <si>
    <t>N9YSC</t>
  </si>
  <si>
    <t>HF01778</t>
  </si>
  <si>
    <t>JD4VA</t>
  </si>
  <si>
    <t>6#-8# 23#-25#</t>
  </si>
  <si>
    <t>N9YSC-1</t>
  </si>
  <si>
    <t>HF01779</t>
  </si>
  <si>
    <t>JD4VB</t>
  </si>
  <si>
    <t>N9YSC.03</t>
  </si>
  <si>
    <t>HF01780</t>
  </si>
  <si>
    <t>AQF4VA</t>
  </si>
  <si>
    <t>N9LY5.01+N9YWN.01</t>
  </si>
  <si>
    <t>7#-10#+1#-4#</t>
  </si>
  <si>
    <t>N9YWN.01;N9LY5.01</t>
  </si>
  <si>
    <t>HF01781</t>
  </si>
  <si>
    <t>HT4VA</t>
  </si>
  <si>
    <t>N9P2L-1</t>
  </si>
  <si>
    <t>HF01782</t>
  </si>
  <si>
    <t>YG2724VA</t>
  </si>
  <si>
    <t>N9YJW.02-1</t>
  </si>
  <si>
    <t>HF01783</t>
  </si>
  <si>
    <t>TW4VE</t>
  </si>
  <si>
    <t>NA06R</t>
  </si>
  <si>
    <t>7#-16#</t>
  </si>
  <si>
    <t>HF01784</t>
  </si>
  <si>
    <t>TW4VF</t>
  </si>
  <si>
    <t>NA06R-1</t>
  </si>
  <si>
    <t>HF01785</t>
  </si>
  <si>
    <t>PC4VA</t>
  </si>
  <si>
    <t>NA0KH.03</t>
  </si>
  <si>
    <t>HF01786</t>
  </si>
  <si>
    <t>VT4VK</t>
  </si>
  <si>
    <t>N9YQ1</t>
  </si>
  <si>
    <t>HF01787</t>
  </si>
  <si>
    <t>VT4VL</t>
  </si>
  <si>
    <t>N9YQ1-1</t>
  </si>
  <si>
    <t>HF01788</t>
  </si>
  <si>
    <t>Eg4VA</t>
  </si>
  <si>
    <t>N9YKY+FMT6H</t>
  </si>
  <si>
    <t>1#-2#+1#-5#</t>
  </si>
  <si>
    <t>FMT6H;N9YKY</t>
  </si>
  <si>
    <t>HF01789</t>
  </si>
  <si>
    <t>AWM4VA</t>
  </si>
  <si>
    <t>3#-7#+6#-19#</t>
  </si>
  <si>
    <t>FMT6H;N9YKY-1</t>
  </si>
  <si>
    <t>HF01790</t>
  </si>
  <si>
    <t>Ba4VA</t>
  </si>
  <si>
    <t>N9T8Y+FCSR6</t>
  </si>
  <si>
    <t>FCSR6;N9T8Y</t>
  </si>
  <si>
    <t>HF01791</t>
  </si>
  <si>
    <t>Ba4VB</t>
  </si>
  <si>
    <t>N9T8W+FLPYM</t>
  </si>
  <si>
    <t>FLPYM;N9T8W</t>
  </si>
  <si>
    <t>HF01792</t>
  </si>
  <si>
    <t>Ba4VC</t>
  </si>
  <si>
    <t>N9T8W+FWTMF</t>
  </si>
  <si>
    <t>FWTMF;N9T8W</t>
  </si>
  <si>
    <t>HF01793</t>
  </si>
  <si>
    <t>Ba4VD</t>
  </si>
  <si>
    <t>N9T8Y+F34HM</t>
  </si>
  <si>
    <t>19#-24#+1#-16#</t>
  </si>
  <si>
    <t>F34HM;N9T8Y</t>
  </si>
  <si>
    <t>HF01794</t>
  </si>
  <si>
    <t>AVM4VA</t>
  </si>
  <si>
    <t>N9T90+FCW8T</t>
  </si>
  <si>
    <t>2#-10#+1#-25#</t>
  </si>
  <si>
    <t>FCW8T;N9T90</t>
  </si>
  <si>
    <t>HF01795</t>
  </si>
  <si>
    <t>AVM4VB</t>
  </si>
  <si>
    <t>N9T90+FS9P6</t>
  </si>
  <si>
    <t>11#~19#+1#~25#</t>
  </si>
  <si>
    <t>FS9P6;N9T90</t>
  </si>
  <si>
    <t>HF01796</t>
  </si>
  <si>
    <t>AVM4VC</t>
  </si>
  <si>
    <t>N9T8T+(F34HM+FL32Y)</t>
  </si>
  <si>
    <t>22#-25#+(17#-25#+24#-25#)</t>
  </si>
  <si>
    <t>(F34HM+FL32Y);N9T8T</t>
  </si>
  <si>
    <t>HF01797</t>
  </si>
  <si>
    <t>AWT4VA</t>
  </si>
  <si>
    <t>6+21</t>
  </si>
  <si>
    <t>N9YKY+FSPF7</t>
  </si>
  <si>
    <t>8#-13#+4#~24#</t>
  </si>
  <si>
    <t>FSPF7;N9YKY</t>
  </si>
  <si>
    <t>HF01798</t>
  </si>
  <si>
    <t>Fa4VA</t>
  </si>
  <si>
    <t>N9YKY+F4L69</t>
  </si>
  <si>
    <t>14#-17#+13#-23#</t>
  </si>
  <si>
    <t>F4L69;N9YKY</t>
  </si>
  <si>
    <t>HF01799</t>
  </si>
  <si>
    <t>AVM4VD</t>
  </si>
  <si>
    <t>N9TR6+FW74G</t>
  </si>
  <si>
    <t>FW74G;N9TR6</t>
  </si>
  <si>
    <t>HF01800</t>
  </si>
  <si>
    <t>TC4VD</t>
  </si>
  <si>
    <t>NA0KK</t>
  </si>
  <si>
    <t>HF01801</t>
  </si>
  <si>
    <t>TC4VE</t>
  </si>
  <si>
    <t>NA0KK-1</t>
  </si>
  <si>
    <t>HF01802</t>
  </si>
  <si>
    <t>TW4VG</t>
  </si>
  <si>
    <t>NA06S</t>
  </si>
  <si>
    <t>HF01803</t>
  </si>
  <si>
    <t>TW4VH</t>
  </si>
  <si>
    <t>NA06S.04</t>
  </si>
  <si>
    <t>HF01804</t>
  </si>
  <si>
    <t>JR4VA</t>
  </si>
  <si>
    <t>NA0FQ</t>
  </si>
  <si>
    <t>HF01805</t>
  </si>
  <si>
    <t>JR4VB</t>
  </si>
  <si>
    <t>NA0FQ.03</t>
  </si>
  <si>
    <t>HF01806</t>
  </si>
  <si>
    <t>AMN4VA</t>
  </si>
  <si>
    <t>N9QN4.02</t>
  </si>
  <si>
    <t>14# 15#</t>
  </si>
  <si>
    <t>HF01807</t>
  </si>
  <si>
    <t>ALJ4VA</t>
  </si>
  <si>
    <t>NA0KM+(EP347900+SJ076600)</t>
  </si>
  <si>
    <t>1#-11#+(12#-14#+1#-9#)</t>
  </si>
  <si>
    <t>NA0KM;(EP347900+SJ076600)</t>
  </si>
  <si>
    <t>HF01808</t>
  </si>
  <si>
    <t>Ba4VE</t>
  </si>
  <si>
    <t>(N9T92+N9T8W)+FPT4W</t>
  </si>
  <si>
    <t>(24#-25#+19#-25#)+1#~25#</t>
  </si>
  <si>
    <t>FPT4W;(N9T92+N9T8W)</t>
  </si>
  <si>
    <t>HF01809</t>
  </si>
  <si>
    <t>Ba4VF</t>
  </si>
  <si>
    <t>N9T90+FN0RS</t>
  </si>
  <si>
    <t>20#-25#+1#-16#</t>
  </si>
  <si>
    <t>FN0RS;N9T90</t>
  </si>
  <si>
    <t>HF01810</t>
  </si>
  <si>
    <t>Ba4VG</t>
  </si>
  <si>
    <t>N9TR6+FKCW6</t>
  </si>
  <si>
    <t>FKCW6;N9TR6</t>
  </si>
  <si>
    <t>HF01811</t>
  </si>
  <si>
    <t>AVM4VE</t>
  </si>
  <si>
    <t>N9TR6+FN0RS</t>
  </si>
  <si>
    <t>19#-21#+17#-22#,24#~25#</t>
  </si>
  <si>
    <t>FN0RS;N9TR6</t>
  </si>
  <si>
    <t>HF01812</t>
  </si>
  <si>
    <t>AVM4VF</t>
  </si>
  <si>
    <t>(N9TR6+N9TR7)+FWP7N</t>
  </si>
  <si>
    <t>(22#-25#+11#-15#)+1#-25#</t>
  </si>
  <si>
    <t>FWP7N;(N9TR6+N9TR7)</t>
  </si>
  <si>
    <t>HF01813</t>
  </si>
  <si>
    <t>JR4VC</t>
  </si>
  <si>
    <t>NA0FP</t>
  </si>
  <si>
    <t>HF01814</t>
  </si>
  <si>
    <t>JR4VD</t>
  </si>
  <si>
    <t>NA0FP.03</t>
  </si>
  <si>
    <t>11#-22</t>
  </si>
  <si>
    <t>HF01815</t>
  </si>
  <si>
    <t>AMN4VB</t>
  </si>
  <si>
    <t>N91WA.05</t>
  </si>
  <si>
    <t>3# 4#</t>
  </si>
  <si>
    <t>HF01816</t>
  </si>
  <si>
    <t>ZT4VA</t>
  </si>
  <si>
    <t>N9WS2</t>
  </si>
  <si>
    <t>HF01817</t>
  </si>
  <si>
    <t>ZT4VB</t>
  </si>
  <si>
    <t>N9WS2-1</t>
  </si>
  <si>
    <t>HF01818</t>
  </si>
  <si>
    <t>ZT4VC</t>
  </si>
  <si>
    <t>N9WS2-2</t>
  </si>
  <si>
    <t>HF01819</t>
  </si>
  <si>
    <t>AFB4VA</t>
  </si>
  <si>
    <t>NA0KG</t>
  </si>
  <si>
    <t>HF01820</t>
  </si>
  <si>
    <t>AGB4VB</t>
  </si>
  <si>
    <t>NA0KG-1</t>
  </si>
  <si>
    <t>HF01821</t>
  </si>
  <si>
    <t>AEF4VB</t>
  </si>
  <si>
    <t>N9YJW.02-2</t>
  </si>
  <si>
    <t>HF01822</t>
  </si>
  <si>
    <t>ALH4VA</t>
  </si>
  <si>
    <t>NA0KH.01</t>
  </si>
  <si>
    <t>HF01823</t>
  </si>
  <si>
    <t>TB4VA</t>
  </si>
  <si>
    <t>N9WQ4.01</t>
  </si>
  <si>
    <t>HF01824</t>
  </si>
  <si>
    <t>QV4VA</t>
  </si>
  <si>
    <t>N9SFM.05</t>
  </si>
  <si>
    <t>HF01825</t>
  </si>
  <si>
    <t>QV4VB</t>
  </si>
  <si>
    <t>NA12R.02</t>
  </si>
  <si>
    <t>HF01826</t>
  </si>
  <si>
    <t>AFB4VB</t>
  </si>
  <si>
    <t>NA12J</t>
  </si>
  <si>
    <t>HF01827</t>
  </si>
  <si>
    <t>AFB4VC</t>
  </si>
  <si>
    <t>11#~22#</t>
  </si>
  <si>
    <t>NA12J-1</t>
  </si>
  <si>
    <t>HF01828</t>
  </si>
  <si>
    <t>AGB4VC</t>
  </si>
  <si>
    <t>NA12J-2</t>
  </si>
  <si>
    <t>HF01829</t>
  </si>
  <si>
    <t>GZ4VC</t>
  </si>
  <si>
    <t>NA12K</t>
  </si>
  <si>
    <t>HF01830</t>
  </si>
  <si>
    <t>TC4VF</t>
  </si>
  <si>
    <t>NA0KJ</t>
  </si>
  <si>
    <t>HF01831</t>
  </si>
  <si>
    <t>TC4VG</t>
  </si>
  <si>
    <t>NA0KJ-1</t>
  </si>
  <si>
    <t>HF01832</t>
  </si>
  <si>
    <t>TC4VH</t>
  </si>
  <si>
    <t>NA0KL</t>
  </si>
  <si>
    <t>HF01833</t>
  </si>
  <si>
    <t>TC4VI</t>
  </si>
  <si>
    <t>NA0KL-1</t>
  </si>
  <si>
    <t>HF01834</t>
  </si>
  <si>
    <t>XE4VA</t>
  </si>
  <si>
    <t>NA0NQ</t>
  </si>
  <si>
    <t>HF01835</t>
  </si>
  <si>
    <t>XE4VB</t>
  </si>
  <si>
    <t>NA0NQ-1</t>
  </si>
  <si>
    <t>HF01836</t>
  </si>
  <si>
    <t>XE4VC</t>
  </si>
  <si>
    <t>NA0NY</t>
  </si>
  <si>
    <t>HF01837</t>
  </si>
  <si>
    <t>XE4VD</t>
  </si>
  <si>
    <t>NA0NY-1</t>
  </si>
  <si>
    <t>HF01838</t>
  </si>
  <si>
    <t>XE4VE</t>
  </si>
  <si>
    <t>NA13A</t>
  </si>
  <si>
    <t>HF01839</t>
  </si>
  <si>
    <t>NA13A-1</t>
  </si>
  <si>
    <t>HF01840</t>
  </si>
  <si>
    <t>JR4VE</t>
  </si>
  <si>
    <t>NA183</t>
  </si>
  <si>
    <t>HF01841</t>
  </si>
  <si>
    <t>JR4VF</t>
  </si>
  <si>
    <t>NA183-1</t>
  </si>
  <si>
    <t>HF01842</t>
  </si>
  <si>
    <t>JR4VG</t>
  </si>
  <si>
    <t>NA185</t>
  </si>
  <si>
    <t>HF01843</t>
  </si>
  <si>
    <t>JR4VH</t>
  </si>
  <si>
    <t>HF01844</t>
  </si>
  <si>
    <t>MH4VA</t>
  </si>
  <si>
    <t>NA12C</t>
  </si>
  <si>
    <t>HF01845</t>
  </si>
  <si>
    <t>MK4VA</t>
  </si>
  <si>
    <t>14#-16#</t>
  </si>
  <si>
    <t>NA12C-1</t>
  </si>
  <si>
    <t>HF01846</t>
  </si>
  <si>
    <t>LX4VA</t>
  </si>
  <si>
    <t>NA12P</t>
  </si>
  <si>
    <t>14#-19#</t>
  </si>
  <si>
    <t>HF01847</t>
  </si>
  <si>
    <t>ATN4VA</t>
  </si>
  <si>
    <t>N9ST7.16</t>
  </si>
  <si>
    <t>HF01848</t>
  </si>
  <si>
    <t>TR4VA</t>
  </si>
  <si>
    <t>N95T4-3</t>
  </si>
  <si>
    <t>HF01849</t>
  </si>
  <si>
    <t>TR4VB</t>
  </si>
  <si>
    <t>N9Y4R</t>
  </si>
  <si>
    <t>HF01850</t>
  </si>
  <si>
    <t>JD4VC</t>
  </si>
  <si>
    <t>NA0NW</t>
  </si>
  <si>
    <t>HF01851</t>
  </si>
  <si>
    <t>JD4VD</t>
  </si>
  <si>
    <t>NA0NW-1</t>
  </si>
  <si>
    <t>HF01852</t>
  </si>
  <si>
    <t>JD4VE</t>
  </si>
  <si>
    <t>NA0NT</t>
  </si>
  <si>
    <t>HF01853</t>
  </si>
  <si>
    <t>JD4VF</t>
  </si>
  <si>
    <t>NA0NT-1</t>
  </si>
  <si>
    <t>HF01854</t>
  </si>
  <si>
    <t>VC4VA</t>
  </si>
  <si>
    <t>NA0NS</t>
  </si>
  <si>
    <t>1#~2#,4#~13#</t>
  </si>
  <si>
    <t>HF01855</t>
  </si>
  <si>
    <t>VC4VB</t>
  </si>
  <si>
    <t>NA0NS-1</t>
  </si>
  <si>
    <t>HF01856</t>
  </si>
  <si>
    <t>WG4VA</t>
  </si>
  <si>
    <t>14#~23#</t>
  </si>
  <si>
    <t>N8JP5-1</t>
  </si>
  <si>
    <t>HF01857</t>
  </si>
  <si>
    <t>HT4VB</t>
  </si>
  <si>
    <t>NA0FN</t>
  </si>
  <si>
    <t>HF01858</t>
  </si>
  <si>
    <t>HT4VC</t>
  </si>
  <si>
    <t>NA0FN-1</t>
  </si>
  <si>
    <t>HF01859</t>
  </si>
  <si>
    <t>AIV4VA</t>
  </si>
  <si>
    <t>N9QN4.01</t>
  </si>
  <si>
    <t>HF01860</t>
  </si>
  <si>
    <t>AFZ4VA</t>
  </si>
  <si>
    <t>N9RRR-2</t>
  </si>
  <si>
    <t>HF01861</t>
  </si>
  <si>
    <t>AFZ4VB</t>
  </si>
  <si>
    <t>N9WT8</t>
  </si>
  <si>
    <t>N9WT8-1</t>
  </si>
  <si>
    <t>HF01862</t>
  </si>
  <si>
    <t>AHH4VA</t>
  </si>
  <si>
    <t>HF01863</t>
  </si>
  <si>
    <t>ADS4VA</t>
  </si>
  <si>
    <t>N9WT8-2</t>
  </si>
  <si>
    <t>HF01864</t>
  </si>
  <si>
    <t>TE4VA</t>
  </si>
  <si>
    <t>N9FSF.02</t>
  </si>
  <si>
    <t>HF01865</t>
  </si>
  <si>
    <t>AQU4VA</t>
  </si>
  <si>
    <t>NA0KM.01+SJ078600</t>
  </si>
  <si>
    <t>16#-20#+1#-25#</t>
  </si>
  <si>
    <t>SJ078600;NA0KM.01</t>
  </si>
  <si>
    <t>HF01866</t>
  </si>
  <si>
    <t>AQU4VB</t>
  </si>
  <si>
    <t>NA0KM.01+SJ078800</t>
  </si>
  <si>
    <t>21#-25#+1#-25#</t>
  </si>
  <si>
    <t>SJ078800;NA0KM.01</t>
  </si>
  <si>
    <t>HF01867</t>
  </si>
  <si>
    <t>JR4VI</t>
  </si>
  <si>
    <t>NA184</t>
  </si>
  <si>
    <t>HF01868</t>
  </si>
  <si>
    <t>JR4VJ</t>
  </si>
  <si>
    <t>IM8123SN</t>
  </si>
  <si>
    <t>A59B0</t>
  </si>
  <si>
    <t>HF01869</t>
  </si>
  <si>
    <t>TG4VA</t>
  </si>
  <si>
    <t>N9PMR.01</t>
  </si>
  <si>
    <t>SOT-23-6L(12R)</t>
  </si>
  <si>
    <t>SY5002CABC</t>
  </si>
  <si>
    <t>E51B0</t>
  </si>
  <si>
    <t>HF01870</t>
  </si>
  <si>
    <t>ZS4WA</t>
  </si>
  <si>
    <t>N9HFY.13</t>
  </si>
  <si>
    <t>14#-15#</t>
  </si>
  <si>
    <t>HF01871</t>
  </si>
  <si>
    <t>GZ4WA</t>
  </si>
  <si>
    <t>NA12H</t>
  </si>
  <si>
    <t>HF01872</t>
  </si>
  <si>
    <t>HF01873</t>
  </si>
  <si>
    <t>JR4WA</t>
  </si>
  <si>
    <t>NA182</t>
  </si>
  <si>
    <t>HF01874</t>
  </si>
  <si>
    <t>JR4WB</t>
  </si>
  <si>
    <t>SYPH294AFAC</t>
  </si>
  <si>
    <t>HF01875</t>
  </si>
  <si>
    <t>AMM4WA</t>
  </si>
  <si>
    <t xml:space="preserve">N9KF5+SJ037400 </t>
  </si>
  <si>
    <t>19#-22#+1#~11#</t>
  </si>
  <si>
    <t>N9KF5;SJ037400</t>
  </si>
  <si>
    <t>SY50132FAC</t>
  </si>
  <si>
    <t>E51E0+U2X12A</t>
  </si>
  <si>
    <t>HF01876</t>
  </si>
  <si>
    <t>ATR4WA</t>
  </si>
  <si>
    <t>2+7</t>
  </si>
  <si>
    <t>N9Y9H.02+F3HNA</t>
  </si>
  <si>
    <t>18#~19#+5#~11#</t>
  </si>
  <si>
    <t>F3HNA;N9Y9H.02</t>
  </si>
  <si>
    <t>HF01877</t>
  </si>
  <si>
    <t>ANN4WA</t>
  </si>
  <si>
    <t xml:space="preserve">N9RCL+SJ033600 </t>
  </si>
  <si>
    <t>18#-25#+1#~9#,11#~17#</t>
  </si>
  <si>
    <t>N9RCL;SJ033600</t>
  </si>
  <si>
    <t>HF01878</t>
  </si>
  <si>
    <t>AQG4WA</t>
  </si>
  <si>
    <t>N9QPM+SJ065600</t>
  </si>
  <si>
    <t>22#+22#-24#</t>
  </si>
  <si>
    <t>SJ065600;N9QPM</t>
  </si>
  <si>
    <t>HF01879</t>
  </si>
  <si>
    <t>Ba4WA</t>
  </si>
  <si>
    <t>N9TR7+F4KNW</t>
  </si>
  <si>
    <t>F4KNW;N9TR7</t>
  </si>
  <si>
    <t>HF01880</t>
  </si>
  <si>
    <t>AVM4WA</t>
  </si>
  <si>
    <t>N9TR7.01+FW9C6</t>
  </si>
  <si>
    <t>FW9C6;N9TR7.01</t>
  </si>
  <si>
    <t>HF01881</t>
  </si>
  <si>
    <t>AVM4WB</t>
  </si>
  <si>
    <t>(N9TR7.01+N9YSR)+F3FW8</t>
  </si>
  <si>
    <t>(10#+1#-8#)+1#-25#</t>
  </si>
  <si>
    <t>F3FW8;(N9TR7.01+N9YSR)</t>
  </si>
  <si>
    <t>HF01882</t>
  </si>
  <si>
    <t>Fa4WA</t>
  </si>
  <si>
    <t>N9YKY+(F4L69+FL2GT)</t>
  </si>
  <si>
    <t>18#-25#+(24#-25#+1#-21#))</t>
  </si>
  <si>
    <t>(F4L69+FL2GT);N9YKY</t>
  </si>
  <si>
    <t>HF01883</t>
  </si>
  <si>
    <t>Fa4WB</t>
  </si>
  <si>
    <t>NA0J2+(FL2GT+FLGN6)</t>
  </si>
  <si>
    <t>1#-8#+(22#-25#+1#-19#)</t>
  </si>
  <si>
    <t>(FL2GT+FLGN6);NA0J2</t>
  </si>
  <si>
    <t>HF01884</t>
  </si>
  <si>
    <t>Fa4WC</t>
  </si>
  <si>
    <t>NA0J2+FLGN6+FN7HF</t>
  </si>
  <si>
    <t>9#-11#+(20#-25#+1#-2#)</t>
  </si>
  <si>
    <t>(FLGN6+FN7HF);NA0J2</t>
  </si>
  <si>
    <t>HF01885</t>
  </si>
  <si>
    <t>AWU4WA</t>
  </si>
  <si>
    <t>NA0J2+FN7HF</t>
  </si>
  <si>
    <t>12#-19#+3#-25#</t>
  </si>
  <si>
    <t>FN7HF;NA0J2</t>
  </si>
  <si>
    <t>HF01886</t>
  </si>
  <si>
    <t>AQK4WA</t>
  </si>
  <si>
    <t>(N9NQ1+N9NPY)+SJ063400</t>
  </si>
  <si>
    <t>(23#-25#+20#-25#)+1#~22#</t>
  </si>
  <si>
    <t>SJ063400;(N9NQ1+N9NPY)</t>
  </si>
  <si>
    <t>HF01887</t>
  </si>
  <si>
    <t>AQK4WB</t>
  </si>
  <si>
    <t>(N99J8+N9QYY.01)+SJ064000</t>
  </si>
  <si>
    <t>(23#-25#+10#-15#)+1#~22#</t>
  </si>
  <si>
    <t>SJ064000;(N99J8+N9QYY.01)</t>
  </si>
  <si>
    <t>SY98081AQUC</t>
  </si>
  <si>
    <t>HF01888</t>
  </si>
  <si>
    <t>UM4WA</t>
  </si>
  <si>
    <t>HF01889</t>
  </si>
  <si>
    <t>NZ4WA</t>
  </si>
  <si>
    <t xml:space="preserve">N86R9 </t>
  </si>
  <si>
    <t>N86R9</t>
  </si>
  <si>
    <t>HF01890</t>
  </si>
  <si>
    <t>N86R9-1</t>
  </si>
  <si>
    <t>HF01891</t>
  </si>
  <si>
    <t>JU4WA</t>
  </si>
  <si>
    <t>N9NQJ.01</t>
  </si>
  <si>
    <t>HF01892</t>
  </si>
  <si>
    <t>RC4WA</t>
  </si>
  <si>
    <t>NA188</t>
  </si>
  <si>
    <t>HF01893</t>
  </si>
  <si>
    <t>RC4WB</t>
  </si>
  <si>
    <t>HF01894</t>
  </si>
  <si>
    <t>VL4WA</t>
  </si>
  <si>
    <t>NA186</t>
  </si>
  <si>
    <t>HF01895</t>
  </si>
  <si>
    <t>VL4WB</t>
  </si>
  <si>
    <t>HF01896</t>
  </si>
  <si>
    <t>VL4WC</t>
  </si>
  <si>
    <t>NA188.01</t>
  </si>
  <si>
    <t>HF01897</t>
  </si>
  <si>
    <t>VL4WD</t>
  </si>
  <si>
    <t>NA18C</t>
  </si>
  <si>
    <t>HF01898</t>
  </si>
  <si>
    <t>VL4WE</t>
  </si>
  <si>
    <t>HF01899</t>
  </si>
  <si>
    <t>VL4WF</t>
  </si>
  <si>
    <t>NA18A</t>
  </si>
  <si>
    <t>HF01900</t>
  </si>
  <si>
    <t>VL4WG</t>
  </si>
  <si>
    <t>HF01901</t>
  </si>
  <si>
    <t>VL4WH</t>
  </si>
  <si>
    <t>NA187</t>
  </si>
  <si>
    <t>HF01902</t>
  </si>
  <si>
    <t>VL4WI</t>
  </si>
  <si>
    <t>HF01903</t>
  </si>
  <si>
    <t>VL4WJ</t>
  </si>
  <si>
    <t>NA189</t>
  </si>
  <si>
    <t>HF01904</t>
  </si>
  <si>
    <t>HF01905</t>
  </si>
  <si>
    <t>HT4WA</t>
  </si>
  <si>
    <t>NA1H5</t>
  </si>
  <si>
    <t>HF01906</t>
  </si>
  <si>
    <t>HT4WB</t>
  </si>
  <si>
    <t>NA1H5-1</t>
  </si>
  <si>
    <t>HF01907</t>
  </si>
  <si>
    <t>UD4WA</t>
  </si>
  <si>
    <t xml:space="preserve">N8LGL </t>
  </si>
  <si>
    <t>N8LGL</t>
  </si>
  <si>
    <t>HF01908</t>
  </si>
  <si>
    <t>ARC4WA</t>
  </si>
  <si>
    <t>(N9QYW.03+N9WPC)+SJ083700</t>
  </si>
  <si>
    <t>(17#-18#+1#-6#)+1#~11#,13#~16#</t>
  </si>
  <si>
    <t>SJ083700;(N9QYW.03+N9WPC)</t>
  </si>
  <si>
    <t>HF01909</t>
  </si>
  <si>
    <t>ARC4WB</t>
  </si>
  <si>
    <t>N9WPC+SJ083700</t>
  </si>
  <si>
    <t>7#-11#+17#~25#</t>
  </si>
  <si>
    <t>SJ083700;N9WPC</t>
  </si>
  <si>
    <t>HF01910</t>
  </si>
  <si>
    <t>ARC4WC</t>
  </si>
  <si>
    <t>N9WPC+ (SJ069700+SJ084100)</t>
  </si>
  <si>
    <t>12#-16#+(25#+1#~8#)</t>
  </si>
  <si>
    <t>(SJ069700+SJ084100); N9WPC</t>
  </si>
  <si>
    <t>HF01911</t>
  </si>
  <si>
    <t>ARC4WD</t>
  </si>
  <si>
    <t>N9WPC+SJ069900 +SJ084100)</t>
  </si>
  <si>
    <t>17#-21#+(1#+9#~16#)</t>
  </si>
  <si>
    <t>(SJ069900 +SJ084100);N9WPC</t>
  </si>
  <si>
    <t>HF01912</t>
  </si>
  <si>
    <t>ARC4WE</t>
  </si>
  <si>
    <t>N9WPC+SJ084100</t>
  </si>
  <si>
    <t>22#-25#+17#~23#</t>
  </si>
  <si>
    <t>SJ084100;N9WPC</t>
  </si>
  <si>
    <t>E51H1+U2X17A</t>
  </si>
  <si>
    <t>HF01913</t>
  </si>
  <si>
    <t>ATH4WA</t>
  </si>
  <si>
    <t>2+13</t>
  </si>
  <si>
    <t>N9Y9H.03+F0RSR</t>
  </si>
  <si>
    <t>1#~2#+1#-13#</t>
  </si>
  <si>
    <t>HF01914</t>
  </si>
  <si>
    <t>AFB4WA</t>
  </si>
  <si>
    <t>NA12F</t>
  </si>
  <si>
    <t>HF01915</t>
  </si>
  <si>
    <t>AGB4WA</t>
  </si>
  <si>
    <t>NA12F-1</t>
  </si>
  <si>
    <t>HF01916</t>
  </si>
  <si>
    <t>MC4WA</t>
  </si>
  <si>
    <t>NA12P.03</t>
  </si>
  <si>
    <t>MN4WA</t>
  </si>
  <si>
    <t>HF01918</t>
  </si>
  <si>
    <t>NA175</t>
  </si>
  <si>
    <t>HF01919</t>
  </si>
  <si>
    <t>KW4WA</t>
  </si>
  <si>
    <t>NA139</t>
  </si>
  <si>
    <t>HF01920</t>
  </si>
  <si>
    <t>KW4WB</t>
  </si>
  <si>
    <t>13#~19#,21#~25#</t>
  </si>
  <si>
    <t>NA139-1</t>
  </si>
  <si>
    <t>HF01921</t>
  </si>
  <si>
    <t>TW4WA</t>
  </si>
  <si>
    <t>NA1G5</t>
  </si>
  <si>
    <t>HF01922</t>
  </si>
  <si>
    <t>NA1G5-1</t>
  </si>
  <si>
    <t>HF01923</t>
  </si>
  <si>
    <t>N9LY5.02+N9YWN.01</t>
  </si>
  <si>
    <t>11#-14#+5#-8#</t>
  </si>
  <si>
    <t>N9YWN.01;N9LY5.02</t>
  </si>
  <si>
    <t>HF01924</t>
  </si>
  <si>
    <t>AEP4WA</t>
  </si>
  <si>
    <t>N8LF7.02</t>
  </si>
  <si>
    <t>HF01925</t>
  </si>
  <si>
    <t>MG4WA</t>
  </si>
  <si>
    <t>N9T11</t>
  </si>
  <si>
    <t>HF01926</t>
  </si>
  <si>
    <t>MG4WB</t>
  </si>
  <si>
    <t>SYR313FAC</t>
  </si>
  <si>
    <t>HF01927</t>
  </si>
  <si>
    <t>ATK4WB</t>
  </si>
  <si>
    <t>N9SYM+SJ083102</t>
  </si>
  <si>
    <t>8#-11#+1-4,7,9,17-19,21-23,25#</t>
  </si>
  <si>
    <t>SJ083102;N9SYM</t>
  </si>
  <si>
    <t>HF01928</t>
  </si>
  <si>
    <t>AWK4WA</t>
  </si>
  <si>
    <t>7+25</t>
  </si>
  <si>
    <t>(NA0J2+NA0J5)+FLKP6</t>
  </si>
  <si>
    <t>(20#-25#+16#)+1#-25#</t>
  </si>
  <si>
    <t>FLKP6;(NA0J2+NA0J5)</t>
  </si>
  <si>
    <t>HF01929</t>
  </si>
  <si>
    <t>ASK4WA</t>
  </si>
  <si>
    <t>HF01930</t>
  </si>
  <si>
    <t>ATK4WA</t>
  </si>
  <si>
    <t>HF01931</t>
  </si>
  <si>
    <t>VT4WA</t>
  </si>
  <si>
    <t>NA235</t>
  </si>
  <si>
    <t>HF01932</t>
  </si>
  <si>
    <t>VT4WB</t>
  </si>
  <si>
    <t>NA235-1</t>
  </si>
  <si>
    <t>HF01933</t>
  </si>
  <si>
    <t>KT4WA</t>
  </si>
  <si>
    <t>NA1H7</t>
  </si>
  <si>
    <t>HF01934</t>
  </si>
  <si>
    <t>KT4WB</t>
  </si>
  <si>
    <t>HF01935</t>
  </si>
  <si>
    <t>KT4WC</t>
  </si>
  <si>
    <t>NA1H8</t>
  </si>
  <si>
    <t>HF01936</t>
  </si>
  <si>
    <t>KT4WD</t>
  </si>
  <si>
    <t>HF01937</t>
  </si>
  <si>
    <t>KT4WE</t>
  </si>
  <si>
    <t>NA1H9</t>
  </si>
  <si>
    <t>HF01938</t>
  </si>
  <si>
    <t>KT4WF</t>
  </si>
  <si>
    <t>HF01939</t>
  </si>
  <si>
    <t>NM4WA</t>
  </si>
  <si>
    <t>NA2KJ</t>
  </si>
  <si>
    <t>HF01940</t>
  </si>
  <si>
    <t>NM4WB</t>
  </si>
  <si>
    <t>NA2KJ-1</t>
  </si>
  <si>
    <t>HF01941</t>
  </si>
  <si>
    <t>VT4WC</t>
  </si>
  <si>
    <t>NA236</t>
  </si>
  <si>
    <t>HF01942</t>
  </si>
  <si>
    <t>VT4WD</t>
  </si>
  <si>
    <t>NA236-1</t>
  </si>
  <si>
    <t>HF01943</t>
  </si>
  <si>
    <t>VT4WE</t>
  </si>
  <si>
    <t>NA237</t>
  </si>
  <si>
    <t>HF01944</t>
  </si>
  <si>
    <t>VT4WF</t>
  </si>
  <si>
    <t>NA237-1</t>
  </si>
  <si>
    <t>HF01945</t>
  </si>
  <si>
    <t>VT4WG</t>
  </si>
  <si>
    <t>NA238</t>
  </si>
  <si>
    <t>HF01946</t>
  </si>
  <si>
    <t>VT4WH</t>
  </si>
  <si>
    <t>NA238-1</t>
  </si>
  <si>
    <t>HF01947</t>
  </si>
  <si>
    <t>VT4WI</t>
  </si>
  <si>
    <t>NA239</t>
  </si>
  <si>
    <t>1#-9#,13#-14#</t>
  </si>
  <si>
    <t>HF01948</t>
  </si>
  <si>
    <t>VT4WJ</t>
  </si>
  <si>
    <t>NA239-1</t>
  </si>
  <si>
    <t>HF01949</t>
  </si>
  <si>
    <t>VT4WK</t>
  </si>
  <si>
    <t>NA221</t>
  </si>
  <si>
    <t>HF01950</t>
  </si>
  <si>
    <t>NA221-1</t>
  </si>
  <si>
    <t>HF01951</t>
  </si>
  <si>
    <t>HT4WC</t>
  </si>
  <si>
    <t>NA1H6</t>
  </si>
  <si>
    <t>1#-11#</t>
  </si>
  <si>
    <t>HF01952</t>
  </si>
  <si>
    <t>12#-23#</t>
  </si>
  <si>
    <t>NA1H6-1</t>
  </si>
  <si>
    <t>HF01953</t>
  </si>
  <si>
    <t>NB4WA</t>
  </si>
  <si>
    <t>N9P2N</t>
  </si>
  <si>
    <t>HF01954</t>
  </si>
  <si>
    <t>NB4WB</t>
  </si>
  <si>
    <t>N9P2N-1</t>
  </si>
  <si>
    <t>HF01955</t>
  </si>
  <si>
    <t>NB4WC</t>
  </si>
  <si>
    <t>N9P2M</t>
  </si>
  <si>
    <t>HF01956</t>
  </si>
  <si>
    <t>NB4WD</t>
  </si>
  <si>
    <t>N9P2M-1</t>
  </si>
  <si>
    <t>HF01957</t>
  </si>
  <si>
    <t>NB4WE</t>
  </si>
  <si>
    <t>N9P2P</t>
  </si>
  <si>
    <t>HF01958</t>
  </si>
  <si>
    <t>NB4WF</t>
  </si>
  <si>
    <t>N9P2P-1</t>
  </si>
  <si>
    <t>HF01959</t>
  </si>
  <si>
    <t>NB4WG</t>
  </si>
  <si>
    <t>N9QPS</t>
  </si>
  <si>
    <t>HF01960</t>
  </si>
  <si>
    <t>APS4WA</t>
  </si>
  <si>
    <t>N9WQ3.01+SJ084400</t>
  </si>
  <si>
    <t>24# 25#+1#-5#</t>
  </si>
  <si>
    <t>HF01961</t>
  </si>
  <si>
    <t>AMJ4WA</t>
  </si>
  <si>
    <t>N9KF3+SJ084400</t>
  </si>
  <si>
    <t>21#-25#+6#-19#</t>
  </si>
  <si>
    <t>N9KF3;SJ084400</t>
  </si>
  <si>
    <t>HF01962</t>
  </si>
  <si>
    <t>AMJ4WB</t>
  </si>
  <si>
    <t>N9KF5+(SJ084400+SJ076100)</t>
  </si>
  <si>
    <t>23#-25#+(20#-25#+24#-25#)</t>
  </si>
  <si>
    <t>N9KF5;(SJ084400+SJ076100)</t>
  </si>
  <si>
    <t>HF01963</t>
  </si>
  <si>
    <t>ARC4WF</t>
  </si>
  <si>
    <t>N9WPF+SJ083300</t>
  </si>
  <si>
    <t>11#-18#+1#~13#,15#~16#</t>
  </si>
  <si>
    <t>SJ083300;N9WPF</t>
  </si>
  <si>
    <t>HF01964</t>
  </si>
  <si>
    <t>ARC4WG</t>
  </si>
  <si>
    <t>19#-23#+17#~25#</t>
  </si>
  <si>
    <t>SJ083300;N9WPF-1</t>
  </si>
  <si>
    <t>HF01965</t>
  </si>
  <si>
    <t>ARC4WH</t>
  </si>
  <si>
    <t>N9WPG+SJ083400</t>
  </si>
  <si>
    <t>SJ083400;N9WPG</t>
  </si>
  <si>
    <t>HF01966</t>
  </si>
  <si>
    <t>ARC4WI</t>
  </si>
  <si>
    <t>9#-13#+16#-24#</t>
  </si>
  <si>
    <t>SJ083400;N9WPG-1</t>
  </si>
  <si>
    <t>HF01967</t>
  </si>
  <si>
    <t>AMN4WA</t>
  </si>
  <si>
    <t>NA299</t>
  </si>
  <si>
    <t>HF01968</t>
  </si>
  <si>
    <t>AMN4WB</t>
  </si>
  <si>
    <t>NA299-1</t>
  </si>
  <si>
    <t>SY58381FAC</t>
  </si>
  <si>
    <t>E25C0+U8X13A+L4D01B</t>
  </si>
  <si>
    <t>HF01969</t>
  </si>
  <si>
    <t>AVK4WA</t>
  </si>
  <si>
    <t>3+16+9</t>
  </si>
  <si>
    <t>N9YQC+WE47F07.1+F0RFS</t>
  </si>
  <si>
    <t>4#-6#+1#-16#+1#-9#</t>
  </si>
  <si>
    <t>HF01970</t>
  </si>
  <si>
    <t>JU4WB</t>
  </si>
  <si>
    <t>NA29A</t>
  </si>
  <si>
    <t>HF01971</t>
  </si>
  <si>
    <t>NA29A-1</t>
  </si>
  <si>
    <t>HF01972</t>
  </si>
  <si>
    <t>JR4WC</t>
  </si>
  <si>
    <t>NA29W</t>
  </si>
  <si>
    <t>HF01973</t>
  </si>
  <si>
    <t>JR4WD</t>
  </si>
  <si>
    <t>HF01974</t>
  </si>
  <si>
    <t>JR4WE</t>
  </si>
  <si>
    <t>NA29Y</t>
  </si>
  <si>
    <t>HF01975</t>
  </si>
  <si>
    <t>JR4WF</t>
  </si>
  <si>
    <t>HF01976</t>
  </si>
  <si>
    <t>JR4WG</t>
  </si>
  <si>
    <t>NA2A0</t>
  </si>
  <si>
    <t>HF01977</t>
  </si>
  <si>
    <t>JR4WH</t>
  </si>
  <si>
    <t>HF01978</t>
  </si>
  <si>
    <t>Eg4WA</t>
  </si>
  <si>
    <t>NA0J5+F3H7F</t>
  </si>
  <si>
    <t>17#-21#+1#-14#</t>
  </si>
  <si>
    <t>F3H7F;NA0J5</t>
  </si>
  <si>
    <t>HF01979</t>
  </si>
  <si>
    <t>AWM4WA</t>
  </si>
  <si>
    <t>22#-25#+15#-25#</t>
  </si>
  <si>
    <t>F3H7F;NA0J5-1</t>
  </si>
  <si>
    <t>HF01980</t>
  </si>
  <si>
    <t>JR4WI</t>
  </si>
  <si>
    <t>NA2A1</t>
  </si>
  <si>
    <t>HF01981</t>
  </si>
  <si>
    <t>JR4WJ</t>
  </si>
  <si>
    <t>HF01982</t>
  </si>
  <si>
    <t>KW4WC</t>
  </si>
  <si>
    <t>NA177</t>
  </si>
  <si>
    <t>HF01983</t>
  </si>
  <si>
    <t>ARJ4WA</t>
  </si>
  <si>
    <t>NA2QP</t>
  </si>
  <si>
    <t>HF01984</t>
  </si>
  <si>
    <t>AHI4WA</t>
  </si>
  <si>
    <t>NA1HW</t>
  </si>
  <si>
    <t>HF01985</t>
  </si>
  <si>
    <t>ADS4WA</t>
  </si>
  <si>
    <t>HF01986</t>
  </si>
  <si>
    <t>AGB4WB</t>
  </si>
  <si>
    <t>21#-22#</t>
  </si>
  <si>
    <t>HF01987</t>
  </si>
  <si>
    <t>AQK4WC</t>
  </si>
  <si>
    <t xml:space="preserve">(N9WPF+N9A4N)+SJ061100 </t>
  </si>
  <si>
    <t>(24#-25#+25#)+17#~23#</t>
  </si>
  <si>
    <t>SY7804PMC</t>
  </si>
  <si>
    <t>B52B1</t>
  </si>
  <si>
    <t>HF01988</t>
  </si>
  <si>
    <t>CSP1.66x1.61-9</t>
  </si>
  <si>
    <t>N9JFC</t>
  </si>
  <si>
    <t>SY7219DBC</t>
  </si>
  <si>
    <t>HF01989</t>
  </si>
  <si>
    <t>GV4WA</t>
  </si>
  <si>
    <t>NA1TT</t>
  </si>
  <si>
    <t>HF01990</t>
  </si>
  <si>
    <t>JR4WK</t>
  </si>
  <si>
    <t>NA2A3</t>
  </si>
  <si>
    <t>HF01991</t>
  </si>
  <si>
    <t>HF01992</t>
  </si>
  <si>
    <t>ARC4WJ</t>
  </si>
  <si>
    <t>N9WPG+SJ083600</t>
  </si>
  <si>
    <t>14#-21#+1#-15#</t>
  </si>
  <si>
    <t>HF01993</t>
  </si>
  <si>
    <t>ARC4WK</t>
  </si>
  <si>
    <t>(N9WPG+N9YKQ)+SJ083600</t>
  </si>
  <si>
    <t>(22#-25#+1#)+16#~24#</t>
  </si>
  <si>
    <t>HF01994</t>
  </si>
  <si>
    <t>ARC4WL</t>
  </si>
  <si>
    <t>N9YKQ+(SJ083600+SJ084000)</t>
  </si>
  <si>
    <t>2#-6#+(25#+1#-8#)</t>
  </si>
  <si>
    <t>HF01995</t>
  </si>
  <si>
    <t>ARC4WM</t>
  </si>
  <si>
    <t>N9YKQ+(SJ083702+SJ084000)</t>
  </si>
  <si>
    <t>7#~11#+(12#+9#~16#)</t>
  </si>
  <si>
    <t>HF01996</t>
  </si>
  <si>
    <t>ARC4WN</t>
  </si>
  <si>
    <t>N9YKQ+SJ084000</t>
  </si>
  <si>
    <t>12#~16#+17#-25#</t>
  </si>
  <si>
    <t>SY58481FAC</t>
  </si>
  <si>
    <t>E25CA0+U3X13A+L2D01B</t>
  </si>
  <si>
    <t>HF01997</t>
  </si>
  <si>
    <t>AVJ4WA</t>
  </si>
  <si>
    <t>3+9+17</t>
  </si>
  <si>
    <t>N9YQC.02+FWA7N+WE46F19.1</t>
  </si>
  <si>
    <t>1#-3#+1#-9#+1#~17#</t>
  </si>
  <si>
    <t>TF00513</t>
  </si>
  <si>
    <t>QW4QB</t>
  </si>
  <si>
    <t>11#-16#</t>
  </si>
  <si>
    <t>TF00550</t>
  </si>
  <si>
    <t>HY4RG</t>
  </si>
  <si>
    <t>TF00575</t>
  </si>
  <si>
    <t>LD4SY</t>
  </si>
  <si>
    <t>SY6280AAC</t>
  </si>
  <si>
    <t>C03B0</t>
  </si>
  <si>
    <t>TF00580</t>
  </si>
  <si>
    <t>CO4TA</t>
  </si>
  <si>
    <t>N8C4C</t>
  </si>
  <si>
    <t>TF00581</t>
  </si>
  <si>
    <t>CO4TB</t>
  </si>
  <si>
    <t>TF00582</t>
  </si>
  <si>
    <t>CO4TC</t>
  </si>
  <si>
    <t>TF00585</t>
  </si>
  <si>
    <t>MI4TC</t>
  </si>
  <si>
    <t>TF00589</t>
  </si>
  <si>
    <t>KV4TA</t>
  </si>
  <si>
    <t>TF00596</t>
  </si>
  <si>
    <t>LE4UA</t>
  </si>
  <si>
    <t>TF00597</t>
  </si>
  <si>
    <t>LE4UB</t>
  </si>
  <si>
    <t>TF00604</t>
  </si>
  <si>
    <t>HY4UF</t>
  </si>
  <si>
    <t>TF00606</t>
  </si>
  <si>
    <t>DQ4UA</t>
  </si>
  <si>
    <t>TF00607</t>
  </si>
  <si>
    <t>EF4UC</t>
  </si>
  <si>
    <t>N9Y4P</t>
  </si>
  <si>
    <t>TF00608</t>
  </si>
  <si>
    <t>EF4UD</t>
  </si>
  <si>
    <t>TF00609</t>
  </si>
  <si>
    <t>EF4UE</t>
  </si>
  <si>
    <t>N9Y4Q</t>
  </si>
  <si>
    <t>TF00610</t>
  </si>
  <si>
    <t>EF4UF</t>
  </si>
  <si>
    <t>TF00611</t>
  </si>
  <si>
    <t>RY4UA</t>
  </si>
  <si>
    <t>N9GAJ</t>
  </si>
  <si>
    <t>TF00615</t>
  </si>
  <si>
    <t>KV4VD</t>
  </si>
  <si>
    <t>N9YS9.03</t>
  </si>
  <si>
    <t>TF00616</t>
  </si>
  <si>
    <t>KV4VE</t>
  </si>
  <si>
    <t>N9YSH</t>
  </si>
  <si>
    <t>1#-10#, 23#-25#</t>
  </si>
  <si>
    <t>TF00617</t>
  </si>
  <si>
    <t>NT4VA</t>
  </si>
  <si>
    <t>N9YSA</t>
  </si>
  <si>
    <t>TF00618</t>
  </si>
  <si>
    <t>NT4VB</t>
  </si>
  <si>
    <t>N9YSA.03</t>
  </si>
  <si>
    <t>TF00619</t>
  </si>
  <si>
    <t>LE4VA</t>
  </si>
  <si>
    <t>N9NQK</t>
  </si>
  <si>
    <t>TF00620</t>
  </si>
  <si>
    <t>LE4VB</t>
  </si>
  <si>
    <t>TF00621</t>
  </si>
  <si>
    <t>EF4VA</t>
  </si>
  <si>
    <t>N9YWJ</t>
  </si>
  <si>
    <t>TF00622</t>
  </si>
  <si>
    <t>EF4VB</t>
  </si>
  <si>
    <t>TF00623</t>
  </si>
  <si>
    <t>EF4VC</t>
  </si>
  <si>
    <t>N9YWL</t>
  </si>
  <si>
    <t>TF00624</t>
  </si>
  <si>
    <t>EF4VD</t>
  </si>
  <si>
    <t>TF00625</t>
  </si>
  <si>
    <t>EF4VE</t>
  </si>
  <si>
    <t>N9YWM</t>
  </si>
  <si>
    <t>TF00626</t>
  </si>
  <si>
    <t>EF4VF</t>
  </si>
  <si>
    <t>TF00627</t>
  </si>
  <si>
    <t>EF4VG</t>
  </si>
  <si>
    <t>N9YWN</t>
  </si>
  <si>
    <t>TF00629</t>
  </si>
  <si>
    <t>EF4VH</t>
  </si>
  <si>
    <t>N9YWK</t>
  </si>
  <si>
    <t>TF00630</t>
  </si>
  <si>
    <t>EF4VI</t>
  </si>
  <si>
    <t>TF00631</t>
  </si>
  <si>
    <t>EF4VJ</t>
  </si>
  <si>
    <t>N9YWP</t>
  </si>
  <si>
    <t>TF00632</t>
  </si>
  <si>
    <t>EF4VK</t>
  </si>
  <si>
    <t>TF00633</t>
  </si>
  <si>
    <t>TV4VA</t>
  </si>
  <si>
    <t>NA035</t>
  </si>
  <si>
    <t>TF00634</t>
  </si>
  <si>
    <t>TV4VB</t>
  </si>
  <si>
    <t>TF00635</t>
  </si>
  <si>
    <t>TV4VC</t>
  </si>
  <si>
    <t>NA036</t>
  </si>
  <si>
    <t>TF00636</t>
  </si>
  <si>
    <t>TV4VD</t>
  </si>
  <si>
    <t>TF00637</t>
  </si>
  <si>
    <t>TV4VE</t>
  </si>
  <si>
    <t>NA037</t>
  </si>
  <si>
    <t>TF00638</t>
  </si>
  <si>
    <t>TV4VF</t>
  </si>
  <si>
    <t>TF00639</t>
  </si>
  <si>
    <t>LD4VA</t>
  </si>
  <si>
    <t>NA038</t>
  </si>
  <si>
    <t>TF00640</t>
  </si>
  <si>
    <t>LD4VB</t>
  </si>
  <si>
    <t>NA038.03</t>
  </si>
  <si>
    <t>TF00641</t>
  </si>
  <si>
    <t>KV4VG</t>
  </si>
  <si>
    <t>N9YSG</t>
  </si>
  <si>
    <t>TF00642</t>
  </si>
  <si>
    <t>KV4VH</t>
  </si>
  <si>
    <t>SY7803BDUC</t>
  </si>
  <si>
    <t>B51B0</t>
  </si>
  <si>
    <t>TF00643</t>
  </si>
  <si>
    <t>DFN3*2-14</t>
  </si>
  <si>
    <t>Df4VA</t>
  </si>
  <si>
    <t>N9834.03</t>
  </si>
  <si>
    <t>TF00644</t>
  </si>
  <si>
    <t>HY4VA</t>
  </si>
  <si>
    <t>NA06Q</t>
  </si>
  <si>
    <t>1#,3#~13#</t>
  </si>
  <si>
    <t>TF00645</t>
  </si>
  <si>
    <t>HY4VB</t>
  </si>
  <si>
    <t>TF00646</t>
  </si>
  <si>
    <t>EF4VL</t>
  </si>
  <si>
    <t>NA0FS</t>
  </si>
  <si>
    <t>TF00647</t>
  </si>
  <si>
    <t>EF4VM</t>
  </si>
  <si>
    <t>TF00648</t>
  </si>
  <si>
    <t>EF4VN</t>
  </si>
  <si>
    <t>NA0FR</t>
  </si>
  <si>
    <t>TF00649</t>
  </si>
  <si>
    <t>NT4VC</t>
  </si>
  <si>
    <t>NA138</t>
  </si>
  <si>
    <t>TF00650</t>
  </si>
  <si>
    <t>NT4VD</t>
  </si>
  <si>
    <t>TF00651</t>
  </si>
  <si>
    <t>HY4VC</t>
  </si>
  <si>
    <t>NA1A2</t>
  </si>
  <si>
    <t>TF00652</t>
  </si>
  <si>
    <t>HY4VD</t>
  </si>
  <si>
    <t>TF00653</t>
  </si>
  <si>
    <t>LD4VC</t>
  </si>
  <si>
    <t>NA12L</t>
  </si>
  <si>
    <t>TF00654</t>
  </si>
  <si>
    <t>LD4VD</t>
  </si>
  <si>
    <t>TF00655</t>
  </si>
  <si>
    <t>LD4VE</t>
  </si>
  <si>
    <t>NA12N</t>
  </si>
  <si>
    <t>TF00656</t>
  </si>
  <si>
    <t>LD4VF</t>
  </si>
  <si>
    <t>NA12N.02</t>
  </si>
  <si>
    <t>TF00657</t>
  </si>
  <si>
    <t>LD4VG</t>
  </si>
  <si>
    <t>NA12M</t>
  </si>
  <si>
    <t>TF00658</t>
  </si>
  <si>
    <t>LD4VH</t>
  </si>
  <si>
    <t>TF00659</t>
  </si>
  <si>
    <t>LD4VI</t>
  </si>
  <si>
    <t>NA12Q</t>
  </si>
  <si>
    <t>TF00660</t>
  </si>
  <si>
    <t>LD4VJ</t>
  </si>
  <si>
    <t>NA12R</t>
  </si>
  <si>
    <t>TF00661</t>
  </si>
  <si>
    <t>LD4VK</t>
  </si>
  <si>
    <t>NA12R.03</t>
  </si>
  <si>
    <t>TF00662</t>
  </si>
  <si>
    <t>KV4VI</t>
  </si>
  <si>
    <t>NA0NR</t>
  </si>
  <si>
    <t>TF00663</t>
  </si>
  <si>
    <t>KV4VJ</t>
  </si>
  <si>
    <t>TF00664</t>
  </si>
  <si>
    <t>LE4VC</t>
  </si>
  <si>
    <t>TF00665</t>
  </si>
  <si>
    <t>TV4VG</t>
  </si>
  <si>
    <t>NA0FM</t>
  </si>
  <si>
    <t>TF00666</t>
  </si>
  <si>
    <t>TV4VH</t>
  </si>
  <si>
    <t>TF00667</t>
  </si>
  <si>
    <t>TV4VI</t>
  </si>
  <si>
    <t>NA0FK</t>
  </si>
  <si>
    <t>TF00668</t>
  </si>
  <si>
    <t>TV4VJ</t>
  </si>
  <si>
    <t>TF00669</t>
  </si>
  <si>
    <t>TV4VK</t>
  </si>
  <si>
    <t>NA0FL</t>
  </si>
  <si>
    <t>TF00670</t>
  </si>
  <si>
    <t>TV4VL</t>
  </si>
  <si>
    <t>Es4WA</t>
  </si>
  <si>
    <t>N9SFL.03</t>
  </si>
  <si>
    <t>9# 10#</t>
  </si>
  <si>
    <t>TF00674</t>
  </si>
  <si>
    <t>HY4WA</t>
  </si>
  <si>
    <t>NA1A0</t>
  </si>
  <si>
    <t>TF00675</t>
  </si>
  <si>
    <t>HY4WB</t>
  </si>
  <si>
    <t>TF00676</t>
  </si>
  <si>
    <t>HY4WC</t>
  </si>
  <si>
    <t>NA1A1</t>
  </si>
  <si>
    <t>TF00677</t>
  </si>
  <si>
    <t>HY4WD</t>
  </si>
  <si>
    <t>TF00678</t>
  </si>
  <si>
    <t>HY4WE</t>
  </si>
  <si>
    <t>NA1A3</t>
  </si>
  <si>
    <t>TF00679</t>
  </si>
  <si>
    <t>HY4WF</t>
  </si>
  <si>
    <t>TF00680</t>
  </si>
  <si>
    <t>HY4WG</t>
  </si>
  <si>
    <t>NA1A5</t>
  </si>
  <si>
    <t>TF00681</t>
  </si>
  <si>
    <t>DQ4WA</t>
  </si>
  <si>
    <t>TF00682</t>
  </si>
  <si>
    <t>DQ4WB</t>
  </si>
  <si>
    <t>NA1A4</t>
  </si>
  <si>
    <t>TF00683</t>
  </si>
  <si>
    <t>DQ4WC</t>
  </si>
  <si>
    <t>TF00684</t>
  </si>
  <si>
    <t>DR4WA</t>
  </si>
  <si>
    <t>NA1H2</t>
  </si>
  <si>
    <t>TF00685</t>
  </si>
  <si>
    <t>DR4WB</t>
  </si>
  <si>
    <t>TF00686</t>
  </si>
  <si>
    <t>LD4WA</t>
  </si>
  <si>
    <t>NA12Q.02</t>
  </si>
  <si>
    <t>11#-18#,20#-22#</t>
  </si>
  <si>
    <t>TF00687</t>
  </si>
  <si>
    <t>LD4WB</t>
  </si>
  <si>
    <t>NA1C9</t>
  </si>
  <si>
    <t>TF00688</t>
  </si>
  <si>
    <t>LD4WC</t>
  </si>
  <si>
    <t>TF00689</t>
  </si>
  <si>
    <t>LD4WD</t>
  </si>
  <si>
    <t>NA1CA</t>
  </si>
  <si>
    <t>TF00690</t>
  </si>
  <si>
    <t>LD4WE</t>
  </si>
  <si>
    <t>TF00691</t>
  </si>
  <si>
    <t>LD4WF</t>
  </si>
  <si>
    <t>NA1CC</t>
  </si>
  <si>
    <t>TF00692</t>
  </si>
  <si>
    <t>LD4WG</t>
  </si>
  <si>
    <t>TF00693</t>
  </si>
  <si>
    <t>LD4WH</t>
  </si>
  <si>
    <t>NA1CF</t>
  </si>
  <si>
    <t>TF00694</t>
  </si>
  <si>
    <t>LD4WI</t>
  </si>
  <si>
    <t>TF00695</t>
  </si>
  <si>
    <t>LD4WJ</t>
  </si>
  <si>
    <t>NA1CG</t>
  </si>
  <si>
    <t>TF00696</t>
  </si>
  <si>
    <t>LD4WK</t>
  </si>
  <si>
    <t>TF00697</t>
  </si>
  <si>
    <t>LD4WL</t>
  </si>
  <si>
    <t>NA1CH</t>
  </si>
  <si>
    <t>TF00698</t>
  </si>
  <si>
    <t>LD4WM</t>
  </si>
  <si>
    <t>TF00699</t>
  </si>
  <si>
    <t>LD4WN</t>
  </si>
  <si>
    <t>NA1CJ</t>
  </si>
  <si>
    <t>TF00700</t>
  </si>
  <si>
    <t>LD4WO</t>
  </si>
  <si>
    <t>TF00701</t>
  </si>
  <si>
    <t>LD4WP</t>
  </si>
  <si>
    <t>NA1CK</t>
  </si>
  <si>
    <t>TF00702</t>
  </si>
  <si>
    <t>LD4WQ</t>
  </si>
  <si>
    <t>TF00703</t>
  </si>
  <si>
    <t>LD4WR</t>
  </si>
  <si>
    <t>NA1CL</t>
  </si>
  <si>
    <t>TF00704</t>
  </si>
  <si>
    <t>LD4WS</t>
  </si>
  <si>
    <t>TF00705</t>
  </si>
  <si>
    <t>LD4WT</t>
  </si>
  <si>
    <t>NA1CN</t>
  </si>
  <si>
    <t>TF00706</t>
  </si>
  <si>
    <t>LD4WU</t>
  </si>
  <si>
    <t>TF00707</t>
  </si>
  <si>
    <t>LD4WV</t>
  </si>
  <si>
    <t>NA1C8</t>
  </si>
  <si>
    <t>TF00708</t>
  </si>
  <si>
    <t>LD4WW</t>
  </si>
  <si>
    <t>TF00709</t>
  </si>
  <si>
    <t>LD4WX</t>
  </si>
  <si>
    <t>NA1CM</t>
  </si>
  <si>
    <t>TF00710</t>
  </si>
  <si>
    <t>LD4WY</t>
  </si>
  <si>
    <t>TF00711</t>
  </si>
  <si>
    <t>KV4WA</t>
  </si>
  <si>
    <t>NA13G</t>
  </si>
  <si>
    <t>TF00712</t>
  </si>
  <si>
    <t>KV4WB</t>
  </si>
  <si>
    <t>TF00713</t>
  </si>
  <si>
    <t>KV4WC</t>
  </si>
  <si>
    <t>NA13C</t>
  </si>
  <si>
    <t>TF00714</t>
  </si>
  <si>
    <t>KV4WD</t>
  </si>
  <si>
    <t>TF00715</t>
  </si>
  <si>
    <t>KV4WG</t>
  </si>
  <si>
    <t>NA175.01</t>
  </si>
  <si>
    <t>TF00716</t>
  </si>
  <si>
    <t>KV4WH</t>
  </si>
  <si>
    <t>NA176</t>
  </si>
  <si>
    <t>TF00717</t>
  </si>
  <si>
    <t>KV4WI</t>
  </si>
  <si>
    <t>TF00718</t>
  </si>
  <si>
    <t>KG4WA</t>
  </si>
  <si>
    <t>NA13F</t>
  </si>
  <si>
    <t>TF00719</t>
  </si>
  <si>
    <t>KG4WB</t>
  </si>
  <si>
    <t>SY8088AAC</t>
    <phoneticPr fontId="21" type="noConversion"/>
  </si>
  <si>
    <t>HTKJ</t>
    <phoneticPr fontId="21" type="noConversion"/>
  </si>
  <si>
    <t>TF00720</t>
    <phoneticPr fontId="21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</si>
  <si>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1" type="noConversion"/>
  </si>
  <si>
    <t>LD4WZ</t>
    <phoneticPr fontId="21" type="noConversion"/>
  </si>
  <si>
    <t>HJTC</t>
    <phoneticPr fontId="21" type="noConversion"/>
  </si>
  <si>
    <t>NA1CP</t>
    <phoneticPr fontId="21" type="noConversion"/>
  </si>
  <si>
    <t>SY8703ABC</t>
    <phoneticPr fontId="21" type="noConversion"/>
  </si>
  <si>
    <t>TF00721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</si>
  <si>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1" type="noConversion"/>
  </si>
  <si>
    <t>EF4WA</t>
    <phoneticPr fontId="21" type="noConversion"/>
  </si>
  <si>
    <t>HTJC</t>
    <phoneticPr fontId="21" type="noConversion"/>
  </si>
  <si>
    <t>NA1H3</t>
  </si>
  <si>
    <t>1#-12#</t>
    <phoneticPr fontId="21" type="noConversion"/>
  </si>
  <si>
    <t>TF00722</t>
    <phoneticPr fontId="21" type="noConversion"/>
  </si>
  <si>
    <t>EF4WB</t>
    <phoneticPr fontId="21" type="noConversion"/>
  </si>
  <si>
    <t>SY7804PMC</t>
    <phoneticPr fontId="21" type="noConversion"/>
  </si>
  <si>
    <t xml:space="preserve"> </t>
    <phoneticPr fontId="21" type="noConversion"/>
  </si>
  <si>
    <t>B52B1</t>
    <phoneticPr fontId="21" type="noConversion"/>
  </si>
  <si>
    <t>NFME</t>
    <phoneticPr fontId="21" type="noConversion"/>
  </si>
  <si>
    <t>GF00057</t>
    <phoneticPr fontId="21" type="noConversion"/>
  </si>
  <si>
    <t>CSP1.66x1.61-9</t>
    <phoneticPr fontId="21" type="noConversion"/>
  </si>
  <si>
    <t>HJTC</t>
    <phoneticPr fontId="21" type="noConversion"/>
  </si>
  <si>
    <t>N9JFC</t>
    <phoneticPr fontId="21" type="noConversion"/>
  </si>
  <si>
    <t>6#</t>
    <phoneticPr fontId="21" type="noConversion"/>
  </si>
  <si>
    <t>工单取消</t>
    <phoneticPr fontId="19" type="noConversion"/>
  </si>
  <si>
    <t>SY6880CPGC</t>
    <phoneticPr fontId="21" type="noConversion"/>
  </si>
  <si>
    <t>GF00053</t>
    <phoneticPr fontId="21" type="noConversion"/>
  </si>
  <si>
    <t>CSP2*1.8-12</t>
    <phoneticPr fontId="21" type="noConversion"/>
  </si>
  <si>
    <t>YH4WC</t>
    <phoneticPr fontId="21" type="noConversion"/>
  </si>
  <si>
    <t>NA1JH</t>
    <phoneticPr fontId="21" type="noConversion"/>
  </si>
  <si>
    <t>SY6818PLC</t>
    <phoneticPr fontId="21" type="noConversion"/>
  </si>
  <si>
    <t>GF00054</t>
    <phoneticPr fontId="21" type="noConversion"/>
  </si>
  <si>
    <t>ZQ4WA</t>
    <phoneticPr fontId="21" type="noConversion"/>
  </si>
  <si>
    <t>N9RTG</t>
    <phoneticPr fontId="21" type="noConversion"/>
  </si>
  <si>
    <t>GF00055</t>
    <phoneticPr fontId="21" type="noConversion"/>
  </si>
  <si>
    <t>ZQ4WB</t>
    <phoneticPr fontId="21" type="noConversion"/>
  </si>
  <si>
    <t>N9KR0.02</t>
    <phoneticPr fontId="21" type="noConversion"/>
  </si>
  <si>
    <t>24# 25#</t>
  </si>
  <si>
    <t>SY9702QOC</t>
    <phoneticPr fontId="21" type="noConversion"/>
  </si>
  <si>
    <t>K10B2</t>
  </si>
  <si>
    <t>GF00056</t>
    <phoneticPr fontId="21" type="noConversion"/>
  </si>
  <si>
    <t>QFN2*3-13(FC)</t>
    <phoneticPr fontId="21" type="noConversion"/>
  </si>
  <si>
    <t>ZN4WA</t>
    <phoneticPr fontId="21" type="noConversion"/>
  </si>
  <si>
    <t>N9P9R.03</t>
    <phoneticPr fontId="21" type="noConversion"/>
  </si>
  <si>
    <t>NA184-1</t>
  </si>
  <si>
    <t>FTRYW;N9Y9H</t>
  </si>
  <si>
    <t>F0RFS;WE47F07.1;N9YQC</t>
  </si>
  <si>
    <t>NA1HW-1</t>
  </si>
  <si>
    <t>NA12F-2</t>
  </si>
  <si>
    <t>SJ061100; (N9WPF+N9A4N)</t>
  </si>
  <si>
    <t>SJ083600;N9WPG</t>
  </si>
  <si>
    <t>SJ083600;(N9WPG+N9YKQ)</t>
  </si>
  <si>
    <t>(SJ083600+SJ084000);N9YKQ</t>
  </si>
  <si>
    <t>(SJ083702+SJ084000);N9YKQ</t>
  </si>
  <si>
    <t>SJ084000;N9YKQ</t>
  </si>
  <si>
    <t>QFN2*2-10</t>
    <phoneticPr fontId="19" type="noConversion"/>
  </si>
  <si>
    <t>NA185-1</t>
  </si>
  <si>
    <t>SY8002EABC</t>
    <phoneticPr fontId="19" type="noConversion"/>
  </si>
  <si>
    <t>JCET</t>
    <phoneticPr fontId="19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</si>
  <si>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</si>
  <si>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</si>
  <si>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XE4VF</t>
    <phoneticPr fontId="19" type="noConversion"/>
  </si>
  <si>
    <t>XE4XA</t>
    <phoneticPr fontId="19" type="noConversion"/>
  </si>
  <si>
    <t>HJTC</t>
    <phoneticPr fontId="19" type="noConversion"/>
  </si>
  <si>
    <t>NA2QG.03</t>
  </si>
  <si>
    <t>HF01998</t>
    <phoneticPr fontId="19" type="noConversion"/>
  </si>
  <si>
    <t>SY8707ABC</t>
    <phoneticPr fontId="19" type="noConversion"/>
  </si>
  <si>
    <t>HF01999</t>
    <phoneticPr fontId="19" type="noConversion"/>
  </si>
  <si>
    <t>TW4WB</t>
    <phoneticPr fontId="19" type="noConversion"/>
  </si>
  <si>
    <t>TW4XA</t>
    <phoneticPr fontId="19" type="noConversion"/>
  </si>
  <si>
    <t>TW4XB</t>
    <phoneticPr fontId="19" type="noConversion"/>
  </si>
  <si>
    <t>TW4XC</t>
    <phoneticPr fontId="19" type="noConversion"/>
  </si>
  <si>
    <t>HF02000</t>
    <phoneticPr fontId="19" type="noConversion"/>
  </si>
  <si>
    <t>HF02001</t>
    <phoneticPr fontId="19" type="noConversion"/>
  </si>
  <si>
    <t>NA1G2</t>
  </si>
  <si>
    <t>NA1G0</t>
  </si>
  <si>
    <t>SY8707ABC</t>
    <phoneticPr fontId="19" type="noConversion"/>
  </si>
  <si>
    <t>SY8722AFCC</t>
    <phoneticPr fontId="19" type="noConversion"/>
  </si>
  <si>
    <t>JCET</t>
    <phoneticPr fontId="19" type="noConversion"/>
  </si>
  <si>
    <t>HF02002</t>
    <phoneticPr fontId="19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</si>
  <si>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</si>
  <si>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AQF4WA</t>
    <phoneticPr fontId="19" type="noConversion"/>
  </si>
  <si>
    <t>AQF4XA</t>
    <phoneticPr fontId="19" type="noConversion"/>
  </si>
  <si>
    <t>2+2</t>
    <phoneticPr fontId="19" type="noConversion"/>
  </si>
  <si>
    <t>N9LY5.02+N9YWN.01</t>
    <phoneticPr fontId="19" type="noConversion"/>
  </si>
  <si>
    <t>15#-16#+9#-10#</t>
    <phoneticPr fontId="19" type="noConversion"/>
  </si>
  <si>
    <t>HF02003</t>
    <phoneticPr fontId="19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</si>
  <si>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</si>
  <si>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NZ4WB</t>
    <phoneticPr fontId="19" type="noConversion"/>
  </si>
  <si>
    <t>NZ4XA</t>
    <phoneticPr fontId="19" type="noConversion"/>
  </si>
  <si>
    <t>N86NQ</t>
  </si>
  <si>
    <t>SY7203DBC</t>
    <phoneticPr fontId="19" type="noConversion"/>
  </si>
  <si>
    <t>HF02004</t>
    <phoneticPr fontId="19" type="noConversion"/>
  </si>
  <si>
    <t>JU4WC</t>
    <phoneticPr fontId="19" type="noConversion"/>
  </si>
  <si>
    <t>JU4XA</t>
    <phoneticPr fontId="19" type="noConversion"/>
  </si>
  <si>
    <t>HF02005</t>
    <phoneticPr fontId="19" type="noConversion"/>
  </si>
  <si>
    <t>HF02006</t>
    <phoneticPr fontId="19" type="noConversion"/>
  </si>
  <si>
    <t>HF02007</t>
    <phoneticPr fontId="19" type="noConversion"/>
  </si>
  <si>
    <t>JU4XB</t>
    <phoneticPr fontId="19" type="noConversion"/>
  </si>
  <si>
    <t>JU4XC</t>
    <phoneticPr fontId="19" type="noConversion"/>
  </si>
  <si>
    <t>JU4XD</t>
    <phoneticPr fontId="19" type="noConversion"/>
  </si>
  <si>
    <t>NA2KG</t>
  </si>
  <si>
    <t>NA2KH</t>
  </si>
  <si>
    <t>SY7208CABC</t>
    <phoneticPr fontId="19" type="noConversion"/>
  </si>
  <si>
    <t>HF02008</t>
    <phoneticPr fontId="19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</si>
  <si>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</si>
  <si>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</si>
  <si>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VT4WL</t>
    <phoneticPr fontId="19" type="noConversion"/>
  </si>
  <si>
    <t>VT4XA</t>
    <phoneticPr fontId="19" type="noConversion"/>
  </si>
  <si>
    <t>HF02009</t>
    <phoneticPr fontId="19" type="noConversion"/>
  </si>
  <si>
    <t>HF02010</t>
    <phoneticPr fontId="19" type="noConversion"/>
  </si>
  <si>
    <t>HF02011</t>
    <phoneticPr fontId="19" type="noConversion"/>
  </si>
  <si>
    <t>VT4XB</t>
    <phoneticPr fontId="19" type="noConversion"/>
  </si>
  <si>
    <t>VT4XC</t>
    <phoneticPr fontId="19" type="noConversion"/>
  </si>
  <si>
    <t>VT4XD</t>
    <phoneticPr fontId="19" type="noConversion"/>
  </si>
  <si>
    <t>NA356</t>
  </si>
  <si>
    <t>NA357</t>
  </si>
  <si>
    <t>SY8104ADC</t>
    <phoneticPr fontId="19" type="noConversion"/>
  </si>
  <si>
    <t>HF02012</t>
    <phoneticPr fontId="19" type="noConversion"/>
  </si>
  <si>
    <t>TSOT23-6</t>
    <phoneticPr fontId="19" type="noConversion"/>
  </si>
  <si>
    <t>JR4WL</t>
    <phoneticPr fontId="19" type="noConversion"/>
  </si>
  <si>
    <t>JR4XA</t>
    <phoneticPr fontId="19" type="noConversion"/>
  </si>
  <si>
    <t>HTJC</t>
    <phoneticPr fontId="19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</si>
  <si>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19" type="noConversion"/>
  </si>
  <si>
    <r>
      <t>需</t>
    </r>
    <r>
      <rPr>
        <sz val="10"/>
        <rFont val="Arial"/>
        <family val="2"/>
        <charset val="134"/>
      </rPr>
      <t>Bumping</t>
    </r>
  </si>
  <si>
    <t>HF02013</t>
    <phoneticPr fontId="19" type="noConversion"/>
  </si>
  <si>
    <t>HF02014</t>
    <phoneticPr fontId="19" type="noConversion"/>
  </si>
  <si>
    <t>HF02015</t>
    <phoneticPr fontId="19" type="noConversion"/>
  </si>
  <si>
    <t>JR4XB</t>
    <phoneticPr fontId="19" type="noConversion"/>
  </si>
  <si>
    <t>JR4XC</t>
    <phoneticPr fontId="19" type="noConversion"/>
  </si>
  <si>
    <t>JR4XD</t>
    <phoneticPr fontId="19" type="noConversion"/>
  </si>
  <si>
    <t>NA2A2</t>
  </si>
  <si>
    <t>NA2Y6</t>
  </si>
  <si>
    <t>13#~22#,24#25#</t>
  </si>
  <si>
    <t>SO8</t>
    <phoneticPr fontId="19" type="noConversion"/>
  </si>
  <si>
    <t>AIU4UB</t>
    <phoneticPr fontId="19" type="noConversion"/>
  </si>
  <si>
    <t>AIU4XA</t>
    <phoneticPr fontId="19" type="noConversion"/>
  </si>
  <si>
    <t>HJTC</t>
    <phoneticPr fontId="19" type="noConversion"/>
  </si>
  <si>
    <t>NA2QK</t>
  </si>
  <si>
    <t>SYC812FAC</t>
    <phoneticPr fontId="19" type="noConversion"/>
  </si>
  <si>
    <t>A11J0+MPH160805S1ROMT</t>
    <phoneticPr fontId="19" type="noConversion"/>
  </si>
  <si>
    <t>NA182-1</t>
  </si>
  <si>
    <t>NA186-1</t>
  </si>
  <si>
    <t>NA18C-1</t>
  </si>
  <si>
    <t>NA18A-1</t>
  </si>
  <si>
    <t>JCET</t>
    <phoneticPr fontId="19" type="noConversion"/>
  </si>
  <si>
    <t>HF02017</t>
    <phoneticPr fontId="19" type="noConversion"/>
  </si>
  <si>
    <t>HJTC</t>
    <phoneticPr fontId="19" type="noConversion"/>
  </si>
  <si>
    <t>SY98081QUC</t>
    <phoneticPr fontId="19" type="noConversion"/>
  </si>
  <si>
    <t>YG4XA</t>
    <phoneticPr fontId="19" type="noConversion"/>
  </si>
  <si>
    <t>QFN2*1.5-8</t>
    <phoneticPr fontId="19" type="noConversion"/>
  </si>
  <si>
    <t>19#-25#</t>
    <phoneticPr fontId="19" type="noConversion"/>
  </si>
  <si>
    <t>NA1CQ.01+LE1411110483</t>
    <phoneticPr fontId="19" type="noConversion"/>
  </si>
  <si>
    <t>SY98081BQUC</t>
    <phoneticPr fontId="19" type="noConversion"/>
  </si>
  <si>
    <t>HF02018</t>
    <phoneticPr fontId="19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</si>
  <si>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bumpping</t>
    </r>
    <phoneticPr fontId="19" type="noConversion"/>
  </si>
  <si>
    <t>UN4XA</t>
    <phoneticPr fontId="19" type="noConversion"/>
  </si>
  <si>
    <t>HTJC</t>
    <phoneticPr fontId="19" type="noConversion"/>
  </si>
  <si>
    <t>20#-21#</t>
  </si>
  <si>
    <t>NA12P.05+LE1411110483</t>
    <phoneticPr fontId="19" type="noConversion"/>
  </si>
  <si>
    <t>HF02019</t>
    <phoneticPr fontId="19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</si>
  <si>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19" type="noConversion"/>
  </si>
  <si>
    <t>SY98081DQUC</t>
    <phoneticPr fontId="19" type="noConversion"/>
  </si>
  <si>
    <t>UO4XA</t>
    <phoneticPr fontId="19" type="noConversion"/>
  </si>
  <si>
    <t>NA1CQ+LE1410250228</t>
    <phoneticPr fontId="19" type="noConversion"/>
  </si>
  <si>
    <t>SY98081EQUC</t>
    <phoneticPr fontId="19" type="noConversion"/>
  </si>
  <si>
    <t>HF02020</t>
    <phoneticPr fontId="19" type="noConversion"/>
  </si>
  <si>
    <r>
      <t>Marcom</t>
    </r>
    <r>
      <rPr>
        <sz val="10"/>
        <rFont val="宋体"/>
        <family val="3"/>
        <charset val="134"/>
      </rPr>
      <t>需要</t>
    </r>
    <r>
      <rPr>
        <sz val="10"/>
        <rFont val="Arial"/>
        <family val="2"/>
        <charset val="134"/>
      </rPr>
      <t>,</t>
    </r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19" type="noConversion"/>
  </si>
  <si>
    <t>A11R0+MPH160805S1ROMT</t>
    <phoneticPr fontId="19" type="noConversion"/>
  </si>
  <si>
    <t>UP4XA</t>
    <phoneticPr fontId="19" type="noConversion"/>
  </si>
  <si>
    <t>N9Q8S.03+(LE1410250228+LE1409020385)</t>
    <phoneticPr fontId="19" type="noConversion"/>
  </si>
  <si>
    <t>SY7088DGC</t>
    <phoneticPr fontId="19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</si>
  <si>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</si>
  <si>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1#-11#</t>
    <phoneticPr fontId="19" type="noConversion"/>
  </si>
  <si>
    <t>HF02016</t>
    <phoneticPr fontId="19" type="noConversion"/>
  </si>
  <si>
    <t>SY58281SAAC</t>
    <phoneticPr fontId="19" type="noConversion"/>
  </si>
  <si>
    <t>JCET</t>
    <phoneticPr fontId="19" type="noConversion"/>
  </si>
  <si>
    <t>HF02021</t>
    <phoneticPr fontId="19" type="noConversion"/>
  </si>
  <si>
    <t>YB4XA</t>
    <phoneticPr fontId="19" type="noConversion"/>
  </si>
  <si>
    <t>ASMC</t>
    <phoneticPr fontId="19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</si>
  <si>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</si>
  <si>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N9YKQ+SJ083900</t>
    <phoneticPr fontId="19" type="noConversion"/>
  </si>
  <si>
    <t>17#-25#+1#~4#,6#~17#</t>
    <phoneticPr fontId="19" type="noConversion"/>
  </si>
  <si>
    <t>HF02022</t>
    <phoneticPr fontId="19" type="noConversion"/>
  </si>
  <si>
    <t>YB4XB</t>
    <phoneticPr fontId="19" type="noConversion"/>
  </si>
  <si>
    <t>5+9</t>
    <phoneticPr fontId="19" type="noConversion"/>
  </si>
  <si>
    <t>N9YKR+(SJ083900+SJ083400)</t>
    <phoneticPr fontId="19" type="noConversion"/>
  </si>
  <si>
    <t>1#-5#+(18#~25#+25#)</t>
    <phoneticPr fontId="19" type="noConversion"/>
  </si>
  <si>
    <t>SY58282FAC</t>
    <phoneticPr fontId="19" type="noConversion"/>
  </si>
  <si>
    <t>HF02023</t>
    <phoneticPr fontId="19" type="noConversion"/>
  </si>
  <si>
    <t>ARC4XA</t>
    <phoneticPr fontId="19" type="noConversion"/>
  </si>
  <si>
    <t>8+15</t>
    <phoneticPr fontId="19" type="noConversion"/>
  </si>
  <si>
    <t>HF02024</t>
    <phoneticPr fontId="19" type="noConversion"/>
  </si>
  <si>
    <t>ARC4XB</t>
    <phoneticPr fontId="19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</si>
  <si>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</si>
  <si>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N9YKR+SJ084200</t>
    <phoneticPr fontId="19" type="noConversion"/>
  </si>
  <si>
    <t>6#-13#+1#-15#</t>
    <phoneticPr fontId="19" type="noConversion"/>
  </si>
  <si>
    <t>14#~18#+16#-24#</t>
    <phoneticPr fontId="19" type="noConversion"/>
  </si>
  <si>
    <t>SY58283FAC</t>
    <phoneticPr fontId="19" type="noConversion"/>
  </si>
  <si>
    <t>HF02025</t>
    <phoneticPr fontId="19" type="noConversion"/>
  </si>
  <si>
    <t>HF02026</t>
    <phoneticPr fontId="19" type="noConversion"/>
  </si>
  <si>
    <t>AQK4XA</t>
    <phoneticPr fontId="19" type="noConversion"/>
  </si>
  <si>
    <t>AQK4XB</t>
    <phoneticPr fontId="19" type="noConversion"/>
  </si>
  <si>
    <t>7+17</t>
    <phoneticPr fontId="19" type="noConversion"/>
  </si>
  <si>
    <t>N9YKR+(SJ062900+SJ063200)</t>
    <phoneticPr fontId="19" type="noConversion"/>
  </si>
  <si>
    <t>19#-25#+(10#~25#+25#)</t>
    <phoneticPr fontId="19" type="noConversion"/>
  </si>
  <si>
    <t>10+24</t>
    <phoneticPr fontId="19" type="noConversion"/>
  </si>
  <si>
    <t xml:space="preserve">N9YKT+SJ063500 </t>
    <phoneticPr fontId="19" type="noConversion"/>
  </si>
  <si>
    <t>1#-10#+1#~24#</t>
    <phoneticPr fontId="19" type="noConversion"/>
  </si>
  <si>
    <t>HF02027</t>
    <phoneticPr fontId="19" type="noConversion"/>
  </si>
  <si>
    <t>AQK4XC</t>
    <phoneticPr fontId="19" type="noConversion"/>
  </si>
  <si>
    <t>6+15</t>
    <phoneticPr fontId="19" type="noConversion"/>
  </si>
  <si>
    <t>N9YKT+(SJ064500+SJ061100 )</t>
    <phoneticPr fontId="19" type="noConversion"/>
  </si>
  <si>
    <t>11#-16#+(13#~25#+24#~25#)</t>
    <phoneticPr fontId="19" type="noConversion"/>
  </si>
  <si>
    <t>HF02028</t>
    <phoneticPr fontId="19" type="noConversion"/>
  </si>
  <si>
    <t xml:space="preserve">N9YKW+SJ064600 </t>
    <phoneticPr fontId="19" type="noConversion"/>
  </si>
  <si>
    <t>AQK4XD</t>
    <phoneticPr fontId="19" type="noConversion"/>
  </si>
  <si>
    <t>SYT705FAC</t>
    <phoneticPr fontId="19" type="noConversion"/>
  </si>
  <si>
    <t>JCET</t>
    <phoneticPr fontId="19" type="noConversion"/>
  </si>
  <si>
    <t>HF02029</t>
    <phoneticPr fontId="19" type="noConversion"/>
  </si>
  <si>
    <t>AVM4XA</t>
    <phoneticPr fontId="19" type="noConversion"/>
  </si>
  <si>
    <t>N9YSR.03+FSY0A</t>
    <phoneticPr fontId="19" type="noConversion"/>
  </si>
  <si>
    <t>11#-19#+1#-25#</t>
    <phoneticPr fontId="19" type="noConversion"/>
  </si>
  <si>
    <t>SY58181AAC</t>
    <phoneticPr fontId="19" type="noConversion"/>
  </si>
  <si>
    <t>HF02030</t>
    <phoneticPr fontId="19" type="noConversion"/>
  </si>
  <si>
    <t>Eg4XA</t>
    <phoneticPr fontId="19" type="noConversion"/>
  </si>
  <si>
    <t>NA0J5.01+F4LGA</t>
    <phoneticPr fontId="19" type="noConversion"/>
  </si>
  <si>
    <t>1#-8#+1#-23#</t>
    <phoneticPr fontId="19" type="noConversion"/>
  </si>
  <si>
    <t>SY58182FAC</t>
    <phoneticPr fontId="19" type="noConversion"/>
  </si>
  <si>
    <t>HF02031</t>
    <phoneticPr fontId="19" type="noConversion"/>
  </si>
  <si>
    <t>AWM4XA</t>
    <phoneticPr fontId="19" type="noConversion"/>
  </si>
  <si>
    <t>NA0J5.01+(FMT6H+F68KS)</t>
    <phoneticPr fontId="19" type="noConversion"/>
  </si>
  <si>
    <t>9#-15#+(20#-25#+1#-14#)</t>
    <phoneticPr fontId="19" type="noConversion"/>
  </si>
  <si>
    <t>E24E1+U2X10A</t>
    <phoneticPr fontId="19" type="noConversion"/>
  </si>
  <si>
    <t>HF02032</t>
    <phoneticPr fontId="19" type="noConversion"/>
  </si>
  <si>
    <t>Gq4XA</t>
    <phoneticPr fontId="19" type="noConversion"/>
  </si>
  <si>
    <t>1+2</t>
    <phoneticPr fontId="19" type="noConversion"/>
  </si>
  <si>
    <t>N9T92.03+(F3LY2+F06WM)</t>
    <phoneticPr fontId="19" type="noConversion"/>
  </si>
  <si>
    <t>4#+(25#+25#)</t>
    <phoneticPr fontId="19" type="noConversion"/>
  </si>
  <si>
    <t>SY58120BAAC</t>
    <phoneticPr fontId="19" type="noConversion"/>
  </si>
  <si>
    <t>SYNV18DBC</t>
    <phoneticPr fontId="19" type="noConversion"/>
  </si>
  <si>
    <t>A46B1</t>
  </si>
  <si>
    <t>HF02033</t>
    <phoneticPr fontId="19" type="noConversion"/>
  </si>
  <si>
    <t>PK4XA</t>
    <phoneticPr fontId="19" type="noConversion"/>
  </si>
  <si>
    <t>HTJC</t>
    <phoneticPr fontId="19" type="noConversion"/>
  </si>
  <si>
    <t>NA2QL</t>
    <phoneticPr fontId="19" type="noConversion"/>
  </si>
  <si>
    <t>HF02034</t>
    <phoneticPr fontId="19" type="noConversion"/>
  </si>
  <si>
    <t>HF02035</t>
    <phoneticPr fontId="19" type="noConversion"/>
  </si>
  <si>
    <t>HF02036</t>
    <phoneticPr fontId="19" type="noConversion"/>
  </si>
  <si>
    <t>HF02037</t>
    <phoneticPr fontId="19" type="noConversion"/>
  </si>
  <si>
    <t>JR4XE</t>
    <phoneticPr fontId="19" type="noConversion"/>
  </si>
  <si>
    <t>JR4XF</t>
    <phoneticPr fontId="19" type="noConversion"/>
  </si>
  <si>
    <t>JR4XG</t>
    <phoneticPr fontId="19" type="noConversion"/>
  </si>
  <si>
    <t>NA2YA.03</t>
  </si>
  <si>
    <t>NA2YA</t>
  </si>
  <si>
    <t>NA2Y7</t>
  </si>
  <si>
    <t>3,4,6,8,11,12,16,18,19,22-24#</t>
  </si>
  <si>
    <t>1,2,5,7,9,10,13-15,17,20,21,25#</t>
  </si>
  <si>
    <t>SY8104ADC</t>
    <phoneticPr fontId="19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</si>
  <si>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</si>
  <si>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</si>
  <si>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SY8089AAAC</t>
    <phoneticPr fontId="19" type="noConversion"/>
  </si>
  <si>
    <t>HTKJ</t>
    <phoneticPr fontId="19" type="noConversion"/>
  </si>
  <si>
    <t>TF00723</t>
    <phoneticPr fontId="19" type="noConversion"/>
  </si>
  <si>
    <t>TF00724</t>
    <phoneticPr fontId="19" type="noConversion"/>
  </si>
  <si>
    <t>TF00725</t>
    <phoneticPr fontId="19" type="noConversion"/>
  </si>
  <si>
    <t>TF00726</t>
    <phoneticPr fontId="19" type="noConversion"/>
  </si>
  <si>
    <t>TF00727</t>
    <phoneticPr fontId="19" type="noConversion"/>
  </si>
  <si>
    <t>TF00728</t>
    <phoneticPr fontId="19" type="noConversion"/>
  </si>
  <si>
    <t>TF00729</t>
    <phoneticPr fontId="19" type="noConversion"/>
  </si>
  <si>
    <t>TF00730</t>
    <phoneticPr fontId="19" type="noConversion"/>
  </si>
  <si>
    <t>TF00731</t>
    <phoneticPr fontId="19" type="noConversion"/>
  </si>
  <si>
    <t>TF00732</t>
    <phoneticPr fontId="19" type="noConversion"/>
  </si>
  <si>
    <t>TF00733</t>
    <phoneticPr fontId="19" type="noConversion"/>
  </si>
  <si>
    <t>TF00734</t>
    <phoneticPr fontId="19" type="noConversion"/>
  </si>
  <si>
    <t>TF00735</t>
    <phoneticPr fontId="19" type="noConversion"/>
  </si>
  <si>
    <t>TF00736</t>
    <phoneticPr fontId="19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</si>
  <si>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</si>
  <si>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NA2Q9</t>
  </si>
  <si>
    <t>NA2QA</t>
  </si>
  <si>
    <t>NA2QC</t>
  </si>
  <si>
    <t>NA2QF</t>
  </si>
  <si>
    <t>NA2QH</t>
  </si>
  <si>
    <t>NA3C7</t>
  </si>
  <si>
    <t>NA3C6</t>
  </si>
  <si>
    <t>KV4XA</t>
    <phoneticPr fontId="19" type="noConversion"/>
  </si>
  <si>
    <t>KV4XB</t>
    <phoneticPr fontId="19" type="noConversion"/>
  </si>
  <si>
    <t>KV4XC</t>
    <phoneticPr fontId="19" type="noConversion"/>
  </si>
  <si>
    <t>KV4XD</t>
    <phoneticPr fontId="19" type="noConversion"/>
  </si>
  <si>
    <t>KV4XE</t>
    <phoneticPr fontId="19" type="noConversion"/>
  </si>
  <si>
    <t>KV4XF</t>
    <phoneticPr fontId="19" type="noConversion"/>
  </si>
  <si>
    <t>KV4XG</t>
    <phoneticPr fontId="19" type="noConversion"/>
  </si>
  <si>
    <t>KV4XH</t>
    <phoneticPr fontId="19" type="noConversion"/>
  </si>
  <si>
    <t>KV4XI</t>
    <phoneticPr fontId="19" type="noConversion"/>
  </si>
  <si>
    <t>KV4XJ</t>
    <phoneticPr fontId="19" type="noConversion"/>
  </si>
  <si>
    <t>KV4XK</t>
    <phoneticPr fontId="19" type="noConversion"/>
  </si>
  <si>
    <t>KV4XL</t>
    <phoneticPr fontId="19" type="noConversion"/>
  </si>
  <si>
    <t>KV4XM</t>
    <phoneticPr fontId="19" type="noConversion"/>
  </si>
  <si>
    <t>KV4XN</t>
    <phoneticPr fontId="19" type="noConversion"/>
  </si>
  <si>
    <t>SY8002BABC</t>
    <phoneticPr fontId="19" type="noConversion"/>
  </si>
  <si>
    <t>HTKJ</t>
    <phoneticPr fontId="19" type="noConversion"/>
  </si>
  <si>
    <t>TF00737</t>
    <phoneticPr fontId="19" type="noConversion"/>
  </si>
  <si>
    <t>NA2QG</t>
    <phoneticPr fontId="19" type="noConversion"/>
  </si>
  <si>
    <t>NT4XA</t>
    <phoneticPr fontId="19" type="noConversion"/>
  </si>
  <si>
    <t>HJTC</t>
    <phoneticPr fontId="19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</si>
  <si>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</si>
  <si>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SY7200AABC</t>
    <phoneticPr fontId="19" type="noConversion"/>
  </si>
  <si>
    <t>TF00739</t>
    <phoneticPr fontId="19" type="noConversion"/>
  </si>
  <si>
    <t>TF00740</t>
    <phoneticPr fontId="19" type="noConversion"/>
  </si>
  <si>
    <t>TF00741</t>
    <phoneticPr fontId="19" type="noConversion"/>
  </si>
  <si>
    <t>TF00742</t>
    <phoneticPr fontId="19" type="noConversion"/>
  </si>
  <si>
    <t>TF00743</t>
    <phoneticPr fontId="19" type="noConversion"/>
  </si>
  <si>
    <t>TF00744</t>
    <phoneticPr fontId="19" type="noConversion"/>
  </si>
  <si>
    <t>TF00745</t>
    <phoneticPr fontId="19" type="noConversion"/>
  </si>
  <si>
    <t>TF00746</t>
    <phoneticPr fontId="19" type="noConversion"/>
  </si>
  <si>
    <t>TF00747</t>
    <phoneticPr fontId="19" type="noConversion"/>
  </si>
  <si>
    <t>HY4XA</t>
    <phoneticPr fontId="19" type="noConversion"/>
  </si>
  <si>
    <t>HY4XB</t>
    <phoneticPr fontId="19" type="noConversion"/>
  </si>
  <si>
    <t>HY4XC</t>
    <phoneticPr fontId="19" type="noConversion"/>
  </si>
  <si>
    <t>HY4XD</t>
    <phoneticPr fontId="19" type="noConversion"/>
  </si>
  <si>
    <t>HY4XE</t>
    <phoneticPr fontId="19" type="noConversion"/>
  </si>
  <si>
    <t>HY4XF</t>
    <phoneticPr fontId="19" type="noConversion"/>
  </si>
  <si>
    <t>HY4XG</t>
    <phoneticPr fontId="19" type="noConversion"/>
  </si>
  <si>
    <t>HY4XH</t>
    <phoneticPr fontId="19" type="noConversion"/>
  </si>
  <si>
    <t>HY4XI</t>
    <phoneticPr fontId="19" type="noConversion"/>
  </si>
  <si>
    <t>HY4XJ</t>
    <phoneticPr fontId="19" type="noConversion"/>
  </si>
  <si>
    <t>NA2P1</t>
  </si>
  <si>
    <t>NA2P2</t>
  </si>
  <si>
    <t>NA2NT</t>
  </si>
  <si>
    <t>NA2NW</t>
  </si>
  <si>
    <t>NA2NY</t>
  </si>
  <si>
    <t>1#-12#</t>
    <phoneticPr fontId="19" type="noConversion"/>
  </si>
  <si>
    <t>1#-12#</t>
    <phoneticPr fontId="19" type="noConversion"/>
  </si>
  <si>
    <t>13#~23#</t>
    <phoneticPr fontId="19" type="noConversion"/>
  </si>
  <si>
    <t>SY7200AABC</t>
    <phoneticPr fontId="19" type="noConversion"/>
  </si>
  <si>
    <t>TF00738</t>
    <phoneticPr fontId="19" type="noConversion"/>
  </si>
  <si>
    <t>SYQ201ABC</t>
    <phoneticPr fontId="19" type="noConversion"/>
  </si>
  <si>
    <t>HTKJ</t>
    <phoneticPr fontId="19" type="noConversion"/>
  </si>
  <si>
    <t>TF00748</t>
    <phoneticPr fontId="19" type="noConversion"/>
  </si>
  <si>
    <t>TF00749</t>
    <phoneticPr fontId="19" type="noConversion"/>
  </si>
  <si>
    <t>NA2P0</t>
    <phoneticPr fontId="19" type="noConversion"/>
  </si>
  <si>
    <t>13#-25#</t>
    <phoneticPr fontId="19" type="noConversion"/>
  </si>
  <si>
    <t>HY4XK</t>
    <phoneticPr fontId="19" type="noConversion"/>
  </si>
  <si>
    <t>HY4XL</t>
    <phoneticPr fontId="19" type="noConversion"/>
  </si>
  <si>
    <t>SY7301ADC</t>
    <phoneticPr fontId="19" type="noConversion"/>
  </si>
  <si>
    <t>TF00751</t>
    <phoneticPr fontId="19" type="noConversion"/>
  </si>
  <si>
    <t>TF00752</t>
    <phoneticPr fontId="19" type="noConversion"/>
  </si>
  <si>
    <t>RY4XA</t>
    <phoneticPr fontId="19" type="noConversion"/>
  </si>
  <si>
    <t>RY4XB</t>
    <phoneticPr fontId="19" type="noConversion"/>
  </si>
  <si>
    <t>RY4XC</t>
    <phoneticPr fontId="19" type="noConversion"/>
  </si>
  <si>
    <t>HTJC</t>
    <phoneticPr fontId="19" type="noConversion"/>
  </si>
  <si>
    <t>N9GAJ</t>
    <phoneticPr fontId="19" type="noConversion"/>
  </si>
  <si>
    <t>17#~25#</t>
    <phoneticPr fontId="19" type="noConversion"/>
  </si>
  <si>
    <t>N9HFW</t>
    <phoneticPr fontId="19" type="noConversion"/>
  </si>
  <si>
    <t>TF00750</t>
    <phoneticPr fontId="19" type="noConversion"/>
  </si>
  <si>
    <t>N9Y9H;FTRYW</t>
  </si>
  <si>
    <t>FWA7N;WE46F19.1;N9YQC.02</t>
  </si>
  <si>
    <t>NA1G2-1</t>
  </si>
  <si>
    <t>N9YWN.01;N9LY5.02-1</t>
  </si>
  <si>
    <t>N86NQ-3</t>
  </si>
  <si>
    <t>NA2KG-1</t>
  </si>
  <si>
    <t>NA2KH-1</t>
  </si>
  <si>
    <t>NA356-1</t>
  </si>
  <si>
    <t>NA357-1</t>
  </si>
  <si>
    <t>SY8003DFC</t>
    <phoneticPr fontId="19" type="noConversion"/>
  </si>
  <si>
    <t>JCET</t>
    <phoneticPr fontId="19" type="noConversion"/>
  </si>
  <si>
    <t>HF02038</t>
    <phoneticPr fontId="19" type="noConversion"/>
  </si>
  <si>
    <t>DFN2*2-8</t>
    <phoneticPr fontId="19" type="noConversion"/>
  </si>
  <si>
    <t>JD4WA</t>
    <phoneticPr fontId="19" type="noConversion"/>
  </si>
  <si>
    <t>JD4XA</t>
    <phoneticPr fontId="19" type="noConversion"/>
  </si>
  <si>
    <t>HJTC</t>
    <phoneticPr fontId="19" type="noConversion"/>
  </si>
  <si>
    <t>HF02039</t>
    <phoneticPr fontId="19" type="noConversion"/>
  </si>
  <si>
    <t>JD4XB</t>
    <phoneticPr fontId="19" type="noConversion"/>
  </si>
  <si>
    <t>NA3C4</t>
  </si>
  <si>
    <t>SY7065AQMC</t>
    <phoneticPr fontId="19" type="noConversion"/>
  </si>
  <si>
    <t>JCET</t>
    <phoneticPr fontId="19" type="noConversion"/>
  </si>
  <si>
    <t>HF02040</t>
    <phoneticPr fontId="19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</si>
  <si>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19" type="noConversion"/>
  </si>
  <si>
    <t>QFN2*2-10</t>
    <phoneticPr fontId="19" type="noConversion"/>
  </si>
  <si>
    <t>VL4WK</t>
    <phoneticPr fontId="19" type="noConversion"/>
  </si>
  <si>
    <t>VL4XA</t>
    <phoneticPr fontId="19" type="noConversion"/>
  </si>
  <si>
    <t>HF02041</t>
    <phoneticPr fontId="19" type="noConversion"/>
  </si>
  <si>
    <t>HF02042</t>
    <phoneticPr fontId="19" type="noConversion"/>
  </si>
  <si>
    <t>HF02043</t>
    <phoneticPr fontId="19" type="noConversion"/>
  </si>
  <si>
    <t>HF02044</t>
    <phoneticPr fontId="19" type="noConversion"/>
  </si>
  <si>
    <t>HF02045</t>
    <phoneticPr fontId="19" type="noConversion"/>
  </si>
  <si>
    <t>VL4XB</t>
    <phoneticPr fontId="19" type="noConversion"/>
  </si>
  <si>
    <t>VL4XC</t>
    <phoneticPr fontId="19" type="noConversion"/>
  </si>
  <si>
    <t>VL4XD</t>
    <phoneticPr fontId="19" type="noConversion"/>
  </si>
  <si>
    <t>VL4XE</t>
    <phoneticPr fontId="19" type="noConversion"/>
  </si>
  <si>
    <t>VL4XF</t>
    <phoneticPr fontId="19" type="noConversion"/>
  </si>
  <si>
    <t>NA2YQ</t>
  </si>
  <si>
    <t>NA2YR</t>
  </si>
  <si>
    <t>NA358</t>
  </si>
  <si>
    <t>13#-25#</t>
    <phoneticPr fontId="19" type="noConversion"/>
  </si>
  <si>
    <t>SY8120ABC</t>
    <phoneticPr fontId="19" type="noConversion"/>
  </si>
  <si>
    <t>HF02046</t>
    <phoneticPr fontId="19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</si>
  <si>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</si>
  <si>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HT4WD</t>
    <phoneticPr fontId="19" type="noConversion"/>
  </si>
  <si>
    <t>HT4XA</t>
    <phoneticPr fontId="19" type="noConversion"/>
  </si>
  <si>
    <t>HF02047</t>
    <phoneticPr fontId="19" type="noConversion"/>
  </si>
  <si>
    <t>HF02048</t>
    <phoneticPr fontId="19" type="noConversion"/>
  </si>
  <si>
    <t>HF02049</t>
    <phoneticPr fontId="19" type="noConversion"/>
  </si>
  <si>
    <t>HT4XB</t>
    <phoneticPr fontId="19" type="noConversion"/>
  </si>
  <si>
    <t>HT4XC</t>
    <phoneticPr fontId="19" type="noConversion"/>
  </si>
  <si>
    <t>HT4XD</t>
    <phoneticPr fontId="19" type="noConversion"/>
  </si>
  <si>
    <t>NA304</t>
  </si>
  <si>
    <t>NA303</t>
  </si>
  <si>
    <t>SY8104ADC</t>
    <phoneticPr fontId="19" type="noConversion"/>
  </si>
  <si>
    <t>HF02050</t>
    <phoneticPr fontId="19" type="noConversion"/>
  </si>
  <si>
    <t>TSOT23-6</t>
    <phoneticPr fontId="19" type="noConversion"/>
  </si>
  <si>
    <r>
      <t>需</t>
    </r>
    <r>
      <rPr>
        <sz val="10"/>
        <rFont val="Arial"/>
        <family val="2"/>
        <charset val="134"/>
      </rPr>
      <t>Bumping</t>
    </r>
    <phoneticPr fontId="19" type="noConversion"/>
  </si>
  <si>
    <t>JR4XH</t>
    <phoneticPr fontId="19" type="noConversion"/>
  </si>
  <si>
    <t>JR4XI</t>
    <phoneticPr fontId="19" type="noConversion"/>
  </si>
  <si>
    <t>HTJC</t>
    <phoneticPr fontId="19" type="noConversion"/>
  </si>
  <si>
    <t>HF02051</t>
    <phoneticPr fontId="19" type="noConversion"/>
  </si>
  <si>
    <t>JR4XJ</t>
    <phoneticPr fontId="19" type="noConversion"/>
  </si>
  <si>
    <t>NA2Y9</t>
  </si>
  <si>
    <t>NA2Y9.03</t>
  </si>
  <si>
    <t>#1,2,5,7,9,10,13-15,17,20,21,25</t>
  </si>
  <si>
    <t>#3,4,6,8,11,12,16,18,19,22-24</t>
  </si>
  <si>
    <t>AMY4MB</t>
    <phoneticPr fontId="19" type="noConversion"/>
  </si>
  <si>
    <t>AMY4PA</t>
    <phoneticPr fontId="19" type="noConversion"/>
  </si>
  <si>
    <t>NA188-1</t>
  </si>
  <si>
    <t>NA187-1</t>
  </si>
  <si>
    <t>SJ083900;N9YKQ</t>
  </si>
  <si>
    <t>(SJ083900+SJ083400);N9YKR</t>
  </si>
  <si>
    <t>SJ084200;N9YKR-1</t>
  </si>
  <si>
    <t>SJ084200;N9YKR</t>
  </si>
  <si>
    <t>(SJ062900+SJ063200);N9YKR</t>
  </si>
  <si>
    <t>SJ063500;N9YKT</t>
  </si>
  <si>
    <t>(SJ064500+SJ061100 );N9YKT</t>
  </si>
  <si>
    <t>SJ064600; N9YKW</t>
  </si>
  <si>
    <t>FSY0A;N9YSR.03</t>
  </si>
  <si>
    <t>F4LGA;NA0J5.01</t>
  </si>
  <si>
    <t>(FMT6H+F68KS);NA0J5.01</t>
  </si>
  <si>
    <t>(F3LY2+F06WM);N9T92.03</t>
  </si>
  <si>
    <t>SY8088AAC</t>
    <phoneticPr fontId="19" type="noConversion"/>
  </si>
  <si>
    <t>HTKJ</t>
    <phoneticPr fontId="19" type="noConversion"/>
  </si>
  <si>
    <t>TF00753</t>
    <phoneticPr fontId="19" type="noConversion"/>
  </si>
  <si>
    <t>LD4XA</t>
    <phoneticPr fontId="19" type="noConversion"/>
  </si>
  <si>
    <t>LD4XB</t>
    <phoneticPr fontId="19" type="noConversion"/>
  </si>
  <si>
    <t>LD4XC</t>
    <phoneticPr fontId="19" type="noConversion"/>
  </si>
  <si>
    <t>LD4XD</t>
    <phoneticPr fontId="19" type="noConversion"/>
  </si>
  <si>
    <t>LD4XE</t>
    <phoneticPr fontId="19" type="noConversion"/>
  </si>
  <si>
    <t>LD4XF</t>
    <phoneticPr fontId="19" type="noConversion"/>
  </si>
  <si>
    <t>LD4XG</t>
    <phoneticPr fontId="19" type="noConversion"/>
  </si>
  <si>
    <t>LD4XH</t>
    <phoneticPr fontId="19" type="noConversion"/>
  </si>
  <si>
    <t>LD4XI</t>
    <phoneticPr fontId="19" type="noConversion"/>
  </si>
  <si>
    <t>LD4XJ</t>
    <phoneticPr fontId="19" type="noConversion"/>
  </si>
  <si>
    <t>LD4XK</t>
    <phoneticPr fontId="19" type="noConversion"/>
  </si>
  <si>
    <t>LD4XL</t>
    <phoneticPr fontId="19" type="noConversion"/>
  </si>
  <si>
    <t>LD4XM</t>
    <phoneticPr fontId="19" type="noConversion"/>
  </si>
  <si>
    <t>LD4XN</t>
    <phoneticPr fontId="19" type="noConversion"/>
  </si>
  <si>
    <t>LD4XO</t>
    <phoneticPr fontId="19" type="noConversion"/>
  </si>
  <si>
    <t>LD4XP</t>
    <phoneticPr fontId="19" type="noConversion"/>
  </si>
  <si>
    <t>LD4XQ</t>
    <phoneticPr fontId="19" type="noConversion"/>
  </si>
  <si>
    <t>LD4XR</t>
    <phoneticPr fontId="19" type="noConversion"/>
  </si>
  <si>
    <t>LD4XS</t>
    <phoneticPr fontId="19" type="noConversion"/>
  </si>
  <si>
    <t>LD4XT</t>
    <phoneticPr fontId="19" type="noConversion"/>
  </si>
  <si>
    <t>LD4XU</t>
    <phoneticPr fontId="19" type="noConversion"/>
  </si>
  <si>
    <t>NA2YJ</t>
  </si>
  <si>
    <t>NA2YG</t>
  </si>
  <si>
    <t>NA2YF</t>
  </si>
  <si>
    <t>NA2YH</t>
  </si>
  <si>
    <t>NA2YK</t>
  </si>
  <si>
    <t>NA2YL</t>
  </si>
  <si>
    <t>NA3CG</t>
  </si>
  <si>
    <t>NA3CF</t>
  </si>
  <si>
    <t>NA3C9</t>
  </si>
  <si>
    <t>NA3CA</t>
  </si>
  <si>
    <t>NA1CP</t>
  </si>
  <si>
    <t>TF00754</t>
    <phoneticPr fontId="19" type="noConversion"/>
  </si>
  <si>
    <t>TF00755</t>
    <phoneticPr fontId="19" type="noConversion"/>
  </si>
  <si>
    <t>TF00756</t>
    <phoneticPr fontId="19" type="noConversion"/>
  </si>
  <si>
    <t>TF00757</t>
    <phoneticPr fontId="19" type="noConversion"/>
  </si>
  <si>
    <t>TF00758</t>
    <phoneticPr fontId="19" type="noConversion"/>
  </si>
  <si>
    <t>TF00759</t>
    <phoneticPr fontId="19" type="noConversion"/>
  </si>
  <si>
    <t>TF00760</t>
    <phoneticPr fontId="19" type="noConversion"/>
  </si>
  <si>
    <t>TF00761</t>
    <phoneticPr fontId="19" type="noConversion"/>
  </si>
  <si>
    <t>TF00762</t>
    <phoneticPr fontId="19" type="noConversion"/>
  </si>
  <si>
    <t>TF00763</t>
    <phoneticPr fontId="19" type="noConversion"/>
  </si>
  <si>
    <t>TF00764</t>
    <phoneticPr fontId="19" type="noConversion"/>
  </si>
  <si>
    <t>TF00765</t>
    <phoneticPr fontId="19" type="noConversion"/>
  </si>
  <si>
    <t>TF00766</t>
    <phoneticPr fontId="19" type="noConversion"/>
  </si>
  <si>
    <t>TF00767</t>
    <phoneticPr fontId="19" type="noConversion"/>
  </si>
  <si>
    <t>TF00768</t>
    <phoneticPr fontId="19" type="noConversion"/>
  </si>
  <si>
    <t>TF00769</t>
    <phoneticPr fontId="19" type="noConversion"/>
  </si>
  <si>
    <t>TF00770</t>
    <phoneticPr fontId="19" type="noConversion"/>
  </si>
  <si>
    <t>TF00771</t>
    <phoneticPr fontId="19" type="noConversion"/>
  </si>
  <si>
    <t>TF00772</t>
    <phoneticPr fontId="19" type="noConversion"/>
  </si>
  <si>
    <t>TF00773</t>
    <phoneticPr fontId="19" type="noConversion"/>
  </si>
  <si>
    <t>SY8089AAAC</t>
    <phoneticPr fontId="19" type="noConversion"/>
  </si>
  <si>
    <t>TF00774</t>
    <phoneticPr fontId="19" type="noConversion"/>
  </si>
  <si>
    <t>TF00775</t>
    <phoneticPr fontId="19" type="noConversion"/>
  </si>
  <si>
    <t>KV4XO</t>
    <phoneticPr fontId="19" type="noConversion"/>
  </si>
  <si>
    <t>KV4XP</t>
    <phoneticPr fontId="19" type="noConversion"/>
  </si>
  <si>
    <t>NA3C5</t>
  </si>
  <si>
    <t>SYLS37ABC</t>
    <phoneticPr fontId="19" type="noConversion"/>
  </si>
  <si>
    <t>TF00776</t>
    <phoneticPr fontId="19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</si>
  <si>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</si>
  <si>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EF4XA</t>
    <phoneticPr fontId="19" type="noConversion"/>
  </si>
  <si>
    <t>NA0FR.03</t>
    <phoneticPr fontId="19" type="noConversion"/>
  </si>
  <si>
    <t>SY7301ADC</t>
    <phoneticPr fontId="19" type="noConversion"/>
  </si>
  <si>
    <t>TF00777</t>
    <phoneticPr fontId="19" type="noConversion"/>
  </si>
  <si>
    <t>RY4XD</t>
    <phoneticPr fontId="19" type="noConversion"/>
  </si>
  <si>
    <t>N9HFW</t>
    <phoneticPr fontId="19" type="noConversion"/>
  </si>
  <si>
    <t>TF00778</t>
    <phoneticPr fontId="19" type="noConversion"/>
  </si>
  <si>
    <t>TV4XA</t>
    <phoneticPr fontId="19" type="noConversion"/>
  </si>
  <si>
    <t>SY8121BABC</t>
    <phoneticPr fontId="19" type="noConversion"/>
  </si>
  <si>
    <t>NA306.02</t>
    <phoneticPr fontId="19" type="noConversion"/>
  </si>
  <si>
    <t>1#-10#+2#~24#,25#</t>
    <phoneticPr fontId="19" type="noConversion"/>
  </si>
  <si>
    <t>B52B1</t>
    <phoneticPr fontId="19" type="noConversion"/>
  </si>
  <si>
    <t>HF02052</t>
    <phoneticPr fontId="19" type="noConversion"/>
  </si>
  <si>
    <t>NFME</t>
    <phoneticPr fontId="21" type="noConversion"/>
  </si>
  <si>
    <t>Bn4WA</t>
    <phoneticPr fontId="21" type="noConversion"/>
  </si>
  <si>
    <t>Bn4XA</t>
    <phoneticPr fontId="19" type="noConversion"/>
  </si>
  <si>
    <t>N9JFC.02</t>
    <phoneticPr fontId="19" type="noConversion"/>
  </si>
  <si>
    <t>3#-4#</t>
    <phoneticPr fontId="19" type="noConversion"/>
  </si>
  <si>
    <t>SY8501FCC</t>
    <phoneticPr fontId="19" type="noConversion"/>
  </si>
  <si>
    <t>A99A3</t>
    <phoneticPr fontId="19" type="noConversion"/>
  </si>
  <si>
    <t>JCET</t>
    <phoneticPr fontId="19" type="noConversion"/>
  </si>
  <si>
    <t>AMA4XA</t>
    <phoneticPr fontId="19" type="noConversion"/>
  </si>
  <si>
    <t>N9CNQ.55</t>
    <phoneticPr fontId="19" type="noConversion"/>
  </si>
  <si>
    <t>4#-7#</t>
    <phoneticPr fontId="19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</si>
  <si>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</si>
  <si>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SY5011FAC</t>
    <phoneticPr fontId="19" type="noConversion"/>
  </si>
  <si>
    <t>E02L0</t>
    <phoneticPr fontId="19" type="noConversion"/>
  </si>
  <si>
    <t>JCET</t>
    <phoneticPr fontId="19" type="noConversion"/>
  </si>
  <si>
    <t>HF02053</t>
    <phoneticPr fontId="19" type="noConversion"/>
  </si>
  <si>
    <t>AJE4XA</t>
    <phoneticPr fontId="19" type="noConversion"/>
  </si>
  <si>
    <t>HJTC</t>
    <phoneticPr fontId="19" type="noConversion"/>
  </si>
  <si>
    <r>
      <t>SOP8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</si>
  <si>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 xml:space="preserve">N93NR.01 </t>
    <phoneticPr fontId="19" type="noConversion"/>
  </si>
  <si>
    <t>1#~5#</t>
    <phoneticPr fontId="19" type="noConversion"/>
  </si>
  <si>
    <t>SY8081DQC</t>
    <phoneticPr fontId="19" type="noConversion"/>
  </si>
  <si>
    <t>JCET</t>
    <phoneticPr fontId="19" type="noConversion"/>
  </si>
  <si>
    <t>HF02054</t>
    <phoneticPr fontId="19" type="noConversion"/>
  </si>
  <si>
    <t>MN4XA</t>
    <phoneticPr fontId="19" type="noConversion"/>
  </si>
  <si>
    <t>NA3MQ</t>
    <phoneticPr fontId="19" type="noConversion"/>
  </si>
  <si>
    <t>MN4XB</t>
    <phoneticPr fontId="19" type="noConversion"/>
  </si>
  <si>
    <t>MN4NA</t>
    <phoneticPr fontId="19" type="noConversion"/>
  </si>
  <si>
    <t>13#~15#</t>
    <phoneticPr fontId="19" type="noConversion"/>
  </si>
  <si>
    <t>13#~25#</t>
    <phoneticPr fontId="19" type="noConversion"/>
  </si>
  <si>
    <t>SY8081DQC</t>
    <phoneticPr fontId="19" type="noConversion"/>
  </si>
  <si>
    <t>DFN1.5×1.5-6</t>
    <phoneticPr fontId="19" type="noConversion"/>
  </si>
  <si>
    <t>SY8016DEC</t>
    <phoneticPr fontId="19" type="noConversion"/>
  </si>
  <si>
    <t>HF02056</t>
    <phoneticPr fontId="19" type="noConversion"/>
  </si>
  <si>
    <t>HF02057</t>
    <phoneticPr fontId="19" type="noConversion"/>
  </si>
  <si>
    <t>HF02058</t>
    <phoneticPr fontId="19" type="noConversion"/>
  </si>
  <si>
    <t>QV4XA</t>
    <phoneticPr fontId="19" type="noConversion"/>
  </si>
  <si>
    <t>QV4XB</t>
    <phoneticPr fontId="19" type="noConversion"/>
  </si>
  <si>
    <t>QV4XC</t>
    <phoneticPr fontId="19" type="noConversion"/>
  </si>
  <si>
    <t>NA12R.02</t>
    <phoneticPr fontId="19" type="noConversion"/>
  </si>
  <si>
    <t>6#-10#</t>
  </si>
  <si>
    <t>NA3MR</t>
    <phoneticPr fontId="19" type="noConversion"/>
  </si>
  <si>
    <t>9#~15#</t>
    <phoneticPr fontId="19" type="noConversion"/>
  </si>
  <si>
    <t>SY8003EDFC</t>
    <phoneticPr fontId="19" type="noConversion"/>
  </si>
  <si>
    <t>NA3MK</t>
    <phoneticPr fontId="19" type="noConversion"/>
  </si>
  <si>
    <t>13#~25#</t>
    <phoneticPr fontId="19" type="noConversion"/>
  </si>
  <si>
    <t>HF02060</t>
    <phoneticPr fontId="19" type="noConversion"/>
  </si>
  <si>
    <t>VC4XA</t>
    <phoneticPr fontId="19" type="noConversion"/>
  </si>
  <si>
    <t>VC4XB</t>
    <phoneticPr fontId="19" type="noConversion"/>
  </si>
  <si>
    <t>DFN2x2-8</t>
    <phoneticPr fontId="19" type="noConversion"/>
  </si>
  <si>
    <t>HF02059</t>
    <phoneticPr fontId="19" type="noConversion"/>
  </si>
  <si>
    <t>SY8707ABC</t>
    <phoneticPr fontId="19" type="noConversion"/>
  </si>
  <si>
    <t>B18FA1</t>
    <phoneticPr fontId="19" type="noConversion"/>
  </si>
  <si>
    <t>JCET</t>
    <phoneticPr fontId="19" type="noConversion"/>
  </si>
  <si>
    <t>HF02061</t>
    <phoneticPr fontId="19" type="noConversion"/>
  </si>
  <si>
    <t>HF02062</t>
    <phoneticPr fontId="19" type="noConversion"/>
  </si>
  <si>
    <t>HF02063</t>
    <phoneticPr fontId="19" type="noConversion"/>
  </si>
  <si>
    <t>HF02064</t>
    <phoneticPr fontId="19" type="noConversion"/>
  </si>
  <si>
    <t>HF02065</t>
    <phoneticPr fontId="19" type="noConversion"/>
  </si>
  <si>
    <t>HF02066</t>
    <phoneticPr fontId="19" type="noConversion"/>
  </si>
  <si>
    <t>HF02067</t>
    <phoneticPr fontId="19" type="noConversion"/>
  </si>
  <si>
    <t>TW4XD</t>
    <phoneticPr fontId="19" type="noConversion"/>
  </si>
  <si>
    <t>TW4XE</t>
    <phoneticPr fontId="19" type="noConversion"/>
  </si>
  <si>
    <t>TW4XF</t>
    <phoneticPr fontId="19" type="noConversion"/>
  </si>
  <si>
    <t>TW4XG</t>
    <phoneticPr fontId="19" type="noConversion"/>
  </si>
  <si>
    <t>TW4XH</t>
    <phoneticPr fontId="19" type="noConversion"/>
  </si>
  <si>
    <t>TW4XI</t>
    <phoneticPr fontId="19" type="noConversion"/>
  </si>
  <si>
    <t>TW4XJ</t>
    <phoneticPr fontId="19" type="noConversion"/>
  </si>
  <si>
    <t>NA1G1</t>
  </si>
  <si>
    <t>NA1G3</t>
  </si>
  <si>
    <t>NA1G4.01</t>
  </si>
  <si>
    <t>NA06R.01</t>
  </si>
  <si>
    <t>SY7302ABC</t>
    <phoneticPr fontId="19" type="noConversion"/>
  </si>
  <si>
    <t>B07I0</t>
    <phoneticPr fontId="19" type="noConversion"/>
  </si>
  <si>
    <t>JCET</t>
    <phoneticPr fontId="19" type="noConversion"/>
  </si>
  <si>
    <t>HF02068</t>
    <phoneticPr fontId="19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</si>
  <si>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</si>
  <si>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HM4XA</t>
    <phoneticPr fontId="19" type="noConversion"/>
  </si>
  <si>
    <t>NA363</t>
    <phoneticPr fontId="19" type="noConversion"/>
  </si>
  <si>
    <t>16#-19#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</si>
  <si>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</si>
  <si>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SY7066QMC</t>
    <phoneticPr fontId="19" type="noConversion"/>
  </si>
  <si>
    <t>B23A2</t>
    <phoneticPr fontId="19" type="noConversion"/>
  </si>
  <si>
    <t>HF02069</t>
    <phoneticPr fontId="19" type="noConversion"/>
  </si>
  <si>
    <t>HF02070</t>
    <phoneticPr fontId="19" type="noConversion"/>
  </si>
  <si>
    <t>MG4XA</t>
    <phoneticPr fontId="19" type="noConversion"/>
  </si>
  <si>
    <t>MG4XB</t>
    <phoneticPr fontId="19" type="noConversion"/>
  </si>
  <si>
    <t>NA2YN</t>
    <phoneticPr fontId="19" type="noConversion"/>
  </si>
  <si>
    <t>QFN2*2-10</t>
    <phoneticPr fontId="19" type="noConversion"/>
  </si>
  <si>
    <t>SY8121ABC</t>
    <phoneticPr fontId="19" type="noConversion"/>
  </si>
  <si>
    <t>HF02071</t>
    <phoneticPr fontId="19" type="noConversion"/>
  </si>
  <si>
    <t>JW4XA</t>
    <phoneticPr fontId="19" type="noConversion"/>
  </si>
  <si>
    <t>NA306</t>
    <phoneticPr fontId="19" type="noConversion"/>
  </si>
  <si>
    <t>SY8104ADC</t>
    <phoneticPr fontId="19" type="noConversion"/>
  </si>
  <si>
    <t>HF02072</t>
    <phoneticPr fontId="19" type="noConversion"/>
  </si>
  <si>
    <t>HF02073</t>
    <phoneticPr fontId="19" type="noConversion"/>
  </si>
  <si>
    <t>HF02074</t>
    <phoneticPr fontId="19" type="noConversion"/>
  </si>
  <si>
    <t>HF02075</t>
    <phoneticPr fontId="19" type="noConversion"/>
  </si>
  <si>
    <t>HF02076</t>
    <phoneticPr fontId="19" type="noConversion"/>
  </si>
  <si>
    <t>HF02077</t>
    <phoneticPr fontId="19" type="noConversion"/>
  </si>
  <si>
    <t>HF02078</t>
    <phoneticPr fontId="19" type="noConversion"/>
  </si>
  <si>
    <t>HF02079</t>
    <phoneticPr fontId="19" type="noConversion"/>
  </si>
  <si>
    <t>JR4XK</t>
    <phoneticPr fontId="19" type="noConversion"/>
  </si>
  <si>
    <t>JR4XL</t>
    <phoneticPr fontId="19" type="noConversion"/>
  </si>
  <si>
    <t>JR4XM</t>
    <phoneticPr fontId="19" type="noConversion"/>
  </si>
  <si>
    <t>JR4XN</t>
    <phoneticPr fontId="19" type="noConversion"/>
  </si>
  <si>
    <t>JR4XO</t>
    <phoneticPr fontId="19" type="noConversion"/>
  </si>
  <si>
    <t>JR4XP</t>
    <phoneticPr fontId="19" type="noConversion"/>
  </si>
  <si>
    <t>JR4XQ</t>
    <phoneticPr fontId="19" type="noConversion"/>
  </si>
  <si>
    <t>JR4XR</t>
    <phoneticPr fontId="19" type="noConversion"/>
  </si>
  <si>
    <t>NA2Y8</t>
  </si>
  <si>
    <t>NA360</t>
  </si>
  <si>
    <t>NA361</t>
  </si>
  <si>
    <t>NA362</t>
  </si>
  <si>
    <t>TSOT23-6</t>
    <phoneticPr fontId="19" type="noConversion"/>
  </si>
  <si>
    <t>SYC812FAC</t>
    <phoneticPr fontId="19" type="noConversion"/>
  </si>
  <si>
    <t>HF02080</t>
    <phoneticPr fontId="19" type="noConversion"/>
  </si>
  <si>
    <t>NA2QK</t>
    <phoneticPr fontId="19" type="noConversion"/>
  </si>
  <si>
    <t>14#-25#</t>
    <phoneticPr fontId="19" type="noConversion"/>
  </si>
  <si>
    <t>AIU4XB</t>
    <phoneticPr fontId="19" type="noConversion"/>
  </si>
  <si>
    <t>SY8204FCC</t>
    <phoneticPr fontId="19" type="noConversion"/>
  </si>
  <si>
    <t>HF02081</t>
    <phoneticPr fontId="19" type="noConversion"/>
  </si>
  <si>
    <t>AHI4XA</t>
    <phoneticPr fontId="19" type="noConversion"/>
  </si>
  <si>
    <t>NA1HT</t>
    <phoneticPr fontId="19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</si>
  <si>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</si>
  <si>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SY8205FCC</t>
    <phoneticPr fontId="19" type="noConversion"/>
  </si>
  <si>
    <t>HF02082</t>
    <phoneticPr fontId="19" type="noConversion"/>
  </si>
  <si>
    <t>AHH4XA</t>
    <phoneticPr fontId="19" type="noConversion"/>
  </si>
  <si>
    <t>10#-25#</t>
  </si>
  <si>
    <t>SY8234FCC</t>
    <phoneticPr fontId="19" type="noConversion"/>
  </si>
  <si>
    <t>HF02083</t>
    <phoneticPr fontId="19" type="noConversion"/>
  </si>
  <si>
    <t>HF02084</t>
    <phoneticPr fontId="19" type="noConversion"/>
  </si>
  <si>
    <t>HF02085</t>
    <phoneticPr fontId="19" type="noConversion"/>
  </si>
  <si>
    <t>AMN4XA</t>
    <phoneticPr fontId="19" type="noConversion"/>
  </si>
  <si>
    <t>AMN4XB</t>
    <phoneticPr fontId="19" type="noConversion"/>
  </si>
  <si>
    <t>AMN4XC</t>
    <phoneticPr fontId="19" type="noConversion"/>
  </si>
  <si>
    <t>NA2QL.03</t>
  </si>
  <si>
    <t>SY7630QCC</t>
    <phoneticPr fontId="19" type="noConversion"/>
  </si>
  <si>
    <t>SY7630QCC</t>
    <phoneticPr fontId="19" type="noConversion"/>
  </si>
  <si>
    <t>HF02086</t>
    <phoneticPr fontId="19" type="noConversion"/>
  </si>
  <si>
    <r>
      <t>QFN4x4-24(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</si>
  <si>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r>
      <t>QFN4x4-24(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</si>
  <si>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ADY4XA</t>
    <phoneticPr fontId="19" type="noConversion"/>
  </si>
  <si>
    <t>ADY4XB</t>
    <phoneticPr fontId="19" type="noConversion"/>
  </si>
  <si>
    <t>N8C1R</t>
    <phoneticPr fontId="19" type="noConversion"/>
  </si>
  <si>
    <t>13#~25#</t>
    <phoneticPr fontId="19" type="noConversion"/>
  </si>
  <si>
    <t>SY8120BABC</t>
    <phoneticPr fontId="19" type="noConversion"/>
  </si>
  <si>
    <t>HF02088</t>
    <phoneticPr fontId="19" type="noConversion"/>
  </si>
  <si>
    <t>HF02089</t>
    <phoneticPr fontId="19" type="noConversion"/>
  </si>
  <si>
    <t>HF02090</t>
    <phoneticPr fontId="19" type="noConversion"/>
  </si>
  <si>
    <t>NB4XA</t>
    <phoneticPr fontId="19" type="noConversion"/>
  </si>
  <si>
    <t>NB4XB</t>
    <phoneticPr fontId="19" type="noConversion"/>
  </si>
  <si>
    <t>NB4XC</t>
    <phoneticPr fontId="19" type="noConversion"/>
  </si>
  <si>
    <t>N981W.01</t>
    <phoneticPr fontId="19" type="noConversion"/>
  </si>
  <si>
    <t>N9FJS.01</t>
    <phoneticPr fontId="19" type="noConversion"/>
  </si>
  <si>
    <t>N9QPS.02</t>
    <phoneticPr fontId="19" type="noConversion"/>
  </si>
  <si>
    <t>SY8003DFC</t>
    <phoneticPr fontId="19" type="noConversion"/>
  </si>
  <si>
    <t>HF02092</t>
    <phoneticPr fontId="19" type="noConversion"/>
  </si>
  <si>
    <t>HF02093</t>
    <phoneticPr fontId="19" type="noConversion"/>
  </si>
  <si>
    <t>HF02094</t>
    <phoneticPr fontId="19" type="noConversion"/>
  </si>
  <si>
    <t>HF02095</t>
    <phoneticPr fontId="19" type="noConversion"/>
  </si>
  <si>
    <t>HF02096</t>
    <phoneticPr fontId="19" type="noConversion"/>
  </si>
  <si>
    <t>JD4XC</t>
    <phoneticPr fontId="19" type="noConversion"/>
  </si>
  <si>
    <t>JD4XD</t>
    <phoneticPr fontId="19" type="noConversion"/>
  </si>
  <si>
    <t>JD4XE</t>
    <phoneticPr fontId="19" type="noConversion"/>
  </si>
  <si>
    <t>JD4XF</t>
    <phoneticPr fontId="19" type="noConversion"/>
  </si>
  <si>
    <t>JD4XG</t>
    <phoneticPr fontId="19" type="noConversion"/>
  </si>
  <si>
    <t>JD4XH</t>
    <phoneticPr fontId="19" type="noConversion"/>
  </si>
  <si>
    <t>NA3C3</t>
  </si>
  <si>
    <t>NA3C2</t>
    <phoneticPr fontId="19" type="noConversion"/>
  </si>
  <si>
    <t>NA3T8</t>
  </si>
  <si>
    <t>DFN2*2-8</t>
    <phoneticPr fontId="19" type="noConversion"/>
  </si>
  <si>
    <t>HF02091</t>
    <phoneticPr fontId="19" type="noConversion"/>
  </si>
  <si>
    <t>HF02097</t>
    <phoneticPr fontId="19" type="noConversion"/>
  </si>
  <si>
    <t>SY7113ABC</t>
    <phoneticPr fontId="19" type="noConversion"/>
  </si>
  <si>
    <t>HF02098</t>
    <phoneticPr fontId="19" type="noConversion"/>
  </si>
  <si>
    <t>NM4XA</t>
    <phoneticPr fontId="19" type="noConversion"/>
  </si>
  <si>
    <t>NM4XB</t>
    <phoneticPr fontId="19" type="noConversion"/>
  </si>
  <si>
    <t>NA3R9</t>
  </si>
  <si>
    <t>SY58281SAAC</t>
    <phoneticPr fontId="19" type="noConversion"/>
  </si>
  <si>
    <t>JCET</t>
    <phoneticPr fontId="19" type="noConversion"/>
  </si>
  <si>
    <t>HF02099</t>
    <phoneticPr fontId="19" type="noConversion"/>
  </si>
  <si>
    <t>YB4XC</t>
    <phoneticPr fontId="19" type="noConversion"/>
  </si>
  <si>
    <t>HF02100</t>
    <phoneticPr fontId="19" type="noConversion"/>
  </si>
  <si>
    <t>YB4XD</t>
    <phoneticPr fontId="19" type="noConversion"/>
  </si>
  <si>
    <t>N9YKT+SJ083200</t>
    <phoneticPr fontId="19" type="noConversion"/>
  </si>
  <si>
    <t>17#-25#+1#-16#</t>
    <phoneticPr fontId="19" type="noConversion"/>
  </si>
  <si>
    <t>N9YKW+SJ083200</t>
    <phoneticPr fontId="19" type="noConversion"/>
  </si>
  <si>
    <t>11#-15#+17#~25#</t>
    <phoneticPr fontId="19" type="noConversion"/>
  </si>
  <si>
    <t>HF02101</t>
    <phoneticPr fontId="19" type="noConversion"/>
  </si>
  <si>
    <t>HF02102</t>
    <phoneticPr fontId="19" type="noConversion"/>
  </si>
  <si>
    <t>YB4XE</t>
    <phoneticPr fontId="19" type="noConversion"/>
  </si>
  <si>
    <t>YB4XF</t>
    <phoneticPr fontId="19" type="noConversion"/>
  </si>
  <si>
    <t>16#-24#+1#-16#</t>
    <phoneticPr fontId="19" type="noConversion"/>
  </si>
  <si>
    <t>N9YKW+SJ083500</t>
    <phoneticPr fontId="19" type="noConversion"/>
  </si>
  <si>
    <t>(N9YKW+N9YKS)+SJ083500</t>
    <phoneticPr fontId="19" type="noConversion"/>
  </si>
  <si>
    <t>(25#+1#-4#)+17#~25#</t>
    <phoneticPr fontId="19" type="noConversion"/>
  </si>
  <si>
    <t>YB4XG</t>
    <phoneticPr fontId="19" type="noConversion"/>
  </si>
  <si>
    <t>N9YKS+SJ083800</t>
    <phoneticPr fontId="19" type="noConversion"/>
  </si>
  <si>
    <t>5#-13#+1#~16#</t>
    <phoneticPr fontId="19" type="noConversion"/>
  </si>
  <si>
    <t>HF02087</t>
    <phoneticPr fontId="19" type="noConversion"/>
  </si>
  <si>
    <t>NA189-1</t>
  </si>
  <si>
    <t>N92YR-2</t>
  </si>
  <si>
    <t>N9T11-1</t>
  </si>
  <si>
    <t>NA1H7-1</t>
  </si>
  <si>
    <t>NA1H8-1</t>
  </si>
  <si>
    <t>NA1H9-1</t>
  </si>
  <si>
    <t>NA29W-1</t>
  </si>
  <si>
    <t>NA29Y-1</t>
  </si>
  <si>
    <t>NA2A0-1</t>
  </si>
  <si>
    <t>NA2QL</t>
  </si>
  <si>
    <t>N93NR.01</t>
  </si>
  <si>
    <t>NA12R.02-1</t>
  </si>
  <si>
    <t>NA3MR</t>
  </si>
  <si>
    <t>NA3MR-1</t>
  </si>
  <si>
    <t>NA3MK</t>
  </si>
  <si>
    <t>NA3MK-1</t>
  </si>
  <si>
    <t>NA1G0-1</t>
  </si>
  <si>
    <t>NA1G1-1</t>
  </si>
  <si>
    <t>NA1G3-1</t>
  </si>
  <si>
    <t>NA363</t>
  </si>
  <si>
    <t>NA306</t>
  </si>
  <si>
    <t>NA2QK-1</t>
  </si>
  <si>
    <t>NA1HT</t>
  </si>
  <si>
    <t>NA1HT-1</t>
  </si>
  <si>
    <t>NA299-2</t>
  </si>
  <si>
    <t>NA2QL.03-1</t>
  </si>
  <si>
    <t>N8C1R</t>
  </si>
  <si>
    <t>N8C1R-1</t>
  </si>
  <si>
    <t>N981W.01</t>
  </si>
  <si>
    <t>N9FJS.01</t>
  </si>
  <si>
    <t>N9QPS.02</t>
  </si>
  <si>
    <t>NA3C3-1</t>
  </si>
  <si>
    <t>NA3C2</t>
  </si>
  <si>
    <t>NA3C2-1</t>
  </si>
  <si>
    <t>NA3T8-1</t>
  </si>
  <si>
    <t>NA3R9-1</t>
  </si>
  <si>
    <t>SJ083200;N9YKT</t>
  </si>
  <si>
    <t>SJ083200;N9YKW</t>
  </si>
  <si>
    <t>SJ083500;N9YKW</t>
  </si>
  <si>
    <t>SJ083500;(N9YKW+N9YKS)</t>
  </si>
  <si>
    <t>SJ083800;N9YKS</t>
  </si>
  <si>
    <t>SY7088DGC</t>
    <phoneticPr fontId="19" type="noConversion"/>
  </si>
  <si>
    <t>JCET</t>
    <phoneticPr fontId="19" type="noConversion"/>
  </si>
  <si>
    <t>HF02104</t>
    <phoneticPr fontId="19" type="noConversion"/>
  </si>
  <si>
    <t>VT4XE</t>
    <phoneticPr fontId="19" type="noConversion"/>
  </si>
  <si>
    <t>HJTC</t>
    <phoneticPr fontId="19" type="noConversion"/>
  </si>
  <si>
    <t>NA42C</t>
  </si>
  <si>
    <t>HF02105</t>
    <phoneticPr fontId="19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</si>
  <si>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</si>
  <si>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VT4XF</t>
    <phoneticPr fontId="19" type="noConversion"/>
  </si>
  <si>
    <t>SY5802AFAC</t>
    <phoneticPr fontId="19" type="noConversion"/>
  </si>
  <si>
    <t>新程序</t>
    <phoneticPr fontId="19" type="noConversion"/>
  </si>
  <si>
    <t>HF02106</t>
    <phoneticPr fontId="19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</si>
  <si>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9" type="noConversion"/>
  </si>
  <si>
    <t>AHK4XA</t>
    <phoneticPr fontId="19" type="noConversion"/>
  </si>
  <si>
    <t>NA12G</t>
    <phoneticPr fontId="19" type="noConversion"/>
  </si>
  <si>
    <t>TF00066</t>
    <phoneticPr fontId="19" type="noConversion"/>
  </si>
  <si>
    <t>NA1CC.01+LE1410250228</t>
    <phoneticPr fontId="19" type="noConversion"/>
  </si>
  <si>
    <t>NA3C4-1</t>
  </si>
  <si>
    <t>NA304-1</t>
  </si>
  <si>
    <t>NA303-1</t>
  </si>
  <si>
    <t>N9CNQ.55</t>
  </si>
  <si>
    <t>HF01115</t>
    <phoneticPr fontId="19" type="noConversion"/>
  </si>
  <si>
    <t>HF01560</t>
    <phoneticPr fontId="19" type="noConversion"/>
  </si>
  <si>
    <t>N90P2-1</t>
    <phoneticPr fontId="19" type="noConversion"/>
  </si>
  <si>
    <t>N8NY7</t>
    <phoneticPr fontId="19" type="noConversion"/>
  </si>
  <si>
    <t>N9FK4.03</t>
    <phoneticPr fontId="19" type="noConversion"/>
  </si>
  <si>
    <t>GF00029</t>
    <phoneticPr fontId="19" type="noConversion"/>
  </si>
  <si>
    <t>SY8104ADC</t>
    <phoneticPr fontId="19" type="noConversion"/>
  </si>
  <si>
    <t>JR4YA</t>
    <phoneticPr fontId="19" type="noConversion"/>
  </si>
  <si>
    <t>HF02108</t>
    <phoneticPr fontId="19" type="noConversion"/>
  </si>
  <si>
    <t>HF02109</t>
    <phoneticPr fontId="19" type="noConversion"/>
  </si>
  <si>
    <t>HF02110</t>
    <phoneticPr fontId="19" type="noConversion"/>
  </si>
  <si>
    <t>HF02117</t>
    <phoneticPr fontId="19" type="noConversion"/>
  </si>
  <si>
    <t>HF02111</t>
    <phoneticPr fontId="19" type="noConversion"/>
  </si>
  <si>
    <t>HF02112</t>
    <phoneticPr fontId="19" type="noConversion"/>
  </si>
  <si>
    <t>HF02113</t>
    <phoneticPr fontId="19" type="noConversion"/>
  </si>
  <si>
    <t>HF02114</t>
    <phoneticPr fontId="19" type="noConversion"/>
  </si>
  <si>
    <t>JR4YB</t>
    <phoneticPr fontId="19" type="noConversion"/>
  </si>
  <si>
    <t>JR4YC</t>
    <phoneticPr fontId="19" type="noConversion"/>
  </si>
  <si>
    <t>JR4YD</t>
    <phoneticPr fontId="19" type="noConversion"/>
  </si>
  <si>
    <t>JR4YE</t>
    <phoneticPr fontId="19" type="noConversion"/>
  </si>
  <si>
    <t>JR4YF</t>
    <phoneticPr fontId="19" type="noConversion"/>
  </si>
  <si>
    <t xml:space="preserve">JR4YG </t>
    <phoneticPr fontId="19" type="noConversion"/>
  </si>
  <si>
    <t>JR4YH</t>
    <phoneticPr fontId="19" type="noConversion"/>
  </si>
  <si>
    <t>NA400</t>
  </si>
  <si>
    <t>NA401</t>
  </si>
  <si>
    <t>NA403</t>
  </si>
  <si>
    <t>NA404</t>
  </si>
  <si>
    <t>HF02107</t>
    <phoneticPr fontId="19" type="noConversion"/>
  </si>
  <si>
    <t>HF02116</t>
    <phoneticPr fontId="19" type="noConversion"/>
  </si>
  <si>
    <t>HF02118</t>
    <phoneticPr fontId="19" type="noConversion"/>
  </si>
  <si>
    <t>VT4YA</t>
    <phoneticPr fontId="19" type="noConversion"/>
  </si>
  <si>
    <t>VT4YB</t>
    <phoneticPr fontId="19" type="noConversion"/>
  </si>
  <si>
    <t>VT4YC</t>
    <phoneticPr fontId="19" type="noConversion"/>
  </si>
  <si>
    <t>VT4YD</t>
    <phoneticPr fontId="19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</si>
  <si>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</si>
  <si>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HF02115</t>
    <phoneticPr fontId="19" type="noConversion"/>
  </si>
  <si>
    <t>NA428</t>
  </si>
  <si>
    <t>NA42F</t>
  </si>
  <si>
    <t>A58E0</t>
    <phoneticPr fontId="19" type="noConversion"/>
  </si>
  <si>
    <t>NFME</t>
    <phoneticPr fontId="19" type="noConversion"/>
  </si>
  <si>
    <t>GF00059</t>
    <phoneticPr fontId="19" type="noConversion"/>
  </si>
  <si>
    <t>Er4YA</t>
    <phoneticPr fontId="19" type="noConversion"/>
  </si>
  <si>
    <t>HJTC</t>
    <phoneticPr fontId="19" type="noConversion"/>
  </si>
  <si>
    <t>CSP1.56*1.96-20</t>
    <phoneticPr fontId="19" type="noConversion"/>
  </si>
  <si>
    <t>SY8827EPKC</t>
    <phoneticPr fontId="19" type="noConversion"/>
  </si>
  <si>
    <t>TF00779</t>
    <phoneticPr fontId="19" type="noConversion"/>
  </si>
  <si>
    <t>TF00780</t>
    <phoneticPr fontId="21" type="noConversion"/>
  </si>
  <si>
    <t>NA3C8</t>
  </si>
  <si>
    <t>TF00781</t>
    <phoneticPr fontId="21" type="noConversion"/>
  </si>
  <si>
    <t>TF00782</t>
    <phoneticPr fontId="21" type="noConversion"/>
  </si>
  <si>
    <t>NA3CC</t>
  </si>
  <si>
    <t>TF00783</t>
    <phoneticPr fontId="21" type="noConversion"/>
  </si>
  <si>
    <t>TF00784</t>
    <phoneticPr fontId="21" type="noConversion"/>
  </si>
  <si>
    <t>NA3ML</t>
  </si>
  <si>
    <t>TF00785</t>
    <phoneticPr fontId="21" type="noConversion"/>
  </si>
  <si>
    <t>TF00786</t>
    <phoneticPr fontId="21" type="noConversion"/>
  </si>
  <si>
    <t>NA3MM</t>
  </si>
  <si>
    <t>TF00787</t>
    <phoneticPr fontId="21" type="noConversion"/>
  </si>
  <si>
    <t>TF00788</t>
    <phoneticPr fontId="21" type="noConversion"/>
  </si>
  <si>
    <t>NA3MN</t>
  </si>
  <si>
    <t>TF00789</t>
    <phoneticPr fontId="21" type="noConversion"/>
  </si>
  <si>
    <t>TF00790</t>
    <phoneticPr fontId="21" type="noConversion"/>
  </si>
  <si>
    <t>NA3MP</t>
  </si>
  <si>
    <t>1#-9#,12#-13#</t>
    <phoneticPr fontId="21" type="noConversion"/>
  </si>
  <si>
    <t>#14-25#</t>
    <phoneticPr fontId="21" type="noConversion"/>
  </si>
  <si>
    <t>TF00791</t>
    <phoneticPr fontId="21" type="noConversion"/>
  </si>
  <si>
    <t>TF00792</t>
    <phoneticPr fontId="21" type="noConversion"/>
  </si>
  <si>
    <t>NA45Y</t>
  </si>
  <si>
    <t>TF00793</t>
    <phoneticPr fontId="21" type="noConversion"/>
  </si>
  <si>
    <t>TF00794</t>
    <phoneticPr fontId="21" type="noConversion"/>
  </si>
  <si>
    <t>NA462</t>
  </si>
  <si>
    <t>TF00795</t>
    <phoneticPr fontId="21" type="noConversion"/>
  </si>
  <si>
    <t>TF00796</t>
    <phoneticPr fontId="21" type="noConversion"/>
  </si>
  <si>
    <t>NA463</t>
  </si>
  <si>
    <t>TF00797</t>
    <phoneticPr fontId="21" type="noConversion"/>
  </si>
  <si>
    <t>TF00798</t>
    <phoneticPr fontId="21" type="noConversion"/>
  </si>
  <si>
    <t>NA460</t>
  </si>
  <si>
    <t>LD4YA</t>
    <phoneticPr fontId="21" type="noConversion"/>
  </si>
  <si>
    <t>LD4YB</t>
    <phoneticPr fontId="21" type="noConversion"/>
  </si>
  <si>
    <t>LD4YC</t>
    <phoneticPr fontId="21" type="noConversion"/>
  </si>
  <si>
    <t>LD4YD</t>
    <phoneticPr fontId="21" type="noConversion"/>
  </si>
  <si>
    <t>LD4YE</t>
    <phoneticPr fontId="21" type="noConversion"/>
  </si>
  <si>
    <t>LD4YF</t>
    <phoneticPr fontId="21" type="noConversion"/>
  </si>
  <si>
    <t>LD4YG</t>
    <phoneticPr fontId="21" type="noConversion"/>
  </si>
  <si>
    <t>LD4YH</t>
    <phoneticPr fontId="21" type="noConversion"/>
  </si>
  <si>
    <t>LD4YI</t>
    <phoneticPr fontId="21" type="noConversion"/>
  </si>
  <si>
    <t>LD4YJ</t>
    <phoneticPr fontId="21" type="noConversion"/>
  </si>
  <si>
    <t>LD4YK</t>
    <phoneticPr fontId="21" type="noConversion"/>
  </si>
  <si>
    <t>LD4YL</t>
    <phoneticPr fontId="21" type="noConversion"/>
  </si>
  <si>
    <t>LD4YM</t>
    <phoneticPr fontId="21" type="noConversion"/>
  </si>
  <si>
    <t>LD4YN</t>
    <phoneticPr fontId="21" type="noConversion"/>
  </si>
  <si>
    <t>LD4YO</t>
    <phoneticPr fontId="21" type="noConversion"/>
  </si>
  <si>
    <t>LD4YP</t>
    <phoneticPr fontId="21" type="noConversion"/>
  </si>
  <si>
    <t>LD4YQ</t>
    <phoneticPr fontId="21" type="noConversion"/>
  </si>
  <si>
    <t>LD4YR</t>
    <phoneticPr fontId="21" type="noConversion"/>
  </si>
  <si>
    <t>LD4YS</t>
    <phoneticPr fontId="21" type="noConversion"/>
  </si>
  <si>
    <t>LD4YT</t>
    <phoneticPr fontId="21" type="noConversion"/>
  </si>
  <si>
    <t>TF00799</t>
    <phoneticPr fontId="21" type="noConversion"/>
  </si>
  <si>
    <t>KV4YA</t>
    <phoneticPr fontId="21" type="noConversion"/>
  </si>
  <si>
    <t>HTJC</t>
    <phoneticPr fontId="21" type="noConversion"/>
  </si>
  <si>
    <t>NA3MG</t>
  </si>
  <si>
    <t>TF00800</t>
    <phoneticPr fontId="21" type="noConversion"/>
  </si>
  <si>
    <t>A25C1</t>
    <phoneticPr fontId="21" type="noConversion"/>
  </si>
  <si>
    <t>KV4YB</t>
    <phoneticPr fontId="21" type="noConversion"/>
  </si>
  <si>
    <t>TF00801</t>
    <phoneticPr fontId="21" type="noConversion"/>
  </si>
  <si>
    <t>TF00802</t>
    <phoneticPr fontId="21" type="noConversion"/>
  </si>
  <si>
    <t>NA3MH</t>
  </si>
  <si>
    <t>KV4YC</t>
    <phoneticPr fontId="21" type="noConversion"/>
  </si>
  <si>
    <t>KV4YD</t>
    <phoneticPr fontId="21" type="noConversion"/>
  </si>
  <si>
    <t>NA3MJ</t>
  </si>
  <si>
    <t>NA40N</t>
  </si>
  <si>
    <t>NA3T4</t>
  </si>
  <si>
    <t>NA3T6</t>
  </si>
  <si>
    <t>NA40L</t>
  </si>
  <si>
    <t>NA3T5</t>
  </si>
  <si>
    <t>TF00803</t>
    <phoneticPr fontId="21" type="noConversion"/>
  </si>
  <si>
    <t>TF00804</t>
    <phoneticPr fontId="21" type="noConversion"/>
  </si>
  <si>
    <t>TF00805</t>
    <phoneticPr fontId="21" type="noConversion"/>
  </si>
  <si>
    <t>TF00806</t>
    <phoneticPr fontId="21" type="noConversion"/>
  </si>
  <si>
    <t>TF00807</t>
    <phoneticPr fontId="21" type="noConversion"/>
  </si>
  <si>
    <t>TF00808</t>
    <phoneticPr fontId="21" type="noConversion"/>
  </si>
  <si>
    <t>TF00809</t>
    <phoneticPr fontId="21" type="noConversion"/>
  </si>
  <si>
    <t>TF00810</t>
    <phoneticPr fontId="21" type="noConversion"/>
  </si>
  <si>
    <t>TF00811</t>
    <phoneticPr fontId="21" type="noConversion"/>
  </si>
  <si>
    <t>TF00812</t>
    <phoneticPr fontId="21" type="noConversion"/>
  </si>
  <si>
    <t>TF00813</t>
    <phoneticPr fontId="21" type="noConversion"/>
  </si>
  <si>
    <t>TF00814</t>
    <phoneticPr fontId="21" type="noConversion"/>
  </si>
  <si>
    <t>KV4YE</t>
    <phoneticPr fontId="21" type="noConversion"/>
  </si>
  <si>
    <t>KV4YF</t>
    <phoneticPr fontId="21" type="noConversion"/>
  </si>
  <si>
    <t>KV4YG</t>
    <phoneticPr fontId="21" type="noConversion"/>
  </si>
  <si>
    <t>KV4YH</t>
    <phoneticPr fontId="21" type="noConversion"/>
  </si>
  <si>
    <t>KV4YI</t>
    <phoneticPr fontId="21" type="noConversion"/>
  </si>
  <si>
    <t>KV4YJ</t>
    <phoneticPr fontId="21" type="noConversion"/>
  </si>
  <si>
    <t>KV4YK</t>
    <phoneticPr fontId="21" type="noConversion"/>
  </si>
  <si>
    <t>KV4YL</t>
    <phoneticPr fontId="21" type="noConversion"/>
  </si>
  <si>
    <t>KV4YM</t>
    <phoneticPr fontId="21" type="noConversion"/>
  </si>
  <si>
    <t>KV4YN</t>
    <phoneticPr fontId="21" type="noConversion"/>
  </si>
  <si>
    <t>KV4YO</t>
    <phoneticPr fontId="21" type="noConversion"/>
  </si>
  <si>
    <t>KV4YP</t>
    <phoneticPr fontId="21" type="noConversion"/>
  </si>
  <si>
    <t>SY8089AAAC</t>
    <phoneticPr fontId="21" type="noConversion"/>
  </si>
  <si>
    <t>SY5800AFAC</t>
    <phoneticPr fontId="21" type="noConversion"/>
  </si>
  <si>
    <t>JCET</t>
    <phoneticPr fontId="21" type="noConversion"/>
  </si>
  <si>
    <t>HF02119</t>
    <phoneticPr fontId="21" type="noConversion"/>
  </si>
  <si>
    <t>HF02120</t>
    <phoneticPr fontId="21" type="noConversion"/>
  </si>
  <si>
    <t>HF02121</t>
    <phoneticPr fontId="21" type="noConversion"/>
  </si>
  <si>
    <t>AFB4YA</t>
    <phoneticPr fontId="21" type="noConversion"/>
  </si>
  <si>
    <t>AFB4YB</t>
    <phoneticPr fontId="21" type="noConversion"/>
  </si>
  <si>
    <t>AFB4YC</t>
    <phoneticPr fontId="21" type="noConversion"/>
  </si>
  <si>
    <t>NA12F</t>
    <phoneticPr fontId="21" type="noConversion"/>
  </si>
  <si>
    <t>NA40A</t>
    <phoneticPr fontId="21" type="noConversion"/>
  </si>
  <si>
    <t>SYT704FAC</t>
    <phoneticPr fontId="21" type="noConversion"/>
  </si>
  <si>
    <t>HF02122</t>
    <phoneticPr fontId="21" type="noConversion"/>
  </si>
  <si>
    <t>AGB4YA</t>
    <phoneticPr fontId="21" type="noConversion"/>
  </si>
  <si>
    <t>SY5802FAC</t>
    <phoneticPr fontId="21" type="noConversion"/>
  </si>
  <si>
    <t>HF02123</t>
    <phoneticPr fontId="21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</si>
  <si>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</si>
  <si>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AEF4YA</t>
    <phoneticPr fontId="21" type="noConversion"/>
  </si>
  <si>
    <t>NA40C</t>
    <phoneticPr fontId="21" type="noConversion"/>
  </si>
  <si>
    <t>SY5806FAC</t>
    <phoneticPr fontId="21" type="noConversion"/>
  </si>
  <si>
    <t>HF02124</t>
    <phoneticPr fontId="21" type="noConversion"/>
  </si>
  <si>
    <t>ALH4YA</t>
    <phoneticPr fontId="21" type="noConversion"/>
  </si>
  <si>
    <t>NA40C.02</t>
    <phoneticPr fontId="21" type="noConversion"/>
  </si>
  <si>
    <t>SYP513ABC</t>
    <phoneticPr fontId="21" type="noConversion"/>
  </si>
  <si>
    <t>E10EC0</t>
  </si>
  <si>
    <t>HF02125</t>
    <phoneticPr fontId="21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</si>
  <si>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</si>
  <si>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XO4YA</t>
    <phoneticPr fontId="21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</si>
  <si>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</si>
  <si>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NA36C</t>
    <phoneticPr fontId="21" type="noConversion"/>
  </si>
  <si>
    <t>SYT112AAC</t>
  </si>
  <si>
    <t>SYT112AAC</t>
    <phoneticPr fontId="21" type="noConversion"/>
  </si>
  <si>
    <t>E24D0</t>
  </si>
  <si>
    <t>HF02126</t>
    <phoneticPr fontId="21" type="noConversion"/>
  </si>
  <si>
    <t>Fq4YA</t>
    <phoneticPr fontId="21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</si>
  <si>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</si>
  <si>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E24D0</t>
    <phoneticPr fontId="21" type="noConversion"/>
  </si>
  <si>
    <t>HF02127</t>
    <phoneticPr fontId="21" type="noConversion"/>
  </si>
  <si>
    <t>Fq4YB</t>
    <phoneticPr fontId="21" type="noConversion"/>
  </si>
  <si>
    <t xml:space="preserve"> N9YSR</t>
    <phoneticPr fontId="21" type="noConversion"/>
  </si>
  <si>
    <t>9#-10#,23#-25#</t>
  </si>
  <si>
    <t>N9YSR.03</t>
    <phoneticPr fontId="21" type="noConversion"/>
  </si>
  <si>
    <t>20#-22#</t>
  </si>
  <si>
    <t>SY8060DCC</t>
    <phoneticPr fontId="21" type="noConversion"/>
  </si>
  <si>
    <t>JCET</t>
    <phoneticPr fontId="21" type="noConversion"/>
  </si>
  <si>
    <t>HF02128</t>
    <phoneticPr fontId="21" type="noConversion"/>
  </si>
  <si>
    <t>D</t>
    <phoneticPr fontId="21" type="noConversion"/>
  </si>
  <si>
    <t>LX4YA</t>
    <phoneticPr fontId="21" type="noConversion"/>
  </si>
  <si>
    <t>NA1CQ.03</t>
    <phoneticPr fontId="21" type="noConversion"/>
  </si>
  <si>
    <t>6#-13#</t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</si>
  <si>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</si>
  <si>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SY8002EABC</t>
    <phoneticPr fontId="21" type="noConversion"/>
  </si>
  <si>
    <t>HF02129</t>
    <phoneticPr fontId="21" type="noConversion"/>
  </si>
  <si>
    <t>HF02130</t>
    <phoneticPr fontId="21" type="noConversion"/>
  </si>
  <si>
    <t>HF02131</t>
    <phoneticPr fontId="21" type="noConversion"/>
  </si>
  <si>
    <t>HF02132</t>
    <phoneticPr fontId="21" type="noConversion"/>
  </si>
  <si>
    <t>XE4YA</t>
    <phoneticPr fontId="21" type="noConversion"/>
  </si>
  <si>
    <t>XE4YB</t>
    <phoneticPr fontId="21" type="noConversion"/>
  </si>
  <si>
    <t>XE4YC</t>
    <phoneticPr fontId="21" type="noConversion"/>
  </si>
  <si>
    <t>XE4YD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</si>
  <si>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</si>
  <si>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NA3T7</t>
  </si>
  <si>
    <t>NA40M</t>
  </si>
  <si>
    <t>SY8003EDFC</t>
    <phoneticPr fontId="21" type="noConversion"/>
  </si>
  <si>
    <t>HF02133</t>
    <phoneticPr fontId="21" type="noConversion"/>
  </si>
  <si>
    <t>HF02134</t>
    <phoneticPr fontId="21" type="noConversion"/>
  </si>
  <si>
    <t>VC4YA</t>
    <phoneticPr fontId="21" type="noConversion"/>
  </si>
  <si>
    <t>VC4YB</t>
    <phoneticPr fontId="21" type="noConversion"/>
  </si>
  <si>
    <t>NA40M</t>
    <phoneticPr fontId="21" type="noConversion"/>
  </si>
  <si>
    <t>NA40P</t>
    <phoneticPr fontId="21" type="noConversion"/>
  </si>
  <si>
    <t>SYH634LDFC</t>
    <phoneticPr fontId="21" type="noConversion"/>
  </si>
  <si>
    <t>HF02135</t>
    <phoneticPr fontId="21" type="noConversion"/>
  </si>
  <si>
    <t>HF02136</t>
    <phoneticPr fontId="21" type="noConversion"/>
  </si>
  <si>
    <t>DFN2*2-8</t>
    <phoneticPr fontId="21" type="noConversion"/>
  </si>
  <si>
    <t>UV4YA</t>
    <phoneticPr fontId="21" type="noConversion"/>
  </si>
  <si>
    <t>UV4YB</t>
    <phoneticPr fontId="21" type="noConversion"/>
  </si>
  <si>
    <t>HJTC</t>
    <phoneticPr fontId="21" type="noConversion"/>
  </si>
  <si>
    <t>N9KF1</t>
    <phoneticPr fontId="21" type="noConversion"/>
  </si>
  <si>
    <t>N9KF1.06</t>
    <phoneticPr fontId="21" type="noConversion"/>
  </si>
  <si>
    <t>SY8868QMC</t>
    <phoneticPr fontId="21" type="noConversion"/>
  </si>
  <si>
    <t>HF02137</t>
    <phoneticPr fontId="21" type="noConversion"/>
  </si>
  <si>
    <t>HF02138</t>
    <phoneticPr fontId="21" type="noConversion"/>
  </si>
  <si>
    <t>HF02139</t>
    <phoneticPr fontId="21" type="noConversion"/>
  </si>
  <si>
    <t>HF02140</t>
    <phoneticPr fontId="21" type="noConversion"/>
  </si>
  <si>
    <t>KT4YA</t>
    <phoneticPr fontId="21" type="noConversion"/>
  </si>
  <si>
    <t>KT4YB</t>
    <phoneticPr fontId="21" type="noConversion"/>
  </si>
  <si>
    <t>KT4YC</t>
    <phoneticPr fontId="21" type="noConversion"/>
  </si>
  <si>
    <t>KT4YD</t>
    <phoneticPr fontId="21" type="noConversion"/>
  </si>
  <si>
    <t>NA421</t>
  </si>
  <si>
    <t>NA422</t>
  </si>
  <si>
    <t>QFN2x2-10</t>
    <phoneticPr fontId="21" type="noConversion"/>
  </si>
  <si>
    <t>SY8722FCC</t>
    <phoneticPr fontId="21" type="noConversion"/>
  </si>
  <si>
    <t>JCET</t>
    <phoneticPr fontId="21" type="noConversion"/>
  </si>
  <si>
    <t>HF02141</t>
    <phoneticPr fontId="21" type="noConversion"/>
  </si>
  <si>
    <t>AIS4YA</t>
    <phoneticPr fontId="21" type="noConversion"/>
  </si>
  <si>
    <t>7+7</t>
    <phoneticPr fontId="21" type="noConversion"/>
  </si>
  <si>
    <t>N8H68+N8LF8</t>
    <phoneticPr fontId="21" type="noConversion"/>
  </si>
  <si>
    <t>19#~25#+14#-20#</t>
    <phoneticPr fontId="21" type="noConversion"/>
  </si>
  <si>
    <t>SY7066QMC</t>
    <phoneticPr fontId="21" type="noConversion"/>
  </si>
  <si>
    <t>HF02142</t>
    <phoneticPr fontId="21" type="noConversion"/>
  </si>
  <si>
    <t>HF02143</t>
    <phoneticPr fontId="21" type="noConversion"/>
  </si>
  <si>
    <t>MG4YA</t>
    <phoneticPr fontId="21" type="noConversion"/>
  </si>
  <si>
    <t>MG4YB</t>
    <phoneticPr fontId="21" type="noConversion"/>
  </si>
  <si>
    <t>NA40T</t>
  </si>
  <si>
    <t>SY7065AQMC</t>
    <phoneticPr fontId="21" type="noConversion"/>
  </si>
  <si>
    <t>HF02144</t>
    <phoneticPr fontId="21" type="noConversion"/>
  </si>
  <si>
    <t>HF02145</t>
    <phoneticPr fontId="21" type="noConversion"/>
  </si>
  <si>
    <t>HF02146</t>
    <phoneticPr fontId="21" type="noConversion"/>
  </si>
  <si>
    <t>HF02147</t>
    <phoneticPr fontId="21" type="noConversion"/>
  </si>
  <si>
    <t>VL4YA</t>
    <phoneticPr fontId="21" type="noConversion"/>
  </si>
  <si>
    <t>VL4YB</t>
    <phoneticPr fontId="21" type="noConversion"/>
  </si>
  <si>
    <t>VL4YC</t>
    <phoneticPr fontId="21" type="noConversion"/>
  </si>
  <si>
    <t>VL4YD</t>
    <phoneticPr fontId="21" type="noConversion"/>
  </si>
  <si>
    <t>QFN2*2-10</t>
    <phoneticPr fontId="21" type="noConversion"/>
  </si>
  <si>
    <t>NA359</t>
  </si>
  <si>
    <t>NA40W</t>
  </si>
  <si>
    <t>SY7088DGC</t>
    <phoneticPr fontId="21" type="noConversion"/>
  </si>
  <si>
    <t>JCET</t>
    <phoneticPr fontId="21" type="noConversion"/>
  </si>
  <si>
    <t>HF02148</t>
    <phoneticPr fontId="21" type="noConversion"/>
  </si>
  <si>
    <t>HF02149</t>
    <phoneticPr fontId="21" type="noConversion"/>
  </si>
  <si>
    <t>HF02150</t>
    <phoneticPr fontId="21" type="noConversion"/>
  </si>
  <si>
    <t>HF02151</t>
    <phoneticPr fontId="21" type="noConversion"/>
  </si>
  <si>
    <t>VT4YE</t>
    <phoneticPr fontId="21" type="noConversion"/>
  </si>
  <si>
    <t>VT4YF</t>
    <phoneticPr fontId="21" type="noConversion"/>
  </si>
  <si>
    <t>VT4YG</t>
    <phoneticPr fontId="21" type="noConversion"/>
  </si>
  <si>
    <t>VT4YH</t>
    <phoneticPr fontId="21" type="noConversion"/>
  </si>
  <si>
    <t>NA429</t>
  </si>
  <si>
    <t>NA42A</t>
  </si>
  <si>
    <t>HF02152</t>
    <phoneticPr fontId="21" type="noConversion"/>
  </si>
  <si>
    <t>UD4YA</t>
    <phoneticPr fontId="21" type="noConversion"/>
  </si>
  <si>
    <t xml:space="preserve">N8LGL </t>
    <phoneticPr fontId="21" type="noConversion"/>
  </si>
  <si>
    <t>HTKJ</t>
    <phoneticPr fontId="21" type="noConversion"/>
  </si>
  <si>
    <t>B27T0</t>
    <phoneticPr fontId="21" type="noConversion"/>
  </si>
  <si>
    <t>TF00816</t>
    <phoneticPr fontId="21" type="noConversion"/>
  </si>
  <si>
    <t>NA407</t>
  </si>
  <si>
    <t>MI4YA</t>
    <phoneticPr fontId="21" type="noConversion"/>
  </si>
  <si>
    <t>LE4YA</t>
    <phoneticPr fontId="21" type="noConversion"/>
  </si>
  <si>
    <t>1#-12#</t>
    <phoneticPr fontId="21" type="noConversion"/>
  </si>
  <si>
    <t>13#-25#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</si>
  <si>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</si>
  <si>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TF00817</t>
    <phoneticPr fontId="21" type="noConversion"/>
  </si>
  <si>
    <t>B07L1</t>
    <phoneticPr fontId="21" type="noConversion"/>
  </si>
  <si>
    <t>HTKJ</t>
    <phoneticPr fontId="21" type="noConversion"/>
  </si>
  <si>
    <t>TF00818</t>
    <phoneticPr fontId="21" type="noConversion"/>
  </si>
  <si>
    <t>TF00819</t>
    <phoneticPr fontId="21" type="noConversion"/>
  </si>
  <si>
    <t>HTKJ</t>
    <phoneticPr fontId="19" type="noConversion"/>
  </si>
  <si>
    <t>HY4YA</t>
    <phoneticPr fontId="21" type="noConversion"/>
  </si>
  <si>
    <t>HY4YB</t>
    <phoneticPr fontId="21" type="noConversion"/>
  </si>
  <si>
    <t>HY4YC</t>
    <phoneticPr fontId="21" type="noConversion"/>
  </si>
  <si>
    <t>NA363.02</t>
  </si>
  <si>
    <t>1#-15#</t>
    <phoneticPr fontId="19" type="noConversion"/>
  </si>
  <si>
    <t>NA364</t>
  </si>
  <si>
    <t>TF00820</t>
    <phoneticPr fontId="21" type="noConversion"/>
  </si>
  <si>
    <t>B28E0</t>
    <phoneticPr fontId="21" type="noConversion"/>
  </si>
  <si>
    <t>TF00821</t>
    <phoneticPr fontId="21" type="noConversion"/>
  </si>
  <si>
    <t>NA1H4</t>
  </si>
  <si>
    <t>EF4YA</t>
    <phoneticPr fontId="21" type="noConversion"/>
  </si>
  <si>
    <t>EF4YB</t>
    <phoneticPr fontId="21" type="noConversion"/>
  </si>
  <si>
    <t>SY7804PMC</t>
    <phoneticPr fontId="19" type="noConversion"/>
  </si>
  <si>
    <t>SY8105ADC</t>
    <phoneticPr fontId="21" type="noConversion"/>
  </si>
  <si>
    <t>JCET</t>
    <phoneticPr fontId="21" type="noConversion"/>
  </si>
  <si>
    <t>HF02153</t>
    <phoneticPr fontId="21" type="noConversion"/>
  </si>
  <si>
    <t>NY4YA</t>
    <phoneticPr fontId="21" type="noConversion"/>
  </si>
  <si>
    <t>HF02154</t>
    <phoneticPr fontId="21" type="noConversion"/>
  </si>
  <si>
    <t>NY4YB</t>
    <phoneticPr fontId="21" type="noConversion"/>
  </si>
  <si>
    <t>NA3YY</t>
  </si>
  <si>
    <t>1#~12#</t>
    <phoneticPr fontId="21" type="noConversion"/>
  </si>
  <si>
    <t>13#~25#</t>
    <phoneticPr fontId="21" type="noConversion"/>
  </si>
  <si>
    <t>TSOT23-6</t>
    <phoneticPr fontId="21" type="noConversion"/>
  </si>
  <si>
    <t>E02CA1</t>
  </si>
  <si>
    <t>HF02155</t>
    <phoneticPr fontId="21" type="noConversion"/>
  </si>
  <si>
    <t>SY5002ABC</t>
    <phoneticPr fontId="21" type="noConversion"/>
  </si>
  <si>
    <t>KP4YA</t>
    <phoneticPr fontId="21" type="noConversion"/>
  </si>
  <si>
    <t>HJTC</t>
    <phoneticPr fontId="21" type="noConversion"/>
  </si>
  <si>
    <t xml:space="preserve">N9C3W </t>
    <phoneticPr fontId="21" type="noConversion"/>
  </si>
  <si>
    <t>SOT23-6</t>
    <phoneticPr fontId="21" type="noConversion"/>
  </si>
  <si>
    <t>SY58291ZFAC</t>
    <phoneticPr fontId="21" type="noConversion"/>
  </si>
  <si>
    <t>HF02156</t>
    <phoneticPr fontId="21" type="noConversion"/>
  </si>
  <si>
    <t>AQY4YA</t>
    <phoneticPr fontId="21" type="noConversion"/>
  </si>
  <si>
    <t>N9RCM+SJ083800</t>
    <phoneticPr fontId="21" type="noConversion"/>
  </si>
  <si>
    <t>16#-19#+17#~20#</t>
    <phoneticPr fontId="21" type="noConversion"/>
  </si>
  <si>
    <t>4+4</t>
    <phoneticPr fontId="21" type="noConversion"/>
  </si>
  <si>
    <t>SY58283FAC</t>
    <phoneticPr fontId="21" type="noConversion"/>
  </si>
  <si>
    <t>HF02157</t>
    <phoneticPr fontId="21" type="noConversion"/>
  </si>
  <si>
    <t>AQK4YA</t>
    <phoneticPr fontId="21" type="noConversion"/>
  </si>
  <si>
    <t>ASMC</t>
    <phoneticPr fontId="21" type="noConversion"/>
  </si>
  <si>
    <t>9+22</t>
    <phoneticPr fontId="21" type="noConversion"/>
  </si>
  <si>
    <t>N9YKS+(SJ063400+SJ064100)</t>
    <phoneticPr fontId="21" type="noConversion"/>
  </si>
  <si>
    <t>14#-22#+(23#~25#+1#~19#)</t>
    <phoneticPr fontId="21" type="noConversion"/>
  </si>
  <si>
    <t>SY58294AFAC</t>
    <phoneticPr fontId="21" type="noConversion"/>
  </si>
  <si>
    <t>JCET</t>
    <phoneticPr fontId="21" type="noConversion"/>
  </si>
  <si>
    <t>HF02158</t>
    <phoneticPr fontId="21" type="noConversion"/>
  </si>
  <si>
    <t>AMM4YA</t>
    <phoneticPr fontId="21" type="noConversion"/>
  </si>
  <si>
    <t>9+25</t>
    <phoneticPr fontId="21" type="noConversion"/>
  </si>
  <si>
    <t xml:space="preserve">N9KF4+SJ028400 </t>
    <phoneticPr fontId="21" type="noConversion"/>
  </si>
  <si>
    <t>1#-9#+1#~25#</t>
    <phoneticPr fontId="21" type="noConversion"/>
  </si>
  <si>
    <t>SY58596AFAC</t>
    <phoneticPr fontId="21" type="noConversion"/>
  </si>
  <si>
    <t>HF02159</t>
    <phoneticPr fontId="21" type="noConversion"/>
  </si>
  <si>
    <t>AQU4YA</t>
    <phoneticPr fontId="21" type="noConversion"/>
  </si>
  <si>
    <t>HF02160</t>
    <phoneticPr fontId="21" type="noConversion"/>
  </si>
  <si>
    <t>HF02161</t>
    <phoneticPr fontId="21" type="noConversion"/>
  </si>
  <si>
    <t>AQU4YB</t>
    <phoneticPr fontId="21" type="noConversion"/>
  </si>
  <si>
    <t>AQU4YC</t>
    <phoneticPr fontId="21" type="noConversion"/>
  </si>
  <si>
    <t>2+10</t>
    <phoneticPr fontId="21" type="noConversion"/>
  </si>
  <si>
    <t>E02TJ0+A2X06B</t>
    <phoneticPr fontId="21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</si>
  <si>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</si>
  <si>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NA40G.01+SJ078700</t>
    <phoneticPr fontId="21" type="noConversion"/>
  </si>
  <si>
    <t>1#-5#+1#-25#</t>
    <phoneticPr fontId="21" type="noConversion"/>
  </si>
  <si>
    <t>NA40G.01+SJ078900</t>
    <phoneticPr fontId="21" type="noConversion"/>
  </si>
  <si>
    <t>6#-10#+1#-25#</t>
    <phoneticPr fontId="21" type="noConversion"/>
  </si>
  <si>
    <t xml:space="preserve">NA40G.01+SJ059300 </t>
    <phoneticPr fontId="21" type="noConversion"/>
  </si>
  <si>
    <t>11#-12#+16#~25#</t>
    <phoneticPr fontId="21" type="noConversion"/>
  </si>
  <si>
    <t>HF02162</t>
    <phoneticPr fontId="21" type="noConversion"/>
  </si>
  <si>
    <t>SYU9916FAC</t>
    <phoneticPr fontId="21" type="noConversion"/>
  </si>
  <si>
    <t>AQU4YD</t>
    <phoneticPr fontId="21" type="noConversion"/>
  </si>
  <si>
    <t>3+15</t>
    <phoneticPr fontId="21" type="noConversion"/>
  </si>
  <si>
    <t>NA40G.01+(SJ075200+SJ076200)</t>
    <phoneticPr fontId="21" type="noConversion"/>
  </si>
  <si>
    <t>13#-15#+(22#-25#+1#~8#,10#~12#)</t>
    <phoneticPr fontId="21" type="noConversion"/>
  </si>
  <si>
    <t>SY58102AFAC</t>
    <phoneticPr fontId="21" type="noConversion"/>
  </si>
  <si>
    <t>E02GA0+A2X02A</t>
    <phoneticPr fontId="21" type="noConversion"/>
  </si>
  <si>
    <t>HF02163</t>
    <phoneticPr fontId="21" type="noConversion"/>
  </si>
  <si>
    <t>ANN4YA</t>
    <phoneticPr fontId="21" type="noConversion"/>
  </si>
  <si>
    <t>8+16</t>
    <phoneticPr fontId="21" type="noConversion"/>
  </si>
  <si>
    <t xml:space="preserve">NA12K.01+SJ045900 </t>
    <phoneticPr fontId="21" type="noConversion"/>
  </si>
  <si>
    <t>1#-8#+1#~4#,8#~19#</t>
    <phoneticPr fontId="21" type="noConversion"/>
  </si>
  <si>
    <t>HF02164</t>
    <phoneticPr fontId="21" type="noConversion"/>
  </si>
  <si>
    <t>ANN4YB</t>
    <phoneticPr fontId="21" type="noConversion"/>
  </si>
  <si>
    <t>4+8</t>
    <phoneticPr fontId="21" type="noConversion"/>
  </si>
  <si>
    <t xml:space="preserve">N9RCG+SJ049300 </t>
    <phoneticPr fontId="21" type="noConversion"/>
  </si>
  <si>
    <t>22#-25#+17#~24#</t>
    <phoneticPr fontId="21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</si>
  <si>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</si>
  <si>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SYT705FAC</t>
    <phoneticPr fontId="21" type="noConversion"/>
  </si>
  <si>
    <t>JCET</t>
    <phoneticPr fontId="21" type="noConversion"/>
  </si>
  <si>
    <t>HF02165</t>
    <phoneticPr fontId="21" type="noConversion"/>
  </si>
  <si>
    <t>AVM4YA</t>
    <phoneticPr fontId="21" type="noConversion"/>
  </si>
  <si>
    <t>8+23</t>
    <phoneticPr fontId="21" type="noConversion"/>
  </si>
  <si>
    <t>N9YSS+FL7R2</t>
    <phoneticPr fontId="21" type="noConversion"/>
  </si>
  <si>
    <t>1#-8#+1#-5#,7#~24#</t>
    <phoneticPr fontId="21" type="noConversion"/>
  </si>
  <si>
    <t>NA2A3-1</t>
  </si>
  <si>
    <t>NA42C-1</t>
  </si>
  <si>
    <t>NA12G</t>
  </si>
  <si>
    <t>NA428-1</t>
  </si>
  <si>
    <t>NA42F-1</t>
  </si>
  <si>
    <t>SY8702AABC</t>
    <phoneticPr fontId="21" type="noConversion"/>
  </si>
  <si>
    <t>TF00822</t>
    <phoneticPr fontId="21" type="noConversion"/>
  </si>
  <si>
    <t>LD4YU</t>
    <phoneticPr fontId="21" type="noConversion"/>
  </si>
  <si>
    <t>LD4YV</t>
    <phoneticPr fontId="21" type="noConversion"/>
  </si>
  <si>
    <t>TF00823</t>
    <phoneticPr fontId="21" type="noConversion"/>
  </si>
  <si>
    <t>NA4C3</t>
  </si>
  <si>
    <t>7#-15#</t>
    <phoneticPr fontId="21" type="noConversion"/>
  </si>
  <si>
    <t>16#-25#</t>
    <phoneticPr fontId="21" type="noConversion"/>
  </si>
  <si>
    <t>TF00824</t>
    <phoneticPr fontId="21" type="noConversion"/>
  </si>
  <si>
    <t>TF00825</t>
    <phoneticPr fontId="21" type="noConversion"/>
  </si>
  <si>
    <t>LD4YW</t>
    <phoneticPr fontId="21" type="noConversion"/>
  </si>
  <si>
    <t>LD4YX</t>
    <phoneticPr fontId="21" type="noConversion"/>
  </si>
  <si>
    <t>NA4C4</t>
  </si>
  <si>
    <t>TF00826</t>
    <phoneticPr fontId="21" type="noConversion"/>
  </si>
  <si>
    <t>TF00827</t>
    <phoneticPr fontId="21" type="noConversion"/>
  </si>
  <si>
    <t>LD4YY</t>
    <phoneticPr fontId="21" type="noConversion"/>
  </si>
  <si>
    <t>LD4YZ</t>
    <phoneticPr fontId="21" type="noConversion"/>
  </si>
  <si>
    <t>NA461</t>
  </si>
  <si>
    <r>
      <t>LD4Y</t>
    </r>
    <r>
      <rPr>
        <u/>
        <sz val="10"/>
        <rFont val="Arial"/>
        <family val="2"/>
      </rPr>
      <t>A</t>
    </r>
    <phoneticPr fontId="21" type="noConversion"/>
  </si>
  <si>
    <t>TF00828</t>
    <phoneticPr fontId="21" type="noConversion"/>
  </si>
  <si>
    <t>TF00829</t>
    <phoneticPr fontId="21" type="noConversion"/>
  </si>
  <si>
    <t>NA464</t>
  </si>
  <si>
    <r>
      <t>LD4Y</t>
    </r>
    <r>
      <rPr>
        <u/>
        <sz val="10"/>
        <rFont val="Arial"/>
        <family val="2"/>
        <charset val="134"/>
      </rPr>
      <t>B</t>
    </r>
    <phoneticPr fontId="21" type="noConversion"/>
  </si>
  <si>
    <r>
      <t>LD4Y</t>
    </r>
    <r>
      <rPr>
        <u/>
        <sz val="10"/>
        <rFont val="Arial"/>
        <family val="2"/>
        <charset val="134"/>
      </rPr>
      <t>C</t>
    </r>
    <phoneticPr fontId="21" type="noConversion"/>
  </si>
  <si>
    <r>
      <t>LD4Y</t>
    </r>
    <r>
      <rPr>
        <u/>
        <sz val="10"/>
        <rFont val="Arial"/>
        <family val="2"/>
        <charset val="134"/>
      </rPr>
      <t>D</t>
    </r>
    <phoneticPr fontId="21" type="noConversion"/>
  </si>
  <si>
    <t>NA4AY</t>
  </si>
  <si>
    <t>TF00830</t>
    <phoneticPr fontId="21" type="noConversion"/>
  </si>
  <si>
    <t>TF00831</t>
    <phoneticPr fontId="21" type="noConversion"/>
  </si>
  <si>
    <r>
      <t>LD4Y</t>
    </r>
    <r>
      <rPr>
        <u/>
        <sz val="10"/>
        <rFont val="Arial"/>
        <family val="2"/>
        <charset val="134"/>
      </rPr>
      <t>E</t>
    </r>
    <phoneticPr fontId="21" type="noConversion"/>
  </si>
  <si>
    <r>
      <t>LD4Y</t>
    </r>
    <r>
      <rPr>
        <u/>
        <sz val="10"/>
        <rFont val="Arial"/>
        <family val="2"/>
        <charset val="134"/>
      </rPr>
      <t>F</t>
    </r>
    <phoneticPr fontId="21" type="noConversion"/>
  </si>
  <si>
    <t>NA4C0</t>
  </si>
  <si>
    <t>TF00832</t>
    <phoneticPr fontId="21" type="noConversion"/>
  </si>
  <si>
    <t>TF00833</t>
    <phoneticPr fontId="21" type="noConversion"/>
  </si>
  <si>
    <t>TF00834</t>
    <phoneticPr fontId="21" type="noConversion"/>
  </si>
  <si>
    <t>TF00835</t>
    <phoneticPr fontId="21" type="noConversion"/>
  </si>
  <si>
    <r>
      <t>LD4Y</t>
    </r>
    <r>
      <rPr>
        <u/>
        <sz val="10"/>
        <rFont val="Arial"/>
        <family val="2"/>
        <charset val="134"/>
      </rPr>
      <t>G</t>
    </r>
    <phoneticPr fontId="21" type="noConversion"/>
  </si>
  <si>
    <r>
      <t>LD4Y</t>
    </r>
    <r>
      <rPr>
        <u/>
        <sz val="10"/>
        <rFont val="Arial"/>
        <family val="2"/>
        <charset val="134"/>
      </rPr>
      <t>H</t>
    </r>
    <phoneticPr fontId="21" type="noConversion"/>
  </si>
  <si>
    <t>NA4C2</t>
    <phoneticPr fontId="21" type="noConversion"/>
  </si>
  <si>
    <t>NA4C2</t>
    <phoneticPr fontId="21" type="noConversion"/>
  </si>
  <si>
    <t>TF00836</t>
    <phoneticPr fontId="21" type="noConversion"/>
  </si>
  <si>
    <t>TF00837</t>
    <phoneticPr fontId="21" type="noConversion"/>
  </si>
  <si>
    <r>
      <t>LD4Y</t>
    </r>
    <r>
      <rPr>
        <u/>
        <sz val="10"/>
        <rFont val="Arial"/>
        <family val="2"/>
        <charset val="134"/>
      </rPr>
      <t>I</t>
    </r>
    <phoneticPr fontId="21" type="noConversion"/>
  </si>
  <si>
    <r>
      <t>LD4Y</t>
    </r>
    <r>
      <rPr>
        <u/>
        <sz val="10"/>
        <rFont val="Arial"/>
        <family val="2"/>
        <charset val="134"/>
      </rPr>
      <t>J</t>
    </r>
    <phoneticPr fontId="21" type="noConversion"/>
  </si>
  <si>
    <t>NA4C1</t>
  </si>
  <si>
    <t>TF00838</t>
    <phoneticPr fontId="21" type="noConversion"/>
  </si>
  <si>
    <t>HTKJ</t>
    <phoneticPr fontId="21" type="noConversion"/>
  </si>
  <si>
    <t>TF00839</t>
    <phoneticPr fontId="21" type="noConversion"/>
  </si>
  <si>
    <t>SY7152ABC</t>
    <phoneticPr fontId="21" type="noConversion"/>
  </si>
  <si>
    <t>LE4YB</t>
    <phoneticPr fontId="21" type="noConversion"/>
  </si>
  <si>
    <t>LE4YC</t>
    <phoneticPr fontId="21" type="noConversion"/>
  </si>
  <si>
    <t>NA408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</si>
  <si>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</si>
  <si>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SY7065AQMC</t>
    <phoneticPr fontId="21" type="noConversion"/>
  </si>
  <si>
    <t>JCET</t>
    <phoneticPr fontId="21" type="noConversion"/>
  </si>
  <si>
    <t>HF02166</t>
    <phoneticPr fontId="21" type="noConversion"/>
  </si>
  <si>
    <t>HF02167</t>
    <phoneticPr fontId="21" type="noConversion"/>
  </si>
  <si>
    <t>VL4YE</t>
    <phoneticPr fontId="21" type="noConversion"/>
  </si>
  <si>
    <t>VL4YF</t>
    <phoneticPr fontId="21" type="noConversion"/>
  </si>
  <si>
    <t>NA46H</t>
  </si>
  <si>
    <t>SY8120ABC</t>
    <phoneticPr fontId="21" type="noConversion"/>
  </si>
  <si>
    <t>HF02168</t>
    <phoneticPr fontId="21" type="noConversion"/>
  </si>
  <si>
    <t>HF02169</t>
    <phoneticPr fontId="21" type="noConversion"/>
  </si>
  <si>
    <t>HT4YA</t>
    <phoneticPr fontId="21" type="noConversion"/>
  </si>
  <si>
    <t>HT4YB</t>
    <phoneticPr fontId="21" type="noConversion"/>
  </si>
  <si>
    <t>NA4R0</t>
  </si>
  <si>
    <t>SYPL31BFAC</t>
    <phoneticPr fontId="21" type="noConversion"/>
  </si>
  <si>
    <t>HF02170</t>
    <phoneticPr fontId="21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</si>
  <si>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</si>
  <si>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HJTC</t>
    <phoneticPr fontId="21" type="noConversion"/>
  </si>
  <si>
    <t>AGB4YB</t>
    <phoneticPr fontId="21" type="noConversion"/>
  </si>
  <si>
    <t>NA40J</t>
    <phoneticPr fontId="21" type="noConversion"/>
  </si>
  <si>
    <t>SY50103BFAC</t>
    <phoneticPr fontId="21" type="noConversion"/>
  </si>
  <si>
    <t>HF02171</t>
    <phoneticPr fontId="21" type="noConversion"/>
  </si>
  <si>
    <t>APS4YA</t>
    <phoneticPr fontId="21" type="noConversion"/>
  </si>
  <si>
    <t>ASMC</t>
    <phoneticPr fontId="21" type="noConversion"/>
  </si>
  <si>
    <t>7+20</t>
    <phoneticPr fontId="21" type="noConversion"/>
  </si>
  <si>
    <t>NA40H+SJ084600</t>
    <phoneticPr fontId="21" type="noConversion"/>
  </si>
  <si>
    <t>1#-7#+1#-20#</t>
    <phoneticPr fontId="21" type="noConversion"/>
  </si>
  <si>
    <t>N9WQ3.01;SJ084400</t>
    <phoneticPr fontId="21" type="noConversion"/>
  </si>
  <si>
    <t>SY7219DBC</t>
    <phoneticPr fontId="21" type="noConversion"/>
  </si>
  <si>
    <t>E03B4</t>
  </si>
  <si>
    <t>JCET</t>
    <phoneticPr fontId="21" type="noConversion"/>
  </si>
  <si>
    <t>HF02172</t>
    <phoneticPr fontId="21" type="noConversion"/>
  </si>
  <si>
    <t>GV4YA</t>
    <phoneticPr fontId="21" type="noConversion"/>
  </si>
  <si>
    <t>HJTC</t>
    <phoneticPr fontId="21" type="noConversion"/>
  </si>
  <si>
    <t>DFN3*3-10</t>
    <phoneticPr fontId="21" type="noConversion"/>
  </si>
  <si>
    <t>NA1TT.02</t>
    <phoneticPr fontId="21" type="noConversion"/>
  </si>
  <si>
    <t>5#-6#</t>
  </si>
  <si>
    <t>SY8104ADC</t>
    <phoneticPr fontId="21" type="noConversion"/>
  </si>
  <si>
    <t>HF02173</t>
    <phoneticPr fontId="21" type="noConversion"/>
  </si>
  <si>
    <t>HF02174</t>
    <phoneticPr fontId="21" type="noConversion"/>
  </si>
  <si>
    <t>JR4YI</t>
    <phoneticPr fontId="21" type="noConversion"/>
  </si>
  <si>
    <t>JR4YJ</t>
    <phoneticPr fontId="21" type="noConversion"/>
  </si>
  <si>
    <t>NA402</t>
    <phoneticPr fontId="21" type="noConversion"/>
  </si>
  <si>
    <t>A42B3</t>
    <phoneticPr fontId="21" type="noConversion"/>
  </si>
  <si>
    <t>JCET</t>
    <phoneticPr fontId="21" type="noConversion"/>
  </si>
  <si>
    <t>HF02176</t>
    <phoneticPr fontId="21" type="noConversion"/>
  </si>
  <si>
    <t>KT4YE</t>
    <phoneticPr fontId="21" type="noConversion"/>
  </si>
  <si>
    <t>KT4YF</t>
    <phoneticPr fontId="21" type="noConversion"/>
  </si>
  <si>
    <t>NA420</t>
  </si>
  <si>
    <t>SY8868QMC</t>
    <phoneticPr fontId="21" type="noConversion"/>
  </si>
  <si>
    <t>HF02175</t>
    <phoneticPr fontId="21" type="noConversion"/>
  </si>
  <si>
    <t>HF02177</t>
    <phoneticPr fontId="21" type="noConversion"/>
  </si>
  <si>
    <t>Eg4YA</t>
    <phoneticPr fontId="21" type="noConversion"/>
  </si>
  <si>
    <t>UMC</t>
    <phoneticPr fontId="21" type="noConversion"/>
  </si>
  <si>
    <t>4+11</t>
    <phoneticPr fontId="21" type="noConversion"/>
  </si>
  <si>
    <t>NA4L7.02+F68KS</t>
    <phoneticPr fontId="21" type="noConversion"/>
  </si>
  <si>
    <t>1#-4#+15#-25#</t>
    <phoneticPr fontId="21" type="noConversion"/>
  </si>
  <si>
    <t>B23E1</t>
    <phoneticPr fontId="21" type="noConversion"/>
  </si>
  <si>
    <t>SY7066AQMC</t>
    <phoneticPr fontId="21" type="noConversion"/>
  </si>
  <si>
    <t>VL4YG</t>
    <phoneticPr fontId="21" type="noConversion"/>
  </si>
  <si>
    <t>HF02179</t>
    <phoneticPr fontId="21" type="noConversion"/>
  </si>
  <si>
    <t>VL4YH</t>
    <phoneticPr fontId="21" type="noConversion"/>
  </si>
  <si>
    <t>HF02178</t>
    <phoneticPr fontId="21" type="noConversion"/>
  </si>
  <si>
    <t>NA2YP</t>
  </si>
  <si>
    <t>UMC</t>
    <phoneticPr fontId="21" type="noConversion"/>
  </si>
  <si>
    <t>NA12F-3</t>
  </si>
  <si>
    <t>NA40A</t>
  </si>
  <si>
    <t>NA40A-1</t>
  </si>
  <si>
    <t>NA40A-2</t>
  </si>
  <si>
    <t>NA40C</t>
  </si>
  <si>
    <t>NA40C.02</t>
  </si>
  <si>
    <t>NA36C</t>
  </si>
  <si>
    <t>N9YSR</t>
  </si>
  <si>
    <t>N9YSR.03</t>
  </si>
  <si>
    <t>NA1CQ.03</t>
  </si>
  <si>
    <t>NA3T7-1</t>
  </si>
  <si>
    <t>NA40M-1</t>
  </si>
  <si>
    <t>NA40M-2</t>
  </si>
  <si>
    <t>NA40P</t>
  </si>
  <si>
    <t>N9KF1-1</t>
  </si>
  <si>
    <t>N9KF1.06</t>
  </si>
  <si>
    <t>N8H68;N8LF8-2</t>
  </si>
  <si>
    <t>NA429-1</t>
  </si>
  <si>
    <t>NA42A-1</t>
  </si>
  <si>
    <t>N8LGL-1</t>
  </si>
  <si>
    <r>
      <t>5</t>
    </r>
    <r>
      <rPr>
        <sz val="10"/>
        <rFont val="宋体"/>
        <family val="3"/>
        <charset val="134"/>
      </rPr>
      <t>片</t>
    </r>
    <r>
      <rPr>
        <sz val="10"/>
        <rFont val="Arial"/>
        <family val="2"/>
        <charset val="134"/>
      </rPr>
      <t>wafer</t>
    </r>
    <r>
      <rPr>
        <sz val="10"/>
        <rFont val="宋体"/>
        <family val="3"/>
        <charset val="134"/>
      </rPr>
      <t>背崩报废</t>
    </r>
    <phoneticPr fontId="21" type="noConversion"/>
  </si>
  <si>
    <t>SY50133FAC</t>
    <phoneticPr fontId="19" type="noConversion"/>
  </si>
  <si>
    <t>JCET</t>
    <phoneticPr fontId="19" type="noConversion"/>
  </si>
  <si>
    <t>HF02180</t>
    <phoneticPr fontId="19" type="noConversion"/>
  </si>
  <si>
    <t>ATK4YA</t>
    <phoneticPr fontId="19" type="noConversion"/>
  </si>
  <si>
    <t>N9SYM+SJ082900</t>
    <phoneticPr fontId="19" type="noConversion"/>
  </si>
  <si>
    <t>12#,13#,15#-19#+1#-22#</t>
    <phoneticPr fontId="19" type="noConversion"/>
  </si>
  <si>
    <t>HF02181</t>
    <phoneticPr fontId="19" type="noConversion"/>
  </si>
  <si>
    <t>ATK4YB</t>
    <phoneticPr fontId="19" type="noConversion"/>
  </si>
  <si>
    <t>1+3</t>
    <phoneticPr fontId="19" type="noConversion"/>
  </si>
  <si>
    <t>20#+23#~25#</t>
    <phoneticPr fontId="19" type="noConversion"/>
  </si>
  <si>
    <t>HF02182</t>
    <phoneticPr fontId="19" type="noConversion"/>
  </si>
  <si>
    <t>ATK4YC</t>
    <phoneticPr fontId="19" type="noConversion"/>
  </si>
  <si>
    <t>N9SYM+(SJ082800+SJ082803)</t>
    <phoneticPr fontId="19" type="noConversion"/>
  </si>
  <si>
    <t>21#+(24#~25#+12#)</t>
    <phoneticPr fontId="19" type="noConversion"/>
  </si>
  <si>
    <t>HF02183</t>
    <phoneticPr fontId="19" type="noConversion"/>
  </si>
  <si>
    <t>ATK4YD</t>
    <phoneticPr fontId="19" type="noConversion"/>
  </si>
  <si>
    <t>N9SYM+SJ084700</t>
    <phoneticPr fontId="19" type="noConversion"/>
  </si>
  <si>
    <t>22#-25#+1#-13#</t>
    <phoneticPr fontId="19" type="noConversion"/>
  </si>
  <si>
    <t>JCET</t>
    <phoneticPr fontId="19" type="noConversion"/>
  </si>
  <si>
    <t>HF02184</t>
    <phoneticPr fontId="19" type="noConversion"/>
  </si>
  <si>
    <t>ATK4YE</t>
    <phoneticPr fontId="19" type="noConversion"/>
  </si>
  <si>
    <t>6+19</t>
    <phoneticPr fontId="19" type="noConversion"/>
  </si>
  <si>
    <t>N9SYN.01+(SJ084700+SJ083100)</t>
    <phoneticPr fontId="19" type="noConversion"/>
  </si>
  <si>
    <t>7#-12#+(14#-25#+6#,8#,11#-14#,16#)</t>
    <phoneticPr fontId="19" type="noConversion"/>
  </si>
  <si>
    <t>SY50282FAC</t>
    <phoneticPr fontId="19" type="noConversion"/>
  </si>
  <si>
    <t>E34B2+U3X10A</t>
    <phoneticPr fontId="19" type="noConversion"/>
  </si>
  <si>
    <t>JCET</t>
    <phoneticPr fontId="19" type="noConversion"/>
  </si>
  <si>
    <t>HF02185</t>
    <phoneticPr fontId="19" type="noConversion"/>
  </si>
  <si>
    <t>ASZ4YA</t>
    <phoneticPr fontId="19" type="noConversion"/>
  </si>
  <si>
    <t>UMC</t>
    <phoneticPr fontId="19" type="noConversion"/>
  </si>
  <si>
    <t>1+2</t>
    <phoneticPr fontId="19" type="noConversion"/>
  </si>
  <si>
    <t>NA4L7+FRNRS</t>
    <phoneticPr fontId="19" type="noConversion"/>
  </si>
  <si>
    <t>16#+1#-2#</t>
    <phoneticPr fontId="19" type="noConversion"/>
  </si>
  <si>
    <t>SY58281LAAC</t>
    <phoneticPr fontId="19" type="noConversion"/>
  </si>
  <si>
    <t>JCET</t>
    <phoneticPr fontId="19" type="noConversion"/>
  </si>
  <si>
    <t>HF02186</t>
    <phoneticPr fontId="19" type="noConversion"/>
  </si>
  <si>
    <t>Fa4YA</t>
    <phoneticPr fontId="19" type="noConversion"/>
  </si>
  <si>
    <t>ASMC</t>
    <phoneticPr fontId="19" type="noConversion"/>
  </si>
  <si>
    <t>NA4L7.02+ FRNRS</t>
    <phoneticPr fontId="19" type="noConversion"/>
  </si>
  <si>
    <t>5#-12#+3#-25#</t>
    <phoneticPr fontId="19" type="noConversion"/>
  </si>
  <si>
    <t>B18QA0+B28EA0</t>
    <phoneticPr fontId="21" type="noConversion"/>
  </si>
  <si>
    <t>NA2A1-1</t>
  </si>
  <si>
    <t>NA2A2-1</t>
  </si>
  <si>
    <t>N9RCM;SJ083800</t>
  </si>
  <si>
    <t>(SJ063400+SJ064100);N9YKS</t>
  </si>
  <si>
    <t>N9KF4;SJ028400</t>
  </si>
  <si>
    <t>NA12K.01;SJ045900</t>
  </si>
  <si>
    <t>N9RCG;SJ049300</t>
  </si>
  <si>
    <t>FL7R2;N9YSS</t>
  </si>
  <si>
    <t>NA4R0-1</t>
  </si>
  <si>
    <t>NA40J</t>
  </si>
  <si>
    <t>NA40H;SJ084600</t>
  </si>
  <si>
    <t>JCET</t>
    <phoneticPr fontId="21" type="noConversion"/>
  </si>
  <si>
    <t>HF02187</t>
    <phoneticPr fontId="21" type="noConversion"/>
  </si>
  <si>
    <t>SY8011BDQC</t>
    <phoneticPr fontId="21" type="noConversion"/>
  </si>
  <si>
    <t>MC4YA</t>
    <phoneticPr fontId="21" type="noConversion"/>
  </si>
  <si>
    <t>HTJC</t>
    <phoneticPr fontId="21" type="noConversion"/>
  </si>
  <si>
    <t>NA12P.03</t>
    <phoneticPr fontId="21" type="noConversion"/>
  </si>
  <si>
    <t>3#-7#</t>
  </si>
  <si>
    <t>SY8003EDFC</t>
    <phoneticPr fontId="21" type="noConversion"/>
  </si>
  <si>
    <t>JCET</t>
    <phoneticPr fontId="21" type="noConversion"/>
  </si>
  <si>
    <t>HF02188</t>
    <phoneticPr fontId="21" type="noConversion"/>
  </si>
  <si>
    <t>VC4YC</t>
    <phoneticPr fontId="21" type="noConversion"/>
  </si>
  <si>
    <t>HF02189</t>
    <phoneticPr fontId="21" type="noConversion"/>
  </si>
  <si>
    <t>VC4YD</t>
    <phoneticPr fontId="21" type="noConversion"/>
  </si>
  <si>
    <t>NA40P</t>
    <phoneticPr fontId="21" type="noConversion"/>
  </si>
  <si>
    <t>SY7088DGC</t>
    <phoneticPr fontId="21" type="noConversion"/>
  </si>
  <si>
    <t>JCET</t>
    <phoneticPr fontId="21" type="noConversion"/>
  </si>
  <si>
    <t>HF02190</t>
    <phoneticPr fontId="21" type="noConversion"/>
  </si>
  <si>
    <t>VT4YI</t>
    <phoneticPr fontId="21" type="noConversion"/>
  </si>
  <si>
    <t>HF02191</t>
    <phoneticPr fontId="21" type="noConversion"/>
  </si>
  <si>
    <t>VT4YJ</t>
    <phoneticPr fontId="21" type="noConversion"/>
  </si>
  <si>
    <t>NA4RA</t>
  </si>
  <si>
    <t>SY8121BABC</t>
    <phoneticPr fontId="21" type="noConversion"/>
  </si>
  <si>
    <t>JCET</t>
    <phoneticPr fontId="21" type="noConversion"/>
  </si>
  <si>
    <t>HF02192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</si>
  <si>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</si>
  <si>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TV4YA</t>
    <phoneticPr fontId="21" type="noConversion"/>
  </si>
  <si>
    <t>JCET</t>
    <phoneticPr fontId="21" type="noConversion"/>
  </si>
  <si>
    <t>HF02193</t>
    <phoneticPr fontId="21" type="noConversion"/>
  </si>
  <si>
    <t>TV4YB</t>
    <phoneticPr fontId="21" type="noConversion"/>
  </si>
  <si>
    <t>NA4QY</t>
    <phoneticPr fontId="21" type="noConversion"/>
  </si>
  <si>
    <t>1#-12#</t>
    <phoneticPr fontId="21" type="noConversion"/>
  </si>
  <si>
    <t>13#-25#</t>
    <phoneticPr fontId="21" type="noConversion"/>
  </si>
  <si>
    <t>HF02194</t>
    <phoneticPr fontId="21" type="noConversion"/>
  </si>
  <si>
    <t>HF02195</t>
    <phoneticPr fontId="21" type="noConversion"/>
  </si>
  <si>
    <t>TV4YC</t>
    <phoneticPr fontId="21" type="noConversion"/>
  </si>
  <si>
    <t>TV4YD</t>
    <phoneticPr fontId="21" type="noConversion"/>
  </si>
  <si>
    <t>NA4R2</t>
  </si>
  <si>
    <t>SY8120ABC</t>
    <phoneticPr fontId="21" type="noConversion"/>
  </si>
  <si>
    <t>HF02196</t>
    <phoneticPr fontId="21" type="noConversion"/>
  </si>
  <si>
    <t>HF02197</t>
    <phoneticPr fontId="21" type="noConversion"/>
  </si>
  <si>
    <t>HT4YC</t>
    <phoneticPr fontId="21" type="noConversion"/>
  </si>
  <si>
    <t>HT4YD</t>
    <phoneticPr fontId="21" type="noConversion"/>
  </si>
  <si>
    <t>NA4R1</t>
  </si>
  <si>
    <t>SY7088DGC</t>
    <phoneticPr fontId="21" type="noConversion"/>
  </si>
  <si>
    <t>HF02198</t>
    <phoneticPr fontId="21" type="noConversion"/>
  </si>
  <si>
    <t>HF02199</t>
    <phoneticPr fontId="21" type="noConversion"/>
  </si>
  <si>
    <t>VT4YK</t>
    <phoneticPr fontId="21" type="noConversion"/>
  </si>
  <si>
    <t>VT4YL</t>
    <phoneticPr fontId="21" type="noConversion"/>
  </si>
  <si>
    <t>NA4R9</t>
  </si>
  <si>
    <t>SY7065QMC</t>
    <phoneticPr fontId="21" type="noConversion"/>
  </si>
  <si>
    <t>HF02200</t>
    <phoneticPr fontId="21" type="noConversion"/>
  </si>
  <si>
    <t>HF02201</t>
    <phoneticPr fontId="21" type="noConversion"/>
  </si>
  <si>
    <t>RC4YA</t>
    <phoneticPr fontId="21" type="noConversion"/>
  </si>
  <si>
    <t>RC4YB</t>
    <phoneticPr fontId="21" type="noConversion"/>
  </si>
  <si>
    <t>QFN2*2-10</t>
    <phoneticPr fontId="21" type="noConversion"/>
  </si>
  <si>
    <t>NA46J</t>
  </si>
  <si>
    <t>1#~12#</t>
    <phoneticPr fontId="21" type="noConversion"/>
  </si>
  <si>
    <t>13#~25#</t>
    <phoneticPr fontId="21" type="noConversion"/>
  </si>
  <si>
    <t>SY58283FAC</t>
    <phoneticPr fontId="21" type="noConversion"/>
  </si>
  <si>
    <t>HF02202</t>
    <phoneticPr fontId="21" type="noConversion"/>
  </si>
  <si>
    <t>AQK4YB</t>
    <phoneticPr fontId="21" type="noConversion"/>
  </si>
  <si>
    <t>ASMC</t>
    <phoneticPr fontId="21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</si>
  <si>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</si>
  <si>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 xml:space="preserve">NA0J3+SJ064200 </t>
    <phoneticPr fontId="21" type="noConversion"/>
  </si>
  <si>
    <t>1#-9#+1#~22#</t>
    <phoneticPr fontId="21" type="noConversion"/>
  </si>
  <si>
    <t>SY8121BABC</t>
    <phoneticPr fontId="21" type="noConversion"/>
  </si>
  <si>
    <t>F0RSR;N9Y9H.03</t>
    <phoneticPr fontId="21" type="noConversion"/>
  </si>
  <si>
    <t>N8WSL</t>
    <phoneticPr fontId="21" type="noConversion"/>
  </si>
  <si>
    <t>N9F4N-1</t>
    <phoneticPr fontId="21" type="noConversion"/>
  </si>
  <si>
    <t>SY50281AAC</t>
    <phoneticPr fontId="21" type="noConversion"/>
  </si>
  <si>
    <t>JCET</t>
    <phoneticPr fontId="21" type="noConversion"/>
  </si>
  <si>
    <t>HF02203</t>
    <phoneticPr fontId="21" type="noConversion"/>
  </si>
  <si>
    <t>ZR4YA</t>
    <phoneticPr fontId="21" type="noConversion"/>
  </si>
  <si>
    <t>UMC</t>
    <phoneticPr fontId="21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</si>
  <si>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</si>
  <si>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2+5</t>
    <phoneticPr fontId="21" type="noConversion"/>
  </si>
  <si>
    <t>NA4L7+F4T0S</t>
    <phoneticPr fontId="21" type="noConversion"/>
  </si>
  <si>
    <t>17#-18#+1#-5#</t>
    <phoneticPr fontId="21" type="noConversion"/>
  </si>
  <si>
    <t>SY50282FAC</t>
    <phoneticPr fontId="21" type="noConversion"/>
  </si>
  <si>
    <t>HF02204</t>
    <phoneticPr fontId="21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</si>
  <si>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</si>
  <si>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ASZ4YB</t>
    <phoneticPr fontId="21" type="noConversion"/>
  </si>
  <si>
    <t>2+5</t>
    <phoneticPr fontId="19" type="noConversion"/>
  </si>
  <si>
    <t>19#-20#+6#-11#</t>
    <phoneticPr fontId="21" type="noConversion"/>
  </si>
  <si>
    <t>SY58282LFAC</t>
    <phoneticPr fontId="21" type="noConversion"/>
  </si>
  <si>
    <t>JCET</t>
    <phoneticPr fontId="21" type="noConversion"/>
  </si>
  <si>
    <t>HF02205</t>
    <phoneticPr fontId="21" type="noConversion"/>
  </si>
  <si>
    <t>ASMC</t>
    <phoneticPr fontId="21" type="noConversion"/>
  </si>
  <si>
    <t>5+14</t>
    <phoneticPr fontId="21" type="noConversion"/>
  </si>
  <si>
    <t>(NA4L7.02+NA4L9)+F4T0S</t>
    <phoneticPr fontId="21" type="noConversion"/>
  </si>
  <si>
    <t>(13#-15#+1#-2#)+12#-25#</t>
    <phoneticPr fontId="21" type="noConversion"/>
  </si>
  <si>
    <t>HF02206</t>
    <phoneticPr fontId="21" type="noConversion"/>
  </si>
  <si>
    <t>SY58182FAC</t>
    <phoneticPr fontId="21" type="noConversion"/>
  </si>
  <si>
    <t>AWM4YA</t>
    <phoneticPr fontId="21" type="noConversion"/>
  </si>
  <si>
    <t>NA4L9+F968W</t>
    <phoneticPr fontId="21" type="noConversion"/>
  </si>
  <si>
    <t>3#-9#+1#-20#</t>
    <phoneticPr fontId="21" type="noConversion"/>
  </si>
  <si>
    <t>SY58181AAC</t>
    <phoneticPr fontId="21" type="noConversion"/>
  </si>
  <si>
    <t>HF02207</t>
    <phoneticPr fontId="21" type="noConversion"/>
  </si>
  <si>
    <t>Eg4YB</t>
    <phoneticPr fontId="21" type="noConversion"/>
  </si>
  <si>
    <t>NA4L9+(F0FS9+F4LGA)</t>
    <phoneticPr fontId="21" type="noConversion"/>
  </si>
  <si>
    <t>NA2Y6-1</t>
  </si>
  <si>
    <t>NA2YQ-1</t>
  </si>
  <si>
    <t>NA2YR-1</t>
  </si>
  <si>
    <t>NA358-1</t>
  </si>
  <si>
    <t>NA3MQ</t>
  </si>
  <si>
    <t>NA1TT.02</t>
  </si>
  <si>
    <t>F68KS;NA4L7.02</t>
  </si>
  <si>
    <t>SJ082900;N9SYM</t>
  </si>
  <si>
    <t>SJ082900;N9SYM-1</t>
  </si>
  <si>
    <t>(SJ082800+SJ082803);N9SYM</t>
  </si>
  <si>
    <t>SJ084700;N9SYM</t>
  </si>
  <si>
    <t>(SJ084700+SJ083100);N9SYN.01</t>
  </si>
  <si>
    <t>FRNRS;NA4L7</t>
  </si>
  <si>
    <t>FRNRS;NA4L7.02</t>
  </si>
  <si>
    <t>NA40P-1</t>
  </si>
  <si>
    <t>NA40P-2</t>
  </si>
  <si>
    <t>NA4RA-1</t>
  </si>
  <si>
    <t>N9C3W</t>
  </si>
  <si>
    <t>NA4QY</t>
  </si>
  <si>
    <t>NA4QY-1</t>
  </si>
  <si>
    <t>NA4R2-1</t>
  </si>
  <si>
    <t>NA4R1-1</t>
  </si>
  <si>
    <t>NA4R9-1</t>
  </si>
  <si>
    <t>SJ064200;NA0J3</t>
  </si>
  <si>
    <t>5+20</t>
    <phoneticPr fontId="21" type="noConversion"/>
  </si>
  <si>
    <t>10#-14#+(7#~25#+24#)</t>
    <phoneticPr fontId="21" type="noConversion"/>
  </si>
  <si>
    <t>JCET</t>
    <phoneticPr fontId="21" type="noConversion"/>
  </si>
  <si>
    <t>HF02208</t>
    <phoneticPr fontId="21" type="noConversion"/>
  </si>
  <si>
    <t>NB4YA</t>
    <phoneticPr fontId="21" type="noConversion"/>
  </si>
  <si>
    <t>HJTC</t>
    <phoneticPr fontId="21" type="noConversion"/>
  </si>
  <si>
    <t>HF02209</t>
    <phoneticPr fontId="21" type="noConversion"/>
  </si>
  <si>
    <t>NB4YB</t>
    <phoneticPr fontId="21" type="noConversion"/>
  </si>
  <si>
    <t>SY8120BABC</t>
    <phoneticPr fontId="21" type="noConversion"/>
  </si>
  <si>
    <t>NA59W</t>
    <phoneticPr fontId="21" type="noConversion"/>
  </si>
  <si>
    <t>HF02210</t>
    <phoneticPr fontId="21" type="noConversion"/>
  </si>
  <si>
    <t>SYJ905ABC</t>
    <phoneticPr fontId="21" type="noConversion"/>
  </si>
  <si>
    <t>NB4YC</t>
    <phoneticPr fontId="21" type="noConversion"/>
  </si>
  <si>
    <t>20#~25#</t>
    <phoneticPr fontId="21" type="noConversion"/>
  </si>
  <si>
    <t>A36A2</t>
    <phoneticPr fontId="21" type="noConversion"/>
  </si>
  <si>
    <t>n/a</t>
    <phoneticPr fontId="19" type="noConversion"/>
  </si>
  <si>
    <t>HF01429</t>
    <phoneticPr fontId="21" type="noConversion"/>
  </si>
  <si>
    <t>NA3MQ-1</t>
  </si>
  <si>
    <t>NA400-1</t>
  </si>
  <si>
    <t>NA401-1</t>
  </si>
  <si>
    <t>NA403-1</t>
  </si>
  <si>
    <t>(SJ075200+SJ076200);NA40G.01</t>
  </si>
  <si>
    <t>F4T0S;NA4L7-1</t>
  </si>
  <si>
    <t>F4T0S;NA4L7</t>
  </si>
  <si>
    <t>F4T0S;(NA4L7.02+NA4L9)</t>
  </si>
  <si>
    <t>F968W;NA4L9</t>
  </si>
  <si>
    <t>(F0FS9+F4LGA);NA4L9</t>
  </si>
  <si>
    <t>NA59W</t>
  </si>
  <si>
    <t>NA59W-1</t>
  </si>
  <si>
    <t>TF00840</t>
    <phoneticPr fontId="21" type="noConversion"/>
  </si>
  <si>
    <t>TF00841</t>
    <phoneticPr fontId="21" type="noConversion"/>
  </si>
  <si>
    <t>LD4ZA</t>
    <phoneticPr fontId="21" type="noConversion"/>
  </si>
  <si>
    <t>LD4ZB</t>
    <phoneticPr fontId="21" type="noConversion"/>
  </si>
  <si>
    <t>NA59Y</t>
  </si>
  <si>
    <t>LD4ZC</t>
    <phoneticPr fontId="21" type="noConversion"/>
  </si>
  <si>
    <t>LD4ZD</t>
    <phoneticPr fontId="21" type="noConversion"/>
  </si>
  <si>
    <t>TF00842</t>
    <phoneticPr fontId="21" type="noConversion"/>
  </si>
  <si>
    <t>TF00843</t>
    <phoneticPr fontId="21" type="noConversion"/>
  </si>
  <si>
    <t>NA5A2</t>
  </si>
  <si>
    <t>TF00844</t>
    <phoneticPr fontId="21" type="noConversion"/>
  </si>
  <si>
    <t>TF00845</t>
    <phoneticPr fontId="21" type="noConversion"/>
  </si>
  <si>
    <t>NA5A0</t>
  </si>
  <si>
    <t>LD4ZE</t>
    <phoneticPr fontId="21" type="noConversion"/>
  </si>
  <si>
    <t>LD4ZF</t>
    <phoneticPr fontId="21" type="noConversion"/>
  </si>
  <si>
    <t>LD4ZG</t>
    <phoneticPr fontId="21" type="noConversion"/>
  </si>
  <si>
    <t>LD4ZH</t>
    <phoneticPr fontId="21" type="noConversion"/>
  </si>
  <si>
    <t>TF00846</t>
    <phoneticPr fontId="21" type="noConversion"/>
  </si>
  <si>
    <t>TF00847</t>
    <phoneticPr fontId="21" type="noConversion"/>
  </si>
  <si>
    <t>NA5A1</t>
  </si>
  <si>
    <t>SY58281SAAC</t>
    <phoneticPr fontId="19" type="noConversion"/>
  </si>
  <si>
    <t>JCET</t>
    <phoneticPr fontId="21" type="noConversion"/>
  </si>
  <si>
    <t>HF02211</t>
    <phoneticPr fontId="21" type="noConversion"/>
  </si>
  <si>
    <t>HF02212</t>
    <phoneticPr fontId="21" type="noConversion"/>
  </si>
  <si>
    <t>YB4ZA</t>
    <phoneticPr fontId="21" type="noConversion"/>
  </si>
  <si>
    <t>YB4ZB</t>
    <phoneticPr fontId="21" type="noConversion"/>
  </si>
  <si>
    <t>(N9YKS+NA0J3)+SJ085300</t>
    <phoneticPr fontId="21" type="noConversion"/>
  </si>
  <si>
    <t>(23#-25#+10#-11#)+1#-9#</t>
    <phoneticPr fontId="21" type="noConversion"/>
  </si>
  <si>
    <t>12#-20#+10#~25#</t>
    <phoneticPr fontId="21" type="noConversion"/>
  </si>
  <si>
    <t>NA0J3+SJ085300</t>
    <phoneticPr fontId="21" type="noConversion"/>
  </si>
  <si>
    <t>SY8120BABC</t>
    <phoneticPr fontId="21" type="noConversion"/>
  </si>
  <si>
    <t>JCET</t>
    <phoneticPr fontId="21" type="noConversion"/>
  </si>
  <si>
    <t>HF02213</t>
    <phoneticPr fontId="21" type="noConversion"/>
  </si>
  <si>
    <t>NB4ZA</t>
    <phoneticPr fontId="21" type="noConversion"/>
  </si>
  <si>
    <t>HJTC</t>
    <phoneticPr fontId="21" type="noConversion"/>
  </si>
  <si>
    <t>HF02214</t>
    <phoneticPr fontId="21" type="noConversion"/>
  </si>
  <si>
    <t>NB4ZB</t>
    <phoneticPr fontId="21" type="noConversion"/>
  </si>
  <si>
    <t>NA59T</t>
  </si>
  <si>
    <t>NA59T</t>
    <phoneticPr fontId="21" type="noConversion"/>
  </si>
  <si>
    <t>1#-12#</t>
    <phoneticPr fontId="21" type="noConversion"/>
  </si>
  <si>
    <t>13#~25#</t>
    <phoneticPr fontId="21" type="noConversion"/>
  </si>
  <si>
    <t>SY8121BABC</t>
    <phoneticPr fontId="21" type="noConversion"/>
  </si>
  <si>
    <t>HF02215</t>
    <phoneticPr fontId="21" type="noConversion"/>
  </si>
  <si>
    <t>HF02216</t>
    <phoneticPr fontId="21" type="noConversion"/>
  </si>
  <si>
    <t>HF02217</t>
    <phoneticPr fontId="21" type="noConversion"/>
  </si>
  <si>
    <t>HF02218</t>
    <phoneticPr fontId="21" type="noConversion"/>
  </si>
  <si>
    <t>TV4ZA</t>
    <phoneticPr fontId="21" type="noConversion"/>
  </si>
  <si>
    <t>TV4ZB</t>
    <phoneticPr fontId="21" type="noConversion"/>
  </si>
  <si>
    <t>TV4ZC</t>
    <phoneticPr fontId="21" type="noConversion"/>
  </si>
  <si>
    <t>TV4ZD</t>
    <phoneticPr fontId="21" type="noConversion"/>
  </si>
  <si>
    <t>NA5LQ</t>
  </si>
  <si>
    <t>NA5LS</t>
  </si>
  <si>
    <t>GF00058</t>
    <phoneticPr fontId="19" type="noConversion"/>
  </si>
  <si>
    <t>SY50133FAC</t>
    <phoneticPr fontId="21" type="noConversion"/>
  </si>
  <si>
    <t>JCET</t>
    <phoneticPr fontId="21" type="noConversion"/>
  </si>
  <si>
    <t>HF02219</t>
    <phoneticPr fontId="21" type="noConversion"/>
  </si>
  <si>
    <t>ATK4ZA</t>
    <phoneticPr fontId="21" type="noConversion"/>
  </si>
  <si>
    <t>N9SYN.01+SJ084800</t>
    <phoneticPr fontId="21" type="noConversion"/>
  </si>
  <si>
    <t>13#-16#+1#-13#</t>
    <phoneticPr fontId="21" type="noConversion"/>
  </si>
  <si>
    <t>HF02220</t>
    <phoneticPr fontId="21" type="noConversion"/>
  </si>
  <si>
    <t>ATK4ZB</t>
    <phoneticPr fontId="21" type="noConversion"/>
  </si>
  <si>
    <t>N9SYL+SJ084900</t>
    <phoneticPr fontId="21" type="noConversion"/>
  </si>
  <si>
    <t>1#-7#+1#-4#,6#~23#</t>
    <phoneticPr fontId="21" type="noConversion"/>
  </si>
  <si>
    <t>HF02221</t>
    <phoneticPr fontId="21" type="noConversion"/>
  </si>
  <si>
    <t>ATK4ZC</t>
    <phoneticPr fontId="21" type="noConversion"/>
  </si>
  <si>
    <t>N9SYL+(SJ084800+SJ084900)</t>
    <phoneticPr fontId="21" type="noConversion"/>
  </si>
  <si>
    <t>8#-11#+(14#-25#+24#)</t>
    <phoneticPr fontId="21" type="noConversion"/>
  </si>
  <si>
    <t>HF02222</t>
    <phoneticPr fontId="21" type="noConversion"/>
  </si>
  <si>
    <t>HF02223</t>
    <phoneticPr fontId="21" type="noConversion"/>
  </si>
  <si>
    <t>ATK4ZD</t>
    <phoneticPr fontId="21" type="noConversion"/>
  </si>
  <si>
    <t>ATK4ZE</t>
    <phoneticPr fontId="21" type="noConversion"/>
  </si>
  <si>
    <t>N9SYL+SJ083001</t>
    <phoneticPr fontId="21" type="noConversion"/>
  </si>
  <si>
    <t>12#+20#-22#</t>
    <phoneticPr fontId="21" type="noConversion"/>
  </si>
  <si>
    <t>N9SYL+(SJ083105+SJ084900)</t>
    <phoneticPr fontId="21" type="noConversion"/>
  </si>
  <si>
    <t>SY58281SAAC</t>
    <phoneticPr fontId="21" type="noConversion"/>
  </si>
  <si>
    <t>HF02224</t>
    <phoneticPr fontId="21" type="noConversion"/>
  </si>
  <si>
    <t>YB4ZC</t>
    <phoneticPr fontId="21" type="noConversion"/>
  </si>
  <si>
    <t>HF02225</t>
    <phoneticPr fontId="21" type="noConversion"/>
  </si>
  <si>
    <t>YB4ZD</t>
    <phoneticPr fontId="21" type="noConversion"/>
  </si>
  <si>
    <t>NA0J4+SJ085500</t>
    <phoneticPr fontId="21" type="noConversion"/>
  </si>
  <si>
    <t>1#-9#+10#~25#</t>
    <phoneticPr fontId="21" type="noConversion"/>
  </si>
  <si>
    <t>SY58182FAC</t>
    <phoneticPr fontId="21" type="noConversion"/>
  </si>
  <si>
    <t>HF02226</t>
    <phoneticPr fontId="21" type="noConversion"/>
  </si>
  <si>
    <t>AWM4ZA</t>
    <phoneticPr fontId="21" type="noConversion"/>
  </si>
  <si>
    <t>UMC</t>
    <phoneticPr fontId="21" type="noConversion"/>
  </si>
  <si>
    <t>NA4L9+FL2TF</t>
    <phoneticPr fontId="21" type="noConversion"/>
  </si>
  <si>
    <r>
      <t>15#-21#+2#-20#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22#</t>
    </r>
    <phoneticPr fontId="21" type="noConversion"/>
  </si>
  <si>
    <t>HF02227</t>
    <phoneticPr fontId="21" type="noConversion"/>
  </si>
  <si>
    <t>AWM4ZB</t>
    <phoneticPr fontId="21" type="noConversion"/>
  </si>
  <si>
    <t>4+11</t>
    <phoneticPr fontId="21" type="noConversion"/>
  </si>
  <si>
    <t>NA4L9+F9YL9</t>
    <phoneticPr fontId="21" type="noConversion"/>
  </si>
  <si>
    <t>22#-25#+1#~11#</t>
    <phoneticPr fontId="21" type="noConversion"/>
  </si>
  <si>
    <t>HF02228</t>
    <phoneticPr fontId="21" type="noConversion"/>
  </si>
  <si>
    <t>AWM4ZC</t>
    <phoneticPr fontId="21" type="noConversion"/>
  </si>
  <si>
    <t>5+14</t>
    <phoneticPr fontId="21" type="noConversion"/>
  </si>
  <si>
    <t>NA4L8+(F9YL9+FLY4A)</t>
    <phoneticPr fontId="21" type="noConversion"/>
  </si>
  <si>
    <t>1#-5#+(12#~21#,23#~25#+25#)</t>
    <phoneticPr fontId="21" type="noConversion"/>
  </si>
  <si>
    <t>HF02229</t>
    <phoneticPr fontId="21" type="noConversion"/>
  </si>
  <si>
    <t>AWM4ZD</t>
    <phoneticPr fontId="21" type="noConversion"/>
  </si>
  <si>
    <t>NA4L8+FM2S6</t>
    <phoneticPr fontId="21" type="noConversion"/>
  </si>
  <si>
    <t>6#-12#+1#-20#</t>
    <phoneticPr fontId="21" type="noConversion"/>
  </si>
  <si>
    <t>HF02230</t>
    <phoneticPr fontId="21" type="noConversion"/>
  </si>
  <si>
    <t>AWM4ZE</t>
    <phoneticPr fontId="21" type="noConversion"/>
  </si>
  <si>
    <t>3+8</t>
    <phoneticPr fontId="21" type="noConversion"/>
  </si>
  <si>
    <t>NA4L8+(FM2S6+FL2TF)</t>
    <phoneticPr fontId="21" type="noConversion"/>
  </si>
  <si>
    <t>13#-15#+(21#-25#+23#~25#)</t>
    <phoneticPr fontId="21" type="noConversion"/>
  </si>
  <si>
    <t>13#+(5#,15#+25#)</t>
    <phoneticPr fontId="21" type="noConversion"/>
  </si>
  <si>
    <t>SY8120BABC</t>
    <phoneticPr fontId="21" type="noConversion"/>
  </si>
  <si>
    <t>JCET</t>
    <phoneticPr fontId="21" type="noConversion"/>
  </si>
  <si>
    <t>HF02231</t>
    <phoneticPr fontId="21" type="noConversion"/>
  </si>
  <si>
    <t>HF02232</t>
    <phoneticPr fontId="21" type="noConversion"/>
  </si>
  <si>
    <t>HF02233</t>
    <phoneticPr fontId="21" type="noConversion"/>
  </si>
  <si>
    <t>HF02234</t>
    <phoneticPr fontId="21" type="noConversion"/>
  </si>
  <si>
    <t>NB4ZC</t>
    <phoneticPr fontId="21" type="noConversion"/>
  </si>
  <si>
    <t>NB4ZD</t>
    <phoneticPr fontId="21" type="noConversion"/>
  </si>
  <si>
    <t>NB4ZE</t>
    <phoneticPr fontId="21" type="noConversion"/>
  </si>
  <si>
    <t>NB4ZF</t>
    <phoneticPr fontId="21" type="noConversion"/>
  </si>
  <si>
    <t>NA5SK</t>
  </si>
  <si>
    <t>NA5SM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</si>
  <si>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</si>
  <si>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SY7088DGC</t>
    <phoneticPr fontId="21" type="noConversion"/>
  </si>
  <si>
    <t>JCET</t>
    <phoneticPr fontId="21" type="noConversion"/>
  </si>
  <si>
    <t>HF02236</t>
    <phoneticPr fontId="21" type="noConversion"/>
  </si>
  <si>
    <t>VT4ZA</t>
    <phoneticPr fontId="21" type="noConversion"/>
  </si>
  <si>
    <t>VT4ZB</t>
    <phoneticPr fontId="21" type="noConversion"/>
  </si>
  <si>
    <t>HF02235</t>
    <phoneticPr fontId="21" type="noConversion"/>
  </si>
  <si>
    <t>NA61K</t>
  </si>
  <si>
    <t>HF02238</t>
    <phoneticPr fontId="21" type="noConversion"/>
  </si>
  <si>
    <t>TV4ZE</t>
    <phoneticPr fontId="21" type="noConversion"/>
  </si>
  <si>
    <t>TV4ZF</t>
    <phoneticPr fontId="21" type="noConversion"/>
  </si>
  <si>
    <t>NA5LP</t>
  </si>
  <si>
    <t>SY8121BABC</t>
    <phoneticPr fontId="21" type="noConversion"/>
  </si>
  <si>
    <t>HF02237</t>
    <phoneticPr fontId="21" type="noConversion"/>
  </si>
  <si>
    <t>SY7305ABC</t>
    <phoneticPr fontId="21" type="noConversion"/>
  </si>
  <si>
    <t>B40GA1</t>
  </si>
  <si>
    <t>HF02239</t>
    <phoneticPr fontId="21" type="noConversion"/>
  </si>
  <si>
    <t>Hb4ZA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</si>
  <si>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</si>
  <si>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</si>
  <si>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N9HFT.03</t>
    <phoneticPr fontId="21" type="noConversion"/>
  </si>
  <si>
    <t>TF00848</t>
    <phoneticPr fontId="21" type="noConversion"/>
  </si>
  <si>
    <t>LD4ZI</t>
    <phoneticPr fontId="21" type="noConversion"/>
  </si>
  <si>
    <t>TF00849</t>
    <phoneticPr fontId="21" type="noConversion"/>
  </si>
  <si>
    <t>LD4ZJ</t>
    <phoneticPr fontId="21" type="noConversion"/>
  </si>
  <si>
    <t>NA5A3</t>
  </si>
  <si>
    <t>TF00850</t>
    <phoneticPr fontId="21" type="noConversion"/>
  </si>
  <si>
    <t>TF00851</t>
    <phoneticPr fontId="21" type="noConversion"/>
  </si>
  <si>
    <t>LD4ZK</t>
    <phoneticPr fontId="21" type="noConversion"/>
  </si>
  <si>
    <t>LD4ZL</t>
    <phoneticPr fontId="21" type="noConversion"/>
  </si>
  <si>
    <t>NA5A4</t>
  </si>
  <si>
    <t>HF02055</t>
    <phoneticPr fontId="19" type="noConversion"/>
  </si>
  <si>
    <t>HF01917</t>
    <phoneticPr fontId="21" type="noConversion"/>
  </si>
  <si>
    <t>HF01720</t>
    <phoneticPr fontId="21" type="noConversion"/>
  </si>
  <si>
    <t>N9W2Y.02</t>
    <phoneticPr fontId="19" type="noConversion"/>
  </si>
  <si>
    <t>SY8104ADC</t>
    <phoneticPr fontId="21" type="noConversion"/>
  </si>
  <si>
    <t>NA1CC.01</t>
  </si>
  <si>
    <t>NA1CQ.01</t>
  </si>
  <si>
    <t>NA12P.05</t>
  </si>
  <si>
    <t>NA1CQ</t>
  </si>
  <si>
    <t>N9Q8S.03</t>
  </si>
  <si>
    <t>NA2YN</t>
  </si>
  <si>
    <t>NA2YN-1</t>
  </si>
  <si>
    <t>NA2Y8-1</t>
  </si>
  <si>
    <t>NA360-1</t>
  </si>
  <si>
    <t>NA361-1</t>
  </si>
  <si>
    <t>NA362-1</t>
  </si>
  <si>
    <t>NA404-1</t>
  </si>
  <si>
    <t>NA421-1</t>
  </si>
  <si>
    <t>NA422-1</t>
  </si>
  <si>
    <t>NA359-1</t>
  </si>
  <si>
    <t>SJ078700;NA40G.01</t>
  </si>
  <si>
    <t>SJ078900;NA40G.01</t>
  </si>
  <si>
    <t>SJ059300;NA40G.01</t>
  </si>
  <si>
    <t>NA46H-1</t>
  </si>
  <si>
    <t>NA59W-2</t>
  </si>
  <si>
    <t>SJ085300;(N9YKS+NA0J3)</t>
  </si>
  <si>
    <t>SJ085300;NA0J3</t>
  </si>
  <si>
    <t>NA59T-1</t>
  </si>
  <si>
    <t>NA5LQ-1</t>
  </si>
  <si>
    <t>NA5LS-1</t>
  </si>
  <si>
    <t>SJ084800;N9SYN.01</t>
  </si>
  <si>
    <t>SJ084900;N9SYL</t>
  </si>
  <si>
    <t>(SJ084800+SJ084900);N9SYL</t>
  </si>
  <si>
    <t>SJ083001;N9SYL</t>
  </si>
  <si>
    <t>(SJ083105+SJ084900);N9SYL</t>
  </si>
  <si>
    <t>SJ085500;NA0J4</t>
  </si>
  <si>
    <t>FL2TF;NA4L9</t>
  </si>
  <si>
    <t>F9YL9;NA4L9</t>
  </si>
  <si>
    <t>(F9YL9+FLY4A);NA4L8</t>
  </si>
  <si>
    <t>FM2S6;NA4L8</t>
  </si>
  <si>
    <t>(FM2S6+FL2TF);NA4L8</t>
  </si>
  <si>
    <t>NA5SK-1</t>
  </si>
  <si>
    <t>NA5SM-1</t>
  </si>
  <si>
    <t>NA61K-1</t>
  </si>
  <si>
    <t>NA5LP-1</t>
  </si>
  <si>
    <t>E03B2</t>
    <phoneticPr fontId="21" type="noConversion"/>
  </si>
  <si>
    <t>NA3YY</t>
    <phoneticPr fontId="21" type="noConversion"/>
  </si>
  <si>
    <t>SY7203DBC</t>
    <phoneticPr fontId="21" type="noConversion"/>
  </si>
  <si>
    <t>JCET</t>
    <phoneticPr fontId="21" type="noConversion"/>
  </si>
  <si>
    <t>HF02240</t>
    <phoneticPr fontId="21" type="noConversion"/>
  </si>
  <si>
    <t>NZ4ZA</t>
    <phoneticPr fontId="21" type="noConversion"/>
  </si>
  <si>
    <t>NA634</t>
    <phoneticPr fontId="21" type="noConversion"/>
  </si>
  <si>
    <t>HF02241</t>
    <phoneticPr fontId="21" type="noConversion"/>
  </si>
  <si>
    <t>VL4ZA</t>
    <phoneticPr fontId="21" type="noConversion"/>
  </si>
  <si>
    <t>HF02242</t>
    <phoneticPr fontId="21" type="noConversion"/>
  </si>
  <si>
    <t>VL4ZB</t>
    <phoneticPr fontId="21" type="noConversion"/>
  </si>
  <si>
    <t>NA658</t>
    <phoneticPr fontId="21" type="noConversion"/>
  </si>
  <si>
    <t>SY8121ABC</t>
    <phoneticPr fontId="21" type="noConversion"/>
  </si>
  <si>
    <t>JCET</t>
    <phoneticPr fontId="21" type="noConversion"/>
  </si>
  <si>
    <t>HF02243</t>
    <phoneticPr fontId="21" type="noConversion"/>
  </si>
  <si>
    <t>JW4ZA</t>
    <phoneticPr fontId="21" type="noConversion"/>
  </si>
  <si>
    <t>SY8203DBC</t>
    <phoneticPr fontId="21" type="noConversion"/>
  </si>
  <si>
    <t>HF02244</t>
    <phoneticPr fontId="21" type="noConversion"/>
  </si>
  <si>
    <t>LS4ZA</t>
    <phoneticPr fontId="21" type="noConversion"/>
  </si>
  <si>
    <t>SY8290ABC</t>
    <phoneticPr fontId="21" type="noConversion"/>
  </si>
  <si>
    <t>HF02245</t>
    <phoneticPr fontId="21" type="noConversion"/>
  </si>
  <si>
    <t>TE4ZA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</si>
  <si>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</si>
  <si>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SY58281SAAC</t>
    <phoneticPr fontId="19" type="noConversion"/>
  </si>
  <si>
    <t>HF02246</t>
    <phoneticPr fontId="21" type="noConversion"/>
  </si>
  <si>
    <t>YB4ZE</t>
    <phoneticPr fontId="21" type="noConversion"/>
  </si>
  <si>
    <t>8+15</t>
    <phoneticPr fontId="21" type="noConversion"/>
  </si>
  <si>
    <t>HF02247</t>
    <phoneticPr fontId="21" type="noConversion"/>
  </si>
  <si>
    <t>YB4ZF</t>
    <phoneticPr fontId="21" type="noConversion"/>
  </si>
  <si>
    <t>10#-17#+1#-15#</t>
    <phoneticPr fontId="21" type="noConversion"/>
  </si>
  <si>
    <t>18#~25#+(16#~25#+1#~5#)</t>
    <phoneticPr fontId="21" type="noConversion"/>
  </si>
  <si>
    <t>SY58296AFAC</t>
    <phoneticPr fontId="21" type="noConversion"/>
  </si>
  <si>
    <t>HF02248</t>
    <phoneticPr fontId="21" type="noConversion"/>
  </si>
  <si>
    <t>AQJ4ZA</t>
    <phoneticPr fontId="21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</si>
  <si>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</si>
  <si>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1#-5#+1#~25#</t>
    <phoneticPr fontId="21" type="noConversion"/>
  </si>
  <si>
    <t>HF02249</t>
    <phoneticPr fontId="21" type="noConversion"/>
  </si>
  <si>
    <t>AQJ4ZB</t>
    <phoneticPr fontId="21" type="noConversion"/>
  </si>
  <si>
    <t>1+5</t>
    <phoneticPr fontId="21" type="noConversion"/>
  </si>
  <si>
    <t>6#+21#~25#</t>
    <phoneticPr fontId="21" type="noConversion"/>
  </si>
  <si>
    <t>HF02250</t>
    <phoneticPr fontId="21" type="noConversion"/>
  </si>
  <si>
    <t>AQU4ZA</t>
    <phoneticPr fontId="21" type="noConversion"/>
  </si>
  <si>
    <t>5+26</t>
    <phoneticPr fontId="21" type="noConversion"/>
  </si>
  <si>
    <t>7#-11#+(1#-25#+1#)</t>
    <phoneticPr fontId="21" type="noConversion"/>
  </si>
  <si>
    <t>HF02251</t>
    <phoneticPr fontId="21" type="noConversion"/>
  </si>
  <si>
    <t>AQU4ZB</t>
    <phoneticPr fontId="21" type="noConversion"/>
  </si>
  <si>
    <t>4+21</t>
    <phoneticPr fontId="21" type="noConversion"/>
  </si>
  <si>
    <t>12#-15#+2#-22#</t>
    <phoneticPr fontId="21" type="noConversion"/>
  </si>
  <si>
    <t>SY8702ABC</t>
    <phoneticPr fontId="21" type="noConversion"/>
  </si>
  <si>
    <t>HTKJ</t>
    <phoneticPr fontId="21" type="noConversion"/>
  </si>
  <si>
    <t>TF00852</t>
    <phoneticPr fontId="21" type="noConversion"/>
  </si>
  <si>
    <t>DR4ZA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</si>
  <si>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</si>
  <si>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NA0J3+SJ085700</t>
    <phoneticPr fontId="21" type="noConversion"/>
  </si>
  <si>
    <t>21#-25#+6#~13#,15#</t>
    <phoneticPr fontId="21" type="noConversion"/>
  </si>
  <si>
    <t>SJ085700;NA0J3</t>
    <phoneticPr fontId="21" type="noConversion"/>
  </si>
  <si>
    <t>B23E1</t>
    <phoneticPr fontId="21" type="noConversion"/>
  </si>
  <si>
    <t>JCET</t>
    <phoneticPr fontId="21" type="noConversion"/>
  </si>
  <si>
    <t>HF02252</t>
    <phoneticPr fontId="21" type="noConversion"/>
  </si>
  <si>
    <t>HF02253</t>
    <phoneticPr fontId="21" type="noConversion"/>
  </si>
  <si>
    <t>HF02254</t>
    <phoneticPr fontId="21" type="noConversion"/>
  </si>
  <si>
    <t>HF02255</t>
    <phoneticPr fontId="21" type="noConversion"/>
  </si>
  <si>
    <t>VL4ZC</t>
    <phoneticPr fontId="21" type="noConversion"/>
  </si>
  <si>
    <t>VL4ZD</t>
    <phoneticPr fontId="21" type="noConversion"/>
  </si>
  <si>
    <t>VL4ZE</t>
    <phoneticPr fontId="21" type="noConversion"/>
  </si>
  <si>
    <t>VL4ZF</t>
    <phoneticPr fontId="21" type="noConversion"/>
  </si>
  <si>
    <t>SY7065AQMC</t>
    <phoneticPr fontId="21" type="noConversion"/>
  </si>
  <si>
    <t>NA5LR</t>
    <phoneticPr fontId="21" type="noConversion"/>
  </si>
  <si>
    <t>N9QN3</t>
    <phoneticPr fontId="21" type="noConversion"/>
  </si>
  <si>
    <t>N9FSF</t>
    <phoneticPr fontId="21" type="noConversion"/>
  </si>
  <si>
    <t>NA0J4+SJ085400</t>
    <phoneticPr fontId="21" type="noConversion"/>
  </si>
  <si>
    <t>NA0J4+(SJ085400+SJ085700)</t>
    <phoneticPr fontId="21" type="noConversion"/>
  </si>
  <si>
    <t xml:space="preserve">NA69Q.01+EP332100 </t>
    <phoneticPr fontId="21" type="noConversion"/>
  </si>
  <si>
    <t xml:space="preserve">NA69Q.01+SJ061400 </t>
    <phoneticPr fontId="21" type="noConversion"/>
  </si>
  <si>
    <t>NA69Q.01+(SJ079000+SJ079100)</t>
    <phoneticPr fontId="21" type="noConversion"/>
  </si>
  <si>
    <t>NA69Q.01+SJ079100</t>
    <phoneticPr fontId="21" type="noConversion"/>
  </si>
  <si>
    <t>NA4MY</t>
    <phoneticPr fontId="21" type="noConversion"/>
  </si>
  <si>
    <t>NA659</t>
    <phoneticPr fontId="21" type="noConversion"/>
  </si>
  <si>
    <t>NA659</t>
    <phoneticPr fontId="21" type="noConversion"/>
  </si>
  <si>
    <t>NA65A</t>
    <phoneticPr fontId="21" type="noConversion"/>
  </si>
  <si>
    <t>NA65A</t>
    <phoneticPr fontId="21" type="noConversion"/>
  </si>
  <si>
    <t>HF02256</t>
    <phoneticPr fontId="21" type="noConversion"/>
  </si>
  <si>
    <t>JR4ZA</t>
    <phoneticPr fontId="21" type="noConversion"/>
  </si>
  <si>
    <t>HF02257</t>
    <phoneticPr fontId="21" type="noConversion"/>
  </si>
  <si>
    <t>JR4ZB</t>
    <phoneticPr fontId="21" type="noConversion"/>
  </si>
  <si>
    <t>NA6CN</t>
  </si>
  <si>
    <t>SY58281LAAC</t>
    <phoneticPr fontId="21" type="noConversion"/>
  </si>
  <si>
    <t>HF02258</t>
    <phoneticPr fontId="21" type="noConversion"/>
  </si>
  <si>
    <t>Fa4ZA</t>
    <phoneticPr fontId="21" type="noConversion"/>
  </si>
  <si>
    <t>NA4L8+F06ML</t>
    <phoneticPr fontId="21" type="noConversion"/>
  </si>
  <si>
    <t>16#-23#+1#-23#</t>
    <phoneticPr fontId="21" type="noConversion"/>
  </si>
  <si>
    <t>HF02259</t>
    <phoneticPr fontId="21" type="noConversion"/>
  </si>
  <si>
    <t>Fa4ZB</t>
    <phoneticPr fontId="21" type="noConversion"/>
  </si>
  <si>
    <t>NA547+F4GLP</t>
    <phoneticPr fontId="21" type="noConversion"/>
  </si>
  <si>
    <t>1#-8#+1#-23#</t>
    <phoneticPr fontId="21" type="noConversion"/>
  </si>
  <si>
    <t>2+4</t>
    <phoneticPr fontId="21" type="noConversion"/>
  </si>
  <si>
    <t>NA4L8+(F06ML+F4GLP)</t>
    <phoneticPr fontId="21" type="noConversion"/>
  </si>
  <si>
    <t>24#-25#+(24#-25#+24#-25#)</t>
    <phoneticPr fontId="21" type="noConversion"/>
  </si>
  <si>
    <t>HF01239</t>
    <phoneticPr fontId="21" type="noConversion"/>
  </si>
  <si>
    <t>N9JP4;SJ078300</t>
    <phoneticPr fontId="21" type="noConversion"/>
  </si>
  <si>
    <t>A/TLot#</t>
    <phoneticPr fontId="21" type="noConversion"/>
  </si>
  <si>
    <t>N9JP4;(SJ077700+SJ078300)</t>
    <phoneticPr fontId="21" type="noConversion"/>
  </si>
  <si>
    <t>JCET</t>
    <phoneticPr fontId="21" type="noConversion"/>
  </si>
  <si>
    <t>HF02261</t>
    <phoneticPr fontId="21" type="noConversion"/>
  </si>
  <si>
    <t>SY58293AFAC</t>
    <phoneticPr fontId="21" type="noConversion"/>
  </si>
  <si>
    <t>A58E1</t>
  </si>
  <si>
    <t>NFME</t>
    <phoneticPr fontId="21" type="noConversion"/>
  </si>
  <si>
    <t>GF00060</t>
    <phoneticPr fontId="21" type="noConversion"/>
  </si>
  <si>
    <t>SY8827EPKC</t>
    <phoneticPr fontId="21" type="noConversion"/>
  </si>
  <si>
    <t>Er4ZA</t>
    <phoneticPr fontId="21" type="noConversion"/>
  </si>
  <si>
    <t>HJTC</t>
    <phoneticPr fontId="21" type="noConversion"/>
  </si>
  <si>
    <t>NA3R8</t>
    <phoneticPr fontId="21" type="noConversion"/>
  </si>
  <si>
    <t>CSP1.56*1.96-20</t>
    <phoneticPr fontId="21" type="noConversion"/>
  </si>
  <si>
    <t>SY8708ABC</t>
    <phoneticPr fontId="21" type="noConversion"/>
  </si>
  <si>
    <t>B43A0</t>
    <phoneticPr fontId="21" type="noConversion"/>
  </si>
  <si>
    <t>JCET</t>
    <phoneticPr fontId="21" type="noConversion"/>
  </si>
  <si>
    <t>HF02262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</si>
  <si>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</si>
  <si>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SY8708ABC</t>
    <phoneticPr fontId="21" type="noConversion"/>
  </si>
  <si>
    <t>Dq4ZA</t>
    <phoneticPr fontId="21" type="noConversion"/>
  </si>
  <si>
    <t>Dq4ZB</t>
    <phoneticPr fontId="21" type="noConversion"/>
  </si>
  <si>
    <t>HF02263</t>
    <phoneticPr fontId="21" type="noConversion"/>
  </si>
  <si>
    <t>NA6CP</t>
    <phoneticPr fontId="21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</si>
  <si>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1" type="noConversion"/>
  </si>
  <si>
    <t>B43A0</t>
    <phoneticPr fontId="21" type="noConversion"/>
  </si>
  <si>
    <t>HF02264</t>
    <phoneticPr fontId="21" type="noConversion"/>
  </si>
  <si>
    <t>SYT714AAC</t>
    <phoneticPr fontId="21" type="noConversion"/>
  </si>
  <si>
    <t>重测</t>
    <phoneticPr fontId="21" type="noConversion"/>
  </si>
  <si>
    <t>TF00853</t>
    <phoneticPr fontId="21" type="noConversion"/>
  </si>
  <si>
    <t>TF00854</t>
    <phoneticPr fontId="21" type="noConversion"/>
  </si>
  <si>
    <t>SY8088AAC</t>
    <phoneticPr fontId="21" type="noConversion"/>
  </si>
  <si>
    <t>A11C0</t>
    <phoneticPr fontId="21" type="noConversion"/>
  </si>
  <si>
    <t>LD4ZM</t>
    <phoneticPr fontId="21" type="noConversion"/>
  </si>
  <si>
    <t>LD4ZN</t>
    <phoneticPr fontId="21" type="noConversion"/>
  </si>
  <si>
    <t>NA72S</t>
  </si>
  <si>
    <t>TF00855</t>
    <phoneticPr fontId="21" type="noConversion"/>
  </si>
  <si>
    <t>TF00856</t>
    <phoneticPr fontId="21" type="noConversion"/>
  </si>
  <si>
    <t>LD4ZO</t>
    <phoneticPr fontId="21" type="noConversion"/>
  </si>
  <si>
    <t>LD4ZP</t>
    <phoneticPr fontId="21" type="noConversion"/>
  </si>
  <si>
    <t>NA72T</t>
  </si>
  <si>
    <t>TF00857</t>
    <phoneticPr fontId="21" type="noConversion"/>
  </si>
  <si>
    <t>TF00858</t>
    <phoneticPr fontId="21" type="noConversion"/>
  </si>
  <si>
    <t>LD4ZQ</t>
    <phoneticPr fontId="21" type="noConversion"/>
  </si>
  <si>
    <t>LD4ZR</t>
    <phoneticPr fontId="21" type="noConversion"/>
  </si>
  <si>
    <t>NA72W</t>
  </si>
  <si>
    <t>TF00859</t>
    <phoneticPr fontId="21" type="noConversion"/>
  </si>
  <si>
    <t>TF00860</t>
    <phoneticPr fontId="21" type="noConversion"/>
  </si>
  <si>
    <t>LD4ZS</t>
    <phoneticPr fontId="21" type="noConversion"/>
  </si>
  <si>
    <t>LD4ZT</t>
    <phoneticPr fontId="21" type="noConversion"/>
  </si>
  <si>
    <t>NA72Y</t>
  </si>
  <si>
    <t>TF00861</t>
    <phoneticPr fontId="21" type="noConversion"/>
  </si>
  <si>
    <t>TF00862</t>
    <phoneticPr fontId="21" type="noConversion"/>
  </si>
  <si>
    <t>LD4ZU</t>
    <phoneticPr fontId="21" type="noConversion"/>
  </si>
  <si>
    <t>LD4ZV</t>
    <phoneticPr fontId="21" type="noConversion"/>
  </si>
  <si>
    <t>NA77P</t>
  </si>
  <si>
    <t>TF00863</t>
    <phoneticPr fontId="21" type="noConversion"/>
  </si>
  <si>
    <t>TF00864</t>
    <phoneticPr fontId="21" type="noConversion"/>
  </si>
  <si>
    <t>LD4ZW</t>
    <phoneticPr fontId="21" type="noConversion"/>
  </si>
  <si>
    <t>NA77R</t>
  </si>
  <si>
    <t>TF00865</t>
    <phoneticPr fontId="21" type="noConversion"/>
  </si>
  <si>
    <t>TF00866</t>
    <phoneticPr fontId="21" type="noConversion"/>
  </si>
  <si>
    <t>NA77S</t>
  </si>
  <si>
    <t>LD4ZX</t>
    <phoneticPr fontId="21" type="noConversion"/>
  </si>
  <si>
    <t>LD4ZY</t>
    <phoneticPr fontId="21" type="noConversion"/>
  </si>
  <si>
    <t>LD4ZZ</t>
    <phoneticPr fontId="21" type="noConversion"/>
  </si>
  <si>
    <t>JCET</t>
    <phoneticPr fontId="21" type="noConversion"/>
  </si>
  <si>
    <t>AFB4ZA</t>
    <phoneticPr fontId="21" type="noConversion"/>
  </si>
  <si>
    <t>HF02266</t>
    <phoneticPr fontId="21" type="noConversion"/>
  </si>
  <si>
    <t>AFB4ZB</t>
    <phoneticPr fontId="21" type="noConversion"/>
  </si>
  <si>
    <t>HF02267</t>
    <phoneticPr fontId="21" type="noConversion"/>
  </si>
  <si>
    <t>HF02268</t>
    <phoneticPr fontId="21" type="noConversion"/>
  </si>
  <si>
    <t>TR4ZA</t>
    <phoneticPr fontId="21" type="noConversion"/>
  </si>
  <si>
    <t>TR4ZB</t>
    <phoneticPr fontId="21" type="noConversion"/>
  </si>
  <si>
    <t>HF02269</t>
    <phoneticPr fontId="21" type="noConversion"/>
  </si>
  <si>
    <t>XE4ZA</t>
    <phoneticPr fontId="21" type="noConversion"/>
  </si>
  <si>
    <t>HF02270</t>
    <phoneticPr fontId="21" type="noConversion"/>
  </si>
  <si>
    <t>JCET</t>
    <phoneticPr fontId="21" type="noConversion"/>
  </si>
  <si>
    <t>SY8003EDFC</t>
    <phoneticPr fontId="21" type="noConversion"/>
  </si>
  <si>
    <t>VC4ZA</t>
    <phoneticPr fontId="21" type="noConversion"/>
  </si>
  <si>
    <t>HF02271</t>
    <phoneticPr fontId="21" type="noConversion"/>
  </si>
  <si>
    <t>HF02272</t>
    <phoneticPr fontId="21" type="noConversion"/>
  </si>
  <si>
    <t>KT4ZA</t>
    <phoneticPr fontId="21" type="noConversion"/>
  </si>
  <si>
    <t>KT4ZB</t>
    <phoneticPr fontId="21" type="noConversion"/>
  </si>
  <si>
    <t>NA780</t>
  </si>
  <si>
    <t>HF02273</t>
    <phoneticPr fontId="21" type="noConversion"/>
  </si>
  <si>
    <t>HF02274</t>
    <phoneticPr fontId="21" type="noConversion"/>
  </si>
  <si>
    <t>KT4ZC</t>
    <phoneticPr fontId="21" type="noConversion"/>
  </si>
  <si>
    <t>KT4ZD</t>
    <phoneticPr fontId="21" type="noConversion"/>
  </si>
  <si>
    <t>NA781</t>
    <phoneticPr fontId="21" type="noConversion"/>
  </si>
  <si>
    <t>NA781</t>
    <phoneticPr fontId="21" type="noConversion"/>
  </si>
  <si>
    <t>HF02275</t>
    <phoneticPr fontId="21" type="noConversion"/>
  </si>
  <si>
    <t>HF02276</t>
    <phoneticPr fontId="21" type="noConversion"/>
  </si>
  <si>
    <t>KT4ZE</t>
    <phoneticPr fontId="21" type="noConversion"/>
  </si>
  <si>
    <t>KT4ZF</t>
    <phoneticPr fontId="21" type="noConversion"/>
  </si>
  <si>
    <t>NA782</t>
  </si>
  <si>
    <t>#3-13</t>
    <phoneticPr fontId="21" type="noConversion"/>
  </si>
  <si>
    <t>#14-25</t>
    <phoneticPr fontId="21" type="noConversion"/>
  </si>
  <si>
    <t>#20-25</t>
    <phoneticPr fontId="21" type="noConversion"/>
  </si>
  <si>
    <t>N9Y4R.03</t>
  </si>
  <si>
    <t>NA5SG</t>
  </si>
  <si>
    <t>11#-25#</t>
    <phoneticPr fontId="21" type="noConversion"/>
  </si>
  <si>
    <t>SY8708ABC</t>
  </si>
  <si>
    <t>HF02277</t>
    <phoneticPr fontId="21" type="noConversion"/>
  </si>
  <si>
    <t>JCET</t>
    <phoneticPr fontId="21" type="noConversion"/>
  </si>
  <si>
    <t>Dq4ZC</t>
    <phoneticPr fontId="21" type="noConversion"/>
  </si>
  <si>
    <t>HF02278</t>
    <phoneticPr fontId="21" type="noConversion"/>
  </si>
  <si>
    <t>Dq4ZD</t>
    <phoneticPr fontId="21" type="noConversion"/>
  </si>
  <si>
    <t>NA636</t>
  </si>
  <si>
    <t>1#-10#</t>
    <phoneticPr fontId="21" type="noConversion"/>
  </si>
  <si>
    <t>11#~21#</t>
    <phoneticPr fontId="21" type="noConversion"/>
  </si>
  <si>
    <t>HF02279</t>
    <phoneticPr fontId="21" type="noConversion"/>
  </si>
  <si>
    <t>JW4ZB</t>
    <phoneticPr fontId="21" type="noConversion"/>
  </si>
  <si>
    <t>7#-18#</t>
  </si>
  <si>
    <t>HF02280</t>
    <phoneticPr fontId="21" type="noConversion"/>
  </si>
  <si>
    <t>HF02281</t>
    <phoneticPr fontId="21" type="noConversion"/>
  </si>
  <si>
    <t>TV4ZG</t>
    <phoneticPr fontId="21" type="noConversion"/>
  </si>
  <si>
    <t>TV4ZH</t>
    <phoneticPr fontId="21" type="noConversion"/>
  </si>
  <si>
    <t>NA5LT</t>
  </si>
  <si>
    <t>HF02282</t>
    <phoneticPr fontId="21" type="noConversion"/>
  </si>
  <si>
    <t>HF02283</t>
    <phoneticPr fontId="21" type="noConversion"/>
  </si>
  <si>
    <t>NA5SL</t>
  </si>
  <si>
    <t>NB4ZG</t>
    <phoneticPr fontId="21" type="noConversion"/>
  </si>
  <si>
    <t>NB4ZH</t>
    <phoneticPr fontId="21" type="noConversion"/>
  </si>
  <si>
    <t>HF02284</t>
    <phoneticPr fontId="21" type="noConversion"/>
  </si>
  <si>
    <t>AFZ4ZA</t>
    <phoneticPr fontId="21" type="noConversion"/>
  </si>
  <si>
    <t>NA560</t>
  </si>
  <si>
    <t>DFN4*3-12</t>
    <phoneticPr fontId="21" type="noConversion"/>
  </si>
  <si>
    <t>E10Q2+A3X04A</t>
    <phoneticPr fontId="19" type="noConversion"/>
  </si>
  <si>
    <t>JCET</t>
    <phoneticPr fontId="19" type="noConversion"/>
  </si>
  <si>
    <t>AZP4ZA</t>
    <phoneticPr fontId="19" type="noConversion"/>
  </si>
  <si>
    <t>ASMC</t>
    <phoneticPr fontId="19" type="noConversion"/>
  </si>
  <si>
    <t>3+7</t>
    <phoneticPr fontId="19" type="noConversion"/>
  </si>
  <si>
    <t>1#-3#+1#-7#</t>
    <phoneticPr fontId="19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</si>
  <si>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</si>
  <si>
    <t>AQY4ZA</t>
    <phoneticPr fontId="19" type="noConversion"/>
  </si>
  <si>
    <t>10+11</t>
    <phoneticPr fontId="19" type="noConversion"/>
  </si>
  <si>
    <t>JCET</t>
    <phoneticPr fontId="19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</si>
  <si>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</si>
  <si>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NA6K2.02+SJ035900</t>
    <phoneticPr fontId="19" type="noConversion"/>
  </si>
  <si>
    <t>SY58292ZFAC</t>
    <phoneticPr fontId="19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</si>
  <si>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</si>
  <si>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HF02285</t>
    <phoneticPr fontId="19" type="noConversion"/>
  </si>
  <si>
    <t>SY58291ZFAC</t>
    <phoneticPr fontId="19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</si>
  <si>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9" type="noConversion"/>
  </si>
  <si>
    <t>HF02286</t>
    <phoneticPr fontId="19" type="noConversion"/>
  </si>
  <si>
    <t>HF02287</t>
    <phoneticPr fontId="19" type="noConversion"/>
  </si>
  <si>
    <r>
      <t>SO8(</t>
    </r>
    <r>
      <rPr>
        <sz val="10"/>
        <rFont val="宋体"/>
        <family val="3"/>
        <charset val="134"/>
      </rPr>
      <t>铜线）</t>
    </r>
  </si>
  <si>
    <r>
      <t>SO8(</t>
    </r>
    <r>
      <rPr>
        <sz val="10"/>
        <rFont val="宋体"/>
        <family val="3"/>
        <charset val="134"/>
      </rPr>
      <t>铜线）</t>
    </r>
    <phoneticPr fontId="19" type="noConversion"/>
  </si>
  <si>
    <t>AWU4YA</t>
    <phoneticPr fontId="21" type="noConversion"/>
  </si>
  <si>
    <t>AWU4ZA</t>
    <phoneticPr fontId="19" type="noConversion"/>
  </si>
  <si>
    <t>ASMC</t>
    <phoneticPr fontId="19" type="noConversion"/>
  </si>
  <si>
    <t>8+23</t>
    <phoneticPr fontId="19" type="noConversion"/>
  </si>
  <si>
    <t>HF02288</t>
    <phoneticPr fontId="19" type="noConversion"/>
  </si>
  <si>
    <t>AWU4ZB</t>
    <phoneticPr fontId="19" type="noConversion"/>
  </si>
  <si>
    <t>9+26</t>
    <phoneticPr fontId="19" type="noConversion"/>
  </si>
  <si>
    <t>HF02289</t>
    <phoneticPr fontId="19" type="noConversion"/>
  </si>
  <si>
    <t>AWU4ZC</t>
    <phoneticPr fontId="19" type="noConversion"/>
  </si>
  <si>
    <t>6+17</t>
    <phoneticPr fontId="19" type="noConversion"/>
  </si>
  <si>
    <t>SY58282LFAC</t>
    <phoneticPr fontId="19" type="noConversion"/>
  </si>
  <si>
    <r>
      <t>SO8(</t>
    </r>
    <r>
      <rPr>
        <sz val="10"/>
        <rFont val="宋体"/>
        <family val="3"/>
        <charset val="134"/>
      </rPr>
      <t>铜线）</t>
    </r>
    <phoneticPr fontId="19" type="noConversion"/>
  </si>
  <si>
    <t>NA547+F43NS</t>
    <phoneticPr fontId="19" type="noConversion"/>
  </si>
  <si>
    <t>9#-16#+1#~23#</t>
    <phoneticPr fontId="19" type="noConversion"/>
  </si>
  <si>
    <t>NA547+(F43NS+FC3S4)</t>
    <phoneticPr fontId="19" type="noConversion"/>
  </si>
  <si>
    <t>17#-25#+(25#+1#-25#)</t>
    <phoneticPr fontId="19" type="noConversion"/>
  </si>
  <si>
    <t>NA5M1+FCLGN</t>
    <phoneticPr fontId="19" type="noConversion"/>
  </si>
  <si>
    <t>1#-6#+1#-17#</t>
    <phoneticPr fontId="19" type="noConversion"/>
  </si>
  <si>
    <t>HF02290</t>
    <phoneticPr fontId="19" type="noConversion"/>
  </si>
  <si>
    <t>AWU4ZD</t>
    <phoneticPr fontId="19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</si>
  <si>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</si>
  <si>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9" type="noConversion"/>
  </si>
  <si>
    <t>SY58283LFAC</t>
    <phoneticPr fontId="19" type="noConversion"/>
  </si>
  <si>
    <t>JCET</t>
    <phoneticPr fontId="19" type="noConversion"/>
  </si>
  <si>
    <t>AWT4UA</t>
    <phoneticPr fontId="19" type="noConversion"/>
  </si>
  <si>
    <t>AWT4ZA</t>
    <phoneticPr fontId="19" type="noConversion"/>
  </si>
  <si>
    <t>8+26</t>
    <phoneticPr fontId="19" type="noConversion"/>
  </si>
  <si>
    <t>NA6L4+(FSPF7+FY6L9)</t>
    <phoneticPr fontId="19" type="noConversion"/>
  </si>
  <si>
    <t>1#-8#+(25#+1#-25#)</t>
    <phoneticPr fontId="19" type="noConversion"/>
  </si>
  <si>
    <t>HF02291</t>
    <phoneticPr fontId="19" type="noConversion"/>
  </si>
  <si>
    <t>SY58281LAAC</t>
    <phoneticPr fontId="19" type="noConversion"/>
  </si>
  <si>
    <t>Fa4ZC</t>
    <phoneticPr fontId="21" type="noConversion"/>
  </si>
  <si>
    <t>Fa4ZD</t>
    <phoneticPr fontId="19" type="noConversion"/>
  </si>
  <si>
    <t>HF02293</t>
    <phoneticPr fontId="19" type="noConversion"/>
  </si>
  <si>
    <t>8+23</t>
    <phoneticPr fontId="19" type="noConversion"/>
  </si>
  <si>
    <t>SY58281LAAC</t>
    <phoneticPr fontId="19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</si>
  <si>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9" type="noConversion"/>
  </si>
  <si>
    <t>NA6L4+F92H6</t>
    <phoneticPr fontId="19" type="noConversion"/>
  </si>
  <si>
    <t>9#-16#+1#~2#,4#~24#</t>
    <phoneticPr fontId="19" type="noConversion"/>
  </si>
  <si>
    <t>NA6L4+(F92H6+F628W)</t>
    <phoneticPr fontId="19" type="noConversion"/>
  </si>
  <si>
    <t>HF02292</t>
    <phoneticPr fontId="19" type="noConversion"/>
  </si>
  <si>
    <t>SY58182FAC</t>
    <phoneticPr fontId="19" type="noConversion"/>
  </si>
  <si>
    <t>HF02294</t>
    <phoneticPr fontId="19" type="noConversion"/>
  </si>
  <si>
    <t>AWM4ZF</t>
    <phoneticPr fontId="19" type="noConversion"/>
  </si>
  <si>
    <t>UMC</t>
    <phoneticPr fontId="19" type="noConversion"/>
  </si>
  <si>
    <t>HF02295</t>
    <phoneticPr fontId="19" type="noConversion"/>
  </si>
  <si>
    <t>AWM4ZG</t>
    <phoneticPr fontId="19" type="noConversion"/>
  </si>
  <si>
    <t>NA5M1+FNTHC</t>
    <phoneticPr fontId="19" type="noConversion"/>
  </si>
  <si>
    <t>7#-14#+1#-10#,12#-13#,15-25#</t>
    <phoneticPr fontId="19" type="noConversion"/>
  </si>
  <si>
    <t>NA5M1+(FL2TF+FR2WA)</t>
    <phoneticPr fontId="19" type="noConversion"/>
  </si>
  <si>
    <t>15#-23#+(21#+1#-25#)</t>
    <phoneticPr fontId="19" type="noConversion"/>
  </si>
  <si>
    <t>5+14</t>
    <phoneticPr fontId="19" type="noConversion"/>
  </si>
  <si>
    <t>NA6L5.02+FL08P</t>
    <phoneticPr fontId="19" type="noConversion"/>
  </si>
  <si>
    <t>3,9,13,18,22#+1#-14#</t>
    <phoneticPr fontId="19" type="noConversion"/>
  </si>
  <si>
    <t>E34J0+U3X10A</t>
    <phoneticPr fontId="19" type="noConversion"/>
  </si>
  <si>
    <t>HF02296</t>
    <phoneticPr fontId="19" type="noConversion"/>
  </si>
  <si>
    <t>Fa4ZE</t>
    <phoneticPr fontId="19" type="noConversion"/>
  </si>
  <si>
    <t>Fa4ZF</t>
    <phoneticPr fontId="19" type="noConversion"/>
  </si>
  <si>
    <t>6+17</t>
    <phoneticPr fontId="19" type="noConversion"/>
  </si>
  <si>
    <t>NA6L5+(FCLGN+FL08P)</t>
    <phoneticPr fontId="19" type="noConversion"/>
  </si>
  <si>
    <t>1,2,4-7#+(18#-25#+15#-23#)</t>
    <phoneticPr fontId="19" type="noConversion"/>
  </si>
  <si>
    <t>HF02260</t>
    <phoneticPr fontId="21" type="noConversion"/>
  </si>
  <si>
    <t>HF01060</t>
    <phoneticPr fontId="19" type="noConversion"/>
  </si>
  <si>
    <t>HF01434</t>
    <phoneticPr fontId="19" type="noConversion"/>
  </si>
  <si>
    <t>HF02103</t>
    <phoneticPr fontId="19" type="noConversion"/>
  </si>
  <si>
    <t>HF00962</t>
    <phoneticPr fontId="19" type="noConversion"/>
  </si>
  <si>
    <t>HF00993</t>
    <phoneticPr fontId="19" type="noConversion"/>
  </si>
  <si>
    <t>A11D0</t>
    <phoneticPr fontId="19" type="noConversion"/>
  </si>
  <si>
    <t>16#-25#</t>
    <phoneticPr fontId="19" type="noConversion"/>
  </si>
  <si>
    <t>N9H8L-2</t>
  </si>
  <si>
    <t>N9H8M-1</t>
  </si>
  <si>
    <t>N9N7F-1</t>
  </si>
  <si>
    <t>N9LHK-1</t>
  </si>
  <si>
    <t>N9KQW-1</t>
  </si>
  <si>
    <t>NA40T-1</t>
  </si>
  <si>
    <t>NA40W-1</t>
  </si>
  <si>
    <t>NA3YY-1</t>
  </si>
  <si>
    <t>NA402</t>
  </si>
  <si>
    <t>NA402-1</t>
  </si>
  <si>
    <t>NA420-1</t>
  </si>
  <si>
    <t>NA2YP-1</t>
  </si>
  <si>
    <t>NA12P.03-1</t>
  </si>
  <si>
    <t>NA46J-1</t>
  </si>
  <si>
    <t>N9HFT.03-1</t>
  </si>
  <si>
    <t>NA634</t>
  </si>
  <si>
    <t>NA5LR</t>
  </si>
  <si>
    <t>N9QN3</t>
  </si>
  <si>
    <t>N9FSF</t>
  </si>
  <si>
    <t>SJ085400;NA0J4</t>
  </si>
  <si>
    <t>(SJ085400+SJ085700);NA0J4</t>
  </si>
  <si>
    <t>EP332100;NA69Q.01</t>
  </si>
  <si>
    <t>SJ061400;NA69Q.01</t>
  </si>
  <si>
    <t>(SJ079000+SJ079100);NA69Q.01</t>
  </si>
  <si>
    <t>SJ079100;NA69Q.01</t>
  </si>
  <si>
    <t>F06ML;NA4L8</t>
  </si>
  <si>
    <t>F4GLP;NA547</t>
  </si>
  <si>
    <t>(F06ML+F4GLP);NA4L8</t>
  </si>
  <si>
    <t>NA6CP</t>
  </si>
  <si>
    <t>NA6CP-1</t>
  </si>
  <si>
    <t>NA636-1</t>
  </si>
  <si>
    <t>NA5LT-1</t>
  </si>
  <si>
    <t>NA5SL-1</t>
  </si>
  <si>
    <t>F43NS;NA547</t>
  </si>
  <si>
    <t>(F43NS+FC3S4);NA547</t>
  </si>
  <si>
    <t>FCLGN;NA5M1</t>
  </si>
  <si>
    <t>FL08P;NA6L5.02</t>
  </si>
  <si>
    <t>(FSPF7+FY6L9);NA6L4</t>
  </si>
  <si>
    <t>F92H6;NA6L4</t>
  </si>
  <si>
    <t>(F92H6+F628W);NA6L4</t>
  </si>
  <si>
    <t>FNTHC;NA5M1</t>
  </si>
  <si>
    <t>(FL2TF+FR2WA);NA5M1</t>
  </si>
  <si>
    <t>(FCLGN+FL08P);NA6L5</t>
  </si>
  <si>
    <t>N/A</t>
    <phoneticPr fontId="19" type="noConversion"/>
  </si>
  <si>
    <t>TF00673</t>
    <phoneticPr fontId="19" type="noConversion"/>
  </si>
  <si>
    <t>N9C45.03-1</t>
    <phoneticPr fontId="19" type="noConversion"/>
  </si>
  <si>
    <t>16#-25#+(25#+16#~22#,24#,25#+24#)</t>
    <phoneticPr fontId="19" type="noConversion"/>
  </si>
  <si>
    <t>NA69Q;(SJ084200+SJ085700)</t>
    <phoneticPr fontId="19" type="noConversion"/>
  </si>
  <si>
    <t>NA69Q+(SJ084200+SJ085700+SJ084100)</t>
    <phoneticPr fontId="19" type="noConversion"/>
  </si>
  <si>
    <t>HF02265</t>
    <phoneticPr fontId="21" type="noConversion"/>
  </si>
  <si>
    <t>NA40J-1</t>
  </si>
  <si>
    <t>NA40J-2</t>
  </si>
  <si>
    <t>N9Y4R-1</t>
    <phoneticPr fontId="25" type="noConversion"/>
  </si>
  <si>
    <t>NA5SG-1</t>
  </si>
  <si>
    <t>NA5LR-1</t>
  </si>
  <si>
    <t>HF00906</t>
    <phoneticPr fontId="19" type="noConversion"/>
  </si>
  <si>
    <t>TF00156</t>
    <phoneticPr fontId="19" type="noConversion"/>
  </si>
  <si>
    <t>SOT236140506425/SOT236140511032</t>
    <phoneticPr fontId="19" type="noConversion"/>
  </si>
  <si>
    <t>TF00246</t>
    <phoneticPr fontId="19" type="noConversion"/>
  </si>
  <si>
    <t>SOT236140512358</t>
  </si>
  <si>
    <t>TF00249</t>
    <phoneticPr fontId="19" type="noConversion"/>
  </si>
  <si>
    <t>TF00531</t>
    <phoneticPr fontId="19" type="noConversion"/>
  </si>
  <si>
    <t>SOT236140914120</t>
  </si>
  <si>
    <t>TF00548</t>
    <phoneticPr fontId="19" type="noConversion"/>
  </si>
  <si>
    <t>SOT236140914235</t>
  </si>
  <si>
    <t>TF00583</t>
    <phoneticPr fontId="19" type="noConversion"/>
  </si>
  <si>
    <t>SOT236141004034</t>
  </si>
  <si>
    <t>SOT236141004038</t>
  </si>
  <si>
    <t>SOT236141005178</t>
  </si>
  <si>
    <t>TF00815</t>
    <phoneticPr fontId="21" type="noConversion"/>
  </si>
  <si>
    <t>SOT236141205200</t>
  </si>
  <si>
    <t>HF01666</t>
    <phoneticPr fontId="19" type="noConversion"/>
  </si>
  <si>
    <t xml:space="preserve">N8W0R 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</si>
  <si>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19" type="noConversion"/>
  </si>
  <si>
    <t>B23E1</t>
    <phoneticPr fontId="19" type="noConversion"/>
  </si>
  <si>
    <t>NA29A</t>
    <phoneticPr fontId="19" type="noConversion"/>
  </si>
  <si>
    <t>N9NQJ</t>
    <phoneticPr fontId="19" type="noConversion"/>
  </si>
  <si>
    <t>N9NQJ.01</t>
    <phoneticPr fontId="19" type="noConversion"/>
  </si>
  <si>
    <t>N9GRR-2</t>
  </si>
  <si>
    <t>N92AS-1</t>
  </si>
  <si>
    <t>N9M1L-1</t>
  </si>
  <si>
    <t>N9M1L-2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</si>
</sst>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0.0_);[Red]\(0.0\)"/>
    <numFmt numFmtId="178" formatCode="0.00_);[Red]\(0.00\)"/>
  </numFmts>
  <fonts count="26">
    <font>
      <sz val="11"/>
      <color indexed="8"/>
      <name val="宋体"/>
      <charset val="134"/>
    </font>
    <font>
      <b/>
      <sz val="11"/>
      <name val="Times New Roman"/>
      <family val="1"/>
      <charset val="134"/>
    </font>
    <font>
      <b/>
      <sz val="10"/>
      <name val="Arial"/>
      <family val="2"/>
      <charset val="134"/>
    </font>
    <font>
      <sz val="10"/>
      <name val="Arial"/>
      <family val="2"/>
      <charset val="134"/>
    </font>
    <font>
      <sz val="10"/>
      <name val="宋体"/>
      <family val="3"/>
      <charset val="134"/>
    </font>
    <font>
      <b/>
      <sz val="10"/>
      <color indexed="14"/>
      <name val="Arial"/>
      <family val="2"/>
      <charset val="134"/>
    </font>
    <font>
      <sz val="11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1"/>
      <color indexed="10"/>
      <name val="Times New Roman"/>
      <family val="1"/>
      <charset val="134"/>
    </font>
    <font>
      <b/>
      <sz val="10"/>
      <color indexed="10"/>
      <name val="Arial"/>
      <family val="2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color indexed="18"/>
      <name val="Arial"/>
      <family val="2"/>
      <charset val="134"/>
    </font>
    <font>
      <sz val="10"/>
      <color indexed="14"/>
      <name val="Arial"/>
      <family val="2"/>
      <charset val="134"/>
    </font>
    <font>
      <sz val="12"/>
      <name val="宋体"/>
      <family val="3"/>
      <charset val="134"/>
    </font>
    <font>
      <sz val="12"/>
      <name val="Times New Roman"/>
      <family val="1"/>
      <charset val="134"/>
    </font>
    <font>
      <u/>
      <sz val="10"/>
      <name val="Arial"/>
      <family val="2"/>
      <charset val="134"/>
    </font>
    <font>
      <i/>
      <sz val="10"/>
      <name val="Arial"/>
      <family val="2"/>
      <charset val="134"/>
    </font>
    <font>
      <sz val="11"/>
      <name val="Arial"/>
      <family val="2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color rgb="FFFF00FF"/>
      <name val="Arial"/>
      <family val="2"/>
    </font>
    <font>
      <u/>
      <sz val="10"/>
      <name val="Arial"/>
      <family val="2"/>
    </font>
    <font>
      <b/>
      <sz val="11"/>
      <name val="Times New Roman"/>
      <family val="1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3" fillId="0" borderId="2" xfId="4" applyFont="1" applyFill="1" applyBorder="1" applyAlignment="1">
      <alignment horizontal="left" vertical="center" wrapText="1"/>
    </xf>
    <xf numFmtId="0" fontId="4" fillId="0" borderId="2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wrapText="1"/>
    </xf>
    <xf numFmtId="0" fontId="3" fillId="0" borderId="2" xfId="4" applyFont="1" applyFill="1" applyBorder="1" applyAlignment="1">
      <alignment horizontal="center" vertical="center" wrapText="1"/>
    </xf>
    <xf numFmtId="14" fontId="3" fillId="0" borderId="2" xfId="4" applyNumberFormat="1" applyFont="1" applyFill="1" applyBorder="1" applyAlignment="1" applyProtection="1">
      <alignment horizontal="left" vertical="center" wrapText="1"/>
    </xf>
    <xf numFmtId="0" fontId="3" fillId="2" borderId="2" xfId="4" applyFont="1" applyFill="1" applyBorder="1" applyAlignment="1">
      <alignment horizontal="left" vertical="center" wrapText="1"/>
    </xf>
    <xf numFmtId="0" fontId="3" fillId="2" borderId="2" xfId="4" applyFont="1" applyFill="1" applyBorder="1" applyAlignment="1">
      <alignment vertical="center" wrapText="1"/>
    </xf>
    <xf numFmtId="0" fontId="3" fillId="2" borderId="2" xfId="4" applyFont="1" applyFill="1" applyBorder="1" applyAlignment="1">
      <alignment horizontal="center" vertical="center" wrapText="1"/>
    </xf>
    <xf numFmtId="14" fontId="3" fillId="2" borderId="2" xfId="4" applyNumberFormat="1" applyFont="1" applyFill="1" applyBorder="1" applyAlignment="1" applyProtection="1">
      <alignment horizontal="left" vertical="center" wrapText="1"/>
    </xf>
    <xf numFmtId="0" fontId="5" fillId="2" borderId="2" xfId="4" applyFont="1" applyFill="1" applyBorder="1" applyAlignment="1">
      <alignment horizontal="left" vertical="center" wrapText="1"/>
    </xf>
    <xf numFmtId="0" fontId="3" fillId="2" borderId="2" xfId="4" applyFont="1" applyFill="1" applyBorder="1" applyAlignment="1">
      <alignment vertical="center"/>
    </xf>
    <xf numFmtId="0" fontId="4" fillId="2" borderId="2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horizontal="left" vertical="center"/>
    </xf>
    <xf numFmtId="0" fontId="3" fillId="2" borderId="2" xfId="4" applyFont="1" applyFill="1" applyBorder="1" applyAlignment="1">
      <alignment horizontal="left" vertical="center"/>
    </xf>
    <xf numFmtId="0" fontId="0" fillId="3" borderId="0" xfId="0" applyFill="1">
      <alignment vertical="center"/>
    </xf>
    <xf numFmtId="0" fontId="6" fillId="0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vertical="center"/>
    </xf>
    <xf numFmtId="0" fontId="5" fillId="0" borderId="2" xfId="4" applyFont="1" applyFill="1" applyBorder="1" applyAlignment="1">
      <alignment vertical="center" wrapText="1"/>
    </xf>
    <xf numFmtId="0" fontId="5" fillId="0" borderId="2" xfId="4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4" applyNumberFormat="1" applyFont="1" applyFill="1" applyBorder="1" applyAlignment="1">
      <alignment vertical="center" wrapText="1"/>
    </xf>
    <xf numFmtId="178" fontId="3" fillId="0" borderId="2" xfId="4" applyNumberFormat="1" applyFont="1" applyFill="1" applyBorder="1" applyAlignment="1">
      <alignment vertical="center"/>
    </xf>
    <xf numFmtId="0" fontId="3" fillId="0" borderId="2" xfId="4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4" fillId="0" borderId="2" xfId="4" applyFont="1" applyFill="1" applyBorder="1" applyAlignment="1">
      <alignment horizontal="left" vertical="center"/>
    </xf>
    <xf numFmtId="14" fontId="3" fillId="0" borderId="2" xfId="4" applyNumberFormat="1" applyFont="1" applyFill="1" applyBorder="1" applyAlignment="1">
      <alignment horizontal="center" vertical="center" wrapText="1"/>
    </xf>
    <xf numFmtId="14" fontId="3" fillId="0" borderId="2" xfId="4" applyNumberFormat="1" applyFont="1" applyFill="1" applyBorder="1" applyAlignment="1">
      <alignment horizontal="left" vertical="center" wrapText="1"/>
    </xf>
    <xf numFmtId="0" fontId="3" fillId="0" borderId="0" xfId="4" applyFont="1" applyFill="1" applyBorder="1" applyAlignment="1">
      <alignment horizontal="center" vertical="center" wrapText="1"/>
    </xf>
    <xf numFmtId="14" fontId="3" fillId="0" borderId="2" xfId="4" applyNumberFormat="1" applyFont="1" applyFill="1" applyBorder="1" applyAlignment="1">
      <alignment horizontal="left" vertical="center"/>
    </xf>
    <xf numFmtId="58" fontId="3" fillId="0" borderId="2" xfId="4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2" fillId="0" borderId="2" xfId="0" applyFont="1" applyBorder="1">
      <alignment vertical="center"/>
    </xf>
    <xf numFmtId="0" fontId="0" fillId="0" borderId="2" xfId="0" applyFill="1" applyBorder="1">
      <alignment vertical="center"/>
    </xf>
    <xf numFmtId="0" fontId="11" fillId="0" borderId="2" xfId="4" applyFont="1" applyFill="1" applyBorder="1" applyAlignment="1">
      <alignment horizontal="center" vertical="center" wrapText="1"/>
    </xf>
    <xf numFmtId="0" fontId="3" fillId="0" borderId="1" xfId="4" applyFont="1" applyFill="1" applyBorder="1" applyAlignment="1">
      <alignment horizontal="center" vertical="center" wrapText="1"/>
    </xf>
    <xf numFmtId="0" fontId="3" fillId="0" borderId="4" xfId="4" applyFont="1" applyFill="1" applyBorder="1" applyAlignment="1">
      <alignment horizontal="center" vertical="center" wrapText="1"/>
    </xf>
    <xf numFmtId="0" fontId="3" fillId="0" borderId="5" xfId="4" applyFont="1" applyFill="1" applyBorder="1" applyAlignment="1">
      <alignment horizontal="center" vertical="center" wrapText="1"/>
    </xf>
    <xf numFmtId="0" fontId="13" fillId="0" borderId="2" xfId="4" applyFont="1" applyFill="1" applyBorder="1" applyAlignment="1">
      <alignment horizontal="left" vertical="center" wrapText="1"/>
    </xf>
    <xf numFmtId="0" fontId="3" fillId="4" borderId="2" xfId="4" applyFont="1" applyFill="1" applyBorder="1" applyAlignment="1">
      <alignment horizontal="left" vertical="center" wrapText="1"/>
    </xf>
    <xf numFmtId="0" fontId="3" fillId="4" borderId="2" xfId="4" applyFont="1" applyFill="1" applyBorder="1" applyAlignment="1">
      <alignment vertical="center" wrapText="1"/>
    </xf>
    <xf numFmtId="0" fontId="3" fillId="4" borderId="2" xfId="4" applyFont="1" applyFill="1" applyBorder="1" applyAlignment="1">
      <alignment horizontal="center" vertical="center" wrapText="1"/>
    </xf>
    <xf numFmtId="14" fontId="3" fillId="4" borderId="2" xfId="4" applyNumberFormat="1" applyFont="1" applyFill="1" applyBorder="1" applyAlignment="1" applyProtection="1">
      <alignment horizontal="left" vertical="center" wrapText="1"/>
    </xf>
    <xf numFmtId="0" fontId="4" fillId="4" borderId="2" xfId="4" applyFont="1" applyFill="1" applyBorder="1" applyAlignment="1">
      <alignment horizontal="left" vertical="center" wrapText="1"/>
    </xf>
    <xf numFmtId="0" fontId="4" fillId="4" borderId="2" xfId="4" applyFont="1" applyFill="1" applyBorder="1" applyAlignment="1">
      <alignment horizontal="left" vertical="center"/>
    </xf>
    <xf numFmtId="0" fontId="5" fillId="4" borderId="2" xfId="4" applyFont="1" applyFill="1" applyBorder="1" applyAlignment="1">
      <alignment horizontal="left" vertical="center" wrapText="1"/>
    </xf>
    <xf numFmtId="0" fontId="5" fillId="2" borderId="2" xfId="4" applyFont="1" applyFill="1" applyBorder="1" applyAlignment="1">
      <alignment vertical="center" wrapText="1"/>
    </xf>
    <xf numFmtId="0" fontId="3" fillId="4" borderId="2" xfId="4" applyFont="1" applyFill="1" applyBorder="1" applyAlignment="1">
      <alignment horizontal="left" vertical="center"/>
    </xf>
    <xf numFmtId="0" fontId="4" fillId="4" borderId="2" xfId="4" applyFont="1" applyFill="1" applyBorder="1" applyAlignment="1">
      <alignment vertical="center"/>
    </xf>
    <xf numFmtId="178" fontId="4" fillId="4" borderId="2" xfId="4" applyNumberFormat="1" applyFont="1" applyFill="1" applyBorder="1" applyAlignment="1">
      <alignment vertical="center"/>
    </xf>
    <xf numFmtId="0" fontId="3" fillId="4" borderId="2" xfId="4" applyFont="1" applyFill="1" applyBorder="1" applyAlignment="1">
      <alignment vertical="center"/>
    </xf>
    <xf numFmtId="0" fontId="11" fillId="2" borderId="2" xfId="4" applyFont="1" applyFill="1" applyBorder="1" applyAlignment="1">
      <alignment horizontal="left" vertical="center" wrapText="1"/>
    </xf>
    <xf numFmtId="0" fontId="11" fillId="2" borderId="2" xfId="4" applyFont="1" applyFill="1" applyBorder="1" applyAlignment="1">
      <alignment horizontal="center" vertical="center" wrapText="1"/>
    </xf>
    <xf numFmtId="0" fontId="20" fillId="2" borderId="2" xfId="4" applyFont="1" applyFill="1" applyBorder="1" applyAlignment="1">
      <alignment horizontal="left" vertical="center" wrapText="1"/>
    </xf>
    <xf numFmtId="0" fontId="20" fillId="2" borderId="2" xfId="4" applyFont="1" applyFill="1" applyBorder="1" applyAlignment="1">
      <alignment vertical="center" wrapText="1"/>
    </xf>
    <xf numFmtId="0" fontId="20" fillId="2" borderId="2" xfId="4" applyFont="1" applyFill="1" applyBorder="1" applyAlignment="1">
      <alignment horizontal="center" vertical="center" wrapText="1"/>
    </xf>
    <xf numFmtId="14" fontId="20" fillId="2" borderId="2" xfId="4" applyNumberFormat="1" applyFont="1" applyFill="1" applyBorder="1" applyAlignment="1" applyProtection="1">
      <alignment horizontal="left" vertical="center" wrapText="1"/>
    </xf>
    <xf numFmtId="0" fontId="20" fillId="2" borderId="2" xfId="4" applyFont="1" applyFill="1" applyBorder="1" applyAlignment="1">
      <alignment horizontal="left" vertical="center"/>
    </xf>
    <xf numFmtId="0" fontId="20" fillId="2" borderId="2" xfId="4" applyFont="1" applyFill="1" applyBorder="1" applyAlignment="1">
      <alignment vertical="center"/>
    </xf>
    <xf numFmtId="0" fontId="1" fillId="5" borderId="1" xfId="4" applyFont="1" applyFill="1" applyBorder="1" applyAlignment="1">
      <alignment horizontal="left" vertical="center" wrapText="1"/>
    </xf>
    <xf numFmtId="0" fontId="1" fillId="5" borderId="1" xfId="4" applyFont="1" applyFill="1" applyBorder="1" applyAlignment="1">
      <alignment vertical="center" wrapText="1"/>
    </xf>
    <xf numFmtId="0" fontId="2" fillId="5" borderId="1" xfId="4" applyFont="1" applyFill="1" applyBorder="1" applyAlignment="1">
      <alignment vertical="center" wrapText="1"/>
    </xf>
    <xf numFmtId="177" fontId="1" fillId="5" borderId="1" xfId="4" applyNumberFormat="1" applyFont="1" applyFill="1" applyBorder="1" applyAlignment="1">
      <alignment vertical="center" wrapText="1"/>
    </xf>
    <xf numFmtId="0" fontId="8" fillId="5" borderId="1" xfId="4" applyFont="1" applyFill="1" applyBorder="1" applyAlignment="1" applyProtection="1">
      <alignment vertical="center" wrapText="1"/>
    </xf>
    <xf numFmtId="0" fontId="9" fillId="5" borderId="1" xfId="4" applyFont="1" applyFill="1" applyBorder="1" applyAlignment="1">
      <alignment vertical="center" wrapText="1"/>
    </xf>
    <xf numFmtId="0" fontId="9" fillId="5" borderId="1" xfId="4" applyFont="1" applyFill="1" applyBorder="1" applyAlignment="1">
      <alignment vertical="center"/>
    </xf>
    <xf numFmtId="178" fontId="9" fillId="5" borderId="1" xfId="4" applyNumberFormat="1" applyFont="1" applyFill="1" applyBorder="1" applyAlignment="1">
      <alignment vertical="center"/>
    </xf>
    <xf numFmtId="0" fontId="0" fillId="5" borderId="0" xfId="0" applyFill="1">
      <alignment vertical="center"/>
    </xf>
    <xf numFmtId="0" fontId="22" fillId="2" borderId="2" xfId="4" applyFont="1" applyFill="1" applyBorder="1" applyAlignment="1">
      <alignment horizontal="left" vertical="center" wrapText="1"/>
    </xf>
    <xf numFmtId="14" fontId="3" fillId="0" borderId="2" xfId="4" applyNumberFormat="1" applyFont="1" applyFill="1" applyBorder="1" applyAlignment="1">
      <alignment vertical="center"/>
    </xf>
    <xf numFmtId="0" fontId="0" fillId="0" borderId="2" xfId="0" applyFill="1" applyBorder="1" applyAlignment="1">
      <alignment horizontal="left" vertical="center" wrapText="1"/>
    </xf>
    <xf numFmtId="0" fontId="3" fillId="0" borderId="3" xfId="4" applyFont="1" applyFill="1" applyBorder="1" applyAlignment="1">
      <alignment horizontal="left" vertical="center"/>
    </xf>
    <xf numFmtId="0" fontId="24" fillId="5" borderId="1" xfId="4" applyFont="1" applyFill="1" applyBorder="1" applyAlignment="1">
      <alignment vertical="center" wrapText="1"/>
    </xf>
    <xf numFmtId="0" fontId="20" fillId="0" borderId="2" xfId="4" applyFont="1" applyFill="1" applyBorder="1" applyAlignment="1">
      <alignment horizontal="left" vertical="center" wrapText="1"/>
    </xf>
    <xf numFmtId="0" fontId="20" fillId="0" borderId="2" xfId="4" applyFont="1" applyFill="1" applyBorder="1" applyAlignment="1">
      <alignment vertical="center" wrapText="1"/>
    </xf>
    <xf numFmtId="0" fontId="20" fillId="0" borderId="2" xfId="4" applyFont="1" applyFill="1" applyBorder="1" applyAlignment="1">
      <alignment horizontal="center" vertical="center" wrapText="1"/>
    </xf>
    <xf numFmtId="14" fontId="20" fillId="0" borderId="2" xfId="4" applyNumberFormat="1" applyFont="1" applyFill="1" applyBorder="1" applyAlignment="1" applyProtection="1">
      <alignment horizontal="left" vertical="center" wrapText="1"/>
    </xf>
    <xf numFmtId="0" fontId="20" fillId="0" borderId="2" xfId="4" applyFont="1" applyFill="1" applyBorder="1" applyAlignment="1">
      <alignment horizontal="left" vertical="center"/>
    </xf>
    <xf numFmtId="0" fontId="20" fillId="0" borderId="2" xfId="4" applyFont="1" applyFill="1" applyBorder="1" applyAlignment="1">
      <alignment vertical="center"/>
    </xf>
    <xf numFmtId="0" fontId="3" fillId="0" borderId="3" xfId="4" applyFont="1" applyFill="1" applyBorder="1" applyAlignment="1">
      <alignment vertical="center"/>
    </xf>
    <xf numFmtId="0" fontId="22" fillId="0" borderId="2" xfId="4" applyFont="1" applyFill="1" applyBorder="1" applyAlignment="1">
      <alignment horizontal="left" vertical="center" wrapText="1"/>
    </xf>
    <xf numFmtId="0" fontId="10" fillId="0" borderId="0" xfId="5" applyBorder="1">
      <alignment vertical="center"/>
    </xf>
    <xf numFmtId="0" fontId="0" fillId="0" borderId="0" xfId="0" applyBorder="1">
      <alignment vertical="center"/>
    </xf>
    <xf numFmtId="178" fontId="3" fillId="0" borderId="3" xfId="4" applyNumberFormat="1" applyFont="1" applyFill="1" applyBorder="1" applyAlignment="1">
      <alignment vertical="center"/>
    </xf>
    <xf numFmtId="0" fontId="11" fillId="0" borderId="0" xfId="4" applyFont="1" applyFill="1" applyBorder="1" applyAlignment="1">
      <alignment horizontal="center" vertical="center" wrapText="1"/>
    </xf>
  </cellXfs>
  <cellStyles count="6">
    <cellStyle name="常规" xfId="0" builtinId="0"/>
    <cellStyle name="常规 2" xfId="2"/>
    <cellStyle name="常规 2 2" xfId="3"/>
    <cellStyle name="常规 2 3" xfId="1"/>
    <cellStyle name="常规 3" xfId="4"/>
    <cellStyle name="常规 4" xfId="5"/>
  </cellStyles>
  <dxfs count="89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27"/>
  <sheetViews>
    <sheetView tabSelected="1" workbookViewId="0">
      <pane xSplit="7" topLeftCell="H1" activePane="topRight" state="frozen"/>
      <selection pane="topRight" activeCell="P1" sqref="P1:AF1048576"/>
    </sheetView>
  </sheetViews>
  <sheetFormatPr defaultColWidth="9" defaultRowHeight="13.5"/>
  <cols>
    <col min="1" max="1" width="16.5" style="2" customWidth="1"/>
    <col min="2" max="2" width="11.125" customWidth="1"/>
    <col min="3" max="3" width="9" customWidth="1"/>
    <col min="4" max="4" width="17.875" customWidth="1"/>
    <col min="5" max="5" width="6.875" style="20" customWidth="1"/>
    <col min="6" max="6" width="12.375" customWidth="1"/>
    <col min="7" max="7" width="9.75" customWidth="1"/>
    <col min="8" max="8" width="11.875" customWidth="1"/>
    <col min="9" max="9" width="17.125" customWidth="1"/>
    <col min="10" max="10" width="10.375" customWidth="1"/>
    <col min="11" max="11" width="10.75" customWidth="1"/>
    <col min="12" max="12" width="9.625" customWidth="1"/>
    <col min="13" max="13" width="26.25" customWidth="1"/>
    <col min="14" max="14" width="28.125" customWidth="1"/>
    <col min="15" max="15" width="37.625" customWidth="1"/>
  </cols>
  <sheetData>
    <row r="1" spans="1:15" s="73" customFormat="1" ht="30" customHeight="1">
      <c r="A1" s="65" t="s">
        <v>0</v>
      </c>
      <c r="B1" s="78" t="s">
        <v>1</v>
      </c>
      <c r="C1" s="66" t="s">
        <v>2</v>
      </c>
      <c r="D1" s="66" t="s">
        <v>3</v>
      </c>
      <c r="E1" s="67" t="s">
        <v>4</v>
      </c>
      <c r="F1" s="66" t="s">
        <v>5</v>
      </c>
      <c r="G1" s="68" t="s">
        <v>6</v>
      </c>
      <c r="H1" s="69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1" t="s">
        <v>12</v>
      </c>
      <c r="N1" s="71" t="s">
        <v>13</v>
      </c>
      <c r="O1" s="72" t="s">
        <v>13208</v>
      </c>
    </row>
    <row r="2" spans="1:15" s="17" customFormat="1" ht="13.5" customHeight="1">
      <c r="A2" s="22" t="s">
        <v>122</v>
      </c>
      <c r="B2" s="3"/>
      <c r="C2" s="3"/>
      <c r="D2" s="5" t="s">
        <v>123</v>
      </c>
      <c r="E2" s="5" t="s">
        <v>124</v>
      </c>
      <c r="F2" s="3" t="s">
        <v>125</v>
      </c>
      <c r="G2" s="6">
        <v>35.04</v>
      </c>
      <c r="H2" s="7">
        <v>41348</v>
      </c>
      <c r="I2" s="6" t="s">
        <v>126</v>
      </c>
      <c r="J2" s="6" t="s">
        <v>127</v>
      </c>
      <c r="K2" s="6" t="s">
        <v>128</v>
      </c>
      <c r="L2" s="6" t="s">
        <v>129</v>
      </c>
      <c r="M2" s="15" t="s">
        <v>130</v>
      </c>
      <c r="N2" s="15" t="s">
        <v>131</v>
      </c>
      <c r="O2" s="27" t="s">
        <v>132</v>
      </c>
    </row>
    <row r="3" spans="1:15" s="17" customFormat="1" ht="13.5" customHeight="1">
      <c r="A3" s="3" t="s">
        <v>133</v>
      </c>
      <c r="B3" s="3" t="s">
        <v>134</v>
      </c>
      <c r="C3" s="3"/>
      <c r="D3" s="3" t="s">
        <v>135</v>
      </c>
      <c r="E3" s="5" t="s">
        <v>124</v>
      </c>
      <c r="F3" s="3" t="s">
        <v>136</v>
      </c>
      <c r="G3" s="6">
        <f>29.101*L3/2</f>
        <v>145.505</v>
      </c>
      <c r="H3" s="7">
        <v>41360</v>
      </c>
      <c r="I3" s="6" t="s">
        <v>137</v>
      </c>
      <c r="J3" s="6" t="s">
        <v>138</v>
      </c>
      <c r="K3" s="6" t="s">
        <v>21</v>
      </c>
      <c r="L3" s="6">
        <v>10</v>
      </c>
      <c r="M3" s="15" t="s">
        <v>139</v>
      </c>
      <c r="N3" s="15" t="s">
        <v>140</v>
      </c>
      <c r="O3" s="27" t="s">
        <v>141</v>
      </c>
    </row>
    <row r="4" spans="1:15" s="17" customFormat="1" ht="13.5" customHeight="1">
      <c r="A4" s="3" t="s">
        <v>142</v>
      </c>
      <c r="B4" s="3"/>
      <c r="C4" s="3"/>
      <c r="D4" s="5" t="s">
        <v>143</v>
      </c>
      <c r="E4" s="5" t="s">
        <v>124</v>
      </c>
      <c r="F4" s="3" t="s">
        <v>144</v>
      </c>
      <c r="G4" s="6">
        <v>152.56700000000001</v>
      </c>
      <c r="H4" s="7">
        <v>41428</v>
      </c>
      <c r="I4" s="6" t="s">
        <v>145</v>
      </c>
      <c r="J4" s="6" t="s">
        <v>146</v>
      </c>
      <c r="K4" s="6" t="s">
        <v>128</v>
      </c>
      <c r="L4" s="6" t="s">
        <v>147</v>
      </c>
      <c r="M4" s="15" t="s">
        <v>148</v>
      </c>
      <c r="N4" s="15" t="s">
        <v>149</v>
      </c>
      <c r="O4" s="28" t="s">
        <v>150</v>
      </c>
    </row>
    <row r="5" spans="1:15" s="17" customFormat="1" ht="13.5" customHeight="1">
      <c r="A5" s="3" t="s">
        <v>142</v>
      </c>
      <c r="B5" s="3"/>
      <c r="C5" s="3"/>
      <c r="D5" s="5" t="s">
        <v>143</v>
      </c>
      <c r="E5" s="5" t="s">
        <v>124</v>
      </c>
      <c r="F5" s="3" t="s">
        <v>151</v>
      </c>
      <c r="G5" s="6">
        <v>140.16</v>
      </c>
      <c r="H5" s="7">
        <v>41430</v>
      </c>
      <c r="I5" s="6" t="s">
        <v>145</v>
      </c>
      <c r="J5" s="6" t="s">
        <v>152</v>
      </c>
      <c r="K5" s="6" t="s">
        <v>128</v>
      </c>
      <c r="L5" s="6" t="s">
        <v>153</v>
      </c>
      <c r="M5" s="15" t="s">
        <v>154</v>
      </c>
      <c r="N5" s="15" t="s">
        <v>155</v>
      </c>
      <c r="O5" s="28" t="s">
        <v>156</v>
      </c>
    </row>
    <row r="6" spans="1:15" s="17" customFormat="1" ht="13.5" customHeight="1">
      <c r="A6" s="3" t="s">
        <v>157</v>
      </c>
      <c r="B6" s="3" t="s">
        <v>158</v>
      </c>
      <c r="C6" s="3"/>
      <c r="D6" s="5" t="s">
        <v>159</v>
      </c>
      <c r="E6" s="5" t="s">
        <v>124</v>
      </c>
      <c r="F6" s="3" t="s">
        <v>160</v>
      </c>
      <c r="G6" s="6">
        <f>9.871*L6</f>
        <v>118.452</v>
      </c>
      <c r="H6" s="7">
        <v>41471</v>
      </c>
      <c r="I6" s="6" t="s">
        <v>161</v>
      </c>
      <c r="J6" s="6" t="s">
        <v>162</v>
      </c>
      <c r="K6" s="6" t="s">
        <v>21</v>
      </c>
      <c r="L6" s="6">
        <v>12</v>
      </c>
      <c r="M6" s="15" t="s">
        <v>163</v>
      </c>
      <c r="N6" s="15" t="s">
        <v>164</v>
      </c>
      <c r="O6" s="28" t="s">
        <v>163</v>
      </c>
    </row>
    <row r="7" spans="1:15" s="17" customFormat="1" ht="13.5" customHeight="1">
      <c r="A7" s="3" t="s">
        <v>157</v>
      </c>
      <c r="B7" s="3" t="s">
        <v>158</v>
      </c>
      <c r="C7" s="3"/>
      <c r="D7" s="5" t="s">
        <v>159</v>
      </c>
      <c r="E7" s="5" t="s">
        <v>124</v>
      </c>
      <c r="F7" s="3" t="s">
        <v>165</v>
      </c>
      <c r="G7" s="6">
        <f>9.871*L7</f>
        <v>128.32300000000001</v>
      </c>
      <c r="H7" s="7">
        <v>41471</v>
      </c>
      <c r="I7" s="6" t="s">
        <v>161</v>
      </c>
      <c r="J7" s="6" t="s">
        <v>166</v>
      </c>
      <c r="K7" s="6" t="s">
        <v>21</v>
      </c>
      <c r="L7" s="6">
        <v>13</v>
      </c>
      <c r="M7" s="15" t="s">
        <v>163</v>
      </c>
      <c r="N7" s="15" t="s">
        <v>167</v>
      </c>
      <c r="O7" s="28" t="s">
        <v>168</v>
      </c>
    </row>
    <row r="8" spans="1:15" s="1" customFormat="1" ht="13.5" customHeight="1">
      <c r="A8" s="3" t="s">
        <v>169</v>
      </c>
      <c r="B8" s="3"/>
      <c r="C8" s="3"/>
      <c r="D8" s="5" t="s">
        <v>170</v>
      </c>
      <c r="E8" s="5" t="s">
        <v>124</v>
      </c>
      <c r="F8" s="3" t="s">
        <v>171</v>
      </c>
      <c r="G8" s="6">
        <f>17.498*L8</f>
        <v>209.976</v>
      </c>
      <c r="H8" s="7">
        <v>41485</v>
      </c>
      <c r="I8" s="6" t="s">
        <v>172</v>
      </c>
      <c r="J8" s="6" t="s">
        <v>173</v>
      </c>
      <c r="K8" s="6" t="s">
        <v>21</v>
      </c>
      <c r="L8" s="6">
        <v>12</v>
      </c>
      <c r="M8" s="15" t="s">
        <v>174</v>
      </c>
      <c r="N8" s="15" t="s">
        <v>164</v>
      </c>
      <c r="O8" s="28" t="s">
        <v>174</v>
      </c>
    </row>
    <row r="9" spans="1:15" ht="13.5" customHeight="1">
      <c r="A9" s="23" t="s">
        <v>175</v>
      </c>
      <c r="B9" s="24" t="s">
        <v>15</v>
      </c>
      <c r="C9" s="24"/>
      <c r="D9" s="24" t="s">
        <v>176</v>
      </c>
      <c r="E9" s="24" t="s">
        <v>124</v>
      </c>
      <c r="F9" s="3" t="s">
        <v>177</v>
      </c>
      <c r="G9" s="25">
        <v>28.001999999999999</v>
      </c>
      <c r="H9" s="7">
        <v>41487</v>
      </c>
      <c r="I9" s="25" t="s">
        <v>178</v>
      </c>
      <c r="J9" s="25" t="s">
        <v>179</v>
      </c>
      <c r="K9" s="25" t="s">
        <v>21</v>
      </c>
      <c r="L9" s="25">
        <v>1</v>
      </c>
      <c r="M9" s="29" t="s">
        <v>180</v>
      </c>
      <c r="N9" s="29" t="s">
        <v>181</v>
      </c>
      <c r="O9" s="30" t="s">
        <v>182</v>
      </c>
    </row>
    <row r="10" spans="1:15" ht="13.5" customHeight="1">
      <c r="A10" s="23" t="s">
        <v>183</v>
      </c>
      <c r="B10" s="3" t="s">
        <v>15</v>
      </c>
      <c r="C10" s="3"/>
      <c r="D10" s="5" t="s">
        <v>184</v>
      </c>
      <c r="E10" s="5" t="s">
        <v>124</v>
      </c>
      <c r="F10" s="3" t="s">
        <v>185</v>
      </c>
      <c r="G10" s="6">
        <f>7.046*L10</f>
        <v>14.092000000000001</v>
      </c>
      <c r="H10" s="7">
        <v>41493</v>
      </c>
      <c r="I10" s="6" t="s">
        <v>186</v>
      </c>
      <c r="J10" s="6" t="s">
        <v>187</v>
      </c>
      <c r="K10" s="6" t="s">
        <v>128</v>
      </c>
      <c r="L10" s="6">
        <v>2</v>
      </c>
      <c r="M10" s="15" t="s">
        <v>188</v>
      </c>
      <c r="N10" s="15" t="s">
        <v>189</v>
      </c>
      <c r="O10" s="27" t="s">
        <v>188</v>
      </c>
    </row>
    <row r="11" spans="1:15" ht="13.5" customHeight="1">
      <c r="A11" s="23" t="s">
        <v>190</v>
      </c>
      <c r="B11" s="3" t="s">
        <v>15</v>
      </c>
      <c r="C11" s="3"/>
      <c r="D11" s="5" t="s">
        <v>191</v>
      </c>
      <c r="E11" s="5" t="s">
        <v>124</v>
      </c>
      <c r="F11" s="3" t="s">
        <v>192</v>
      </c>
      <c r="G11" s="6">
        <f>18.708*L11</f>
        <v>37.415999999999997</v>
      </c>
      <c r="H11" s="7">
        <v>41493</v>
      </c>
      <c r="I11" s="6" t="s">
        <v>193</v>
      </c>
      <c r="J11" s="6" t="s">
        <v>194</v>
      </c>
      <c r="K11" s="6" t="s">
        <v>128</v>
      </c>
      <c r="L11" s="6">
        <v>2</v>
      </c>
      <c r="M11" s="15" t="s">
        <v>195</v>
      </c>
      <c r="N11" s="15" t="s">
        <v>196</v>
      </c>
      <c r="O11" s="28" t="s">
        <v>197</v>
      </c>
    </row>
    <row r="12" spans="1:15" s="1" customFormat="1" ht="13.5" customHeight="1">
      <c r="A12" s="23" t="s">
        <v>198</v>
      </c>
      <c r="B12" s="3" t="s">
        <v>15</v>
      </c>
      <c r="C12" s="3"/>
      <c r="D12" s="5" t="s">
        <v>199</v>
      </c>
      <c r="E12" s="5" t="s">
        <v>124</v>
      </c>
      <c r="F12" s="3" t="s">
        <v>200</v>
      </c>
      <c r="G12" s="6">
        <f>6.405*L12</f>
        <v>38.43</v>
      </c>
      <c r="H12" s="7">
        <v>41494</v>
      </c>
      <c r="I12" s="6" t="s">
        <v>201</v>
      </c>
      <c r="J12" s="6" t="s">
        <v>202</v>
      </c>
      <c r="K12" s="6" t="s">
        <v>21</v>
      </c>
      <c r="L12" s="6">
        <v>6</v>
      </c>
      <c r="M12" s="15" t="s">
        <v>203</v>
      </c>
      <c r="N12" s="15" t="s">
        <v>204</v>
      </c>
      <c r="O12" s="28" t="s">
        <v>203</v>
      </c>
    </row>
    <row r="13" spans="1:15" ht="13.5" customHeight="1">
      <c r="A13" s="3" t="s">
        <v>205</v>
      </c>
      <c r="B13" s="4" t="s">
        <v>206</v>
      </c>
      <c r="C13" s="3"/>
      <c r="D13" s="5" t="s">
        <v>207</v>
      </c>
      <c r="E13" s="5" t="s">
        <v>124</v>
      </c>
      <c r="F13" s="3" t="s">
        <v>208</v>
      </c>
      <c r="G13" s="6">
        <v>427.75400000000002</v>
      </c>
      <c r="H13" s="7">
        <v>41494</v>
      </c>
      <c r="I13" s="6" t="s">
        <v>209</v>
      </c>
      <c r="J13" s="6" t="s">
        <v>210</v>
      </c>
      <c r="K13" s="6" t="s">
        <v>128</v>
      </c>
      <c r="L13" s="6" t="s">
        <v>211</v>
      </c>
      <c r="M13" s="15" t="s">
        <v>212</v>
      </c>
      <c r="N13" s="15" t="s">
        <v>213</v>
      </c>
      <c r="O13" s="28" t="s">
        <v>214</v>
      </c>
    </row>
    <row r="14" spans="1:15" s="1" customFormat="1" ht="13.5" customHeight="1">
      <c r="A14" s="3" t="s">
        <v>215</v>
      </c>
      <c r="B14" s="4" t="s">
        <v>206</v>
      </c>
      <c r="C14" s="3"/>
      <c r="D14" s="5" t="s">
        <v>216</v>
      </c>
      <c r="E14" s="5" t="s">
        <v>124</v>
      </c>
      <c r="F14" s="3" t="s">
        <v>217</v>
      </c>
      <c r="G14" s="6">
        <v>51.247999999999998</v>
      </c>
      <c r="H14" s="7">
        <v>41494</v>
      </c>
      <c r="I14" s="6" t="s">
        <v>209</v>
      </c>
      <c r="J14" s="6" t="s">
        <v>218</v>
      </c>
      <c r="K14" s="6" t="s">
        <v>128</v>
      </c>
      <c r="L14" s="6" t="s">
        <v>219</v>
      </c>
      <c r="M14" s="15" t="s">
        <v>220</v>
      </c>
      <c r="N14" s="31" t="s">
        <v>221</v>
      </c>
      <c r="O14" s="28" t="s">
        <v>222</v>
      </c>
    </row>
    <row r="15" spans="1:15" ht="13.5" customHeight="1">
      <c r="A15" s="23" t="s">
        <v>223</v>
      </c>
      <c r="B15" s="3"/>
      <c r="C15" s="3"/>
      <c r="D15" s="5" t="s">
        <v>224</v>
      </c>
      <c r="E15" s="5" t="s">
        <v>124</v>
      </c>
      <c r="F15" s="3" t="s">
        <v>225</v>
      </c>
      <c r="G15" s="6">
        <v>160</v>
      </c>
      <c r="H15" s="7">
        <v>41495</v>
      </c>
      <c r="I15" s="6" t="s">
        <v>178</v>
      </c>
      <c r="J15" s="6" t="s">
        <v>226</v>
      </c>
      <c r="K15" s="6" t="s">
        <v>21</v>
      </c>
      <c r="L15" s="6" t="s">
        <v>227</v>
      </c>
      <c r="M15" s="15" t="s">
        <v>228</v>
      </c>
      <c r="N15" s="15" t="s">
        <v>229</v>
      </c>
      <c r="O15" s="28" t="s">
        <v>230</v>
      </c>
    </row>
    <row r="16" spans="1:15" s="1" customFormat="1" ht="13.5" customHeight="1">
      <c r="A16" s="3" t="s">
        <v>133</v>
      </c>
      <c r="B16" s="3" t="s">
        <v>134</v>
      </c>
      <c r="C16" s="3"/>
      <c r="D16" s="5" t="s">
        <v>135</v>
      </c>
      <c r="E16" s="5" t="s">
        <v>124</v>
      </c>
      <c r="F16" s="3" t="s">
        <v>231</v>
      </c>
      <c r="G16" s="6">
        <f>29.101*L16/2</f>
        <v>101.8535</v>
      </c>
      <c r="H16" s="7">
        <v>41495</v>
      </c>
      <c r="I16" s="6" t="s">
        <v>137</v>
      </c>
      <c r="J16" s="6" t="s">
        <v>232</v>
      </c>
      <c r="K16" s="6" t="s">
        <v>21</v>
      </c>
      <c r="L16" s="6">
        <v>7</v>
      </c>
      <c r="M16" s="15" t="s">
        <v>233</v>
      </c>
      <c r="N16" s="15" t="s">
        <v>234</v>
      </c>
      <c r="O16" s="28" t="s">
        <v>235</v>
      </c>
    </row>
    <row r="17" spans="1:15" s="1" customFormat="1" ht="13.5" customHeight="1">
      <c r="A17" s="3" t="s">
        <v>236</v>
      </c>
      <c r="B17" s="3"/>
      <c r="C17" s="3"/>
      <c r="D17" s="5" t="s">
        <v>237</v>
      </c>
      <c r="E17" s="5" t="s">
        <v>124</v>
      </c>
      <c r="F17" s="3" t="s">
        <v>238</v>
      </c>
      <c r="G17" s="6">
        <v>105.12</v>
      </c>
      <c r="H17" s="7">
        <v>41495</v>
      </c>
      <c r="I17" s="6" t="s">
        <v>209</v>
      </c>
      <c r="J17" s="6" t="s">
        <v>239</v>
      </c>
      <c r="K17" s="6" t="s">
        <v>128</v>
      </c>
      <c r="L17" s="6" t="s">
        <v>240</v>
      </c>
      <c r="M17" s="15" t="s">
        <v>241</v>
      </c>
      <c r="N17" s="15" t="s">
        <v>242</v>
      </c>
      <c r="O17" s="28" t="s">
        <v>243</v>
      </c>
    </row>
    <row r="18" spans="1:15" s="1" customFormat="1" ht="13.5" customHeight="1">
      <c r="A18" s="22" t="s">
        <v>244</v>
      </c>
      <c r="B18" s="3" t="s">
        <v>15</v>
      </c>
      <c r="C18" s="3"/>
      <c r="D18" s="26" t="s">
        <v>245</v>
      </c>
      <c r="E18" s="5" t="s">
        <v>124</v>
      </c>
      <c r="F18" s="3" t="s">
        <v>246</v>
      </c>
      <c r="G18" s="6">
        <f>18.708*L18</f>
        <v>37.415999999999997</v>
      </c>
      <c r="H18" s="7">
        <v>41499</v>
      </c>
      <c r="I18" s="32" t="s">
        <v>247</v>
      </c>
      <c r="J18" s="6" t="s">
        <v>248</v>
      </c>
      <c r="K18" s="6" t="s">
        <v>21</v>
      </c>
      <c r="L18" s="6">
        <v>2</v>
      </c>
      <c r="M18" s="15" t="s">
        <v>249</v>
      </c>
      <c r="N18" s="15" t="s">
        <v>250</v>
      </c>
      <c r="O18" s="28" t="s">
        <v>251</v>
      </c>
    </row>
    <row r="19" spans="1:15" s="1" customFormat="1" ht="13.5" customHeight="1">
      <c r="A19" s="22" t="s">
        <v>252</v>
      </c>
      <c r="B19" s="3" t="s">
        <v>15</v>
      </c>
      <c r="C19" s="3"/>
      <c r="D19" s="26" t="s">
        <v>245</v>
      </c>
      <c r="E19" s="5" t="s">
        <v>124</v>
      </c>
      <c r="F19" s="3" t="s">
        <v>253</v>
      </c>
      <c r="G19" s="6">
        <f>18.708*L19</f>
        <v>37.415999999999997</v>
      </c>
      <c r="H19" s="7">
        <v>41499</v>
      </c>
      <c r="I19" s="32" t="s">
        <v>247</v>
      </c>
      <c r="J19" s="6" t="s">
        <v>254</v>
      </c>
      <c r="K19" s="6" t="s">
        <v>21</v>
      </c>
      <c r="L19" s="6">
        <v>2</v>
      </c>
      <c r="M19" s="15" t="s">
        <v>249</v>
      </c>
      <c r="N19" s="15" t="s">
        <v>255</v>
      </c>
      <c r="O19" s="28" t="s">
        <v>256</v>
      </c>
    </row>
    <row r="20" spans="1:15" s="1" customFormat="1" ht="13.5" customHeight="1">
      <c r="A20" s="22" t="s">
        <v>257</v>
      </c>
      <c r="B20" s="3" t="s">
        <v>15</v>
      </c>
      <c r="C20" s="3"/>
      <c r="D20" s="26" t="s">
        <v>245</v>
      </c>
      <c r="E20" s="5" t="s">
        <v>124</v>
      </c>
      <c r="F20" s="3" t="s">
        <v>258</v>
      </c>
      <c r="G20" s="6">
        <f>18.708*L20</f>
        <v>37.415999999999997</v>
      </c>
      <c r="H20" s="7">
        <v>41499</v>
      </c>
      <c r="I20" s="6" t="s">
        <v>259</v>
      </c>
      <c r="J20" s="6" t="s">
        <v>260</v>
      </c>
      <c r="K20" s="6" t="s">
        <v>21</v>
      </c>
      <c r="L20" s="6">
        <v>2</v>
      </c>
      <c r="M20" s="15" t="s">
        <v>249</v>
      </c>
      <c r="N20" s="15" t="s">
        <v>261</v>
      </c>
      <c r="O20" s="28" t="s">
        <v>249</v>
      </c>
    </row>
    <row r="21" spans="1:15" s="1" customFormat="1" ht="13.5" customHeight="1">
      <c r="A21" s="22" t="s">
        <v>262</v>
      </c>
      <c r="B21" s="3" t="s">
        <v>15</v>
      </c>
      <c r="C21" s="3"/>
      <c r="D21" s="5" t="s">
        <v>263</v>
      </c>
      <c r="E21" s="5" t="s">
        <v>124</v>
      </c>
      <c r="F21" s="3" t="s">
        <v>264</v>
      </c>
      <c r="G21" s="6">
        <f>17.498*L21</f>
        <v>34.996000000000002</v>
      </c>
      <c r="H21" s="7">
        <v>41502</v>
      </c>
      <c r="I21" s="6" t="s">
        <v>265</v>
      </c>
      <c r="J21" s="6" t="s">
        <v>266</v>
      </c>
      <c r="K21" s="6" t="s">
        <v>21</v>
      </c>
      <c r="L21" s="6">
        <v>2</v>
      </c>
      <c r="M21" s="15" t="s">
        <v>267</v>
      </c>
      <c r="N21" s="15" t="s">
        <v>268</v>
      </c>
      <c r="O21" s="28" t="s">
        <v>267</v>
      </c>
    </row>
    <row r="22" spans="1:15" s="1" customFormat="1" ht="13.5" customHeight="1">
      <c r="A22" s="3" t="s">
        <v>269</v>
      </c>
      <c r="B22" s="3"/>
      <c r="C22" s="3"/>
      <c r="D22" s="5" t="s">
        <v>270</v>
      </c>
      <c r="E22" s="5" t="s">
        <v>124</v>
      </c>
      <c r="F22" s="3" t="s">
        <v>271</v>
      </c>
      <c r="G22" s="6">
        <f>17.498*L22</f>
        <v>209.976</v>
      </c>
      <c r="H22" s="7">
        <v>41506</v>
      </c>
      <c r="I22" s="6" t="s">
        <v>272</v>
      </c>
      <c r="J22" s="6" t="s">
        <v>273</v>
      </c>
      <c r="K22" s="6" t="s">
        <v>21</v>
      </c>
      <c r="L22" s="6">
        <v>12</v>
      </c>
      <c r="M22" s="15" t="s">
        <v>274</v>
      </c>
      <c r="N22" s="15" t="s">
        <v>164</v>
      </c>
      <c r="O22" s="28" t="s">
        <v>274</v>
      </c>
    </row>
    <row r="23" spans="1:15" s="1" customFormat="1" ht="13.5" customHeight="1">
      <c r="A23" s="3" t="s">
        <v>275</v>
      </c>
      <c r="B23" s="3"/>
      <c r="C23" s="3"/>
      <c r="D23" s="5" t="s">
        <v>276</v>
      </c>
      <c r="E23" s="5" t="s">
        <v>124</v>
      </c>
      <c r="F23" s="3" t="s">
        <v>277</v>
      </c>
      <c r="G23" s="6">
        <f>6.405*L23</f>
        <v>160.125</v>
      </c>
      <c r="H23" s="7">
        <v>41506</v>
      </c>
      <c r="I23" s="6" t="s">
        <v>278</v>
      </c>
      <c r="J23" s="6" t="s">
        <v>279</v>
      </c>
      <c r="K23" s="6" t="s">
        <v>21</v>
      </c>
      <c r="L23" s="6">
        <v>25</v>
      </c>
      <c r="M23" s="15" t="s">
        <v>280</v>
      </c>
      <c r="N23" s="15" t="s">
        <v>281</v>
      </c>
      <c r="O23" s="28" t="s">
        <v>280</v>
      </c>
    </row>
    <row r="24" spans="1:15" s="1" customFormat="1" ht="13.5" customHeight="1">
      <c r="A24" s="3" t="s">
        <v>282</v>
      </c>
      <c r="B24" s="4" t="s">
        <v>283</v>
      </c>
      <c r="C24" s="3"/>
      <c r="D24" s="5" t="s">
        <v>284</v>
      </c>
      <c r="E24" s="5" t="s">
        <v>124</v>
      </c>
      <c r="F24" s="3" t="s">
        <v>285</v>
      </c>
      <c r="G24" s="6">
        <f>14.924*L24</f>
        <v>179.08799999999999</v>
      </c>
      <c r="H24" s="7">
        <v>41509</v>
      </c>
      <c r="I24" s="6" t="s">
        <v>286</v>
      </c>
      <c r="J24" s="6" t="s">
        <v>287</v>
      </c>
      <c r="K24" s="6" t="s">
        <v>21</v>
      </c>
      <c r="L24" s="6">
        <v>12</v>
      </c>
      <c r="M24" s="15" t="s">
        <v>288</v>
      </c>
      <c r="N24" s="15" t="s">
        <v>164</v>
      </c>
      <c r="O24" s="28" t="s">
        <v>289</v>
      </c>
    </row>
    <row r="25" spans="1:15" s="1" customFormat="1" ht="13.5" customHeight="1">
      <c r="A25" s="3" t="s">
        <v>290</v>
      </c>
      <c r="B25" s="3"/>
      <c r="C25" s="3"/>
      <c r="D25" s="5" t="s">
        <v>291</v>
      </c>
      <c r="E25" s="5" t="s">
        <v>124</v>
      </c>
      <c r="F25" s="3" t="s">
        <v>292</v>
      </c>
      <c r="G25" s="6">
        <f>17.498*L25</f>
        <v>87.490000000000009</v>
      </c>
      <c r="H25" s="7">
        <v>41514</v>
      </c>
      <c r="I25" s="6" t="s">
        <v>172</v>
      </c>
      <c r="J25" s="6" t="s">
        <v>293</v>
      </c>
      <c r="K25" s="6" t="s">
        <v>21</v>
      </c>
      <c r="L25" s="6">
        <v>5</v>
      </c>
      <c r="M25" s="15" t="s">
        <v>294</v>
      </c>
      <c r="N25" s="15" t="s">
        <v>295</v>
      </c>
      <c r="O25" s="28" t="s">
        <v>294</v>
      </c>
    </row>
    <row r="26" spans="1:15" ht="13.5" customHeight="1">
      <c r="A26" s="3" t="s">
        <v>290</v>
      </c>
      <c r="B26" s="3"/>
      <c r="C26" s="3"/>
      <c r="D26" s="5" t="s">
        <v>291</v>
      </c>
      <c r="E26" s="5" t="s">
        <v>124</v>
      </c>
      <c r="F26" s="3" t="s">
        <v>296</v>
      </c>
      <c r="G26" s="6">
        <f>17.498*L26</f>
        <v>174.98000000000002</v>
      </c>
      <c r="H26" s="7">
        <v>41514</v>
      </c>
      <c r="I26" s="6" t="s">
        <v>172</v>
      </c>
      <c r="J26" s="6" t="s">
        <v>297</v>
      </c>
      <c r="K26" s="6" t="s">
        <v>21</v>
      </c>
      <c r="L26" s="6">
        <v>10</v>
      </c>
      <c r="M26" s="15" t="s">
        <v>294</v>
      </c>
      <c r="N26" s="15" t="s">
        <v>114</v>
      </c>
      <c r="O26" s="28" t="s">
        <v>298</v>
      </c>
    </row>
    <row r="27" spans="1:15" ht="13.5" customHeight="1">
      <c r="A27" s="3" t="s">
        <v>122</v>
      </c>
      <c r="B27" s="3"/>
      <c r="C27" s="3"/>
      <c r="D27" s="5" t="s">
        <v>123</v>
      </c>
      <c r="E27" s="5" t="s">
        <v>124</v>
      </c>
      <c r="F27" s="3" t="s">
        <v>299</v>
      </c>
      <c r="G27" s="6">
        <v>31.145</v>
      </c>
      <c r="H27" s="7">
        <v>41514</v>
      </c>
      <c r="I27" s="6" t="s">
        <v>209</v>
      </c>
      <c r="J27" s="6" t="s">
        <v>300</v>
      </c>
      <c r="K27" s="6" t="s">
        <v>128</v>
      </c>
      <c r="L27" s="6" t="s">
        <v>301</v>
      </c>
      <c r="M27" s="15" t="s">
        <v>302</v>
      </c>
      <c r="N27" s="15" t="s">
        <v>303</v>
      </c>
      <c r="O27" s="28" t="s">
        <v>304</v>
      </c>
    </row>
    <row r="28" spans="1:15" s="1" customFormat="1" ht="13.5" customHeight="1">
      <c r="A28" s="22" t="s">
        <v>305</v>
      </c>
      <c r="B28" s="3"/>
      <c r="C28" s="3"/>
      <c r="D28" s="5" t="s">
        <v>306</v>
      </c>
      <c r="E28" s="5" t="s">
        <v>124</v>
      </c>
      <c r="F28" s="3" t="s">
        <v>307</v>
      </c>
      <c r="G28" s="6">
        <f>17.52*L28</f>
        <v>35.04</v>
      </c>
      <c r="H28" s="7">
        <v>41519</v>
      </c>
      <c r="I28" s="6" t="s">
        <v>126</v>
      </c>
      <c r="J28" s="6" t="s">
        <v>308</v>
      </c>
      <c r="K28" s="6" t="s">
        <v>21</v>
      </c>
      <c r="L28" s="6">
        <v>2</v>
      </c>
      <c r="M28" s="15" t="s">
        <v>309</v>
      </c>
      <c r="N28" s="15" t="s">
        <v>250</v>
      </c>
      <c r="O28" s="28" t="s">
        <v>309</v>
      </c>
    </row>
    <row r="29" spans="1:15" ht="13.5" customHeight="1">
      <c r="A29" s="3" t="s">
        <v>310</v>
      </c>
      <c r="B29" s="3"/>
      <c r="C29" s="3"/>
      <c r="D29" s="5" t="s">
        <v>311</v>
      </c>
      <c r="E29" s="5" t="s">
        <v>124</v>
      </c>
      <c r="F29" s="3" t="s">
        <v>312</v>
      </c>
      <c r="G29" s="6">
        <f>17.52*L29</f>
        <v>17.52</v>
      </c>
      <c r="H29" s="7">
        <v>41519</v>
      </c>
      <c r="I29" s="6" t="s">
        <v>172</v>
      </c>
      <c r="J29" s="6" t="s">
        <v>313</v>
      </c>
      <c r="K29" s="6" t="s">
        <v>21</v>
      </c>
      <c r="L29" s="6">
        <v>1</v>
      </c>
      <c r="M29" s="15" t="s">
        <v>314</v>
      </c>
      <c r="N29" s="15" t="s">
        <v>315</v>
      </c>
      <c r="O29" s="28" t="s">
        <v>314</v>
      </c>
    </row>
    <row r="30" spans="1:15" s="1" customFormat="1" ht="13.5" customHeight="1">
      <c r="A30" s="3" t="s">
        <v>316</v>
      </c>
      <c r="B30" s="3"/>
      <c r="C30" s="3"/>
      <c r="D30" s="5" t="s">
        <v>317</v>
      </c>
      <c r="E30" s="5" t="s">
        <v>124</v>
      </c>
      <c r="F30" s="3" t="s">
        <v>318</v>
      </c>
      <c r="G30" s="6">
        <f>17.52*L30</f>
        <v>52.56</v>
      </c>
      <c r="H30" s="7">
        <v>41519</v>
      </c>
      <c r="I30" s="6" t="s">
        <v>126</v>
      </c>
      <c r="J30" s="6" t="s">
        <v>319</v>
      </c>
      <c r="K30" s="6" t="s">
        <v>21</v>
      </c>
      <c r="L30" s="6">
        <v>3</v>
      </c>
      <c r="M30" s="15" t="s">
        <v>320</v>
      </c>
      <c r="N30" s="15" t="s">
        <v>321</v>
      </c>
      <c r="O30" s="28" t="s">
        <v>322</v>
      </c>
    </row>
    <row r="31" spans="1:15" ht="13.5" customHeight="1">
      <c r="A31" s="3" t="s">
        <v>323</v>
      </c>
      <c r="B31" s="3"/>
      <c r="C31" s="3"/>
      <c r="D31" s="5" t="s">
        <v>324</v>
      </c>
      <c r="E31" s="5" t="s">
        <v>124</v>
      </c>
      <c r="F31" s="3" t="s">
        <v>325</v>
      </c>
      <c r="G31" s="6">
        <f t="shared" ref="G31:G36" si="0">29.101*L31</f>
        <v>29.100999999999999</v>
      </c>
      <c r="H31" s="7">
        <v>41519</v>
      </c>
      <c r="I31" s="6" t="s">
        <v>178</v>
      </c>
      <c r="J31" s="6" t="s">
        <v>326</v>
      </c>
      <c r="K31" s="6" t="s">
        <v>21</v>
      </c>
      <c r="L31" s="6">
        <v>1</v>
      </c>
      <c r="M31" s="15" t="s">
        <v>327</v>
      </c>
      <c r="N31" s="15" t="s">
        <v>315</v>
      </c>
      <c r="O31" s="28" t="s">
        <v>327</v>
      </c>
    </row>
    <row r="32" spans="1:15" s="1" customFormat="1" ht="13.5" customHeight="1">
      <c r="A32" s="3" t="s">
        <v>328</v>
      </c>
      <c r="B32" s="3" t="s">
        <v>158</v>
      </c>
      <c r="C32" s="3"/>
      <c r="D32" s="5" t="s">
        <v>329</v>
      </c>
      <c r="E32" s="5" t="s">
        <v>124</v>
      </c>
      <c r="F32" s="3" t="s">
        <v>330</v>
      </c>
      <c r="G32" s="6">
        <f t="shared" si="0"/>
        <v>29.100999999999999</v>
      </c>
      <c r="H32" s="7">
        <v>41519</v>
      </c>
      <c r="I32" s="6" t="s">
        <v>331</v>
      </c>
      <c r="J32" s="6" t="s">
        <v>332</v>
      </c>
      <c r="K32" s="6" t="s">
        <v>21</v>
      </c>
      <c r="L32" s="6">
        <v>1</v>
      </c>
      <c r="M32" s="15" t="s">
        <v>333</v>
      </c>
      <c r="N32" s="15" t="s">
        <v>334</v>
      </c>
      <c r="O32" s="28" t="s">
        <v>335</v>
      </c>
    </row>
    <row r="33" spans="1:15" s="1" customFormat="1" ht="13.5" customHeight="1">
      <c r="A33" s="3" t="s">
        <v>336</v>
      </c>
      <c r="B33" s="3" t="s">
        <v>158</v>
      </c>
      <c r="C33" s="3"/>
      <c r="D33" s="5" t="s">
        <v>337</v>
      </c>
      <c r="E33" s="5" t="s">
        <v>124</v>
      </c>
      <c r="F33" s="3" t="s">
        <v>338</v>
      </c>
      <c r="G33" s="6">
        <f t="shared" si="0"/>
        <v>29.100999999999999</v>
      </c>
      <c r="H33" s="7">
        <v>41519</v>
      </c>
      <c r="I33" s="6" t="s">
        <v>331</v>
      </c>
      <c r="J33" s="6" t="s">
        <v>339</v>
      </c>
      <c r="K33" s="6" t="s">
        <v>21</v>
      </c>
      <c r="L33" s="6">
        <v>1</v>
      </c>
      <c r="M33" s="15" t="s">
        <v>340</v>
      </c>
      <c r="N33" s="15" t="s">
        <v>341</v>
      </c>
      <c r="O33" s="28" t="s">
        <v>342</v>
      </c>
    </row>
    <row r="34" spans="1:15" s="1" customFormat="1" ht="13.5" customHeight="1">
      <c r="A34" s="3" t="s">
        <v>343</v>
      </c>
      <c r="B34" s="3" t="s">
        <v>158</v>
      </c>
      <c r="C34" s="3"/>
      <c r="D34" s="5" t="s">
        <v>344</v>
      </c>
      <c r="E34" s="5" t="s">
        <v>124</v>
      </c>
      <c r="F34" s="3" t="s">
        <v>345</v>
      </c>
      <c r="G34" s="6">
        <f t="shared" si="0"/>
        <v>29.100999999999999</v>
      </c>
      <c r="H34" s="7">
        <v>41519</v>
      </c>
      <c r="I34" s="6" t="s">
        <v>346</v>
      </c>
      <c r="J34" s="6" t="s">
        <v>347</v>
      </c>
      <c r="K34" s="6" t="s">
        <v>21</v>
      </c>
      <c r="L34" s="6">
        <v>1</v>
      </c>
      <c r="M34" s="15" t="s">
        <v>348</v>
      </c>
      <c r="N34" s="15" t="s">
        <v>349</v>
      </c>
      <c r="O34" s="28" t="s">
        <v>350</v>
      </c>
    </row>
    <row r="35" spans="1:15" s="1" customFormat="1" ht="13.5" customHeight="1">
      <c r="A35" s="3" t="s">
        <v>351</v>
      </c>
      <c r="B35" s="3" t="s">
        <v>158</v>
      </c>
      <c r="C35" s="3"/>
      <c r="D35" s="5" t="s">
        <v>352</v>
      </c>
      <c r="E35" s="5" t="s">
        <v>124</v>
      </c>
      <c r="F35" s="3" t="s">
        <v>353</v>
      </c>
      <c r="G35" s="6">
        <f t="shared" si="0"/>
        <v>29.100999999999999</v>
      </c>
      <c r="H35" s="7">
        <v>41519</v>
      </c>
      <c r="I35" s="6" t="s">
        <v>346</v>
      </c>
      <c r="J35" s="6" t="s">
        <v>354</v>
      </c>
      <c r="K35" s="6" t="s">
        <v>21</v>
      </c>
      <c r="L35" s="6">
        <v>1</v>
      </c>
      <c r="M35" s="15" t="s">
        <v>355</v>
      </c>
      <c r="N35" s="15" t="s">
        <v>334</v>
      </c>
      <c r="O35" s="27" t="s">
        <v>356</v>
      </c>
    </row>
    <row r="36" spans="1:15" s="1" customFormat="1" ht="13.5" customHeight="1">
      <c r="A36" s="3" t="s">
        <v>357</v>
      </c>
      <c r="B36" s="3" t="s">
        <v>158</v>
      </c>
      <c r="C36" s="3"/>
      <c r="D36" s="5" t="s">
        <v>358</v>
      </c>
      <c r="E36" s="5" t="s">
        <v>124</v>
      </c>
      <c r="F36" s="3" t="s">
        <v>359</v>
      </c>
      <c r="G36" s="6">
        <f t="shared" si="0"/>
        <v>29.100999999999999</v>
      </c>
      <c r="H36" s="7">
        <v>41519</v>
      </c>
      <c r="I36" s="6" t="s">
        <v>346</v>
      </c>
      <c r="J36" s="6" t="s">
        <v>360</v>
      </c>
      <c r="K36" s="6" t="s">
        <v>21</v>
      </c>
      <c r="L36" s="6">
        <v>1</v>
      </c>
      <c r="M36" s="15" t="s">
        <v>361</v>
      </c>
      <c r="N36" s="15" t="s">
        <v>39</v>
      </c>
      <c r="O36" s="28" t="s">
        <v>362</v>
      </c>
    </row>
    <row r="37" spans="1:15" s="1" customFormat="1" ht="13.5" customHeight="1">
      <c r="A37" s="22" t="s">
        <v>363</v>
      </c>
      <c r="B37" s="3" t="s">
        <v>15</v>
      </c>
      <c r="C37" s="3"/>
      <c r="D37" s="5" t="s">
        <v>364</v>
      </c>
      <c r="E37" s="5" t="s">
        <v>124</v>
      </c>
      <c r="F37" s="3" t="s">
        <v>365</v>
      </c>
      <c r="G37" s="6">
        <f>12.838*L37</f>
        <v>38.513999999999996</v>
      </c>
      <c r="H37" s="7">
        <v>41519</v>
      </c>
      <c r="I37" s="6" t="s">
        <v>209</v>
      </c>
      <c r="J37" s="6" t="s">
        <v>366</v>
      </c>
      <c r="K37" s="6" t="s">
        <v>21</v>
      </c>
      <c r="L37" s="6">
        <v>3</v>
      </c>
      <c r="M37" s="15" t="s">
        <v>367</v>
      </c>
      <c r="N37" s="15" t="s">
        <v>368</v>
      </c>
      <c r="O37" s="28" t="s">
        <v>367</v>
      </c>
    </row>
    <row r="38" spans="1:15" s="1" customFormat="1" ht="13.5" customHeight="1">
      <c r="A38" s="22" t="s">
        <v>369</v>
      </c>
      <c r="B38" s="3" t="s">
        <v>15</v>
      </c>
      <c r="C38" s="3"/>
      <c r="D38" s="5" t="s">
        <v>370</v>
      </c>
      <c r="E38" s="5" t="s">
        <v>124</v>
      </c>
      <c r="F38" s="3" t="s">
        <v>371</v>
      </c>
      <c r="G38" s="6">
        <f>10.202*L38</f>
        <v>30.606000000000002</v>
      </c>
      <c r="H38" s="7">
        <v>41519</v>
      </c>
      <c r="I38" s="6" t="s">
        <v>372</v>
      </c>
      <c r="J38" s="6" t="s">
        <v>373</v>
      </c>
      <c r="K38" s="6" t="s">
        <v>21</v>
      </c>
      <c r="L38" s="6">
        <v>3</v>
      </c>
      <c r="M38" s="15" t="s">
        <v>374</v>
      </c>
      <c r="N38" s="15" t="s">
        <v>375</v>
      </c>
      <c r="O38" s="28" t="s">
        <v>374</v>
      </c>
    </row>
    <row r="39" spans="1:15" s="1" customFormat="1" ht="13.5" customHeight="1">
      <c r="A39" s="22" t="s">
        <v>376</v>
      </c>
      <c r="B39" s="3" t="s">
        <v>15</v>
      </c>
      <c r="C39" s="3"/>
      <c r="D39" s="5" t="s">
        <v>377</v>
      </c>
      <c r="E39" s="5" t="s">
        <v>124</v>
      </c>
      <c r="F39" s="3" t="s">
        <v>378</v>
      </c>
      <c r="G39" s="6">
        <f>18.708*L39</f>
        <v>37.415999999999997</v>
      </c>
      <c r="H39" s="7">
        <v>41519</v>
      </c>
      <c r="I39" s="6" t="s">
        <v>379</v>
      </c>
      <c r="J39" s="6" t="s">
        <v>380</v>
      </c>
      <c r="K39" s="6" t="s">
        <v>21</v>
      </c>
      <c r="L39" s="6">
        <v>2</v>
      </c>
      <c r="M39" s="15" t="s">
        <v>381</v>
      </c>
      <c r="N39" s="15" t="s">
        <v>268</v>
      </c>
      <c r="O39" s="28" t="s">
        <v>381</v>
      </c>
    </row>
    <row r="40" spans="1:15" s="1" customFormat="1" ht="13.5" customHeight="1">
      <c r="A40" s="3" t="s">
        <v>382</v>
      </c>
      <c r="B40" s="3"/>
      <c r="C40" s="3"/>
      <c r="D40" s="5" t="s">
        <v>383</v>
      </c>
      <c r="E40" s="5" t="s">
        <v>124</v>
      </c>
      <c r="F40" s="3" t="s">
        <v>384</v>
      </c>
      <c r="G40" s="6">
        <v>139.93600000000001</v>
      </c>
      <c r="H40" s="7">
        <v>41519</v>
      </c>
      <c r="I40" s="6" t="s">
        <v>209</v>
      </c>
      <c r="J40" s="6" t="s">
        <v>385</v>
      </c>
      <c r="K40" s="6" t="s">
        <v>128</v>
      </c>
      <c r="L40" s="6" t="s">
        <v>386</v>
      </c>
      <c r="M40" s="15" t="s">
        <v>387</v>
      </c>
      <c r="N40" s="15" t="s">
        <v>388</v>
      </c>
      <c r="O40" s="28" t="s">
        <v>389</v>
      </c>
    </row>
    <row r="41" spans="1:15" s="1" customFormat="1" ht="13.5" customHeight="1">
      <c r="A41" s="3" t="s">
        <v>390</v>
      </c>
      <c r="B41" s="3"/>
      <c r="C41" s="3"/>
      <c r="D41" s="5" t="s">
        <v>391</v>
      </c>
      <c r="E41" s="5" t="s">
        <v>124</v>
      </c>
      <c r="F41" s="3" t="s">
        <v>392</v>
      </c>
      <c r="G41" s="6">
        <f>17.712*L41</f>
        <v>106.27199999999999</v>
      </c>
      <c r="H41" s="7">
        <v>41521</v>
      </c>
      <c r="I41" s="6" t="s">
        <v>172</v>
      </c>
      <c r="J41" s="6" t="s">
        <v>393</v>
      </c>
      <c r="K41" s="6" t="s">
        <v>21</v>
      </c>
      <c r="L41" s="6">
        <v>6</v>
      </c>
      <c r="M41" s="15" t="s">
        <v>394</v>
      </c>
      <c r="N41" s="15" t="s">
        <v>395</v>
      </c>
      <c r="O41" s="28" t="s">
        <v>396</v>
      </c>
    </row>
    <row r="42" spans="1:15" s="1" customFormat="1" ht="13.5" customHeight="1">
      <c r="A42" s="3" t="s">
        <v>290</v>
      </c>
      <c r="B42" s="4" t="s">
        <v>397</v>
      </c>
      <c r="C42" s="3"/>
      <c r="D42" s="5" t="s">
        <v>291</v>
      </c>
      <c r="E42" s="5" t="s">
        <v>124</v>
      </c>
      <c r="F42" s="3" t="s">
        <v>398</v>
      </c>
      <c r="G42" s="6">
        <f>17.498*L42</f>
        <v>34.996000000000002</v>
      </c>
      <c r="H42" s="7">
        <v>41521</v>
      </c>
      <c r="I42" s="6" t="s">
        <v>172</v>
      </c>
      <c r="J42" s="6" t="s">
        <v>399</v>
      </c>
      <c r="K42" s="6" t="s">
        <v>21</v>
      </c>
      <c r="L42" s="6">
        <v>2</v>
      </c>
      <c r="M42" s="15" t="s">
        <v>400</v>
      </c>
      <c r="N42" s="15" t="s">
        <v>401</v>
      </c>
      <c r="O42" s="28" t="s">
        <v>400</v>
      </c>
    </row>
    <row r="43" spans="1:15" s="1" customFormat="1" ht="13.5" customHeight="1">
      <c r="A43" s="22" t="s">
        <v>402</v>
      </c>
      <c r="B43" s="4"/>
      <c r="C43" s="3"/>
      <c r="D43" s="5" t="s">
        <v>403</v>
      </c>
      <c r="E43" s="5" t="s">
        <v>124</v>
      </c>
      <c r="F43" s="3" t="s">
        <v>404</v>
      </c>
      <c r="G43" s="6">
        <f>17.498*L43</f>
        <v>52.494</v>
      </c>
      <c r="H43" s="7">
        <v>41523</v>
      </c>
      <c r="I43" s="6" t="s">
        <v>278</v>
      </c>
      <c r="J43" s="6" t="s">
        <v>405</v>
      </c>
      <c r="K43" s="6" t="s">
        <v>21</v>
      </c>
      <c r="L43" s="6">
        <v>3</v>
      </c>
      <c r="M43" s="15" t="s">
        <v>406</v>
      </c>
      <c r="N43" s="15" t="s">
        <v>407</v>
      </c>
      <c r="O43" s="28" t="s">
        <v>408</v>
      </c>
    </row>
    <row r="44" spans="1:15" s="1" customFormat="1" ht="13.5" customHeight="1">
      <c r="A44" s="3" t="s">
        <v>409</v>
      </c>
      <c r="B44" s="4"/>
      <c r="C44" s="3"/>
      <c r="D44" s="5" t="s">
        <v>410</v>
      </c>
      <c r="E44" s="5" t="s">
        <v>124</v>
      </c>
      <c r="F44" s="3" t="s">
        <v>411</v>
      </c>
      <c r="G44" s="6">
        <f>17.52*L44</f>
        <v>17.52</v>
      </c>
      <c r="H44" s="7">
        <v>41535</v>
      </c>
      <c r="I44" s="6" t="s">
        <v>126</v>
      </c>
      <c r="J44" s="6" t="s">
        <v>412</v>
      </c>
      <c r="K44" s="6" t="s">
        <v>21</v>
      </c>
      <c r="L44" s="6">
        <v>1</v>
      </c>
      <c r="M44" s="15" t="s">
        <v>413</v>
      </c>
      <c r="N44" s="15" t="s">
        <v>414</v>
      </c>
      <c r="O44" s="28" t="s">
        <v>415</v>
      </c>
    </row>
    <row r="45" spans="1:15" s="1" customFormat="1" ht="13.5" customHeight="1">
      <c r="A45" s="3" t="s">
        <v>416</v>
      </c>
      <c r="B45" s="4"/>
      <c r="C45" s="3"/>
      <c r="D45" s="5" t="s">
        <v>417</v>
      </c>
      <c r="E45" s="5" t="s">
        <v>124</v>
      </c>
      <c r="F45" s="3" t="s">
        <v>418</v>
      </c>
      <c r="G45" s="6">
        <f>29.101*L45</f>
        <v>58.201999999999998</v>
      </c>
      <c r="H45" s="7">
        <v>41535</v>
      </c>
      <c r="I45" s="6" t="s">
        <v>419</v>
      </c>
      <c r="J45" s="6" t="s">
        <v>420</v>
      </c>
      <c r="K45" s="6" t="s">
        <v>21</v>
      </c>
      <c r="L45" s="6">
        <v>2</v>
      </c>
      <c r="M45" s="15" t="s">
        <v>421</v>
      </c>
      <c r="N45" s="15" t="s">
        <v>422</v>
      </c>
      <c r="O45" s="28" t="s">
        <v>421</v>
      </c>
    </row>
    <row r="46" spans="1:15" s="1" customFormat="1" ht="13.5" customHeight="1">
      <c r="A46" s="3" t="s">
        <v>423</v>
      </c>
      <c r="B46" s="4"/>
      <c r="C46" s="3"/>
      <c r="D46" s="5" t="s">
        <v>191</v>
      </c>
      <c r="E46" s="5" t="s">
        <v>124</v>
      </c>
      <c r="F46" s="3" t="s">
        <v>424</v>
      </c>
      <c r="G46" s="6">
        <f>18.708*L46</f>
        <v>205.78799999999998</v>
      </c>
      <c r="H46" s="7">
        <v>41535</v>
      </c>
      <c r="I46" s="6" t="s">
        <v>247</v>
      </c>
      <c r="J46" s="6" t="s">
        <v>425</v>
      </c>
      <c r="K46" s="6" t="s">
        <v>21</v>
      </c>
      <c r="L46" s="6">
        <v>11</v>
      </c>
      <c r="M46" s="15" t="s">
        <v>426</v>
      </c>
      <c r="N46" s="15" t="s">
        <v>427</v>
      </c>
      <c r="O46" s="28" t="s">
        <v>428</v>
      </c>
    </row>
    <row r="47" spans="1:15" s="1" customFormat="1" ht="13.5" customHeight="1">
      <c r="A47" s="3" t="s">
        <v>282</v>
      </c>
      <c r="B47" s="4" t="s">
        <v>283</v>
      </c>
      <c r="C47" s="3"/>
      <c r="D47" s="5" t="s">
        <v>284</v>
      </c>
      <c r="E47" s="5" t="s">
        <v>124</v>
      </c>
      <c r="F47" s="3" t="s">
        <v>429</v>
      </c>
      <c r="G47" s="6">
        <f>14.924*L47</f>
        <v>194.012</v>
      </c>
      <c r="H47" s="7">
        <v>41535</v>
      </c>
      <c r="I47" s="6" t="s">
        <v>286</v>
      </c>
      <c r="J47" s="6" t="s">
        <v>430</v>
      </c>
      <c r="K47" s="6" t="s">
        <v>21</v>
      </c>
      <c r="L47" s="6">
        <v>13</v>
      </c>
      <c r="M47" s="15" t="s">
        <v>431</v>
      </c>
      <c r="N47" s="15" t="s">
        <v>167</v>
      </c>
      <c r="O47" s="28" t="s">
        <v>431</v>
      </c>
    </row>
    <row r="48" spans="1:15" s="1" customFormat="1" ht="13.5" customHeight="1">
      <c r="A48" s="3" t="s">
        <v>432</v>
      </c>
      <c r="B48" s="3"/>
      <c r="C48" s="3"/>
      <c r="D48" s="5" t="s">
        <v>433</v>
      </c>
      <c r="E48" s="5" t="s">
        <v>124</v>
      </c>
      <c r="F48" s="3" t="s">
        <v>434</v>
      </c>
      <c r="G48" s="6">
        <f>19.827*L48</f>
        <v>118.96200000000002</v>
      </c>
      <c r="H48" s="7">
        <v>41535</v>
      </c>
      <c r="I48" s="6" t="s">
        <v>265</v>
      </c>
      <c r="J48" s="6" t="s">
        <v>435</v>
      </c>
      <c r="K48" s="6" t="s">
        <v>21</v>
      </c>
      <c r="L48" s="6">
        <v>6</v>
      </c>
      <c r="M48" s="15" t="s">
        <v>436</v>
      </c>
      <c r="N48" s="15" t="s">
        <v>437</v>
      </c>
      <c r="O48" s="28" t="s">
        <v>436</v>
      </c>
    </row>
    <row r="49" spans="1:15" s="1" customFormat="1" ht="13.5" customHeight="1">
      <c r="A49" s="5" t="s">
        <v>7024</v>
      </c>
      <c r="B49" s="4"/>
      <c r="C49" s="3"/>
      <c r="D49" s="5" t="s">
        <v>7025</v>
      </c>
      <c r="E49" s="5" t="s">
        <v>7026</v>
      </c>
      <c r="F49" s="3" t="s">
        <v>7027</v>
      </c>
      <c r="G49" s="6">
        <f>17.498*L49</f>
        <v>122.486</v>
      </c>
      <c r="H49" s="7">
        <v>41541</v>
      </c>
      <c r="I49" s="6" t="s">
        <v>265</v>
      </c>
      <c r="J49" s="6" t="s">
        <v>7028</v>
      </c>
      <c r="K49" s="6" t="s">
        <v>21</v>
      </c>
      <c r="L49" s="6">
        <v>7</v>
      </c>
      <c r="M49" s="15" t="s">
        <v>7029</v>
      </c>
      <c r="N49" s="15" t="s">
        <v>1460</v>
      </c>
      <c r="O49" s="27" t="s">
        <v>7030</v>
      </c>
    </row>
    <row r="50" spans="1:15" s="1" customFormat="1" ht="13.5" customHeight="1">
      <c r="A50" s="5" t="s">
        <v>7024</v>
      </c>
      <c r="B50" s="4"/>
      <c r="C50" s="3"/>
      <c r="D50" s="5" t="s">
        <v>7025</v>
      </c>
      <c r="E50" s="5" t="s">
        <v>7026</v>
      </c>
      <c r="F50" s="3" t="s">
        <v>7031</v>
      </c>
      <c r="G50" s="6">
        <f>17.498*L50</f>
        <v>139.98400000000001</v>
      </c>
      <c r="H50" s="7">
        <v>41541</v>
      </c>
      <c r="I50" s="6" t="s">
        <v>265</v>
      </c>
      <c r="J50" s="6" t="s">
        <v>7032</v>
      </c>
      <c r="K50" s="6" t="s">
        <v>21</v>
      </c>
      <c r="L50" s="6">
        <v>8</v>
      </c>
      <c r="M50" s="15" t="s">
        <v>7029</v>
      </c>
      <c r="N50" s="15" t="s">
        <v>1463</v>
      </c>
      <c r="O50" s="27" t="s">
        <v>7033</v>
      </c>
    </row>
    <row r="51" spans="1:15" s="1" customFormat="1" ht="13.5" customHeight="1">
      <c r="A51" s="5" t="s">
        <v>7024</v>
      </c>
      <c r="B51" s="4"/>
      <c r="C51" s="3"/>
      <c r="D51" s="5" t="s">
        <v>7025</v>
      </c>
      <c r="E51" s="5" t="s">
        <v>7026</v>
      </c>
      <c r="F51" s="3" t="s">
        <v>7034</v>
      </c>
      <c r="G51" s="6">
        <f>17.498*L51</f>
        <v>244.97200000000001</v>
      </c>
      <c r="H51" s="7">
        <v>41541</v>
      </c>
      <c r="I51" s="6" t="s">
        <v>265</v>
      </c>
      <c r="J51" s="6" t="s">
        <v>7035</v>
      </c>
      <c r="K51" s="6" t="s">
        <v>21</v>
      </c>
      <c r="L51" s="6">
        <v>14</v>
      </c>
      <c r="M51" s="15" t="s">
        <v>7036</v>
      </c>
      <c r="N51" s="15" t="s">
        <v>2196</v>
      </c>
      <c r="O51" s="27" t="s">
        <v>7037</v>
      </c>
    </row>
    <row r="52" spans="1:15" s="1" customFormat="1" ht="13.5" customHeight="1">
      <c r="A52" s="3" t="s">
        <v>409</v>
      </c>
      <c r="B52" s="4"/>
      <c r="C52" s="3"/>
      <c r="D52" s="5" t="s">
        <v>410</v>
      </c>
      <c r="E52" s="5" t="s">
        <v>124</v>
      </c>
      <c r="F52" s="3" t="s">
        <v>438</v>
      </c>
      <c r="G52" s="6">
        <f>17.52*L52</f>
        <v>52.56</v>
      </c>
      <c r="H52" s="7">
        <v>41542</v>
      </c>
      <c r="I52" s="6" t="s">
        <v>126</v>
      </c>
      <c r="J52" s="6" t="s">
        <v>439</v>
      </c>
      <c r="K52" s="6" t="s">
        <v>21</v>
      </c>
      <c r="L52" s="6">
        <v>3</v>
      </c>
      <c r="M52" s="15" t="s">
        <v>413</v>
      </c>
      <c r="N52" s="15" t="s">
        <v>440</v>
      </c>
      <c r="O52" s="28" t="s">
        <v>441</v>
      </c>
    </row>
    <row r="53" spans="1:15" s="1" customFormat="1" ht="13.5" customHeight="1">
      <c r="A53" s="3" t="s">
        <v>442</v>
      </c>
      <c r="B53" s="4"/>
      <c r="C53" s="3"/>
      <c r="D53" s="5" t="s">
        <v>443</v>
      </c>
      <c r="E53" s="5" t="s">
        <v>124</v>
      </c>
      <c r="F53" s="3" t="s">
        <v>444</v>
      </c>
      <c r="G53" s="6">
        <f>18.708*L53</f>
        <v>149.66399999999999</v>
      </c>
      <c r="H53" s="7">
        <v>41542</v>
      </c>
      <c r="I53" s="6" t="s">
        <v>247</v>
      </c>
      <c r="J53" s="6" t="s">
        <v>445</v>
      </c>
      <c r="K53" s="6" t="s">
        <v>21</v>
      </c>
      <c r="L53" s="6">
        <v>8</v>
      </c>
      <c r="M53" s="15" t="s">
        <v>446</v>
      </c>
      <c r="N53" s="15" t="s">
        <v>447</v>
      </c>
      <c r="O53" s="28" t="s">
        <v>446</v>
      </c>
    </row>
    <row r="54" spans="1:15" s="1" customFormat="1" ht="13.5" customHeight="1">
      <c r="A54" s="3" t="s">
        <v>448</v>
      </c>
      <c r="B54" s="4"/>
      <c r="C54" s="3"/>
      <c r="D54" s="5" t="s">
        <v>449</v>
      </c>
      <c r="E54" s="5" t="s">
        <v>124</v>
      </c>
      <c r="F54" s="3" t="s">
        <v>450</v>
      </c>
      <c r="G54" s="6">
        <v>30.466000000000001</v>
      </c>
      <c r="H54" s="7">
        <v>41542</v>
      </c>
      <c r="I54" s="6" t="s">
        <v>137</v>
      </c>
      <c r="J54" s="6" t="s">
        <v>451</v>
      </c>
      <c r="K54" s="6" t="s">
        <v>21</v>
      </c>
      <c r="L54" s="6" t="s">
        <v>452</v>
      </c>
      <c r="M54" s="15" t="s">
        <v>453</v>
      </c>
      <c r="N54" s="15" t="s">
        <v>454</v>
      </c>
      <c r="O54" s="28" t="s">
        <v>455</v>
      </c>
    </row>
    <row r="55" spans="1:15" ht="13.5" customHeight="1">
      <c r="A55" s="3" t="s">
        <v>456</v>
      </c>
      <c r="B55" s="4"/>
      <c r="C55" s="3"/>
      <c r="D55" s="5" t="s">
        <v>403</v>
      </c>
      <c r="E55" s="5" t="s">
        <v>124</v>
      </c>
      <c r="F55" s="3" t="s">
        <v>457</v>
      </c>
      <c r="G55" s="6">
        <f>17.498*L55</f>
        <v>174.98000000000002</v>
      </c>
      <c r="H55" s="7">
        <v>41542</v>
      </c>
      <c r="I55" s="6" t="s">
        <v>278</v>
      </c>
      <c r="J55" s="6" t="s">
        <v>458</v>
      </c>
      <c r="K55" s="6" t="s">
        <v>21</v>
      </c>
      <c r="L55" s="6">
        <v>10</v>
      </c>
      <c r="M55" s="15" t="s">
        <v>406</v>
      </c>
      <c r="N55" s="15" t="s">
        <v>114</v>
      </c>
      <c r="O55" s="28" t="s">
        <v>459</v>
      </c>
    </row>
    <row r="56" spans="1:15" s="1" customFormat="1" ht="13.5" customHeight="1">
      <c r="A56" s="3" t="s">
        <v>460</v>
      </c>
      <c r="B56" s="4"/>
      <c r="C56" s="3"/>
      <c r="D56" s="5" t="s">
        <v>461</v>
      </c>
      <c r="E56" s="5" t="s">
        <v>124</v>
      </c>
      <c r="F56" s="3" t="s">
        <v>462</v>
      </c>
      <c r="G56" s="6">
        <f>14.405*L56</f>
        <v>72.024999999999991</v>
      </c>
      <c r="H56" s="7">
        <v>41542</v>
      </c>
      <c r="I56" s="6" t="s">
        <v>265</v>
      </c>
      <c r="J56" s="6" t="s">
        <v>463</v>
      </c>
      <c r="K56" s="6" t="s">
        <v>21</v>
      </c>
      <c r="L56" s="6">
        <v>5</v>
      </c>
      <c r="M56" s="15" t="s">
        <v>464</v>
      </c>
      <c r="N56" s="15" t="s">
        <v>59</v>
      </c>
      <c r="O56" s="28" t="s">
        <v>464</v>
      </c>
    </row>
    <row r="57" spans="1:15" s="1" customFormat="1" ht="13.5" customHeight="1">
      <c r="A57" s="3" t="s">
        <v>465</v>
      </c>
      <c r="B57" s="4"/>
      <c r="C57" s="3"/>
      <c r="D57" s="5" t="s">
        <v>391</v>
      </c>
      <c r="E57" s="5" t="s">
        <v>124</v>
      </c>
      <c r="F57" s="3" t="s">
        <v>466</v>
      </c>
      <c r="G57" s="25">
        <f>17.712*L57</f>
        <v>212.54399999999998</v>
      </c>
      <c r="H57" s="7">
        <v>41542</v>
      </c>
      <c r="I57" s="6" t="s">
        <v>172</v>
      </c>
      <c r="J57" s="6" t="s">
        <v>467</v>
      </c>
      <c r="K57" s="6" t="s">
        <v>21</v>
      </c>
      <c r="L57" s="6">
        <v>12</v>
      </c>
      <c r="M57" s="15" t="s">
        <v>468</v>
      </c>
      <c r="N57" s="15" t="s">
        <v>164</v>
      </c>
      <c r="O57" s="28" t="s">
        <v>468</v>
      </c>
    </row>
    <row r="58" spans="1:15" s="1" customFormat="1" ht="13.5" customHeight="1">
      <c r="A58" s="3" t="s">
        <v>469</v>
      </c>
      <c r="B58" s="4"/>
      <c r="C58" s="3"/>
      <c r="D58" s="5" t="s">
        <v>276</v>
      </c>
      <c r="E58" s="5" t="s">
        <v>124</v>
      </c>
      <c r="F58" s="3" t="s">
        <v>470</v>
      </c>
      <c r="G58" s="6">
        <f>6.405*L58</f>
        <v>25.62</v>
      </c>
      <c r="H58" s="7">
        <v>41542</v>
      </c>
      <c r="I58" s="6" t="s">
        <v>471</v>
      </c>
      <c r="J58" s="6" t="s">
        <v>472</v>
      </c>
      <c r="K58" s="6" t="s">
        <v>21</v>
      </c>
      <c r="L58" s="6">
        <v>4</v>
      </c>
      <c r="M58" s="15" t="s">
        <v>473</v>
      </c>
      <c r="N58" s="15" t="s">
        <v>46</v>
      </c>
      <c r="O58" s="28" t="s">
        <v>473</v>
      </c>
    </row>
    <row r="59" spans="1:15" ht="13.5" customHeight="1">
      <c r="A59" s="3" t="s">
        <v>275</v>
      </c>
      <c r="B59" s="4"/>
      <c r="C59" s="3"/>
      <c r="D59" s="5" t="s">
        <v>276</v>
      </c>
      <c r="E59" s="5" t="s">
        <v>124</v>
      </c>
      <c r="F59" s="3" t="s">
        <v>474</v>
      </c>
      <c r="G59" s="6">
        <f>6.405*L59</f>
        <v>160.125</v>
      </c>
      <c r="H59" s="7">
        <v>41542</v>
      </c>
      <c r="I59" s="6" t="s">
        <v>278</v>
      </c>
      <c r="J59" s="6" t="s">
        <v>475</v>
      </c>
      <c r="K59" s="6" t="s">
        <v>21</v>
      </c>
      <c r="L59" s="6">
        <v>25</v>
      </c>
      <c r="M59" s="15" t="s">
        <v>476</v>
      </c>
      <c r="N59" s="15" t="s">
        <v>281</v>
      </c>
      <c r="O59" s="28" t="s">
        <v>476</v>
      </c>
    </row>
    <row r="60" spans="1:15" s="1" customFormat="1" ht="13.5" customHeight="1">
      <c r="A60" s="3" t="s">
        <v>409</v>
      </c>
      <c r="B60" s="4"/>
      <c r="C60" s="3"/>
      <c r="D60" s="5" t="s">
        <v>410</v>
      </c>
      <c r="E60" s="5" t="s">
        <v>124</v>
      </c>
      <c r="F60" s="3" t="s">
        <v>477</v>
      </c>
      <c r="G60" s="6">
        <f>17.52*L60</f>
        <v>52.56</v>
      </c>
      <c r="H60" s="7">
        <v>41547</v>
      </c>
      <c r="I60" s="6" t="s">
        <v>126</v>
      </c>
      <c r="J60" s="6" t="s">
        <v>478</v>
      </c>
      <c r="K60" s="6" t="s">
        <v>21</v>
      </c>
      <c r="L60" s="6">
        <v>3</v>
      </c>
      <c r="M60" s="15" t="s">
        <v>413</v>
      </c>
      <c r="N60" s="15" t="s">
        <v>479</v>
      </c>
      <c r="O60" s="28" t="s">
        <v>480</v>
      </c>
    </row>
    <row r="61" spans="1:15" ht="13.5" customHeight="1">
      <c r="A61" s="3" t="s">
        <v>481</v>
      </c>
      <c r="B61" s="4"/>
      <c r="C61" s="3"/>
      <c r="D61" s="5" t="s">
        <v>482</v>
      </c>
      <c r="E61" s="5" t="s">
        <v>124</v>
      </c>
      <c r="F61" s="3" t="s">
        <v>483</v>
      </c>
      <c r="G61" s="6">
        <f>17.498*L61</f>
        <v>157.482</v>
      </c>
      <c r="H61" s="7">
        <v>41547</v>
      </c>
      <c r="I61" s="6" t="s">
        <v>172</v>
      </c>
      <c r="J61" s="6" t="s">
        <v>484</v>
      </c>
      <c r="K61" s="6" t="s">
        <v>21</v>
      </c>
      <c r="L61" s="6">
        <v>9</v>
      </c>
      <c r="M61" s="15" t="s">
        <v>485</v>
      </c>
      <c r="N61" s="15" t="s">
        <v>486</v>
      </c>
      <c r="O61" s="28" t="s">
        <v>485</v>
      </c>
    </row>
    <row r="62" spans="1:15" s="1" customFormat="1" ht="13.5" customHeight="1">
      <c r="A62" s="3" t="s">
        <v>269</v>
      </c>
      <c r="B62" s="4"/>
      <c r="C62" s="3"/>
      <c r="D62" s="5" t="s">
        <v>270</v>
      </c>
      <c r="E62" s="5" t="s">
        <v>124</v>
      </c>
      <c r="F62" s="3" t="s">
        <v>487</v>
      </c>
      <c r="G62" s="6">
        <f>17.498*L62</f>
        <v>157.482</v>
      </c>
      <c r="H62" s="7">
        <v>41547</v>
      </c>
      <c r="I62" s="6" t="s">
        <v>272</v>
      </c>
      <c r="J62" s="6" t="s">
        <v>488</v>
      </c>
      <c r="K62" s="6" t="s">
        <v>21</v>
      </c>
      <c r="L62" s="6">
        <v>9</v>
      </c>
      <c r="M62" s="15" t="s">
        <v>489</v>
      </c>
      <c r="N62" s="15" t="s">
        <v>486</v>
      </c>
      <c r="O62" s="28" t="s">
        <v>489</v>
      </c>
    </row>
    <row r="63" spans="1:15" ht="13.5" customHeight="1">
      <c r="A63" s="3" t="s">
        <v>269</v>
      </c>
      <c r="B63" s="4"/>
      <c r="C63" s="3"/>
      <c r="D63" s="5" t="s">
        <v>270</v>
      </c>
      <c r="E63" s="5" t="s">
        <v>124</v>
      </c>
      <c r="F63" s="3" t="s">
        <v>490</v>
      </c>
      <c r="G63" s="6">
        <f>17.498*L63</f>
        <v>157.482</v>
      </c>
      <c r="H63" s="7">
        <v>41547</v>
      </c>
      <c r="I63" s="6" t="s">
        <v>272</v>
      </c>
      <c r="J63" s="6" t="s">
        <v>491</v>
      </c>
      <c r="K63" s="6" t="s">
        <v>21</v>
      </c>
      <c r="L63" s="6">
        <v>9</v>
      </c>
      <c r="M63" s="15" t="s">
        <v>489</v>
      </c>
      <c r="N63" s="15" t="s">
        <v>492</v>
      </c>
      <c r="O63" s="28" t="s">
        <v>493</v>
      </c>
    </row>
    <row r="64" spans="1:15" ht="13.5" customHeight="1">
      <c r="A64" s="3" t="s">
        <v>494</v>
      </c>
      <c r="B64" s="4"/>
      <c r="C64" s="3"/>
      <c r="D64" s="5" t="s">
        <v>495</v>
      </c>
      <c r="E64" s="5" t="s">
        <v>124</v>
      </c>
      <c r="F64" s="3" t="s">
        <v>496</v>
      </c>
      <c r="G64" s="6">
        <f>12.838*L64</f>
        <v>102.70399999999999</v>
      </c>
      <c r="H64" s="7">
        <v>41547</v>
      </c>
      <c r="I64" s="6" t="s">
        <v>471</v>
      </c>
      <c r="J64" s="6" t="s">
        <v>497</v>
      </c>
      <c r="K64" s="6" t="s">
        <v>21</v>
      </c>
      <c r="L64" s="6">
        <v>8</v>
      </c>
      <c r="M64" s="15" t="s">
        <v>498</v>
      </c>
      <c r="N64" s="15" t="s">
        <v>499</v>
      </c>
      <c r="O64" s="28" t="s">
        <v>500</v>
      </c>
    </row>
    <row r="65" spans="1:15" s="1" customFormat="1" ht="13.5" customHeight="1">
      <c r="A65" s="22" t="s">
        <v>501</v>
      </c>
      <c r="B65" s="3" t="s">
        <v>15</v>
      </c>
      <c r="C65" s="3"/>
      <c r="D65" s="5" t="s">
        <v>502</v>
      </c>
      <c r="E65" s="5" t="s">
        <v>124</v>
      </c>
      <c r="F65" s="3" t="s">
        <v>503</v>
      </c>
      <c r="G65" s="6">
        <f>14.405*L65</f>
        <v>14.404999999999999</v>
      </c>
      <c r="H65" s="7">
        <v>41547</v>
      </c>
      <c r="I65" s="6" t="s">
        <v>504</v>
      </c>
      <c r="J65" s="6" t="s">
        <v>505</v>
      </c>
      <c r="K65" s="6" t="s">
        <v>21</v>
      </c>
      <c r="L65" s="6">
        <v>1</v>
      </c>
      <c r="M65" s="15" t="s">
        <v>506</v>
      </c>
      <c r="N65" s="15" t="s">
        <v>507</v>
      </c>
      <c r="O65" s="28" t="s">
        <v>508</v>
      </c>
    </row>
    <row r="66" spans="1:15" s="1" customFormat="1" ht="13.5" customHeight="1">
      <c r="A66" s="22" t="s">
        <v>509</v>
      </c>
      <c r="B66" s="3" t="s">
        <v>15</v>
      </c>
      <c r="C66" s="3"/>
      <c r="D66" s="5" t="s">
        <v>510</v>
      </c>
      <c r="E66" s="5" t="s">
        <v>124</v>
      </c>
      <c r="F66" s="3" t="s">
        <v>511</v>
      </c>
      <c r="G66" s="6">
        <f>14.405*L66</f>
        <v>43.214999999999996</v>
      </c>
      <c r="H66" s="7">
        <v>41547</v>
      </c>
      <c r="I66" s="6" t="s">
        <v>504</v>
      </c>
      <c r="J66" s="6" t="s">
        <v>512</v>
      </c>
      <c r="K66" s="6" t="s">
        <v>21</v>
      </c>
      <c r="L66" s="6">
        <v>3</v>
      </c>
      <c r="M66" s="15" t="s">
        <v>513</v>
      </c>
      <c r="N66" s="15" t="s">
        <v>375</v>
      </c>
      <c r="O66" s="28" t="s">
        <v>513</v>
      </c>
    </row>
    <row r="67" spans="1:15" ht="13.5" customHeight="1">
      <c r="A67" s="22" t="s">
        <v>514</v>
      </c>
      <c r="B67" s="3" t="s">
        <v>515</v>
      </c>
      <c r="C67" s="3"/>
      <c r="D67" s="5" t="s">
        <v>461</v>
      </c>
      <c r="E67" s="5" t="s">
        <v>124</v>
      </c>
      <c r="F67" s="3" t="s">
        <v>516</v>
      </c>
      <c r="G67" s="6">
        <f>14.405*L67</f>
        <v>43.214999999999996</v>
      </c>
      <c r="H67" s="7">
        <v>41547</v>
      </c>
      <c r="I67" s="6" t="s">
        <v>265</v>
      </c>
      <c r="J67" s="6" t="s">
        <v>517</v>
      </c>
      <c r="K67" s="6" t="s">
        <v>21</v>
      </c>
      <c r="L67" s="6">
        <v>3</v>
      </c>
      <c r="M67" s="15" t="s">
        <v>518</v>
      </c>
      <c r="N67" s="15" t="s">
        <v>440</v>
      </c>
      <c r="O67" s="28" t="s">
        <v>519</v>
      </c>
    </row>
    <row r="68" spans="1:15" ht="13.5" customHeight="1">
      <c r="A68" s="22" t="s">
        <v>520</v>
      </c>
      <c r="B68" s="3"/>
      <c r="C68" s="3"/>
      <c r="D68" s="5" t="s">
        <v>461</v>
      </c>
      <c r="E68" s="5" t="s">
        <v>124</v>
      </c>
      <c r="F68" s="3" t="s">
        <v>521</v>
      </c>
      <c r="G68" s="6">
        <f>14.405*L68</f>
        <v>57.62</v>
      </c>
      <c r="H68" s="7">
        <v>41547</v>
      </c>
      <c r="I68" s="6" t="s">
        <v>265</v>
      </c>
      <c r="J68" s="6" t="s">
        <v>522</v>
      </c>
      <c r="K68" s="6" t="s">
        <v>21</v>
      </c>
      <c r="L68" s="6">
        <v>4</v>
      </c>
      <c r="M68" s="15" t="s">
        <v>518</v>
      </c>
      <c r="N68" s="15" t="s">
        <v>523</v>
      </c>
      <c r="O68" s="28" t="s">
        <v>524</v>
      </c>
    </row>
    <row r="69" spans="1:15" s="1" customFormat="1" ht="13.5" customHeight="1">
      <c r="A69" s="22" t="s">
        <v>525</v>
      </c>
      <c r="B69" s="3" t="s">
        <v>15</v>
      </c>
      <c r="C69" s="3"/>
      <c r="D69" s="5" t="s">
        <v>526</v>
      </c>
      <c r="E69" s="5" t="s">
        <v>124</v>
      </c>
      <c r="F69" s="3" t="s">
        <v>527</v>
      </c>
      <c r="G69" s="6">
        <f>17.498*L69</f>
        <v>34.996000000000002</v>
      </c>
      <c r="H69" s="7">
        <v>41547</v>
      </c>
      <c r="I69" s="6" t="s">
        <v>272</v>
      </c>
      <c r="J69" s="6" t="s">
        <v>528</v>
      </c>
      <c r="K69" s="6" t="s">
        <v>21</v>
      </c>
      <c r="L69" s="6">
        <v>2</v>
      </c>
      <c r="M69" s="15" t="s">
        <v>529</v>
      </c>
      <c r="N69" s="15" t="s">
        <v>268</v>
      </c>
      <c r="O69" s="27" t="s">
        <v>530</v>
      </c>
    </row>
    <row r="70" spans="1:15" s="1" customFormat="1" ht="13.5" customHeight="1">
      <c r="A70" s="22" t="s">
        <v>531</v>
      </c>
      <c r="B70" s="3" t="s">
        <v>15</v>
      </c>
      <c r="C70" s="3"/>
      <c r="D70" s="5" t="s">
        <v>526</v>
      </c>
      <c r="E70" s="5" t="s">
        <v>124</v>
      </c>
      <c r="F70" s="3" t="s">
        <v>532</v>
      </c>
      <c r="G70" s="6">
        <f>17.498*L70</f>
        <v>34.996000000000002</v>
      </c>
      <c r="H70" s="7">
        <v>41547</v>
      </c>
      <c r="I70" s="6" t="s">
        <v>504</v>
      </c>
      <c r="J70" s="6" t="s">
        <v>533</v>
      </c>
      <c r="K70" s="6" t="s">
        <v>21</v>
      </c>
      <c r="L70" s="6">
        <v>2</v>
      </c>
      <c r="M70" s="15" t="s">
        <v>529</v>
      </c>
      <c r="N70" s="15" t="s">
        <v>534</v>
      </c>
      <c r="O70" s="27" t="s">
        <v>529</v>
      </c>
    </row>
    <row r="71" spans="1:15" s="1" customFormat="1" ht="13.5" customHeight="1">
      <c r="A71" s="22" t="s">
        <v>535</v>
      </c>
      <c r="B71" s="3" t="s">
        <v>15</v>
      </c>
      <c r="C71" s="3"/>
      <c r="D71" s="5" t="s">
        <v>536</v>
      </c>
      <c r="E71" s="5" t="s">
        <v>124</v>
      </c>
      <c r="F71" s="3" t="s">
        <v>537</v>
      </c>
      <c r="G71" s="6">
        <v>17.52</v>
      </c>
      <c r="H71" s="7">
        <v>41547</v>
      </c>
      <c r="I71" s="6" t="s">
        <v>209</v>
      </c>
      <c r="J71" s="6" t="s">
        <v>538</v>
      </c>
      <c r="K71" s="6" t="s">
        <v>128</v>
      </c>
      <c r="L71" s="6" t="s">
        <v>539</v>
      </c>
      <c r="M71" s="15" t="s">
        <v>540</v>
      </c>
      <c r="N71" s="15" t="s">
        <v>541</v>
      </c>
      <c r="O71" s="28" t="s">
        <v>542</v>
      </c>
    </row>
    <row r="72" spans="1:15" s="1" customFormat="1" ht="13.5" customHeight="1">
      <c r="A72" s="5" t="s">
        <v>1043</v>
      </c>
      <c r="B72" s="4"/>
      <c r="C72" s="3"/>
      <c r="D72" s="5" t="s">
        <v>443</v>
      </c>
      <c r="E72" s="5" t="s">
        <v>7026</v>
      </c>
      <c r="F72" s="3" t="s">
        <v>7038</v>
      </c>
      <c r="G72" s="6">
        <f>18.708*L72</f>
        <v>130.95599999999999</v>
      </c>
      <c r="H72" s="7">
        <v>41557</v>
      </c>
      <c r="I72" s="6" t="s">
        <v>178</v>
      </c>
      <c r="J72" s="6" t="s">
        <v>7039</v>
      </c>
      <c r="K72" s="6" t="s">
        <v>21</v>
      </c>
      <c r="L72" s="6">
        <v>7</v>
      </c>
      <c r="M72" s="15" t="s">
        <v>7040</v>
      </c>
      <c r="N72" s="15" t="s">
        <v>1460</v>
      </c>
      <c r="O72" s="27" t="s">
        <v>7041</v>
      </c>
    </row>
    <row r="73" spans="1:15" s="1" customFormat="1" ht="13.5" customHeight="1">
      <c r="A73" s="22" t="s">
        <v>543</v>
      </c>
      <c r="B73" s="3" t="s">
        <v>15</v>
      </c>
      <c r="C73" s="3"/>
      <c r="D73" s="5" t="s">
        <v>544</v>
      </c>
      <c r="E73" s="5" t="s">
        <v>124</v>
      </c>
      <c r="F73" s="3" t="s">
        <v>545</v>
      </c>
      <c r="G73" s="6">
        <v>16.451000000000001</v>
      </c>
      <c r="H73" s="7">
        <v>41558</v>
      </c>
      <c r="I73" s="6" t="s">
        <v>209</v>
      </c>
      <c r="J73" s="6" t="s">
        <v>546</v>
      </c>
      <c r="K73" s="6" t="s">
        <v>128</v>
      </c>
      <c r="L73" s="6" t="s">
        <v>547</v>
      </c>
      <c r="M73" s="15" t="s">
        <v>548</v>
      </c>
      <c r="N73" s="15" t="s">
        <v>549</v>
      </c>
      <c r="O73" s="27" t="s">
        <v>550</v>
      </c>
    </row>
    <row r="74" spans="1:15" ht="13.5" customHeight="1">
      <c r="A74" s="3" t="s">
        <v>551</v>
      </c>
      <c r="B74" s="4"/>
      <c r="C74" s="3"/>
      <c r="D74" s="5" t="s">
        <v>552</v>
      </c>
      <c r="E74" s="5" t="s">
        <v>124</v>
      </c>
      <c r="F74" s="3" t="s">
        <v>553</v>
      </c>
      <c r="G74" s="6">
        <f>17.52*L74</f>
        <v>175.2</v>
      </c>
      <c r="H74" s="7">
        <v>41563</v>
      </c>
      <c r="I74" s="6" t="s">
        <v>172</v>
      </c>
      <c r="J74" s="6" t="s">
        <v>554</v>
      </c>
      <c r="K74" s="6" t="s">
        <v>21</v>
      </c>
      <c r="L74" s="6">
        <v>10</v>
      </c>
      <c r="M74" s="15" t="s">
        <v>555</v>
      </c>
      <c r="N74" s="15" t="s">
        <v>556</v>
      </c>
      <c r="O74" s="28" t="s">
        <v>555</v>
      </c>
    </row>
    <row r="75" spans="1:15" s="1" customFormat="1" ht="13.5" customHeight="1">
      <c r="A75" s="22" t="s">
        <v>557</v>
      </c>
      <c r="B75" s="3" t="s">
        <v>283</v>
      </c>
      <c r="C75" s="3"/>
      <c r="D75" s="5" t="s">
        <v>558</v>
      </c>
      <c r="E75" s="5" t="s">
        <v>124</v>
      </c>
      <c r="F75" s="3" t="s">
        <v>559</v>
      </c>
      <c r="G75" s="6">
        <f>29.101*L75</f>
        <v>58.201999999999998</v>
      </c>
      <c r="H75" s="7">
        <v>41563</v>
      </c>
      <c r="I75" s="6" t="s">
        <v>346</v>
      </c>
      <c r="J75" s="6" t="s">
        <v>560</v>
      </c>
      <c r="K75" s="6" t="s">
        <v>21</v>
      </c>
      <c r="L75" s="6">
        <v>2</v>
      </c>
      <c r="M75" s="15" t="s">
        <v>561</v>
      </c>
      <c r="N75" s="15" t="s">
        <v>562</v>
      </c>
      <c r="O75" s="27" t="s">
        <v>561</v>
      </c>
    </row>
    <row r="76" spans="1:15" ht="13.5" customHeight="1">
      <c r="A76" s="3" t="s">
        <v>465</v>
      </c>
      <c r="B76" s="4"/>
      <c r="C76" s="3"/>
      <c r="D76" s="5" t="s">
        <v>391</v>
      </c>
      <c r="E76" s="5" t="s">
        <v>124</v>
      </c>
      <c r="F76" s="3" t="s">
        <v>563</v>
      </c>
      <c r="G76" s="25">
        <f>17.712*L76</f>
        <v>212.54399999999998</v>
      </c>
      <c r="H76" s="7">
        <v>41563</v>
      </c>
      <c r="I76" s="6" t="s">
        <v>172</v>
      </c>
      <c r="J76" s="6" t="s">
        <v>564</v>
      </c>
      <c r="K76" s="6" t="s">
        <v>21</v>
      </c>
      <c r="L76" s="6">
        <v>12</v>
      </c>
      <c r="M76" s="15" t="s">
        <v>565</v>
      </c>
      <c r="N76" s="15" t="s">
        <v>164</v>
      </c>
      <c r="O76" s="28" t="s">
        <v>565</v>
      </c>
    </row>
    <row r="77" spans="1:15" s="1" customFormat="1" ht="13.5" customHeight="1">
      <c r="A77" s="3" t="s">
        <v>465</v>
      </c>
      <c r="B77" s="4"/>
      <c r="C77" s="3"/>
      <c r="D77" s="5" t="s">
        <v>391</v>
      </c>
      <c r="E77" s="5" t="s">
        <v>124</v>
      </c>
      <c r="F77" s="3" t="s">
        <v>566</v>
      </c>
      <c r="G77" s="25">
        <f>17.712*L77</f>
        <v>230.256</v>
      </c>
      <c r="H77" s="7">
        <v>41563</v>
      </c>
      <c r="I77" s="6" t="s">
        <v>172</v>
      </c>
      <c r="J77" s="6" t="s">
        <v>567</v>
      </c>
      <c r="K77" s="6" t="s">
        <v>21</v>
      </c>
      <c r="L77" s="6">
        <v>13</v>
      </c>
      <c r="M77" s="15" t="s">
        <v>565</v>
      </c>
      <c r="N77" s="15" t="s">
        <v>167</v>
      </c>
      <c r="O77" s="28" t="s">
        <v>568</v>
      </c>
    </row>
    <row r="78" spans="1:15" s="1" customFormat="1" ht="13.5" customHeight="1">
      <c r="A78" s="3" t="s">
        <v>569</v>
      </c>
      <c r="B78" s="3" t="s">
        <v>283</v>
      </c>
      <c r="C78" s="3"/>
      <c r="D78" s="5" t="s">
        <v>570</v>
      </c>
      <c r="E78" s="5" t="s">
        <v>124</v>
      </c>
      <c r="F78" s="3" t="s">
        <v>571</v>
      </c>
      <c r="G78" s="6">
        <f>9.871*L78</f>
        <v>59.225999999999999</v>
      </c>
      <c r="H78" s="7">
        <v>41564</v>
      </c>
      <c r="I78" s="6" t="s">
        <v>161</v>
      </c>
      <c r="J78" s="6" t="s">
        <v>572</v>
      </c>
      <c r="K78" s="6" t="s">
        <v>21</v>
      </c>
      <c r="L78" s="6">
        <v>6</v>
      </c>
      <c r="M78" s="15" t="s">
        <v>573</v>
      </c>
      <c r="N78" s="15" t="s">
        <v>574</v>
      </c>
      <c r="O78" s="27" t="s">
        <v>573</v>
      </c>
    </row>
    <row r="79" spans="1:15" s="1" customFormat="1" ht="13.5" customHeight="1">
      <c r="A79" s="3" t="s">
        <v>282</v>
      </c>
      <c r="B79" s="3" t="s">
        <v>283</v>
      </c>
      <c r="C79" s="3"/>
      <c r="D79" s="5" t="s">
        <v>284</v>
      </c>
      <c r="E79" s="5" t="s">
        <v>124</v>
      </c>
      <c r="F79" s="3" t="s">
        <v>575</v>
      </c>
      <c r="G79" s="6">
        <f>14.924*L79</f>
        <v>194.012</v>
      </c>
      <c r="H79" s="7">
        <v>41570</v>
      </c>
      <c r="I79" s="6" t="s">
        <v>286</v>
      </c>
      <c r="J79" s="6" t="s">
        <v>576</v>
      </c>
      <c r="K79" s="6" t="s">
        <v>21</v>
      </c>
      <c r="L79" s="6">
        <v>13</v>
      </c>
      <c r="M79" s="15" t="s">
        <v>577</v>
      </c>
      <c r="N79" s="15" t="s">
        <v>167</v>
      </c>
      <c r="O79" s="28" t="s">
        <v>578</v>
      </c>
    </row>
    <row r="80" spans="1:15" ht="13.5" customHeight="1">
      <c r="A80" s="3" t="s">
        <v>579</v>
      </c>
      <c r="B80" s="3" t="s">
        <v>283</v>
      </c>
      <c r="C80" s="3"/>
      <c r="D80" s="5" t="s">
        <v>580</v>
      </c>
      <c r="E80" s="5" t="s">
        <v>124</v>
      </c>
      <c r="F80" s="3" t="s">
        <v>581</v>
      </c>
      <c r="G80" s="6">
        <f>9.871*L80</f>
        <v>108.581</v>
      </c>
      <c r="H80" s="7">
        <v>41572</v>
      </c>
      <c r="I80" s="6" t="s">
        <v>161</v>
      </c>
      <c r="J80" s="6" t="s">
        <v>582</v>
      </c>
      <c r="K80" s="6" t="s">
        <v>21</v>
      </c>
      <c r="L80" s="6">
        <v>11</v>
      </c>
      <c r="M80" s="15" t="s">
        <v>583</v>
      </c>
      <c r="N80" s="15" t="s">
        <v>584</v>
      </c>
      <c r="O80" s="28" t="s">
        <v>583</v>
      </c>
    </row>
    <row r="81" spans="1:15" s="1" customFormat="1" ht="13.5" customHeight="1">
      <c r="A81" s="3" t="s">
        <v>585</v>
      </c>
      <c r="B81" s="4"/>
      <c r="C81" s="3"/>
      <c r="D81" s="5" t="s">
        <v>586</v>
      </c>
      <c r="E81" s="5" t="s">
        <v>124</v>
      </c>
      <c r="F81" s="3" t="s">
        <v>587</v>
      </c>
      <c r="G81" s="6">
        <f>17.52*L81</f>
        <v>35.04</v>
      </c>
      <c r="H81" s="7">
        <v>41579</v>
      </c>
      <c r="I81" s="6" t="s">
        <v>126</v>
      </c>
      <c r="J81" s="6" t="s">
        <v>588</v>
      </c>
      <c r="K81" s="6" t="s">
        <v>21</v>
      </c>
      <c r="L81" s="6">
        <v>2</v>
      </c>
      <c r="M81" s="15" t="s">
        <v>589</v>
      </c>
      <c r="N81" s="15" t="s">
        <v>268</v>
      </c>
      <c r="O81" s="28" t="s">
        <v>589</v>
      </c>
    </row>
    <row r="82" spans="1:15" s="1" customFormat="1" ht="13.5" customHeight="1">
      <c r="A82" s="3" t="s">
        <v>590</v>
      </c>
      <c r="B82" s="4"/>
      <c r="C82" s="3"/>
      <c r="D82" s="5" t="s">
        <v>591</v>
      </c>
      <c r="E82" s="5" t="s">
        <v>124</v>
      </c>
      <c r="F82" s="3" t="s">
        <v>592</v>
      </c>
      <c r="G82" s="6">
        <f>17.52*L82</f>
        <v>35.04</v>
      </c>
      <c r="H82" s="7">
        <v>41579</v>
      </c>
      <c r="I82" s="6" t="s">
        <v>126</v>
      </c>
      <c r="J82" s="6" t="s">
        <v>593</v>
      </c>
      <c r="K82" s="6" t="s">
        <v>21</v>
      </c>
      <c r="L82" s="6">
        <v>2</v>
      </c>
      <c r="M82" s="15" t="s">
        <v>594</v>
      </c>
      <c r="N82" s="15" t="s">
        <v>595</v>
      </c>
      <c r="O82" s="28" t="s">
        <v>594</v>
      </c>
    </row>
    <row r="83" spans="1:15" s="1" customFormat="1" ht="13.5" customHeight="1">
      <c r="A83" s="3" t="s">
        <v>596</v>
      </c>
      <c r="B83" s="4" t="s">
        <v>597</v>
      </c>
      <c r="C83" s="3"/>
      <c r="D83" s="5" t="s">
        <v>598</v>
      </c>
      <c r="E83" s="5" t="s">
        <v>124</v>
      </c>
      <c r="F83" s="3" t="s">
        <v>599</v>
      </c>
      <c r="G83" s="6">
        <f>17.52*L83</f>
        <v>35.04</v>
      </c>
      <c r="H83" s="7">
        <v>41579</v>
      </c>
      <c r="I83" s="6" t="s">
        <v>172</v>
      </c>
      <c r="J83" s="6" t="s">
        <v>600</v>
      </c>
      <c r="K83" s="6" t="s">
        <v>21</v>
      </c>
      <c r="L83" s="6">
        <v>2</v>
      </c>
      <c r="M83" s="15" t="s">
        <v>601</v>
      </c>
      <c r="N83" s="15" t="s">
        <v>602</v>
      </c>
      <c r="O83" s="28" t="s">
        <v>603</v>
      </c>
    </row>
    <row r="84" spans="1:15" ht="13.5" customHeight="1">
      <c r="A84" s="3" t="s">
        <v>604</v>
      </c>
      <c r="B84" s="4"/>
      <c r="C84" s="3"/>
      <c r="D84" s="5" t="s">
        <v>598</v>
      </c>
      <c r="E84" s="5" t="s">
        <v>124</v>
      </c>
      <c r="F84" s="3" t="s">
        <v>605</v>
      </c>
      <c r="G84" s="6">
        <f>17.52*L84</f>
        <v>35.04</v>
      </c>
      <c r="H84" s="7">
        <v>41579</v>
      </c>
      <c r="I84" s="6" t="s">
        <v>172</v>
      </c>
      <c r="J84" s="6" t="s">
        <v>606</v>
      </c>
      <c r="K84" s="6" t="s">
        <v>21</v>
      </c>
      <c r="L84" s="6">
        <v>2</v>
      </c>
      <c r="M84" s="15" t="s">
        <v>601</v>
      </c>
      <c r="N84" s="15" t="s">
        <v>607</v>
      </c>
      <c r="O84" s="28" t="s">
        <v>608</v>
      </c>
    </row>
    <row r="85" spans="1:15" s="1" customFormat="1" ht="13.5" customHeight="1">
      <c r="A85" s="3" t="s">
        <v>609</v>
      </c>
      <c r="B85" s="4"/>
      <c r="C85" s="3"/>
      <c r="D85" s="5" t="s">
        <v>610</v>
      </c>
      <c r="E85" s="5" t="s">
        <v>124</v>
      </c>
      <c r="F85" s="3" t="s">
        <v>611</v>
      </c>
      <c r="G85" s="6">
        <f>17.52*L85</f>
        <v>35.04</v>
      </c>
      <c r="H85" s="7">
        <v>41579</v>
      </c>
      <c r="I85" s="6" t="s">
        <v>612</v>
      </c>
      <c r="J85" s="6" t="s">
        <v>613</v>
      </c>
      <c r="K85" s="6" t="s">
        <v>21</v>
      </c>
      <c r="L85" s="6">
        <v>2</v>
      </c>
      <c r="M85" s="15" t="s">
        <v>614</v>
      </c>
      <c r="N85" s="15" t="s">
        <v>615</v>
      </c>
      <c r="O85" s="28" t="s">
        <v>616</v>
      </c>
    </row>
    <row r="86" spans="1:15" s="1" customFormat="1" ht="13.5" customHeight="1">
      <c r="A86" s="3" t="s">
        <v>617</v>
      </c>
      <c r="B86" s="4"/>
      <c r="C86" s="3"/>
      <c r="D86" s="5" t="s">
        <v>135</v>
      </c>
      <c r="E86" s="5" t="s">
        <v>124</v>
      </c>
      <c r="F86" s="3" t="s">
        <v>618</v>
      </c>
      <c r="G86" s="6">
        <f>29.101*L86</f>
        <v>116.404</v>
      </c>
      <c r="H86" s="7">
        <v>41579</v>
      </c>
      <c r="I86" s="6" t="s">
        <v>419</v>
      </c>
      <c r="J86" s="6" t="s">
        <v>619</v>
      </c>
      <c r="K86" s="6" t="s">
        <v>21</v>
      </c>
      <c r="L86" s="6">
        <v>4</v>
      </c>
      <c r="M86" s="15" t="s">
        <v>620</v>
      </c>
      <c r="N86" s="15" t="s">
        <v>621</v>
      </c>
      <c r="O86" s="28" t="s">
        <v>622</v>
      </c>
    </row>
    <row r="87" spans="1:15" s="1" customFormat="1" ht="13.5" customHeight="1">
      <c r="A87" s="3" t="s">
        <v>423</v>
      </c>
      <c r="B87" s="4"/>
      <c r="C87" s="3"/>
      <c r="D87" s="5" t="s">
        <v>191</v>
      </c>
      <c r="E87" s="5" t="s">
        <v>124</v>
      </c>
      <c r="F87" s="3" t="s">
        <v>623</v>
      </c>
      <c r="G87" s="6">
        <f>18.708*L87</f>
        <v>205.78799999999998</v>
      </c>
      <c r="H87" s="7">
        <v>41579</v>
      </c>
      <c r="I87" s="6" t="s">
        <v>247</v>
      </c>
      <c r="J87" s="6" t="s">
        <v>624</v>
      </c>
      <c r="K87" s="6" t="s">
        <v>21</v>
      </c>
      <c r="L87" s="6">
        <v>11</v>
      </c>
      <c r="M87" s="15" t="s">
        <v>625</v>
      </c>
      <c r="N87" s="15" t="s">
        <v>626</v>
      </c>
      <c r="O87" s="28" t="s">
        <v>625</v>
      </c>
    </row>
    <row r="88" spans="1:15" s="1" customFormat="1" ht="13.5" customHeight="1">
      <c r="A88" s="3" t="s">
        <v>627</v>
      </c>
      <c r="B88" s="4"/>
      <c r="C88" s="3"/>
      <c r="D88" s="5" t="s">
        <v>443</v>
      </c>
      <c r="E88" s="5" t="s">
        <v>124</v>
      </c>
      <c r="F88" s="3" t="s">
        <v>628</v>
      </c>
      <c r="G88" s="6">
        <f>18.708*L88</f>
        <v>187.07999999999998</v>
      </c>
      <c r="H88" s="7">
        <v>41579</v>
      </c>
      <c r="I88" s="6" t="s">
        <v>265</v>
      </c>
      <c r="J88" s="6" t="s">
        <v>629</v>
      </c>
      <c r="K88" s="6" t="s">
        <v>21</v>
      </c>
      <c r="L88" s="6">
        <v>10</v>
      </c>
      <c r="M88" s="15" t="s">
        <v>630</v>
      </c>
      <c r="N88" s="15" t="s">
        <v>114</v>
      </c>
      <c r="O88" s="28" t="s">
        <v>630</v>
      </c>
    </row>
    <row r="89" spans="1:15" ht="13.5" customHeight="1">
      <c r="A89" s="3" t="s">
        <v>631</v>
      </c>
      <c r="B89" s="4"/>
      <c r="C89" s="3"/>
      <c r="D89" s="5" t="s">
        <v>632</v>
      </c>
      <c r="E89" s="5" t="s">
        <v>124</v>
      </c>
      <c r="F89" s="3" t="s">
        <v>633</v>
      </c>
      <c r="G89" s="6">
        <f>17.498*10</f>
        <v>174.98000000000002</v>
      </c>
      <c r="H89" s="7">
        <v>41579</v>
      </c>
      <c r="I89" s="6" t="s">
        <v>278</v>
      </c>
      <c r="J89" s="6" t="s">
        <v>634</v>
      </c>
      <c r="K89" s="6" t="s">
        <v>21</v>
      </c>
      <c r="L89" s="6" t="s">
        <v>635</v>
      </c>
      <c r="M89" s="15" t="s">
        <v>636</v>
      </c>
      <c r="N89" s="15" t="s">
        <v>637</v>
      </c>
      <c r="O89" s="28" t="s">
        <v>638</v>
      </c>
    </row>
    <row r="90" spans="1:15" s="1" customFormat="1" ht="13.5" customHeight="1">
      <c r="A90" s="22" t="s">
        <v>639</v>
      </c>
      <c r="B90" s="4"/>
      <c r="C90" s="3"/>
      <c r="D90" s="5" t="s">
        <v>632</v>
      </c>
      <c r="E90" s="5" t="s">
        <v>124</v>
      </c>
      <c r="F90" s="3" t="s">
        <v>640</v>
      </c>
      <c r="G90" s="6">
        <f>17.498*2</f>
        <v>34.996000000000002</v>
      </c>
      <c r="H90" s="7">
        <v>41579</v>
      </c>
      <c r="I90" s="6" t="s">
        <v>278</v>
      </c>
      <c r="J90" s="6" t="s">
        <v>641</v>
      </c>
      <c r="K90" s="6" t="s">
        <v>21</v>
      </c>
      <c r="L90" s="6" t="s">
        <v>642</v>
      </c>
      <c r="M90" s="15" t="s">
        <v>643</v>
      </c>
      <c r="N90" s="15" t="s">
        <v>644</v>
      </c>
      <c r="O90" s="28" t="s">
        <v>645</v>
      </c>
    </row>
    <row r="91" spans="1:15" s="1" customFormat="1" ht="13.5" customHeight="1">
      <c r="A91" s="3" t="s">
        <v>481</v>
      </c>
      <c r="B91" s="4"/>
      <c r="C91" s="3"/>
      <c r="D91" s="5" t="s">
        <v>482</v>
      </c>
      <c r="E91" s="5" t="s">
        <v>124</v>
      </c>
      <c r="F91" s="3" t="s">
        <v>646</v>
      </c>
      <c r="G91" s="6">
        <f>17.498*L91</f>
        <v>87.490000000000009</v>
      </c>
      <c r="H91" s="7">
        <v>41579</v>
      </c>
      <c r="I91" s="6" t="s">
        <v>265</v>
      </c>
      <c r="J91" s="6" t="s">
        <v>647</v>
      </c>
      <c r="K91" s="6" t="s">
        <v>21</v>
      </c>
      <c r="L91" s="6">
        <v>5</v>
      </c>
      <c r="M91" s="15" t="s">
        <v>648</v>
      </c>
      <c r="N91" s="15" t="s">
        <v>295</v>
      </c>
      <c r="O91" s="28" t="s">
        <v>648</v>
      </c>
    </row>
    <row r="92" spans="1:15" s="1" customFormat="1" ht="13.5" customHeight="1">
      <c r="A92" s="3" t="s">
        <v>649</v>
      </c>
      <c r="B92" s="4"/>
      <c r="C92" s="3"/>
      <c r="D92" s="5" t="s">
        <v>482</v>
      </c>
      <c r="E92" s="5" t="s">
        <v>124</v>
      </c>
      <c r="F92" s="3" t="s">
        <v>650</v>
      </c>
      <c r="G92" s="6">
        <f>17.498*L92</f>
        <v>69.992000000000004</v>
      </c>
      <c r="H92" s="7">
        <v>41579</v>
      </c>
      <c r="I92" s="6" t="s">
        <v>265</v>
      </c>
      <c r="J92" s="87" t="s">
        <v>651</v>
      </c>
      <c r="K92" s="6" t="s">
        <v>21</v>
      </c>
      <c r="L92" s="6">
        <v>4</v>
      </c>
      <c r="M92" s="15" t="s">
        <v>652</v>
      </c>
      <c r="N92" s="15" t="s">
        <v>653</v>
      </c>
      <c r="O92" s="28" t="s">
        <v>652</v>
      </c>
    </row>
    <row r="93" spans="1:15" ht="13.5" customHeight="1">
      <c r="A93" s="3" t="s">
        <v>654</v>
      </c>
      <c r="B93" s="4"/>
      <c r="C93" s="3"/>
      <c r="D93" s="5" t="s">
        <v>410</v>
      </c>
      <c r="E93" s="5" t="s">
        <v>124</v>
      </c>
      <c r="F93" s="3" t="s">
        <v>655</v>
      </c>
      <c r="G93" s="6">
        <f>17.52*L93</f>
        <v>52.56</v>
      </c>
      <c r="H93" s="7">
        <v>41582</v>
      </c>
      <c r="I93" s="6" t="s">
        <v>209</v>
      </c>
      <c r="J93" s="6" t="s">
        <v>656</v>
      </c>
      <c r="K93" s="6" t="s">
        <v>21</v>
      </c>
      <c r="L93" s="6">
        <v>3</v>
      </c>
      <c r="M93" s="15" t="s">
        <v>413</v>
      </c>
      <c r="N93" s="15" t="s">
        <v>657</v>
      </c>
      <c r="O93" s="27" t="s">
        <v>658</v>
      </c>
    </row>
    <row r="94" spans="1:15" s="1" customFormat="1" ht="13.5" customHeight="1">
      <c r="A94" s="3" t="s">
        <v>659</v>
      </c>
      <c r="B94" s="4"/>
      <c r="C94" s="3"/>
      <c r="D94" s="5" t="s">
        <v>191</v>
      </c>
      <c r="E94" s="5" t="s">
        <v>124</v>
      </c>
      <c r="F94" s="3" t="s">
        <v>660</v>
      </c>
      <c r="G94" s="6">
        <f>18.708*L94</f>
        <v>37.415999999999997</v>
      </c>
      <c r="H94" s="7">
        <v>41582</v>
      </c>
      <c r="I94" s="6" t="s">
        <v>178</v>
      </c>
      <c r="J94" s="6" t="s">
        <v>661</v>
      </c>
      <c r="K94" s="6" t="s">
        <v>21</v>
      </c>
      <c r="L94" s="6">
        <v>2</v>
      </c>
      <c r="M94" s="15" t="s">
        <v>625</v>
      </c>
      <c r="N94" s="15" t="s">
        <v>662</v>
      </c>
      <c r="O94" s="27" t="s">
        <v>663</v>
      </c>
    </row>
    <row r="95" spans="1:15" s="1" customFormat="1" ht="13.5" customHeight="1">
      <c r="A95" s="3" t="s">
        <v>664</v>
      </c>
      <c r="B95" s="4"/>
      <c r="C95" s="3"/>
      <c r="D95" s="5" t="s">
        <v>665</v>
      </c>
      <c r="E95" s="5" t="s">
        <v>124</v>
      </c>
      <c r="F95" s="3" t="s">
        <v>666</v>
      </c>
      <c r="G95" s="6">
        <v>17.52</v>
      </c>
      <c r="H95" s="7">
        <v>41582</v>
      </c>
      <c r="I95" s="6" t="s">
        <v>209</v>
      </c>
      <c r="J95" s="6" t="s">
        <v>667</v>
      </c>
      <c r="K95" s="6" t="s">
        <v>128</v>
      </c>
      <c r="L95" s="6" t="s">
        <v>539</v>
      </c>
      <c r="M95" s="15" t="s">
        <v>668</v>
      </c>
      <c r="N95" s="15" t="s">
        <v>669</v>
      </c>
      <c r="O95" s="28" t="s">
        <v>670</v>
      </c>
    </row>
    <row r="96" spans="1:15" s="1" customFormat="1" ht="13.5" customHeight="1">
      <c r="A96" s="22" t="s">
        <v>671</v>
      </c>
      <c r="B96" s="4"/>
      <c r="C96" s="3"/>
      <c r="D96" s="5" t="s">
        <v>672</v>
      </c>
      <c r="E96" s="5" t="s">
        <v>124</v>
      </c>
      <c r="F96" s="3" t="s">
        <v>673</v>
      </c>
      <c r="G96" s="6">
        <v>31.100999999999999</v>
      </c>
      <c r="H96" s="7">
        <v>41582</v>
      </c>
      <c r="I96" s="6" t="s">
        <v>209</v>
      </c>
      <c r="J96" s="6" t="s">
        <v>674</v>
      </c>
      <c r="K96" s="6" t="s">
        <v>128</v>
      </c>
      <c r="L96" s="6" t="s">
        <v>301</v>
      </c>
      <c r="M96" s="15" t="s">
        <v>675</v>
      </c>
      <c r="N96" s="15" t="s">
        <v>676</v>
      </c>
      <c r="O96" s="28" t="s">
        <v>677</v>
      </c>
    </row>
    <row r="97" spans="1:15" ht="13.5" customHeight="1">
      <c r="A97" s="3" t="s">
        <v>678</v>
      </c>
      <c r="B97" s="4"/>
      <c r="C97" s="3"/>
      <c r="D97" s="5" t="s">
        <v>679</v>
      </c>
      <c r="E97" s="5" t="s">
        <v>124</v>
      </c>
      <c r="F97" s="3" t="s">
        <v>680</v>
      </c>
      <c r="G97" s="6">
        <v>35.04</v>
      </c>
      <c r="H97" s="7">
        <v>41582</v>
      </c>
      <c r="I97" s="6" t="s">
        <v>209</v>
      </c>
      <c r="J97" s="88" t="s">
        <v>681</v>
      </c>
      <c r="K97" s="6" t="s">
        <v>128</v>
      </c>
      <c r="L97" s="6" t="s">
        <v>682</v>
      </c>
      <c r="M97" s="15" t="s">
        <v>683</v>
      </c>
      <c r="N97" s="15" t="s">
        <v>684</v>
      </c>
      <c r="O97" s="28" t="s">
        <v>685</v>
      </c>
    </row>
    <row r="98" spans="1:15" s="1" customFormat="1" ht="13.5" customHeight="1">
      <c r="A98" s="3" t="s">
        <v>686</v>
      </c>
      <c r="B98" s="4"/>
      <c r="C98" s="3"/>
      <c r="D98" s="5" t="s">
        <v>687</v>
      </c>
      <c r="E98" s="5" t="s">
        <v>124</v>
      </c>
      <c r="F98" s="3" t="s">
        <v>688</v>
      </c>
      <c r="G98" s="6">
        <v>11.837999999999999</v>
      </c>
      <c r="H98" s="7">
        <v>41582</v>
      </c>
      <c r="I98" s="6" t="s">
        <v>209</v>
      </c>
      <c r="J98" s="6" t="s">
        <v>689</v>
      </c>
      <c r="K98" s="6" t="s">
        <v>128</v>
      </c>
      <c r="L98" s="6" t="s">
        <v>690</v>
      </c>
      <c r="M98" s="15" t="s">
        <v>691</v>
      </c>
      <c r="N98" s="15" t="s">
        <v>692</v>
      </c>
      <c r="O98" s="28" t="s">
        <v>693</v>
      </c>
    </row>
    <row r="99" spans="1:15" s="1" customFormat="1" ht="13.5" customHeight="1">
      <c r="A99" s="3" t="s">
        <v>694</v>
      </c>
      <c r="B99" s="4"/>
      <c r="C99" s="3"/>
      <c r="D99" s="5" t="s">
        <v>695</v>
      </c>
      <c r="E99" s="5" t="s">
        <v>124</v>
      </c>
      <c r="F99" s="3" t="s">
        <v>696</v>
      </c>
      <c r="G99" s="6">
        <v>15.291</v>
      </c>
      <c r="H99" s="7">
        <v>41582</v>
      </c>
      <c r="I99" s="6" t="s">
        <v>209</v>
      </c>
      <c r="J99" s="6" t="s">
        <v>697</v>
      </c>
      <c r="K99" s="6" t="s">
        <v>128</v>
      </c>
      <c r="L99" s="6" t="s">
        <v>690</v>
      </c>
      <c r="M99" s="15" t="s">
        <v>698</v>
      </c>
      <c r="N99" s="15" t="s">
        <v>699</v>
      </c>
      <c r="O99" s="28" t="s">
        <v>700</v>
      </c>
    </row>
    <row r="100" spans="1:15" s="1" customFormat="1" ht="13.5" customHeight="1">
      <c r="A100" s="3" t="s">
        <v>701</v>
      </c>
      <c r="B100" s="4"/>
      <c r="C100" s="3"/>
      <c r="D100" s="5" t="s">
        <v>702</v>
      </c>
      <c r="E100" s="5" t="s">
        <v>124</v>
      </c>
      <c r="F100" s="3" t="s">
        <v>703</v>
      </c>
      <c r="G100" s="6">
        <f>18.708*L100</f>
        <v>112.24799999999999</v>
      </c>
      <c r="H100" s="7">
        <v>41583</v>
      </c>
      <c r="I100" s="6" t="s">
        <v>379</v>
      </c>
      <c r="J100" s="6" t="s">
        <v>704</v>
      </c>
      <c r="K100" s="6" t="s">
        <v>21</v>
      </c>
      <c r="L100" s="6">
        <v>6</v>
      </c>
      <c r="M100" s="15" t="s">
        <v>705</v>
      </c>
      <c r="N100" s="15" t="s">
        <v>706</v>
      </c>
      <c r="O100" s="28" t="s">
        <v>707</v>
      </c>
    </row>
    <row r="101" spans="1:15" s="1" customFormat="1" ht="13.5" customHeight="1">
      <c r="A101" s="3" t="s">
        <v>469</v>
      </c>
      <c r="B101" s="4"/>
      <c r="C101" s="3"/>
      <c r="D101" s="5" t="s">
        <v>276</v>
      </c>
      <c r="E101" s="5" t="s">
        <v>124</v>
      </c>
      <c r="F101" s="3" t="s">
        <v>708</v>
      </c>
      <c r="G101" s="6">
        <f>6.405*L101</f>
        <v>160.125</v>
      </c>
      <c r="H101" s="7">
        <v>41583</v>
      </c>
      <c r="I101" s="6" t="s">
        <v>471</v>
      </c>
      <c r="J101" s="6" t="s">
        <v>709</v>
      </c>
      <c r="K101" s="6" t="s">
        <v>21</v>
      </c>
      <c r="L101" s="6">
        <v>25</v>
      </c>
      <c r="M101" s="15" t="s">
        <v>710</v>
      </c>
      <c r="N101" s="15" t="s">
        <v>281</v>
      </c>
      <c r="O101" s="28" t="s">
        <v>710</v>
      </c>
    </row>
    <row r="102" spans="1:15" s="1" customFormat="1" ht="13.5" customHeight="1">
      <c r="A102" s="22" t="s">
        <v>711</v>
      </c>
      <c r="B102" s="4"/>
      <c r="C102" s="3"/>
      <c r="D102" s="5" t="s">
        <v>712</v>
      </c>
      <c r="E102" s="5" t="s">
        <v>124</v>
      </c>
      <c r="F102" s="3" t="s">
        <v>713</v>
      </c>
      <c r="G102" s="6">
        <f>17.52*L102</f>
        <v>35.04</v>
      </c>
      <c r="H102" s="7">
        <v>41583</v>
      </c>
      <c r="I102" s="6" t="s">
        <v>126</v>
      </c>
      <c r="J102" s="6" t="s">
        <v>714</v>
      </c>
      <c r="K102" s="6" t="s">
        <v>21</v>
      </c>
      <c r="L102" s="6">
        <v>2</v>
      </c>
      <c r="M102" s="15" t="s">
        <v>715</v>
      </c>
      <c r="N102" s="15" t="s">
        <v>602</v>
      </c>
      <c r="O102" s="28" t="s">
        <v>715</v>
      </c>
    </row>
    <row r="103" spans="1:15" s="1" customFormat="1" ht="13.5" customHeight="1">
      <c r="A103" s="23" t="s">
        <v>716</v>
      </c>
      <c r="B103" s="4"/>
      <c r="C103" s="3"/>
      <c r="D103" s="5" t="s">
        <v>717</v>
      </c>
      <c r="E103" s="5" t="s">
        <v>124</v>
      </c>
      <c r="F103" s="3" t="s">
        <v>718</v>
      </c>
      <c r="G103" s="6">
        <v>77.137</v>
      </c>
      <c r="H103" s="7">
        <v>41583</v>
      </c>
      <c r="I103" s="6" t="s">
        <v>209</v>
      </c>
      <c r="J103" s="6" t="s">
        <v>719</v>
      </c>
      <c r="K103" s="6" t="s">
        <v>128</v>
      </c>
      <c r="L103" s="6" t="s">
        <v>720</v>
      </c>
      <c r="M103" s="15" t="s">
        <v>721</v>
      </c>
      <c r="N103" s="15" t="s">
        <v>722</v>
      </c>
      <c r="O103" s="28" t="s">
        <v>723</v>
      </c>
    </row>
    <row r="104" spans="1:15" s="1" customFormat="1" ht="13.5" customHeight="1">
      <c r="A104" s="22" t="s">
        <v>724</v>
      </c>
      <c r="B104" s="3" t="s">
        <v>15</v>
      </c>
      <c r="C104" s="3"/>
      <c r="D104" s="5" t="s">
        <v>725</v>
      </c>
      <c r="E104" s="5" t="s">
        <v>124</v>
      </c>
      <c r="F104" s="3" t="s">
        <v>726</v>
      </c>
      <c r="G104" s="6">
        <v>16.481999999999999</v>
      </c>
      <c r="H104" s="7">
        <v>41584</v>
      </c>
      <c r="I104" s="6" t="s">
        <v>209</v>
      </c>
      <c r="J104" s="6" t="s">
        <v>727</v>
      </c>
      <c r="K104" s="6" t="s">
        <v>128</v>
      </c>
      <c r="L104" s="6" t="s">
        <v>547</v>
      </c>
      <c r="M104" s="15" t="s">
        <v>728</v>
      </c>
      <c r="N104" s="15" t="s">
        <v>729</v>
      </c>
      <c r="O104" s="28" t="s">
        <v>730</v>
      </c>
    </row>
    <row r="105" spans="1:15" s="1" customFormat="1" ht="13.5" customHeight="1">
      <c r="A105" s="22" t="s">
        <v>731</v>
      </c>
      <c r="B105" s="3" t="s">
        <v>15</v>
      </c>
      <c r="C105" s="3"/>
      <c r="D105" s="5" t="s">
        <v>732</v>
      </c>
      <c r="E105" s="5" t="s">
        <v>124</v>
      </c>
      <c r="F105" s="3" t="s">
        <v>733</v>
      </c>
      <c r="G105" s="6">
        <v>17.52</v>
      </c>
      <c r="H105" s="7">
        <v>41584</v>
      </c>
      <c r="I105" s="6" t="s">
        <v>209</v>
      </c>
      <c r="J105" s="6" t="s">
        <v>734</v>
      </c>
      <c r="K105" s="6" t="s">
        <v>128</v>
      </c>
      <c r="L105" s="6" t="s">
        <v>735</v>
      </c>
      <c r="M105" s="15" t="s">
        <v>736</v>
      </c>
      <c r="N105" s="15" t="s">
        <v>737</v>
      </c>
      <c r="O105" s="28" t="s">
        <v>738</v>
      </c>
    </row>
    <row r="106" spans="1:15" s="1" customFormat="1" ht="13.5" customHeight="1">
      <c r="A106" s="22" t="s">
        <v>739</v>
      </c>
      <c r="B106" s="3" t="s">
        <v>15</v>
      </c>
      <c r="C106" s="3"/>
      <c r="D106" s="5" t="s">
        <v>740</v>
      </c>
      <c r="E106" s="5" t="s">
        <v>124</v>
      </c>
      <c r="F106" s="3" t="s">
        <v>741</v>
      </c>
      <c r="G106" s="6">
        <v>9.0190000000000001</v>
      </c>
      <c r="H106" s="7">
        <v>41586</v>
      </c>
      <c r="I106" s="6" t="s">
        <v>209</v>
      </c>
      <c r="J106" s="6" t="s">
        <v>742</v>
      </c>
      <c r="K106" s="6" t="s">
        <v>128</v>
      </c>
      <c r="L106" s="6" t="s">
        <v>743</v>
      </c>
      <c r="M106" s="15" t="s">
        <v>744</v>
      </c>
      <c r="N106" s="15" t="s">
        <v>745</v>
      </c>
      <c r="O106" s="28" t="s">
        <v>746</v>
      </c>
    </row>
    <row r="107" spans="1:15" s="1" customFormat="1" ht="13.5" customHeight="1">
      <c r="A107" s="22" t="s">
        <v>747</v>
      </c>
      <c r="B107" s="3" t="s">
        <v>15</v>
      </c>
      <c r="C107" s="3"/>
      <c r="D107" s="5" t="s">
        <v>748</v>
      </c>
      <c r="E107" s="5" t="s">
        <v>124</v>
      </c>
      <c r="F107" s="3" t="s">
        <v>749</v>
      </c>
      <c r="G107" s="6">
        <v>19.507999999999999</v>
      </c>
      <c r="H107" s="7">
        <v>41586</v>
      </c>
      <c r="I107" s="6" t="s">
        <v>265</v>
      </c>
      <c r="J107" s="6" t="s">
        <v>750</v>
      </c>
      <c r="K107" s="6" t="s">
        <v>21</v>
      </c>
      <c r="L107" s="6">
        <v>1</v>
      </c>
      <c r="M107" s="15" t="s">
        <v>751</v>
      </c>
      <c r="N107" s="15" t="s">
        <v>752</v>
      </c>
      <c r="O107" s="28" t="s">
        <v>751</v>
      </c>
    </row>
    <row r="108" spans="1:15" s="1" customFormat="1" ht="13.5" customHeight="1">
      <c r="A108" s="3" t="s">
        <v>753</v>
      </c>
      <c r="B108" s="4"/>
      <c r="C108" s="3"/>
      <c r="D108" s="5" t="s">
        <v>754</v>
      </c>
      <c r="E108" s="5" t="s">
        <v>124</v>
      </c>
      <c r="F108" s="3" t="s">
        <v>755</v>
      </c>
      <c r="G108" s="6">
        <f>17.52*L108</f>
        <v>17.52</v>
      </c>
      <c r="H108" s="7">
        <v>41589</v>
      </c>
      <c r="I108" s="6" t="s">
        <v>265</v>
      </c>
      <c r="J108" s="6" t="s">
        <v>756</v>
      </c>
      <c r="K108" s="6" t="s">
        <v>21</v>
      </c>
      <c r="L108" s="6">
        <v>1</v>
      </c>
      <c r="M108" s="15" t="s">
        <v>757</v>
      </c>
      <c r="N108" s="15" t="s">
        <v>758</v>
      </c>
      <c r="O108" s="27" t="s">
        <v>759</v>
      </c>
    </row>
    <row r="109" spans="1:15" s="1" customFormat="1" ht="13.5" customHeight="1">
      <c r="A109" s="3" t="s">
        <v>609</v>
      </c>
      <c r="B109" s="4"/>
      <c r="C109" s="3"/>
      <c r="D109" s="5" t="s">
        <v>610</v>
      </c>
      <c r="E109" s="5" t="s">
        <v>124</v>
      </c>
      <c r="F109" s="3" t="s">
        <v>760</v>
      </c>
      <c r="G109" s="6">
        <f>17.52*L109</f>
        <v>17.52</v>
      </c>
      <c r="H109" s="7">
        <v>41590</v>
      </c>
      <c r="I109" s="6" t="s">
        <v>761</v>
      </c>
      <c r="J109" s="6" t="s">
        <v>762</v>
      </c>
      <c r="K109" s="6" t="s">
        <v>21</v>
      </c>
      <c r="L109" s="6">
        <v>1</v>
      </c>
      <c r="M109" s="15" t="s">
        <v>614</v>
      </c>
      <c r="N109" s="15" t="s">
        <v>763</v>
      </c>
      <c r="O109" s="27" t="s">
        <v>764</v>
      </c>
    </row>
    <row r="110" spans="1:15" s="1" customFormat="1" ht="13.5" customHeight="1">
      <c r="A110" s="3" t="s">
        <v>765</v>
      </c>
      <c r="B110" s="4"/>
      <c r="C110" s="3"/>
      <c r="D110" s="5" t="s">
        <v>207</v>
      </c>
      <c r="E110" s="5" t="s">
        <v>124</v>
      </c>
      <c r="F110" s="3" t="s">
        <v>766</v>
      </c>
      <c r="G110" s="6">
        <v>87.588999999999999</v>
      </c>
      <c r="H110" s="7">
        <v>41590</v>
      </c>
      <c r="I110" s="6" t="s">
        <v>209</v>
      </c>
      <c r="J110" s="6" t="s">
        <v>767</v>
      </c>
      <c r="K110" s="6" t="s">
        <v>128</v>
      </c>
      <c r="L110" s="6" t="s">
        <v>768</v>
      </c>
      <c r="M110" s="15" t="s">
        <v>769</v>
      </c>
      <c r="N110" s="15" t="s">
        <v>770</v>
      </c>
      <c r="O110" s="28" t="s">
        <v>771</v>
      </c>
    </row>
    <row r="111" spans="1:15" s="1" customFormat="1" ht="13.5" customHeight="1">
      <c r="A111" s="3" t="s">
        <v>772</v>
      </c>
      <c r="B111" s="4"/>
      <c r="C111" s="3"/>
      <c r="D111" s="5" t="s">
        <v>773</v>
      </c>
      <c r="E111" s="5" t="s">
        <v>124</v>
      </c>
      <c r="F111" s="3" t="s">
        <v>774</v>
      </c>
      <c r="G111" s="6">
        <f>18.708*L111</f>
        <v>149.66399999999999</v>
      </c>
      <c r="H111" s="7">
        <v>41591</v>
      </c>
      <c r="I111" s="6" t="s">
        <v>265</v>
      </c>
      <c r="J111" s="6" t="s">
        <v>775</v>
      </c>
      <c r="K111" s="6" t="s">
        <v>21</v>
      </c>
      <c r="L111" s="6">
        <v>8</v>
      </c>
      <c r="M111" s="15" t="s">
        <v>776</v>
      </c>
      <c r="N111" s="15" t="s">
        <v>447</v>
      </c>
      <c r="O111" s="28" t="s">
        <v>776</v>
      </c>
    </row>
    <row r="112" spans="1:15" s="1" customFormat="1" ht="13.5" customHeight="1">
      <c r="A112" s="3" t="s">
        <v>777</v>
      </c>
      <c r="B112" s="4"/>
      <c r="C112" s="3"/>
      <c r="D112" s="5" t="s">
        <v>778</v>
      </c>
      <c r="E112" s="5" t="s">
        <v>124</v>
      </c>
      <c r="F112" s="3" t="s">
        <v>779</v>
      </c>
      <c r="G112" s="6">
        <f>17.52*L112</f>
        <v>17.52</v>
      </c>
      <c r="H112" s="7">
        <v>41592</v>
      </c>
      <c r="I112" s="6" t="s">
        <v>265</v>
      </c>
      <c r="J112" s="6" t="s">
        <v>780</v>
      </c>
      <c r="K112" s="6" t="s">
        <v>21</v>
      </c>
      <c r="L112" s="6">
        <v>1</v>
      </c>
      <c r="M112" s="15" t="s">
        <v>781</v>
      </c>
      <c r="N112" s="15" t="s">
        <v>782</v>
      </c>
      <c r="O112" s="27" t="s">
        <v>783</v>
      </c>
    </row>
    <row r="113" spans="1:15" s="1" customFormat="1" ht="13.5" customHeight="1">
      <c r="A113" s="3" t="s">
        <v>590</v>
      </c>
      <c r="B113" s="4"/>
      <c r="C113" s="3"/>
      <c r="D113" s="5" t="s">
        <v>591</v>
      </c>
      <c r="E113" s="5" t="s">
        <v>124</v>
      </c>
      <c r="F113" s="3" t="s">
        <v>784</v>
      </c>
      <c r="G113" s="6">
        <f>17.52*L113</f>
        <v>105.12</v>
      </c>
      <c r="H113" s="7">
        <v>41592</v>
      </c>
      <c r="I113" s="6" t="s">
        <v>209</v>
      </c>
      <c r="J113" s="6" t="s">
        <v>785</v>
      </c>
      <c r="K113" s="6" t="s">
        <v>21</v>
      </c>
      <c r="L113" s="6">
        <v>6</v>
      </c>
      <c r="M113" s="15" t="s">
        <v>786</v>
      </c>
      <c r="N113" s="15" t="s">
        <v>787</v>
      </c>
      <c r="O113" s="27" t="s">
        <v>786</v>
      </c>
    </row>
    <row r="114" spans="1:15" s="1" customFormat="1" ht="13.5" customHeight="1">
      <c r="A114" s="3" t="s">
        <v>788</v>
      </c>
      <c r="B114" s="3" t="s">
        <v>283</v>
      </c>
      <c r="C114" s="3"/>
      <c r="D114" s="5" t="s">
        <v>789</v>
      </c>
      <c r="E114" s="5" t="s">
        <v>124</v>
      </c>
      <c r="F114" s="3" t="s">
        <v>790</v>
      </c>
      <c r="G114" s="6">
        <f>8.606*L114</f>
        <v>17.212</v>
      </c>
      <c r="H114" s="7">
        <v>41597</v>
      </c>
      <c r="I114" s="6" t="s">
        <v>272</v>
      </c>
      <c r="J114" s="6" t="s">
        <v>791</v>
      </c>
      <c r="K114" s="6" t="s">
        <v>21</v>
      </c>
      <c r="L114" s="6">
        <v>2</v>
      </c>
      <c r="M114" s="15" t="s">
        <v>792</v>
      </c>
      <c r="N114" s="15" t="s">
        <v>189</v>
      </c>
      <c r="O114" s="28" t="s">
        <v>792</v>
      </c>
    </row>
    <row r="115" spans="1:15" s="1" customFormat="1" ht="13.5" customHeight="1">
      <c r="A115" s="3" t="s">
        <v>793</v>
      </c>
      <c r="B115" s="4"/>
      <c r="C115" s="3"/>
      <c r="D115" s="5" t="s">
        <v>794</v>
      </c>
      <c r="E115" s="5" t="s">
        <v>124</v>
      </c>
      <c r="F115" s="3" t="s">
        <v>795</v>
      </c>
      <c r="G115" s="6">
        <f>8.137*L115</f>
        <v>73.233000000000004</v>
      </c>
      <c r="H115" s="7">
        <v>41597</v>
      </c>
      <c r="I115" s="6" t="s">
        <v>186</v>
      </c>
      <c r="J115" s="6" t="s">
        <v>796</v>
      </c>
      <c r="K115" s="6" t="s">
        <v>21</v>
      </c>
      <c r="L115" s="6">
        <v>9</v>
      </c>
      <c r="M115" s="15" t="s">
        <v>797</v>
      </c>
      <c r="N115" s="15" t="s">
        <v>798</v>
      </c>
      <c r="O115" s="27" t="s">
        <v>797</v>
      </c>
    </row>
    <row r="116" spans="1:15" s="1" customFormat="1" ht="13.5" customHeight="1">
      <c r="A116" s="22" t="s">
        <v>799</v>
      </c>
      <c r="B116" s="3" t="s">
        <v>15</v>
      </c>
      <c r="C116" s="3"/>
      <c r="D116" s="22" t="s">
        <v>800</v>
      </c>
      <c r="E116" s="5" t="s">
        <v>124</v>
      </c>
      <c r="F116" s="3" t="s">
        <v>801</v>
      </c>
      <c r="G116" s="6">
        <f>7.656*L116</f>
        <v>191.4</v>
      </c>
      <c r="H116" s="7">
        <v>41597</v>
      </c>
      <c r="I116" s="6" t="s">
        <v>12067</v>
      </c>
      <c r="J116" s="6" t="s">
        <v>802</v>
      </c>
      <c r="K116" s="6" t="s">
        <v>21</v>
      </c>
      <c r="L116" s="6">
        <v>25</v>
      </c>
      <c r="M116" s="15" t="s">
        <v>803</v>
      </c>
      <c r="N116" s="15" t="s">
        <v>281</v>
      </c>
      <c r="O116" s="27" t="s">
        <v>803</v>
      </c>
    </row>
    <row r="117" spans="1:15" s="1" customFormat="1" ht="13.5" customHeight="1">
      <c r="A117" s="3" t="s">
        <v>804</v>
      </c>
      <c r="B117" s="4"/>
      <c r="C117" s="3"/>
      <c r="D117" s="5" t="s">
        <v>805</v>
      </c>
      <c r="E117" s="5" t="s">
        <v>124</v>
      </c>
      <c r="F117" s="3" t="s">
        <v>806</v>
      </c>
      <c r="G117" s="6">
        <v>152.42599999999999</v>
      </c>
      <c r="H117" s="7">
        <v>41599</v>
      </c>
      <c r="I117" s="6" t="s">
        <v>209</v>
      </c>
      <c r="J117" s="6" t="s">
        <v>807</v>
      </c>
      <c r="K117" s="6" t="s">
        <v>128</v>
      </c>
      <c r="L117" s="6" t="s">
        <v>808</v>
      </c>
      <c r="M117" s="15" t="s">
        <v>809</v>
      </c>
      <c r="N117" s="15" t="s">
        <v>810</v>
      </c>
      <c r="O117" s="28" t="s">
        <v>811</v>
      </c>
    </row>
    <row r="118" spans="1:15" ht="13.5" customHeight="1">
      <c r="A118" s="22" t="s">
        <v>812</v>
      </c>
      <c r="B118" s="3" t="s">
        <v>15</v>
      </c>
      <c r="C118" s="3"/>
      <c r="D118" s="5" t="s">
        <v>813</v>
      </c>
      <c r="E118" s="5" t="s">
        <v>124</v>
      </c>
      <c r="F118" s="3" t="s">
        <v>814</v>
      </c>
      <c r="G118" s="6">
        <v>103.38800000000001</v>
      </c>
      <c r="H118" s="7">
        <v>41603</v>
      </c>
      <c r="I118" s="6" t="s">
        <v>209</v>
      </c>
      <c r="J118" s="6" t="s">
        <v>815</v>
      </c>
      <c r="K118" s="6" t="s">
        <v>128</v>
      </c>
      <c r="L118" s="6" t="s">
        <v>240</v>
      </c>
      <c r="M118" s="15" t="s">
        <v>816</v>
      </c>
      <c r="N118" s="15" t="s">
        <v>817</v>
      </c>
      <c r="O118" s="27" t="s">
        <v>818</v>
      </c>
    </row>
    <row r="119" spans="1:15" s="1" customFormat="1" ht="13.5" customHeight="1">
      <c r="A119" s="3" t="s">
        <v>819</v>
      </c>
      <c r="B119" s="4"/>
      <c r="C119" s="3"/>
      <c r="D119" s="5" t="s">
        <v>820</v>
      </c>
      <c r="E119" s="5" t="s">
        <v>124</v>
      </c>
      <c r="F119" s="22" t="s">
        <v>821</v>
      </c>
      <c r="G119" s="6">
        <f>29.101*L119</f>
        <v>203.70699999999999</v>
      </c>
      <c r="H119" s="7">
        <v>41603</v>
      </c>
      <c r="I119" s="6" t="s">
        <v>178</v>
      </c>
      <c r="J119" s="6" t="s">
        <v>822</v>
      </c>
      <c r="K119" s="6" t="s">
        <v>21</v>
      </c>
      <c r="L119" s="6">
        <v>7</v>
      </c>
      <c r="M119" s="15" t="s">
        <v>823</v>
      </c>
      <c r="N119" s="15" t="s">
        <v>824</v>
      </c>
      <c r="O119" s="28" t="s">
        <v>823</v>
      </c>
    </row>
    <row r="120" spans="1:15" s="1" customFormat="1" ht="13.5" customHeight="1">
      <c r="A120" s="3" t="s">
        <v>825</v>
      </c>
      <c r="B120" s="4"/>
      <c r="C120" s="3"/>
      <c r="D120" s="5" t="s">
        <v>826</v>
      </c>
      <c r="E120" s="5" t="s">
        <v>124</v>
      </c>
      <c r="F120" s="3" t="s">
        <v>827</v>
      </c>
      <c r="G120" s="6">
        <v>105.12</v>
      </c>
      <c r="H120" s="7">
        <v>41604</v>
      </c>
      <c r="I120" s="6" t="s">
        <v>209</v>
      </c>
      <c r="J120" s="6" t="s">
        <v>828</v>
      </c>
      <c r="K120" s="6" t="s">
        <v>128</v>
      </c>
      <c r="L120" s="6" t="s">
        <v>829</v>
      </c>
      <c r="M120" s="15" t="s">
        <v>830</v>
      </c>
      <c r="N120" s="15" t="s">
        <v>831</v>
      </c>
      <c r="O120" s="28" t="s">
        <v>832</v>
      </c>
    </row>
    <row r="121" spans="1:15" ht="13.5" customHeight="1">
      <c r="A121" s="3" t="s">
        <v>596</v>
      </c>
      <c r="B121" s="4" t="s">
        <v>597</v>
      </c>
      <c r="C121" s="3"/>
      <c r="D121" s="5" t="s">
        <v>598</v>
      </c>
      <c r="E121" s="5" t="s">
        <v>124</v>
      </c>
      <c r="F121" s="3" t="s">
        <v>833</v>
      </c>
      <c r="G121" s="6">
        <f>17.52*L121</f>
        <v>35.04</v>
      </c>
      <c r="H121" s="7">
        <v>41604</v>
      </c>
      <c r="I121" s="6" t="s">
        <v>265</v>
      </c>
      <c r="J121" s="6" t="s">
        <v>834</v>
      </c>
      <c r="K121" s="6" t="s">
        <v>21</v>
      </c>
      <c r="L121" s="6">
        <v>2</v>
      </c>
      <c r="M121" s="15" t="s">
        <v>835</v>
      </c>
      <c r="N121" s="15" t="s">
        <v>836</v>
      </c>
      <c r="O121" s="28" t="s">
        <v>837</v>
      </c>
    </row>
    <row r="122" spans="1:15" s="1" customFormat="1" ht="13.5" customHeight="1">
      <c r="A122" s="22" t="s">
        <v>838</v>
      </c>
      <c r="B122" s="15" t="s">
        <v>839</v>
      </c>
      <c r="C122" s="3"/>
      <c r="D122" s="5" t="s">
        <v>840</v>
      </c>
      <c r="E122" s="5" t="s">
        <v>124</v>
      </c>
      <c r="F122" s="3" t="s">
        <v>841</v>
      </c>
      <c r="G122" s="6">
        <v>23.728000000000002</v>
      </c>
      <c r="H122" s="7">
        <v>41604</v>
      </c>
      <c r="I122" s="6" t="s">
        <v>272</v>
      </c>
      <c r="J122" s="6" t="s">
        <v>842</v>
      </c>
      <c r="K122" s="6" t="s">
        <v>21</v>
      </c>
      <c r="L122" s="6">
        <v>2</v>
      </c>
      <c r="M122" s="15" t="s">
        <v>843</v>
      </c>
      <c r="N122" s="15" t="s">
        <v>844</v>
      </c>
      <c r="O122" s="27" t="s">
        <v>845</v>
      </c>
    </row>
    <row r="123" spans="1:15" s="1" customFormat="1" ht="13.5" customHeight="1">
      <c r="A123" s="3" t="s">
        <v>7024</v>
      </c>
      <c r="B123" s="4"/>
      <c r="C123" s="3"/>
      <c r="D123" s="5" t="s">
        <v>7025</v>
      </c>
      <c r="E123" s="5" t="s">
        <v>7026</v>
      </c>
      <c r="F123" s="3" t="s">
        <v>7042</v>
      </c>
      <c r="G123" s="6">
        <f t="shared" ref="G123:G128" si="1">17.498*L123</f>
        <v>87.490000000000009</v>
      </c>
      <c r="H123" s="7">
        <v>41604</v>
      </c>
      <c r="I123" s="6" t="s">
        <v>265</v>
      </c>
      <c r="J123" s="6" t="s">
        <v>7043</v>
      </c>
      <c r="K123" s="6" t="s">
        <v>21</v>
      </c>
      <c r="L123" s="6">
        <v>5</v>
      </c>
      <c r="M123" s="15" t="s">
        <v>7044</v>
      </c>
      <c r="N123" s="15" t="s">
        <v>1284</v>
      </c>
      <c r="O123" s="27" t="s">
        <v>7045</v>
      </c>
    </row>
    <row r="124" spans="1:15" ht="13.5" customHeight="1">
      <c r="A124" s="3" t="s">
        <v>7024</v>
      </c>
      <c r="B124" s="4"/>
      <c r="C124" s="3"/>
      <c r="D124" s="5" t="s">
        <v>7025</v>
      </c>
      <c r="E124" s="5" t="s">
        <v>7026</v>
      </c>
      <c r="F124" s="3" t="s">
        <v>7046</v>
      </c>
      <c r="G124" s="6">
        <f t="shared" si="1"/>
        <v>139.98400000000001</v>
      </c>
      <c r="H124" s="7">
        <v>41604</v>
      </c>
      <c r="I124" s="6" t="s">
        <v>265</v>
      </c>
      <c r="J124" s="6" t="s">
        <v>7047</v>
      </c>
      <c r="K124" s="6" t="s">
        <v>21</v>
      </c>
      <c r="L124" s="6">
        <v>8</v>
      </c>
      <c r="M124" s="15" t="s">
        <v>7048</v>
      </c>
      <c r="N124" s="15" t="s">
        <v>1096</v>
      </c>
      <c r="O124" s="27" t="s">
        <v>7049</v>
      </c>
    </row>
    <row r="125" spans="1:15" ht="13.5" customHeight="1">
      <c r="A125" s="3" t="s">
        <v>7024</v>
      </c>
      <c r="B125" s="4"/>
      <c r="C125" s="3"/>
      <c r="D125" s="5" t="s">
        <v>7025</v>
      </c>
      <c r="E125" s="5" t="s">
        <v>7026</v>
      </c>
      <c r="F125" s="3" t="s">
        <v>7050</v>
      </c>
      <c r="G125" s="6">
        <f t="shared" si="1"/>
        <v>209.976</v>
      </c>
      <c r="H125" s="7">
        <v>41604</v>
      </c>
      <c r="I125" s="6" t="s">
        <v>265</v>
      </c>
      <c r="J125" s="6" t="s">
        <v>7051</v>
      </c>
      <c r="K125" s="6" t="s">
        <v>21</v>
      </c>
      <c r="L125" s="6">
        <v>12</v>
      </c>
      <c r="M125" s="15" t="s">
        <v>7052</v>
      </c>
      <c r="N125" s="15" t="s">
        <v>164</v>
      </c>
      <c r="O125" s="27" t="s">
        <v>7053</v>
      </c>
    </row>
    <row r="126" spans="1:15" s="1" customFormat="1" ht="13.5" customHeight="1">
      <c r="A126" s="3" t="s">
        <v>7024</v>
      </c>
      <c r="B126" s="4"/>
      <c r="C126" s="3"/>
      <c r="D126" s="5" t="s">
        <v>7025</v>
      </c>
      <c r="E126" s="5" t="s">
        <v>7026</v>
      </c>
      <c r="F126" s="3" t="s">
        <v>7054</v>
      </c>
      <c r="G126" s="6">
        <f t="shared" si="1"/>
        <v>227.47400000000002</v>
      </c>
      <c r="H126" s="7">
        <v>41604</v>
      </c>
      <c r="I126" s="6" t="s">
        <v>265</v>
      </c>
      <c r="J126" s="6" t="s">
        <v>7055</v>
      </c>
      <c r="K126" s="6" t="s">
        <v>21</v>
      </c>
      <c r="L126" s="6">
        <v>13</v>
      </c>
      <c r="M126" s="15" t="s">
        <v>7052</v>
      </c>
      <c r="N126" s="15" t="s">
        <v>167</v>
      </c>
      <c r="O126" s="27" t="s">
        <v>7056</v>
      </c>
    </row>
    <row r="127" spans="1:15" ht="13.5" customHeight="1">
      <c r="A127" s="3" t="s">
        <v>7024</v>
      </c>
      <c r="B127" s="4"/>
      <c r="C127" s="3"/>
      <c r="D127" s="5" t="s">
        <v>7025</v>
      </c>
      <c r="E127" s="5" t="s">
        <v>7026</v>
      </c>
      <c r="F127" s="3" t="s">
        <v>7057</v>
      </c>
      <c r="G127" s="6">
        <f t="shared" si="1"/>
        <v>174.98000000000002</v>
      </c>
      <c r="H127" s="7">
        <v>41604</v>
      </c>
      <c r="I127" s="6" t="s">
        <v>265</v>
      </c>
      <c r="J127" s="6" t="s">
        <v>7058</v>
      </c>
      <c r="K127" s="6" t="s">
        <v>21</v>
      </c>
      <c r="L127" s="6">
        <v>10</v>
      </c>
      <c r="M127" s="15" t="s">
        <v>7059</v>
      </c>
      <c r="N127" s="15" t="s">
        <v>35</v>
      </c>
      <c r="O127" s="27" t="s">
        <v>7060</v>
      </c>
    </row>
    <row r="128" spans="1:15" s="1" customFormat="1" ht="13.5" customHeight="1">
      <c r="A128" s="5" t="s">
        <v>7024</v>
      </c>
      <c r="B128" s="4"/>
      <c r="C128" s="3"/>
      <c r="D128" s="5" t="s">
        <v>7025</v>
      </c>
      <c r="E128" s="5" t="s">
        <v>7026</v>
      </c>
      <c r="F128" s="3" t="s">
        <v>7061</v>
      </c>
      <c r="G128" s="6">
        <f t="shared" si="1"/>
        <v>174.98000000000002</v>
      </c>
      <c r="H128" s="7">
        <v>41604</v>
      </c>
      <c r="I128" s="6" t="s">
        <v>265</v>
      </c>
      <c r="J128" s="6" t="s">
        <v>7062</v>
      </c>
      <c r="K128" s="6" t="s">
        <v>21</v>
      </c>
      <c r="L128" s="6">
        <v>10</v>
      </c>
      <c r="M128" s="15" t="s">
        <v>7059</v>
      </c>
      <c r="N128" s="15" t="s">
        <v>556</v>
      </c>
      <c r="O128" s="27" t="s">
        <v>7063</v>
      </c>
    </row>
    <row r="129" spans="1:15" s="1" customFormat="1" ht="13.5" customHeight="1">
      <c r="A129" s="3" t="s">
        <v>846</v>
      </c>
      <c r="B129" s="4"/>
      <c r="C129" s="3"/>
      <c r="D129" s="5" t="s">
        <v>191</v>
      </c>
      <c r="E129" s="5" t="s">
        <v>124</v>
      </c>
      <c r="F129" s="3" t="s">
        <v>847</v>
      </c>
      <c r="G129" s="6">
        <f>18.708*L129</f>
        <v>187.07999999999998</v>
      </c>
      <c r="H129" s="7">
        <v>41605</v>
      </c>
      <c r="I129" s="6" t="s">
        <v>247</v>
      </c>
      <c r="J129" s="6" t="s">
        <v>848</v>
      </c>
      <c r="K129" s="6" t="s">
        <v>21</v>
      </c>
      <c r="L129" s="6">
        <v>10</v>
      </c>
      <c r="M129" s="15" t="s">
        <v>849</v>
      </c>
      <c r="N129" s="15" t="s">
        <v>114</v>
      </c>
      <c r="O129" s="28" t="s">
        <v>850</v>
      </c>
    </row>
    <row r="130" spans="1:15" s="1" customFormat="1" ht="13.5" customHeight="1">
      <c r="A130" s="3" t="s">
        <v>846</v>
      </c>
      <c r="B130" s="4"/>
      <c r="C130" s="3"/>
      <c r="D130" s="5" t="s">
        <v>191</v>
      </c>
      <c r="E130" s="5" t="s">
        <v>124</v>
      </c>
      <c r="F130" s="3" t="s">
        <v>851</v>
      </c>
      <c r="G130" s="6">
        <f>18.708*L130</f>
        <v>93.539999999999992</v>
      </c>
      <c r="H130" s="7">
        <v>41605</v>
      </c>
      <c r="I130" s="6" t="s">
        <v>247</v>
      </c>
      <c r="J130" s="6" t="s">
        <v>852</v>
      </c>
      <c r="K130" s="6" t="s">
        <v>21</v>
      </c>
      <c r="L130" s="6">
        <v>5</v>
      </c>
      <c r="M130" s="15" t="s">
        <v>853</v>
      </c>
      <c r="N130" s="15" t="s">
        <v>59</v>
      </c>
      <c r="O130" s="28" t="s">
        <v>853</v>
      </c>
    </row>
    <row r="131" spans="1:15" s="1" customFormat="1" ht="13.5" customHeight="1">
      <c r="A131" s="3" t="s">
        <v>854</v>
      </c>
      <c r="B131" s="4"/>
      <c r="C131" s="3"/>
      <c r="D131" s="5" t="s">
        <v>855</v>
      </c>
      <c r="E131" s="5" t="s">
        <v>124</v>
      </c>
      <c r="F131" s="3" t="s">
        <v>856</v>
      </c>
      <c r="G131" s="6">
        <f>17.52*L131</f>
        <v>175.2</v>
      </c>
      <c r="H131" s="7">
        <v>41607</v>
      </c>
      <c r="I131" s="6" t="s">
        <v>209</v>
      </c>
      <c r="J131" s="6" t="s">
        <v>857</v>
      </c>
      <c r="K131" s="6" t="s">
        <v>21</v>
      </c>
      <c r="L131" s="6">
        <v>10</v>
      </c>
      <c r="M131" s="15" t="s">
        <v>858</v>
      </c>
      <c r="N131" s="15" t="s">
        <v>859</v>
      </c>
      <c r="O131" s="28" t="s">
        <v>860</v>
      </c>
    </row>
    <row r="132" spans="1:15" s="1" customFormat="1" ht="13.5" customHeight="1">
      <c r="A132" s="3" t="s">
        <v>854</v>
      </c>
      <c r="B132" s="4"/>
      <c r="C132" s="3"/>
      <c r="D132" s="5" t="s">
        <v>855</v>
      </c>
      <c r="E132" s="5" t="s">
        <v>124</v>
      </c>
      <c r="F132" s="3" t="s">
        <v>861</v>
      </c>
      <c r="G132" s="6">
        <f>17.52*L132</f>
        <v>175.2</v>
      </c>
      <c r="H132" s="7">
        <v>41607</v>
      </c>
      <c r="I132" s="6" t="s">
        <v>209</v>
      </c>
      <c r="J132" s="6" t="s">
        <v>862</v>
      </c>
      <c r="K132" s="6" t="s">
        <v>21</v>
      </c>
      <c r="L132" s="6">
        <v>10</v>
      </c>
      <c r="M132" s="15" t="s">
        <v>858</v>
      </c>
      <c r="N132" s="15" t="s">
        <v>114</v>
      </c>
      <c r="O132" s="28" t="s">
        <v>863</v>
      </c>
    </row>
    <row r="133" spans="1:15" s="1" customFormat="1" ht="13.5" customHeight="1">
      <c r="A133" s="3" t="s">
        <v>854</v>
      </c>
      <c r="B133" s="4"/>
      <c r="C133" s="3"/>
      <c r="D133" s="5" t="s">
        <v>855</v>
      </c>
      <c r="E133" s="5" t="s">
        <v>124</v>
      </c>
      <c r="F133" s="3" t="s">
        <v>864</v>
      </c>
      <c r="G133" s="6">
        <f>17.52*L133</f>
        <v>175.2</v>
      </c>
      <c r="H133" s="7">
        <v>41607</v>
      </c>
      <c r="I133" s="6" t="s">
        <v>209</v>
      </c>
      <c r="J133" s="6" t="s">
        <v>865</v>
      </c>
      <c r="K133" s="6" t="s">
        <v>21</v>
      </c>
      <c r="L133" s="6">
        <v>10</v>
      </c>
      <c r="M133" s="15" t="s">
        <v>866</v>
      </c>
      <c r="N133" s="15" t="s">
        <v>35</v>
      </c>
      <c r="O133" s="28" t="s">
        <v>866</v>
      </c>
    </row>
    <row r="134" spans="1:15" s="1" customFormat="1" ht="13.5" customHeight="1">
      <c r="A134" s="3" t="s">
        <v>169</v>
      </c>
      <c r="B134" s="4"/>
      <c r="C134" s="3"/>
      <c r="D134" s="5" t="s">
        <v>170</v>
      </c>
      <c r="E134" s="5" t="s">
        <v>124</v>
      </c>
      <c r="F134" s="3" t="s">
        <v>867</v>
      </c>
      <c r="G134" s="6">
        <f>17.498*L134</f>
        <v>157.482</v>
      </c>
      <c r="H134" s="7">
        <v>41607</v>
      </c>
      <c r="I134" s="6" t="s">
        <v>265</v>
      </c>
      <c r="J134" s="6" t="s">
        <v>868</v>
      </c>
      <c r="K134" s="6" t="s">
        <v>21</v>
      </c>
      <c r="L134" s="6">
        <v>9</v>
      </c>
      <c r="M134" s="15" t="s">
        <v>869</v>
      </c>
      <c r="N134" s="15" t="s">
        <v>798</v>
      </c>
      <c r="O134" s="28" t="s">
        <v>870</v>
      </c>
    </row>
    <row r="135" spans="1:15" s="1" customFormat="1" ht="13.5" customHeight="1">
      <c r="A135" s="3" t="s">
        <v>169</v>
      </c>
      <c r="B135" s="4"/>
      <c r="C135" s="3"/>
      <c r="D135" s="5" t="s">
        <v>170</v>
      </c>
      <c r="E135" s="5" t="s">
        <v>124</v>
      </c>
      <c r="F135" s="3" t="s">
        <v>871</v>
      </c>
      <c r="G135" s="6">
        <f>17.498*L135</f>
        <v>174.98000000000002</v>
      </c>
      <c r="H135" s="7">
        <v>41607</v>
      </c>
      <c r="I135" s="6" t="s">
        <v>265</v>
      </c>
      <c r="J135" s="6" t="s">
        <v>872</v>
      </c>
      <c r="K135" s="6" t="s">
        <v>21</v>
      </c>
      <c r="L135" s="6">
        <v>10</v>
      </c>
      <c r="M135" s="15" t="s">
        <v>869</v>
      </c>
      <c r="N135" s="15" t="s">
        <v>114</v>
      </c>
      <c r="O135" s="28" t="s">
        <v>873</v>
      </c>
    </row>
    <row r="136" spans="1:15" s="1" customFormat="1" ht="13.5" customHeight="1">
      <c r="A136" s="3" t="s">
        <v>169</v>
      </c>
      <c r="B136" s="4"/>
      <c r="C136" s="3"/>
      <c r="D136" s="5" t="s">
        <v>170</v>
      </c>
      <c r="E136" s="5" t="s">
        <v>124</v>
      </c>
      <c r="F136" s="3" t="s">
        <v>874</v>
      </c>
      <c r="G136" s="6">
        <f>17.498*L136</f>
        <v>209.976</v>
      </c>
      <c r="H136" s="7">
        <v>41607</v>
      </c>
      <c r="I136" s="6" t="s">
        <v>265</v>
      </c>
      <c r="J136" s="6" t="s">
        <v>875</v>
      </c>
      <c r="K136" s="6" t="s">
        <v>21</v>
      </c>
      <c r="L136" s="6">
        <v>12</v>
      </c>
      <c r="M136" s="15" t="s">
        <v>876</v>
      </c>
      <c r="N136" s="15" t="s">
        <v>164</v>
      </c>
      <c r="O136" s="28" t="s">
        <v>876</v>
      </c>
    </row>
    <row r="137" spans="1:15" s="1" customFormat="1" ht="13.5" customHeight="1">
      <c r="A137" s="3" t="s">
        <v>590</v>
      </c>
      <c r="B137" s="4"/>
      <c r="C137" s="3"/>
      <c r="D137" s="5" t="s">
        <v>591</v>
      </c>
      <c r="E137" s="5" t="s">
        <v>124</v>
      </c>
      <c r="F137" s="3" t="s">
        <v>877</v>
      </c>
      <c r="G137" s="6">
        <f>17.52*L137</f>
        <v>105.12</v>
      </c>
      <c r="H137" s="7">
        <v>41607</v>
      </c>
      <c r="I137" s="6" t="s">
        <v>209</v>
      </c>
      <c r="J137" s="6" t="s">
        <v>878</v>
      </c>
      <c r="K137" s="6" t="s">
        <v>21</v>
      </c>
      <c r="L137" s="6">
        <v>6</v>
      </c>
      <c r="M137" s="15" t="s">
        <v>786</v>
      </c>
      <c r="N137" s="15" t="s">
        <v>395</v>
      </c>
      <c r="O137" s="28" t="s">
        <v>879</v>
      </c>
    </row>
    <row r="138" spans="1:15" s="1" customFormat="1" ht="13.5" customHeight="1">
      <c r="A138" s="3" t="s">
        <v>753</v>
      </c>
      <c r="B138" s="4"/>
      <c r="C138" s="3"/>
      <c r="D138" s="5" t="s">
        <v>754</v>
      </c>
      <c r="E138" s="5" t="s">
        <v>124</v>
      </c>
      <c r="F138" s="3" t="s">
        <v>880</v>
      </c>
      <c r="G138" s="6">
        <f>17.52*L138</f>
        <v>35.04</v>
      </c>
      <c r="H138" s="7">
        <v>41607</v>
      </c>
      <c r="I138" s="6" t="s">
        <v>265</v>
      </c>
      <c r="J138" s="6" t="s">
        <v>881</v>
      </c>
      <c r="K138" s="6" t="s">
        <v>21</v>
      </c>
      <c r="L138" s="6">
        <v>2</v>
      </c>
      <c r="M138" s="15" t="s">
        <v>882</v>
      </c>
      <c r="N138" s="15" t="s">
        <v>883</v>
      </c>
      <c r="O138" s="28" t="s">
        <v>882</v>
      </c>
    </row>
    <row r="139" spans="1:15" s="1" customFormat="1" ht="13.5" customHeight="1">
      <c r="A139" s="3" t="s">
        <v>884</v>
      </c>
      <c r="B139" s="3" t="s">
        <v>134</v>
      </c>
      <c r="C139" s="3"/>
      <c r="D139" s="5" t="s">
        <v>135</v>
      </c>
      <c r="E139" s="5" t="s">
        <v>124</v>
      </c>
      <c r="F139" s="3" t="s">
        <v>885</v>
      </c>
      <c r="G139" s="6">
        <f>29.101*L139/2</f>
        <v>58.201999999999998</v>
      </c>
      <c r="H139" s="7">
        <v>41607</v>
      </c>
      <c r="I139" s="6" t="s">
        <v>886</v>
      </c>
      <c r="J139" s="6" t="s">
        <v>887</v>
      </c>
      <c r="K139" s="6" t="s">
        <v>21</v>
      </c>
      <c r="L139" s="6">
        <v>4</v>
      </c>
      <c r="M139" s="15" t="s">
        <v>888</v>
      </c>
      <c r="N139" s="15" t="s">
        <v>46</v>
      </c>
      <c r="O139" s="28" t="s">
        <v>889</v>
      </c>
    </row>
    <row r="140" spans="1:15" ht="13.5" customHeight="1">
      <c r="A140" s="3" t="s">
        <v>772</v>
      </c>
      <c r="B140" s="4"/>
      <c r="C140" s="3"/>
      <c r="D140" s="5" t="s">
        <v>773</v>
      </c>
      <c r="E140" s="5" t="s">
        <v>124</v>
      </c>
      <c r="F140" s="3" t="s">
        <v>890</v>
      </c>
      <c r="G140" s="6">
        <f>18.708*L140</f>
        <v>149.66399999999999</v>
      </c>
      <c r="H140" s="7">
        <v>41607</v>
      </c>
      <c r="I140" s="6" t="s">
        <v>265</v>
      </c>
      <c r="J140" s="6" t="s">
        <v>891</v>
      </c>
      <c r="K140" s="6" t="s">
        <v>21</v>
      </c>
      <c r="L140" s="6">
        <v>8</v>
      </c>
      <c r="M140" s="15" t="s">
        <v>776</v>
      </c>
      <c r="N140" s="15" t="s">
        <v>892</v>
      </c>
      <c r="O140" s="28" t="s">
        <v>893</v>
      </c>
    </row>
    <row r="141" spans="1:15" s="1" customFormat="1" ht="13.5" customHeight="1">
      <c r="A141" s="3" t="s">
        <v>772</v>
      </c>
      <c r="B141" s="4"/>
      <c r="C141" s="3"/>
      <c r="D141" s="5" t="s">
        <v>773</v>
      </c>
      <c r="E141" s="5" t="s">
        <v>124</v>
      </c>
      <c r="F141" s="3" t="s">
        <v>894</v>
      </c>
      <c r="G141" s="6">
        <f>18.708*L141</f>
        <v>168.37199999999999</v>
      </c>
      <c r="H141" s="7">
        <v>41607</v>
      </c>
      <c r="I141" s="6" t="s">
        <v>265</v>
      </c>
      <c r="J141" s="6" t="s">
        <v>895</v>
      </c>
      <c r="K141" s="6" t="s">
        <v>21</v>
      </c>
      <c r="L141" s="6">
        <v>9</v>
      </c>
      <c r="M141" s="15" t="s">
        <v>776</v>
      </c>
      <c r="N141" s="15" t="s">
        <v>896</v>
      </c>
      <c r="O141" s="28" t="s">
        <v>897</v>
      </c>
    </row>
    <row r="142" spans="1:15" s="1" customFormat="1" ht="13.5" customHeight="1">
      <c r="A142" s="3" t="s">
        <v>898</v>
      </c>
      <c r="B142" s="4"/>
      <c r="C142" s="3"/>
      <c r="D142" s="5" t="s">
        <v>899</v>
      </c>
      <c r="E142" s="5" t="s">
        <v>124</v>
      </c>
      <c r="F142" s="3" t="s">
        <v>900</v>
      </c>
      <c r="G142" s="6">
        <f>18.708*L142</f>
        <v>37.415999999999997</v>
      </c>
      <c r="H142" s="7">
        <v>41607</v>
      </c>
      <c r="I142" s="6" t="s">
        <v>209</v>
      </c>
      <c r="J142" s="6" t="s">
        <v>901</v>
      </c>
      <c r="K142" s="6" t="s">
        <v>21</v>
      </c>
      <c r="L142" s="6">
        <v>2</v>
      </c>
      <c r="M142" s="15" t="s">
        <v>902</v>
      </c>
      <c r="N142" s="15" t="s">
        <v>836</v>
      </c>
      <c r="O142" s="28" t="s">
        <v>903</v>
      </c>
    </row>
    <row r="143" spans="1:15" s="1" customFormat="1" ht="13.5" customHeight="1">
      <c r="A143" s="3" t="s">
        <v>904</v>
      </c>
      <c r="B143" s="4"/>
      <c r="C143" s="3"/>
      <c r="D143" s="5" t="s">
        <v>905</v>
      </c>
      <c r="E143" s="5" t="s">
        <v>124</v>
      </c>
      <c r="F143" s="3" t="s">
        <v>906</v>
      </c>
      <c r="G143" s="6">
        <f>17.498*L143</f>
        <v>69.992000000000004</v>
      </c>
      <c r="H143" s="7">
        <v>41607</v>
      </c>
      <c r="I143" s="6" t="s">
        <v>907</v>
      </c>
      <c r="J143" s="6" t="s">
        <v>908</v>
      </c>
      <c r="K143" s="6" t="s">
        <v>21</v>
      </c>
      <c r="L143" s="6">
        <v>4</v>
      </c>
      <c r="M143" s="15" t="s">
        <v>909</v>
      </c>
      <c r="N143" s="15" t="s">
        <v>910</v>
      </c>
      <c r="O143" s="28" t="s">
        <v>911</v>
      </c>
    </row>
    <row r="144" spans="1:15" ht="13.5" customHeight="1">
      <c r="A144" s="3" t="s">
        <v>525</v>
      </c>
      <c r="B144" s="4"/>
      <c r="C144" s="3"/>
      <c r="D144" s="5" t="s">
        <v>526</v>
      </c>
      <c r="E144" s="5" t="s">
        <v>124</v>
      </c>
      <c r="F144" s="3" t="s">
        <v>912</v>
      </c>
      <c r="G144" s="6">
        <f>17.498*L144</f>
        <v>17.498000000000001</v>
      </c>
      <c r="H144" s="7">
        <v>41607</v>
      </c>
      <c r="I144" s="6" t="s">
        <v>913</v>
      </c>
      <c r="J144" s="6" t="s">
        <v>914</v>
      </c>
      <c r="K144" s="6" t="s">
        <v>21</v>
      </c>
      <c r="L144" s="6">
        <v>1</v>
      </c>
      <c r="M144" s="15" t="s">
        <v>915</v>
      </c>
      <c r="N144" s="15" t="s">
        <v>916</v>
      </c>
      <c r="O144" s="27" t="s">
        <v>917</v>
      </c>
    </row>
    <row r="145" spans="1:15" s="1" customFormat="1" ht="13.5" customHeight="1">
      <c r="A145" s="3" t="s">
        <v>918</v>
      </c>
      <c r="B145" s="4"/>
      <c r="C145" s="3"/>
      <c r="D145" s="5" t="s">
        <v>919</v>
      </c>
      <c r="E145" s="5" t="s">
        <v>124</v>
      </c>
      <c r="F145" s="3" t="s">
        <v>920</v>
      </c>
      <c r="G145" s="6">
        <f t="shared" ref="G145:G151" si="2">17.712*L145</f>
        <v>159.40799999999999</v>
      </c>
      <c r="H145" s="7">
        <v>41607</v>
      </c>
      <c r="I145" s="6" t="s">
        <v>265</v>
      </c>
      <c r="J145" s="6" t="s">
        <v>921</v>
      </c>
      <c r="K145" s="6" t="s">
        <v>21</v>
      </c>
      <c r="L145" s="6">
        <v>9</v>
      </c>
      <c r="M145" s="15" t="s">
        <v>922</v>
      </c>
      <c r="N145" s="15" t="s">
        <v>896</v>
      </c>
      <c r="O145" s="28" t="s">
        <v>923</v>
      </c>
    </row>
    <row r="146" spans="1:15" s="1" customFormat="1" ht="13.5" customHeight="1">
      <c r="A146" s="3" t="s">
        <v>918</v>
      </c>
      <c r="B146" s="4"/>
      <c r="C146" s="3"/>
      <c r="D146" s="5" t="s">
        <v>919</v>
      </c>
      <c r="E146" s="5" t="s">
        <v>124</v>
      </c>
      <c r="F146" s="3" t="s">
        <v>924</v>
      </c>
      <c r="G146" s="6">
        <f t="shared" si="2"/>
        <v>212.54399999999998</v>
      </c>
      <c r="H146" s="7">
        <v>41607</v>
      </c>
      <c r="I146" s="6" t="s">
        <v>265</v>
      </c>
      <c r="J146" s="6" t="s">
        <v>925</v>
      </c>
      <c r="K146" s="6" t="s">
        <v>21</v>
      </c>
      <c r="L146" s="6">
        <v>12</v>
      </c>
      <c r="M146" s="15" t="s">
        <v>926</v>
      </c>
      <c r="N146" s="15" t="s">
        <v>164</v>
      </c>
      <c r="O146" s="28" t="s">
        <v>926</v>
      </c>
    </row>
    <row r="147" spans="1:15" s="1" customFormat="1" ht="13.5" customHeight="1">
      <c r="A147" s="3" t="s">
        <v>918</v>
      </c>
      <c r="B147" s="4"/>
      <c r="C147" s="3"/>
      <c r="D147" s="5" t="s">
        <v>919</v>
      </c>
      <c r="E147" s="5" t="s">
        <v>124</v>
      </c>
      <c r="F147" s="3" t="s">
        <v>927</v>
      </c>
      <c r="G147" s="6">
        <f t="shared" si="2"/>
        <v>230.256</v>
      </c>
      <c r="H147" s="7">
        <v>41607</v>
      </c>
      <c r="I147" s="6" t="s">
        <v>265</v>
      </c>
      <c r="J147" s="6" t="s">
        <v>928</v>
      </c>
      <c r="K147" s="6" t="s">
        <v>21</v>
      </c>
      <c r="L147" s="6">
        <v>13</v>
      </c>
      <c r="M147" s="15" t="s">
        <v>926</v>
      </c>
      <c r="N147" s="15" t="s">
        <v>167</v>
      </c>
      <c r="O147" s="28" t="s">
        <v>929</v>
      </c>
    </row>
    <row r="148" spans="1:15" s="1" customFormat="1" ht="13.5" customHeight="1">
      <c r="A148" s="3" t="s">
        <v>918</v>
      </c>
      <c r="B148" s="4"/>
      <c r="C148" s="3"/>
      <c r="D148" s="5" t="s">
        <v>919</v>
      </c>
      <c r="E148" s="5" t="s">
        <v>124</v>
      </c>
      <c r="F148" s="3" t="s">
        <v>930</v>
      </c>
      <c r="G148" s="6">
        <f t="shared" si="2"/>
        <v>177.12</v>
      </c>
      <c r="H148" s="7">
        <v>41607</v>
      </c>
      <c r="I148" s="6" t="s">
        <v>265</v>
      </c>
      <c r="J148" s="6" t="s">
        <v>931</v>
      </c>
      <c r="K148" s="6" t="s">
        <v>21</v>
      </c>
      <c r="L148" s="6">
        <v>10</v>
      </c>
      <c r="M148" s="15" t="s">
        <v>932</v>
      </c>
      <c r="N148" s="15" t="s">
        <v>35</v>
      </c>
      <c r="O148" s="28" t="s">
        <v>932</v>
      </c>
    </row>
    <row r="149" spans="1:15" s="1" customFormat="1" ht="13.5" customHeight="1">
      <c r="A149" s="3" t="s">
        <v>918</v>
      </c>
      <c r="B149" s="4"/>
      <c r="C149" s="3"/>
      <c r="D149" s="5" t="s">
        <v>919</v>
      </c>
      <c r="E149" s="5" t="s">
        <v>124</v>
      </c>
      <c r="F149" s="3" t="s">
        <v>933</v>
      </c>
      <c r="G149" s="6">
        <f t="shared" si="2"/>
        <v>212.54399999999998</v>
      </c>
      <c r="H149" s="7">
        <v>41607</v>
      </c>
      <c r="I149" s="6" t="s">
        <v>265</v>
      </c>
      <c r="J149" s="6" t="s">
        <v>934</v>
      </c>
      <c r="K149" s="6" t="s">
        <v>21</v>
      </c>
      <c r="L149" s="6">
        <v>12</v>
      </c>
      <c r="M149" s="15" t="s">
        <v>935</v>
      </c>
      <c r="N149" s="15" t="s">
        <v>164</v>
      </c>
      <c r="O149" s="28" t="s">
        <v>935</v>
      </c>
    </row>
    <row r="150" spans="1:15" s="1" customFormat="1" ht="13.5" customHeight="1">
      <c r="A150" s="3" t="s">
        <v>918</v>
      </c>
      <c r="B150" s="4"/>
      <c r="C150" s="3"/>
      <c r="D150" s="5" t="s">
        <v>919</v>
      </c>
      <c r="E150" s="5" t="s">
        <v>124</v>
      </c>
      <c r="F150" s="3" t="s">
        <v>936</v>
      </c>
      <c r="G150" s="6">
        <f t="shared" si="2"/>
        <v>230.256</v>
      </c>
      <c r="H150" s="7">
        <v>41607</v>
      </c>
      <c r="I150" s="6" t="s">
        <v>265</v>
      </c>
      <c r="J150" s="6" t="s">
        <v>937</v>
      </c>
      <c r="K150" s="6" t="s">
        <v>21</v>
      </c>
      <c r="L150" s="6">
        <v>13</v>
      </c>
      <c r="M150" s="15" t="s">
        <v>935</v>
      </c>
      <c r="N150" s="15" t="s">
        <v>167</v>
      </c>
      <c r="O150" s="28" t="s">
        <v>938</v>
      </c>
    </row>
    <row r="151" spans="1:15" s="1" customFormat="1" ht="13.5" customHeight="1">
      <c r="A151" s="3" t="s">
        <v>918</v>
      </c>
      <c r="B151" s="4"/>
      <c r="C151" s="3"/>
      <c r="D151" s="5" t="s">
        <v>919</v>
      </c>
      <c r="E151" s="5" t="s">
        <v>124</v>
      </c>
      <c r="F151" s="3" t="s">
        <v>939</v>
      </c>
      <c r="G151" s="6">
        <f t="shared" si="2"/>
        <v>177.12</v>
      </c>
      <c r="H151" s="7">
        <v>41607</v>
      </c>
      <c r="I151" s="6" t="s">
        <v>265</v>
      </c>
      <c r="J151" s="6" t="s">
        <v>940</v>
      </c>
      <c r="K151" s="6" t="s">
        <v>21</v>
      </c>
      <c r="L151" s="6">
        <v>10</v>
      </c>
      <c r="M151" s="15" t="s">
        <v>941</v>
      </c>
      <c r="N151" s="15" t="s">
        <v>35</v>
      </c>
      <c r="O151" s="28" t="s">
        <v>941</v>
      </c>
    </row>
    <row r="152" spans="1:15" s="1" customFormat="1" ht="13.5" customHeight="1">
      <c r="A152" s="3" t="s">
        <v>363</v>
      </c>
      <c r="B152" s="4"/>
      <c r="C152" s="3"/>
      <c r="D152" s="5" t="s">
        <v>364</v>
      </c>
      <c r="E152" s="5" t="s">
        <v>124</v>
      </c>
      <c r="F152" s="3" t="s">
        <v>942</v>
      </c>
      <c r="G152" s="6">
        <f>12.838*L152</f>
        <v>25.675999999999998</v>
      </c>
      <c r="H152" s="7">
        <v>41607</v>
      </c>
      <c r="I152" s="6" t="s">
        <v>209</v>
      </c>
      <c r="J152" s="6" t="s">
        <v>943</v>
      </c>
      <c r="K152" s="6" t="s">
        <v>21</v>
      </c>
      <c r="L152" s="6">
        <v>2</v>
      </c>
      <c r="M152" s="15" t="s">
        <v>944</v>
      </c>
      <c r="N152" s="15" t="s">
        <v>945</v>
      </c>
      <c r="O152" s="27" t="s">
        <v>944</v>
      </c>
    </row>
    <row r="153" spans="1:15" s="1" customFormat="1" ht="13.5" customHeight="1">
      <c r="A153" s="3" t="s">
        <v>205</v>
      </c>
      <c r="B153" s="4"/>
      <c r="C153" s="3"/>
      <c r="D153" s="5" t="s">
        <v>207</v>
      </c>
      <c r="E153" s="5" t="s">
        <v>124</v>
      </c>
      <c r="F153" s="3" t="s">
        <v>946</v>
      </c>
      <c r="G153" s="6">
        <v>209.423</v>
      </c>
      <c r="H153" s="7">
        <v>41607</v>
      </c>
      <c r="I153" s="6" t="s">
        <v>209</v>
      </c>
      <c r="J153" s="6" t="s">
        <v>947</v>
      </c>
      <c r="K153" s="6" t="s">
        <v>128</v>
      </c>
      <c r="L153" s="6" t="s">
        <v>948</v>
      </c>
      <c r="M153" s="15" t="s">
        <v>949</v>
      </c>
      <c r="N153" s="15" t="s">
        <v>950</v>
      </c>
      <c r="O153" s="28" t="s">
        <v>951</v>
      </c>
    </row>
    <row r="154" spans="1:15" s="1" customFormat="1" ht="13.5" customHeight="1">
      <c r="A154" s="3" t="s">
        <v>205</v>
      </c>
      <c r="B154" s="4"/>
      <c r="C154" s="3"/>
      <c r="D154" s="5" t="s">
        <v>207</v>
      </c>
      <c r="E154" s="5" t="s">
        <v>124</v>
      </c>
      <c r="F154" s="3" t="s">
        <v>952</v>
      </c>
      <c r="G154" s="6">
        <v>224.38</v>
      </c>
      <c r="H154" s="7">
        <v>41607</v>
      </c>
      <c r="I154" s="6" t="s">
        <v>209</v>
      </c>
      <c r="J154" s="6" t="s">
        <v>953</v>
      </c>
      <c r="K154" s="6" t="s">
        <v>128</v>
      </c>
      <c r="L154" s="6" t="s">
        <v>954</v>
      </c>
      <c r="M154" s="15" t="s">
        <v>955</v>
      </c>
      <c r="N154" s="15" t="s">
        <v>956</v>
      </c>
      <c r="O154" s="28" t="s">
        <v>957</v>
      </c>
    </row>
    <row r="155" spans="1:15" s="1" customFormat="1" ht="13.5" customHeight="1">
      <c r="A155" s="3" t="s">
        <v>205</v>
      </c>
      <c r="B155" s="4"/>
      <c r="C155" s="3"/>
      <c r="D155" s="5" t="s">
        <v>207</v>
      </c>
      <c r="E155" s="5" t="s">
        <v>124</v>
      </c>
      <c r="F155" s="3" t="s">
        <v>958</v>
      </c>
      <c r="G155" s="6">
        <v>207.45099999999999</v>
      </c>
      <c r="H155" s="7">
        <v>41607</v>
      </c>
      <c r="I155" s="6" t="s">
        <v>209</v>
      </c>
      <c r="J155" s="6" t="s">
        <v>959</v>
      </c>
      <c r="K155" s="6" t="s">
        <v>128</v>
      </c>
      <c r="L155" s="6" t="s">
        <v>948</v>
      </c>
      <c r="M155" s="15" t="s">
        <v>960</v>
      </c>
      <c r="N155" s="15" t="s">
        <v>961</v>
      </c>
      <c r="O155" s="28" t="s">
        <v>962</v>
      </c>
    </row>
    <row r="156" spans="1:15" ht="13.5" customHeight="1">
      <c r="A156" s="3" t="s">
        <v>205</v>
      </c>
      <c r="B156" s="4"/>
      <c r="C156" s="3"/>
      <c r="D156" s="5" t="s">
        <v>207</v>
      </c>
      <c r="E156" s="5" t="s">
        <v>124</v>
      </c>
      <c r="F156" s="3" t="s">
        <v>963</v>
      </c>
      <c r="G156" s="6">
        <v>225.70400000000001</v>
      </c>
      <c r="H156" s="7">
        <v>41607</v>
      </c>
      <c r="I156" s="6" t="s">
        <v>209</v>
      </c>
      <c r="J156" s="6" t="s">
        <v>964</v>
      </c>
      <c r="K156" s="6" t="s">
        <v>128</v>
      </c>
      <c r="L156" s="6" t="s">
        <v>954</v>
      </c>
      <c r="M156" s="15" t="s">
        <v>965</v>
      </c>
      <c r="N156" s="15" t="s">
        <v>966</v>
      </c>
      <c r="O156" s="28" t="s">
        <v>967</v>
      </c>
    </row>
    <row r="157" spans="1:15" s="1" customFormat="1" ht="13.5" customHeight="1">
      <c r="A157" s="3" t="s">
        <v>205</v>
      </c>
      <c r="B157" s="4"/>
      <c r="C157" s="3"/>
      <c r="D157" s="5" t="s">
        <v>207</v>
      </c>
      <c r="E157" s="5" t="s">
        <v>124</v>
      </c>
      <c r="F157" s="3" t="s">
        <v>968</v>
      </c>
      <c r="G157" s="6">
        <v>209.08600000000001</v>
      </c>
      <c r="H157" s="7">
        <v>41607</v>
      </c>
      <c r="I157" s="6" t="s">
        <v>209</v>
      </c>
      <c r="J157" s="6" t="s">
        <v>969</v>
      </c>
      <c r="K157" s="6" t="s">
        <v>128</v>
      </c>
      <c r="L157" s="6" t="s">
        <v>948</v>
      </c>
      <c r="M157" s="15" t="s">
        <v>970</v>
      </c>
      <c r="N157" s="15" t="s">
        <v>971</v>
      </c>
      <c r="O157" s="28" t="s">
        <v>972</v>
      </c>
    </row>
    <row r="158" spans="1:15" ht="13.5" customHeight="1">
      <c r="A158" s="3" t="s">
        <v>205</v>
      </c>
      <c r="B158" s="4"/>
      <c r="C158" s="3"/>
      <c r="D158" s="5" t="s">
        <v>207</v>
      </c>
      <c r="E158" s="5" t="s">
        <v>124</v>
      </c>
      <c r="F158" s="3" t="s">
        <v>973</v>
      </c>
      <c r="G158" s="6">
        <v>223.99100000000001</v>
      </c>
      <c r="H158" s="7">
        <v>41607</v>
      </c>
      <c r="I158" s="6" t="s">
        <v>209</v>
      </c>
      <c r="J158" s="6" t="s">
        <v>974</v>
      </c>
      <c r="K158" s="6" t="s">
        <v>128</v>
      </c>
      <c r="L158" s="6" t="s">
        <v>954</v>
      </c>
      <c r="M158" s="15" t="s">
        <v>975</v>
      </c>
      <c r="N158" s="15" t="s">
        <v>956</v>
      </c>
      <c r="O158" s="28" t="s">
        <v>976</v>
      </c>
    </row>
    <row r="159" spans="1:15" ht="13.5" customHeight="1">
      <c r="A159" s="3" t="s">
        <v>205</v>
      </c>
      <c r="B159" s="4"/>
      <c r="C159" s="3"/>
      <c r="D159" s="5" t="s">
        <v>207</v>
      </c>
      <c r="E159" s="5" t="s">
        <v>124</v>
      </c>
      <c r="F159" s="3" t="s">
        <v>977</v>
      </c>
      <c r="G159" s="6">
        <v>208.39699999999999</v>
      </c>
      <c r="H159" s="7">
        <v>41607</v>
      </c>
      <c r="I159" s="6" t="s">
        <v>209</v>
      </c>
      <c r="J159" s="6" t="s">
        <v>978</v>
      </c>
      <c r="K159" s="6" t="s">
        <v>128</v>
      </c>
      <c r="L159" s="6" t="s">
        <v>948</v>
      </c>
      <c r="M159" s="15" t="s">
        <v>979</v>
      </c>
      <c r="N159" s="15" t="s">
        <v>980</v>
      </c>
      <c r="O159" s="28" t="s">
        <v>981</v>
      </c>
    </row>
    <row r="160" spans="1:15" s="1" customFormat="1" ht="13.5" customHeight="1">
      <c r="A160" s="3" t="s">
        <v>205</v>
      </c>
      <c r="B160" s="4"/>
      <c r="C160" s="3"/>
      <c r="D160" s="5" t="s">
        <v>207</v>
      </c>
      <c r="E160" s="5" t="s">
        <v>124</v>
      </c>
      <c r="F160" s="3" t="s">
        <v>982</v>
      </c>
      <c r="G160" s="6">
        <v>226.578</v>
      </c>
      <c r="H160" s="7">
        <v>41607</v>
      </c>
      <c r="I160" s="6" t="s">
        <v>209</v>
      </c>
      <c r="J160" s="6" t="s">
        <v>983</v>
      </c>
      <c r="K160" s="6" t="s">
        <v>128</v>
      </c>
      <c r="L160" s="6" t="s">
        <v>954</v>
      </c>
      <c r="M160" s="15" t="s">
        <v>984</v>
      </c>
      <c r="N160" s="15" t="s">
        <v>985</v>
      </c>
      <c r="O160" s="28" t="s">
        <v>986</v>
      </c>
    </row>
    <row r="161" spans="1:15" ht="13.5" customHeight="1">
      <c r="A161" s="3" t="s">
        <v>205</v>
      </c>
      <c r="B161" s="4"/>
      <c r="C161" s="3"/>
      <c r="D161" s="5" t="s">
        <v>207</v>
      </c>
      <c r="E161" s="5" t="s">
        <v>124</v>
      </c>
      <c r="F161" s="3" t="s">
        <v>987</v>
      </c>
      <c r="G161" s="6">
        <v>207.02500000000001</v>
      </c>
      <c r="H161" s="7">
        <v>41607</v>
      </c>
      <c r="I161" s="6" t="s">
        <v>209</v>
      </c>
      <c r="J161" s="6" t="s">
        <v>988</v>
      </c>
      <c r="K161" s="6" t="s">
        <v>128</v>
      </c>
      <c r="L161" s="6" t="s">
        <v>948</v>
      </c>
      <c r="M161" s="15" t="s">
        <v>989</v>
      </c>
      <c r="N161" s="15" t="s">
        <v>961</v>
      </c>
      <c r="O161" s="28" t="s">
        <v>990</v>
      </c>
    </row>
    <row r="162" spans="1:15" s="1" customFormat="1" ht="13.5" customHeight="1">
      <c r="A162" s="3" t="s">
        <v>205</v>
      </c>
      <c r="B162" s="4"/>
      <c r="C162" s="3"/>
      <c r="D162" s="5" t="s">
        <v>207</v>
      </c>
      <c r="E162" s="5" t="s">
        <v>124</v>
      </c>
      <c r="F162" s="3" t="s">
        <v>991</v>
      </c>
      <c r="G162" s="6">
        <v>224.83600000000001</v>
      </c>
      <c r="H162" s="7">
        <v>41607</v>
      </c>
      <c r="I162" s="6" t="s">
        <v>209</v>
      </c>
      <c r="J162" s="6" t="s">
        <v>992</v>
      </c>
      <c r="K162" s="6" t="s">
        <v>128</v>
      </c>
      <c r="L162" s="6" t="s">
        <v>954</v>
      </c>
      <c r="M162" s="15" t="s">
        <v>993</v>
      </c>
      <c r="N162" s="15" t="s">
        <v>994</v>
      </c>
      <c r="O162" s="28" t="s">
        <v>995</v>
      </c>
    </row>
    <row r="163" spans="1:15" ht="13.5" customHeight="1">
      <c r="A163" s="3" t="s">
        <v>205</v>
      </c>
      <c r="B163" s="4"/>
      <c r="C163" s="3"/>
      <c r="D163" s="5" t="s">
        <v>207</v>
      </c>
      <c r="E163" s="5" t="s">
        <v>124</v>
      </c>
      <c r="F163" s="3" t="s">
        <v>996</v>
      </c>
      <c r="G163" s="6">
        <v>139.03299999999999</v>
      </c>
      <c r="H163" s="7">
        <v>41607</v>
      </c>
      <c r="I163" s="6" t="s">
        <v>209</v>
      </c>
      <c r="J163" s="6" t="s">
        <v>997</v>
      </c>
      <c r="K163" s="6" t="s">
        <v>128</v>
      </c>
      <c r="L163" s="6" t="s">
        <v>998</v>
      </c>
      <c r="M163" s="15" t="s">
        <v>999</v>
      </c>
      <c r="N163" s="15" t="s">
        <v>1000</v>
      </c>
      <c r="O163" s="28" t="s">
        <v>1001</v>
      </c>
    </row>
    <row r="164" spans="1:15" s="1" customFormat="1" ht="13.5" customHeight="1">
      <c r="A164" s="3" t="s">
        <v>205</v>
      </c>
      <c r="B164" s="4"/>
      <c r="C164" s="3"/>
      <c r="D164" s="5" t="s">
        <v>207</v>
      </c>
      <c r="E164" s="5" t="s">
        <v>124</v>
      </c>
      <c r="F164" s="3" t="s">
        <v>1002</v>
      </c>
      <c r="G164" s="6">
        <v>206.886</v>
      </c>
      <c r="H164" s="7">
        <v>41607</v>
      </c>
      <c r="I164" s="6" t="s">
        <v>209</v>
      </c>
      <c r="J164" s="6" t="s">
        <v>1003</v>
      </c>
      <c r="K164" s="6" t="s">
        <v>128</v>
      </c>
      <c r="L164" s="6" t="s">
        <v>948</v>
      </c>
      <c r="M164" s="15" t="s">
        <v>1004</v>
      </c>
      <c r="N164" s="15" t="s">
        <v>961</v>
      </c>
      <c r="O164" s="28" t="s">
        <v>1005</v>
      </c>
    </row>
    <row r="165" spans="1:15" s="1" customFormat="1" ht="13.5" customHeight="1">
      <c r="A165" s="3" t="s">
        <v>1006</v>
      </c>
      <c r="B165" s="4"/>
      <c r="C165" s="3"/>
      <c r="D165" s="5" t="s">
        <v>383</v>
      </c>
      <c r="E165" s="5" t="s">
        <v>124</v>
      </c>
      <c r="F165" s="3" t="s">
        <v>1007</v>
      </c>
      <c r="G165" s="6">
        <v>171</v>
      </c>
      <c r="H165" s="7">
        <v>41607</v>
      </c>
      <c r="I165" s="6" t="s">
        <v>209</v>
      </c>
      <c r="J165" s="6" t="s">
        <v>1008</v>
      </c>
      <c r="K165" s="6" t="s">
        <v>128</v>
      </c>
      <c r="L165" s="6" t="s">
        <v>1009</v>
      </c>
      <c r="M165" s="15" t="s">
        <v>1010</v>
      </c>
      <c r="N165" s="15" t="s">
        <v>1011</v>
      </c>
      <c r="O165" s="28" t="s">
        <v>1012</v>
      </c>
    </row>
    <row r="166" spans="1:15" ht="13.5" customHeight="1">
      <c r="A166" s="3" t="s">
        <v>1006</v>
      </c>
      <c r="B166" s="4"/>
      <c r="C166" s="3"/>
      <c r="D166" s="5" t="s">
        <v>383</v>
      </c>
      <c r="E166" s="5" t="s">
        <v>124</v>
      </c>
      <c r="F166" s="3" t="s">
        <v>1013</v>
      </c>
      <c r="G166" s="6">
        <v>139.86000000000001</v>
      </c>
      <c r="H166" s="7">
        <v>41607</v>
      </c>
      <c r="I166" s="6" t="s">
        <v>209</v>
      </c>
      <c r="J166" s="6" t="s">
        <v>1014</v>
      </c>
      <c r="K166" s="6" t="s">
        <v>128</v>
      </c>
      <c r="L166" s="6" t="s">
        <v>386</v>
      </c>
      <c r="M166" s="15" t="s">
        <v>1015</v>
      </c>
      <c r="N166" s="15" t="s">
        <v>1016</v>
      </c>
      <c r="O166" s="28" t="s">
        <v>1017</v>
      </c>
    </row>
    <row r="167" spans="1:15" ht="13.5" customHeight="1">
      <c r="A167" s="3" t="s">
        <v>1018</v>
      </c>
      <c r="B167" s="4"/>
      <c r="C167" s="3"/>
      <c r="D167" s="5" t="s">
        <v>1019</v>
      </c>
      <c r="E167" s="5" t="s">
        <v>124</v>
      </c>
      <c r="F167" s="3" t="s">
        <v>1020</v>
      </c>
      <c r="G167" s="6">
        <v>84.793999999999997</v>
      </c>
      <c r="H167" s="7">
        <v>41607</v>
      </c>
      <c r="I167" s="6" t="s">
        <v>209</v>
      </c>
      <c r="J167" s="6" t="s">
        <v>1021</v>
      </c>
      <c r="K167" s="6" t="s">
        <v>128</v>
      </c>
      <c r="L167" s="6" t="s">
        <v>768</v>
      </c>
      <c r="M167" s="15" t="s">
        <v>1022</v>
      </c>
      <c r="N167" s="15" t="s">
        <v>1023</v>
      </c>
      <c r="O167" s="28" t="s">
        <v>1024</v>
      </c>
    </row>
    <row r="168" spans="1:15" s="1" customFormat="1" ht="13.5" customHeight="1">
      <c r="A168" s="3" t="s">
        <v>1018</v>
      </c>
      <c r="B168" s="4"/>
      <c r="C168" s="3"/>
      <c r="D168" s="5" t="s">
        <v>1019</v>
      </c>
      <c r="E168" s="5" t="s">
        <v>124</v>
      </c>
      <c r="F168" s="3" t="s">
        <v>1025</v>
      </c>
      <c r="G168" s="6">
        <v>208.011</v>
      </c>
      <c r="H168" s="7">
        <v>41607</v>
      </c>
      <c r="I168" s="6" t="s">
        <v>209</v>
      </c>
      <c r="J168" s="6" t="s">
        <v>1026</v>
      </c>
      <c r="K168" s="6" t="s">
        <v>128</v>
      </c>
      <c r="L168" s="6" t="s">
        <v>948</v>
      </c>
      <c r="M168" s="15" t="s">
        <v>1027</v>
      </c>
      <c r="N168" s="15" t="s">
        <v>950</v>
      </c>
      <c r="O168" s="28" t="s">
        <v>1028</v>
      </c>
    </row>
    <row r="169" spans="1:15" s="1" customFormat="1" ht="14.25" customHeight="1">
      <c r="A169" s="3" t="s">
        <v>1018</v>
      </c>
      <c r="B169" s="4"/>
      <c r="C169" s="3"/>
      <c r="D169" s="5" t="s">
        <v>1019</v>
      </c>
      <c r="E169" s="5" t="s">
        <v>124</v>
      </c>
      <c r="F169" s="3" t="s">
        <v>1029</v>
      </c>
      <c r="G169" s="6">
        <v>224.22399999999999</v>
      </c>
      <c r="H169" s="7">
        <v>41607</v>
      </c>
      <c r="I169" s="6" t="s">
        <v>209</v>
      </c>
      <c r="J169" s="6" t="s">
        <v>1030</v>
      </c>
      <c r="K169" s="6" t="s">
        <v>128</v>
      </c>
      <c r="L169" s="6" t="s">
        <v>954</v>
      </c>
      <c r="M169" s="15" t="s">
        <v>1031</v>
      </c>
      <c r="N169" s="15" t="s">
        <v>956</v>
      </c>
      <c r="O169" s="28" t="s">
        <v>1032</v>
      </c>
    </row>
    <row r="170" spans="1:15" s="1" customFormat="1" ht="13.5" customHeight="1">
      <c r="A170" s="3" t="s">
        <v>731</v>
      </c>
      <c r="B170" s="4"/>
      <c r="C170" s="3"/>
      <c r="D170" s="5" t="s">
        <v>732</v>
      </c>
      <c r="E170" s="5" t="s">
        <v>124</v>
      </c>
      <c r="F170" s="3" t="s">
        <v>1033</v>
      </c>
      <c r="G170" s="6">
        <v>13.648</v>
      </c>
      <c r="H170" s="7">
        <v>41607</v>
      </c>
      <c r="I170" s="6" t="s">
        <v>209</v>
      </c>
      <c r="J170" s="6" t="s">
        <v>1034</v>
      </c>
      <c r="K170" s="6" t="s">
        <v>128</v>
      </c>
      <c r="L170" s="6" t="s">
        <v>539</v>
      </c>
      <c r="M170" s="15" t="s">
        <v>736</v>
      </c>
      <c r="N170" s="15" t="s">
        <v>1035</v>
      </c>
      <c r="O170" s="28" t="s">
        <v>1036</v>
      </c>
    </row>
    <row r="171" spans="1:15" s="1" customFormat="1" ht="13.5" customHeight="1">
      <c r="A171" s="3" t="s">
        <v>686</v>
      </c>
      <c r="B171" s="4"/>
      <c r="C171" s="3"/>
      <c r="D171" s="5" t="s">
        <v>687</v>
      </c>
      <c r="E171" s="5" t="s">
        <v>124</v>
      </c>
      <c r="F171" s="3" t="s">
        <v>1037</v>
      </c>
      <c r="G171" s="6">
        <v>87.6</v>
      </c>
      <c r="H171" s="7">
        <v>41607</v>
      </c>
      <c r="I171" s="6" t="s">
        <v>209</v>
      </c>
      <c r="J171" s="6" t="s">
        <v>1038</v>
      </c>
      <c r="K171" s="6" t="s">
        <v>128</v>
      </c>
      <c r="L171" s="6" t="s">
        <v>1039</v>
      </c>
      <c r="M171" s="15" t="s">
        <v>1040</v>
      </c>
      <c r="N171" s="15" t="s">
        <v>1041</v>
      </c>
      <c r="O171" s="28" t="s">
        <v>1042</v>
      </c>
    </row>
    <row r="172" spans="1:15" ht="13.5" customHeight="1">
      <c r="A172" s="22" t="s">
        <v>7064</v>
      </c>
      <c r="B172" s="4"/>
      <c r="C172" s="3"/>
      <c r="D172" s="5" t="s">
        <v>7025</v>
      </c>
      <c r="E172" s="5" t="s">
        <v>7026</v>
      </c>
      <c r="F172" s="3" t="s">
        <v>7065</v>
      </c>
      <c r="G172" s="6">
        <f>17.498*L172</f>
        <v>209.976</v>
      </c>
      <c r="H172" s="7">
        <v>41607</v>
      </c>
      <c r="I172" s="6" t="s">
        <v>265</v>
      </c>
      <c r="J172" s="6" t="s">
        <v>7066</v>
      </c>
      <c r="K172" s="6" t="s">
        <v>21</v>
      </c>
      <c r="L172" s="6">
        <v>12</v>
      </c>
      <c r="M172" s="15" t="s">
        <v>7067</v>
      </c>
      <c r="N172" s="15" t="s">
        <v>164</v>
      </c>
      <c r="O172" s="27" t="s">
        <v>7068</v>
      </c>
    </row>
    <row r="173" spans="1:15" ht="13.5" customHeight="1">
      <c r="A173" s="3" t="s">
        <v>1043</v>
      </c>
      <c r="B173" s="4"/>
      <c r="C173" s="3"/>
      <c r="D173" s="5" t="s">
        <v>443</v>
      </c>
      <c r="E173" s="5" t="s">
        <v>124</v>
      </c>
      <c r="F173" s="3" t="s">
        <v>1044</v>
      </c>
      <c r="G173" s="6">
        <f>18.708*L173</f>
        <v>224.49599999999998</v>
      </c>
      <c r="H173" s="7">
        <v>41610</v>
      </c>
      <c r="I173" s="6" t="s">
        <v>178</v>
      </c>
      <c r="J173" s="6" t="s">
        <v>1045</v>
      </c>
      <c r="K173" s="6" t="s">
        <v>21</v>
      </c>
      <c r="L173" s="6">
        <v>12</v>
      </c>
      <c r="M173" s="15" t="s">
        <v>1046</v>
      </c>
      <c r="N173" s="15" t="s">
        <v>164</v>
      </c>
      <c r="O173" s="28" t="s">
        <v>1046</v>
      </c>
    </row>
    <row r="174" spans="1:15" s="1" customFormat="1" ht="13.5" customHeight="1">
      <c r="A174" s="3" t="s">
        <v>1043</v>
      </c>
      <c r="B174" s="4"/>
      <c r="C174" s="3"/>
      <c r="D174" s="5" t="s">
        <v>443</v>
      </c>
      <c r="E174" s="5" t="s">
        <v>124</v>
      </c>
      <c r="F174" s="3" t="s">
        <v>1047</v>
      </c>
      <c r="G174" s="6">
        <f>18.708*L174</f>
        <v>243.20399999999998</v>
      </c>
      <c r="H174" s="7">
        <v>41610</v>
      </c>
      <c r="I174" s="6" t="s">
        <v>178</v>
      </c>
      <c r="J174" s="6" t="s">
        <v>1048</v>
      </c>
      <c r="K174" s="6" t="s">
        <v>21</v>
      </c>
      <c r="L174" s="6">
        <v>13</v>
      </c>
      <c r="M174" s="15" t="s">
        <v>1046</v>
      </c>
      <c r="N174" s="15" t="s">
        <v>167</v>
      </c>
      <c r="O174" s="28" t="s">
        <v>1049</v>
      </c>
    </row>
    <row r="175" spans="1:15" s="1" customFormat="1" ht="13.5" customHeight="1">
      <c r="A175" s="3" t="s">
        <v>1043</v>
      </c>
      <c r="B175" s="4"/>
      <c r="C175" s="3"/>
      <c r="D175" s="5" t="s">
        <v>443</v>
      </c>
      <c r="E175" s="5" t="s">
        <v>124</v>
      </c>
      <c r="F175" s="3" t="s">
        <v>1050</v>
      </c>
      <c r="G175" s="6">
        <f>18.708*L175</f>
        <v>224.49599999999998</v>
      </c>
      <c r="H175" s="7">
        <v>41610</v>
      </c>
      <c r="I175" s="6" t="s">
        <v>178</v>
      </c>
      <c r="J175" s="6" t="s">
        <v>1051</v>
      </c>
      <c r="K175" s="6" t="s">
        <v>21</v>
      </c>
      <c r="L175" s="6">
        <v>12</v>
      </c>
      <c r="M175" s="15" t="s">
        <v>1052</v>
      </c>
      <c r="N175" s="15" t="s">
        <v>164</v>
      </c>
      <c r="O175" s="28" t="s">
        <v>1052</v>
      </c>
    </row>
    <row r="176" spans="1:15" s="1" customFormat="1" ht="13.5" customHeight="1">
      <c r="A176" s="3" t="s">
        <v>1043</v>
      </c>
      <c r="B176" s="4"/>
      <c r="C176" s="3"/>
      <c r="D176" s="5" t="s">
        <v>443</v>
      </c>
      <c r="E176" s="5" t="s">
        <v>124</v>
      </c>
      <c r="F176" s="3" t="s">
        <v>1053</v>
      </c>
      <c r="G176" s="6">
        <f>18.708*L176</f>
        <v>243.20399999999998</v>
      </c>
      <c r="H176" s="7">
        <v>41610</v>
      </c>
      <c r="I176" s="6" t="s">
        <v>178</v>
      </c>
      <c r="J176" s="6" t="s">
        <v>1054</v>
      </c>
      <c r="K176" s="6" t="s">
        <v>21</v>
      </c>
      <c r="L176" s="6">
        <v>13</v>
      </c>
      <c r="M176" s="15" t="s">
        <v>1052</v>
      </c>
      <c r="N176" s="15" t="s">
        <v>167</v>
      </c>
      <c r="O176" s="28" t="s">
        <v>1055</v>
      </c>
    </row>
    <row r="177" spans="1:15" s="1" customFormat="1" ht="13.5" customHeight="1">
      <c r="A177" s="3" t="s">
        <v>465</v>
      </c>
      <c r="B177" s="4"/>
      <c r="C177" s="3"/>
      <c r="D177" s="5" t="s">
        <v>391</v>
      </c>
      <c r="E177" s="5" t="s">
        <v>124</v>
      </c>
      <c r="F177" s="3" t="s">
        <v>1056</v>
      </c>
      <c r="G177" s="6">
        <f>17.712*L177</f>
        <v>212.54399999999998</v>
      </c>
      <c r="H177" s="7">
        <v>41610</v>
      </c>
      <c r="I177" s="6" t="s">
        <v>265</v>
      </c>
      <c r="J177" s="6" t="s">
        <v>1057</v>
      </c>
      <c r="K177" s="6" t="s">
        <v>21</v>
      </c>
      <c r="L177" s="6">
        <v>12</v>
      </c>
      <c r="M177" s="15" t="s">
        <v>1058</v>
      </c>
      <c r="N177" s="15" t="s">
        <v>164</v>
      </c>
      <c r="O177" s="28" t="s">
        <v>1058</v>
      </c>
    </row>
    <row r="178" spans="1:15" s="1" customFormat="1" ht="13.5" customHeight="1">
      <c r="A178" s="3" t="s">
        <v>465</v>
      </c>
      <c r="B178" s="4"/>
      <c r="C178" s="3"/>
      <c r="D178" s="5" t="s">
        <v>391</v>
      </c>
      <c r="E178" s="5" t="s">
        <v>124</v>
      </c>
      <c r="F178" s="3" t="s">
        <v>1059</v>
      </c>
      <c r="G178" s="6">
        <f>17.712*L178</f>
        <v>230.256</v>
      </c>
      <c r="H178" s="7">
        <v>41610</v>
      </c>
      <c r="I178" s="6" t="s">
        <v>265</v>
      </c>
      <c r="J178" s="6" t="s">
        <v>1060</v>
      </c>
      <c r="K178" s="6" t="s">
        <v>21</v>
      </c>
      <c r="L178" s="6">
        <v>13</v>
      </c>
      <c r="M178" s="15" t="s">
        <v>1058</v>
      </c>
      <c r="N178" s="15" t="s">
        <v>167</v>
      </c>
      <c r="O178" s="28" t="s">
        <v>1061</v>
      </c>
    </row>
    <row r="179" spans="1:15" s="1" customFormat="1" ht="13.5" customHeight="1">
      <c r="A179" s="3" t="s">
        <v>465</v>
      </c>
      <c r="B179" s="4"/>
      <c r="C179" s="3"/>
      <c r="D179" s="5" t="s">
        <v>391</v>
      </c>
      <c r="E179" s="5" t="s">
        <v>124</v>
      </c>
      <c r="F179" s="3" t="s">
        <v>1062</v>
      </c>
      <c r="G179" s="6">
        <f>17.712*L179</f>
        <v>194.83199999999999</v>
      </c>
      <c r="H179" s="7">
        <v>41610</v>
      </c>
      <c r="I179" s="6" t="s">
        <v>265</v>
      </c>
      <c r="J179" s="6" t="s">
        <v>1063</v>
      </c>
      <c r="K179" s="6" t="s">
        <v>21</v>
      </c>
      <c r="L179" s="6">
        <v>11</v>
      </c>
      <c r="M179" s="15" t="s">
        <v>1064</v>
      </c>
      <c r="N179" s="15" t="s">
        <v>1065</v>
      </c>
      <c r="O179" s="28" t="s">
        <v>1064</v>
      </c>
    </row>
    <row r="180" spans="1:15" ht="13.5" customHeight="1">
      <c r="A180" s="3" t="s">
        <v>1066</v>
      </c>
      <c r="B180" s="4"/>
      <c r="C180" s="3"/>
      <c r="D180" s="5" t="s">
        <v>391</v>
      </c>
      <c r="E180" s="5" t="s">
        <v>124</v>
      </c>
      <c r="F180" s="3" t="s">
        <v>1067</v>
      </c>
      <c r="G180" s="6">
        <f>17.712*L180</f>
        <v>106.27199999999999</v>
      </c>
      <c r="H180" s="7">
        <v>41610</v>
      </c>
      <c r="I180" s="6" t="s">
        <v>265</v>
      </c>
      <c r="J180" s="6" t="s">
        <v>1068</v>
      </c>
      <c r="K180" s="6" t="s">
        <v>21</v>
      </c>
      <c r="L180" s="6">
        <v>6</v>
      </c>
      <c r="M180" s="15" t="s">
        <v>1069</v>
      </c>
      <c r="N180" s="15" t="s">
        <v>1070</v>
      </c>
      <c r="O180" s="28" t="s">
        <v>1071</v>
      </c>
    </row>
    <row r="181" spans="1:15" s="1" customFormat="1" ht="13.5" customHeight="1">
      <c r="A181" s="3" t="s">
        <v>1072</v>
      </c>
      <c r="B181" s="4"/>
      <c r="C181" s="3"/>
      <c r="D181" s="5" t="s">
        <v>1073</v>
      </c>
      <c r="E181" s="5" t="s">
        <v>124</v>
      </c>
      <c r="F181" s="3" t="s">
        <v>1074</v>
      </c>
      <c r="G181" s="6">
        <f>17.712*L181</f>
        <v>70.847999999999999</v>
      </c>
      <c r="H181" s="7">
        <v>41610</v>
      </c>
      <c r="I181" s="6" t="s">
        <v>265</v>
      </c>
      <c r="J181" s="6" t="s">
        <v>1075</v>
      </c>
      <c r="K181" s="6" t="s">
        <v>21</v>
      </c>
      <c r="L181" s="6">
        <v>4</v>
      </c>
      <c r="M181" s="15" t="s">
        <v>1076</v>
      </c>
      <c r="N181" s="15" t="s">
        <v>653</v>
      </c>
      <c r="O181" s="27" t="s">
        <v>1076</v>
      </c>
    </row>
    <row r="182" spans="1:15" s="1" customFormat="1" ht="13.5" customHeight="1">
      <c r="A182" s="22" t="s">
        <v>1077</v>
      </c>
      <c r="B182" s="28" t="s">
        <v>839</v>
      </c>
      <c r="C182" s="3"/>
      <c r="D182" s="5" t="s">
        <v>1078</v>
      </c>
      <c r="E182" s="5" t="s">
        <v>124</v>
      </c>
      <c r="F182" s="3" t="s">
        <v>1079</v>
      </c>
      <c r="G182" s="6">
        <v>14.864000000000001</v>
      </c>
      <c r="H182" s="7">
        <v>41610</v>
      </c>
      <c r="I182" s="6" t="s">
        <v>272</v>
      </c>
      <c r="J182" s="6" t="s">
        <v>1080</v>
      </c>
      <c r="K182" s="6" t="s">
        <v>21</v>
      </c>
      <c r="L182" s="6">
        <v>1</v>
      </c>
      <c r="M182" s="15" t="s">
        <v>1081</v>
      </c>
      <c r="N182" s="15" t="s">
        <v>334</v>
      </c>
      <c r="O182" s="27" t="s">
        <v>1081</v>
      </c>
    </row>
    <row r="183" spans="1:15" s="1" customFormat="1" ht="13.5" customHeight="1">
      <c r="A183" s="22" t="s">
        <v>1082</v>
      </c>
      <c r="B183" s="3" t="s">
        <v>283</v>
      </c>
      <c r="C183" s="3"/>
      <c r="D183" s="21" t="s">
        <v>1083</v>
      </c>
      <c r="E183" s="5" t="s">
        <v>124</v>
      </c>
      <c r="F183" s="3" t="s">
        <v>1084</v>
      </c>
      <c r="G183" s="6">
        <f>9.871*L183</f>
        <v>98.710000000000008</v>
      </c>
      <c r="H183" s="7">
        <v>41611</v>
      </c>
      <c r="I183" s="6" t="s">
        <v>161</v>
      </c>
      <c r="J183" s="6" t="s">
        <v>1085</v>
      </c>
      <c r="K183" s="6" t="s">
        <v>21</v>
      </c>
      <c r="L183" s="6">
        <v>10</v>
      </c>
      <c r="M183" s="15" t="s">
        <v>1086</v>
      </c>
      <c r="N183" s="15" t="s">
        <v>35</v>
      </c>
      <c r="O183" s="27" t="s">
        <v>1086</v>
      </c>
    </row>
    <row r="184" spans="1:15" s="1" customFormat="1" ht="13.5" customHeight="1">
      <c r="A184" s="3" t="s">
        <v>1087</v>
      </c>
      <c r="B184" s="3" t="s">
        <v>283</v>
      </c>
      <c r="C184" s="3"/>
      <c r="D184" s="5" t="s">
        <v>1088</v>
      </c>
      <c r="E184" s="5" t="s">
        <v>124</v>
      </c>
      <c r="F184" s="3" t="s">
        <v>1089</v>
      </c>
      <c r="G184" s="6">
        <f>9.804*L184</f>
        <v>68.628</v>
      </c>
      <c r="H184" s="7">
        <v>41611</v>
      </c>
      <c r="I184" s="6" t="s">
        <v>1090</v>
      </c>
      <c r="J184" s="6" t="s">
        <v>1091</v>
      </c>
      <c r="K184" s="6" t="s">
        <v>21</v>
      </c>
      <c r="L184" s="6">
        <v>7</v>
      </c>
      <c r="M184" s="15" t="s">
        <v>1092</v>
      </c>
      <c r="N184" s="15" t="s">
        <v>1093</v>
      </c>
      <c r="O184" s="27" t="s">
        <v>1092</v>
      </c>
    </row>
    <row r="185" spans="1:15" s="1" customFormat="1" ht="13.5" customHeight="1">
      <c r="A185" s="3" t="s">
        <v>1087</v>
      </c>
      <c r="B185" s="3" t="s">
        <v>283</v>
      </c>
      <c r="C185" s="3"/>
      <c r="D185" s="5" t="s">
        <v>1088</v>
      </c>
      <c r="E185" s="5" t="s">
        <v>124</v>
      </c>
      <c r="F185" s="3" t="s">
        <v>1094</v>
      </c>
      <c r="G185" s="6">
        <f>9.804*L185</f>
        <v>78.432000000000002</v>
      </c>
      <c r="H185" s="7">
        <v>41611</v>
      </c>
      <c r="I185" s="6" t="s">
        <v>1090</v>
      </c>
      <c r="J185" s="6" t="s">
        <v>1095</v>
      </c>
      <c r="K185" s="6" t="s">
        <v>21</v>
      </c>
      <c r="L185" s="6">
        <v>8</v>
      </c>
      <c r="M185" s="15" t="s">
        <v>1092</v>
      </c>
      <c r="N185" s="15" t="s">
        <v>1096</v>
      </c>
      <c r="O185" s="27" t="s">
        <v>1097</v>
      </c>
    </row>
    <row r="186" spans="1:15" s="1" customFormat="1" ht="13.5" customHeight="1">
      <c r="A186" s="3" t="s">
        <v>157</v>
      </c>
      <c r="B186" s="3" t="s">
        <v>283</v>
      </c>
      <c r="C186" s="3"/>
      <c r="D186" s="5" t="s">
        <v>1098</v>
      </c>
      <c r="E186" s="5" t="s">
        <v>124</v>
      </c>
      <c r="F186" s="3" t="s">
        <v>1099</v>
      </c>
      <c r="G186" s="6">
        <f>9.871*L186</f>
        <v>69.097000000000008</v>
      </c>
      <c r="H186" s="7">
        <v>41611</v>
      </c>
      <c r="I186" s="6" t="s">
        <v>161</v>
      </c>
      <c r="J186" s="6" t="s">
        <v>1100</v>
      </c>
      <c r="K186" s="6" t="s">
        <v>21</v>
      </c>
      <c r="L186" s="6">
        <v>7</v>
      </c>
      <c r="M186" s="15" t="s">
        <v>1101</v>
      </c>
      <c r="N186" s="15" t="s">
        <v>1093</v>
      </c>
      <c r="O186" s="27" t="s">
        <v>1101</v>
      </c>
    </row>
    <row r="187" spans="1:15" s="1" customFormat="1" ht="13.5" customHeight="1">
      <c r="A187" s="3" t="s">
        <v>157</v>
      </c>
      <c r="B187" s="3" t="s">
        <v>283</v>
      </c>
      <c r="C187" s="3"/>
      <c r="D187" s="5" t="s">
        <v>1098</v>
      </c>
      <c r="E187" s="5" t="s">
        <v>124</v>
      </c>
      <c r="F187" s="3" t="s">
        <v>1102</v>
      </c>
      <c r="G187" s="6">
        <f>9.871*L187</f>
        <v>78.968000000000004</v>
      </c>
      <c r="H187" s="7">
        <v>41611</v>
      </c>
      <c r="I187" s="6" t="s">
        <v>161</v>
      </c>
      <c r="J187" s="6" t="s">
        <v>1103</v>
      </c>
      <c r="K187" s="6" t="s">
        <v>21</v>
      </c>
      <c r="L187" s="6">
        <v>8</v>
      </c>
      <c r="M187" s="15" t="s">
        <v>1101</v>
      </c>
      <c r="N187" s="15" t="s">
        <v>1096</v>
      </c>
      <c r="O187" s="27" t="s">
        <v>1104</v>
      </c>
    </row>
    <row r="188" spans="1:15" s="1" customFormat="1" ht="13.5" customHeight="1">
      <c r="A188" s="3" t="s">
        <v>122</v>
      </c>
      <c r="B188" s="4" t="s">
        <v>1105</v>
      </c>
      <c r="C188" s="3"/>
      <c r="D188" s="5"/>
      <c r="E188" s="5" t="s">
        <v>124</v>
      </c>
      <c r="F188" s="3" t="s">
        <v>1106</v>
      </c>
      <c r="G188" s="6">
        <v>77.5</v>
      </c>
      <c r="H188" s="7">
        <v>41612</v>
      </c>
      <c r="I188" s="6" t="s">
        <v>612</v>
      </c>
      <c r="J188" s="6"/>
      <c r="K188" s="6"/>
      <c r="L188" s="6"/>
      <c r="M188" s="15"/>
      <c r="N188" s="15"/>
      <c r="O188" s="27" t="s">
        <v>1107</v>
      </c>
    </row>
    <row r="189" spans="1:15" s="1" customFormat="1" ht="13.5" customHeight="1">
      <c r="A189" s="3" t="s">
        <v>1108</v>
      </c>
      <c r="B189" s="4"/>
      <c r="C189" s="3"/>
      <c r="D189" s="5" t="s">
        <v>391</v>
      </c>
      <c r="E189" s="5" t="s">
        <v>124</v>
      </c>
      <c r="F189" s="3" t="s">
        <v>1109</v>
      </c>
      <c r="G189" s="6">
        <f>17.712*L189</f>
        <v>212.54399999999998</v>
      </c>
      <c r="H189" s="7">
        <v>41612</v>
      </c>
      <c r="I189" s="6" t="s">
        <v>265</v>
      </c>
      <c r="J189" s="6" t="s">
        <v>1110</v>
      </c>
      <c r="K189" s="6" t="s">
        <v>21</v>
      </c>
      <c r="L189" s="6">
        <v>12</v>
      </c>
      <c r="M189" s="15" t="s">
        <v>1111</v>
      </c>
      <c r="N189" s="15" t="s">
        <v>164</v>
      </c>
      <c r="O189" s="27" t="s">
        <v>1111</v>
      </c>
    </row>
    <row r="190" spans="1:15" s="1" customFormat="1" ht="13.5" customHeight="1">
      <c r="A190" s="3" t="s">
        <v>1108</v>
      </c>
      <c r="B190" s="4"/>
      <c r="C190" s="3"/>
      <c r="D190" s="5" t="s">
        <v>391</v>
      </c>
      <c r="E190" s="5" t="s">
        <v>124</v>
      </c>
      <c r="F190" s="3" t="s">
        <v>1112</v>
      </c>
      <c r="G190" s="6">
        <f>17.712*L190</f>
        <v>230.256</v>
      </c>
      <c r="H190" s="7">
        <v>41612</v>
      </c>
      <c r="I190" s="6" t="s">
        <v>265</v>
      </c>
      <c r="J190" s="6" t="s">
        <v>1113</v>
      </c>
      <c r="K190" s="6" t="s">
        <v>21</v>
      </c>
      <c r="L190" s="6">
        <v>13</v>
      </c>
      <c r="M190" s="15" t="s">
        <v>1111</v>
      </c>
      <c r="N190" s="15" t="s">
        <v>167</v>
      </c>
      <c r="O190" s="27" t="s">
        <v>1114</v>
      </c>
    </row>
    <row r="191" spans="1:15" s="1" customFormat="1" ht="13.5" customHeight="1">
      <c r="A191" s="3" t="s">
        <v>579</v>
      </c>
      <c r="B191" s="3" t="s">
        <v>283</v>
      </c>
      <c r="C191" s="3"/>
      <c r="D191" s="5" t="s">
        <v>580</v>
      </c>
      <c r="E191" s="5" t="s">
        <v>124</v>
      </c>
      <c r="F191" s="3" t="s">
        <v>1115</v>
      </c>
      <c r="G191" s="6">
        <f>9.871*L191</f>
        <v>118.452</v>
      </c>
      <c r="H191" s="7">
        <v>41612</v>
      </c>
      <c r="I191" s="6" t="s">
        <v>161</v>
      </c>
      <c r="J191" s="6" t="s">
        <v>1116</v>
      </c>
      <c r="K191" s="6" t="s">
        <v>21</v>
      </c>
      <c r="L191" s="6">
        <v>12</v>
      </c>
      <c r="M191" s="15" t="s">
        <v>1117</v>
      </c>
      <c r="N191" s="15" t="s">
        <v>164</v>
      </c>
      <c r="O191" s="27" t="s">
        <v>1117</v>
      </c>
    </row>
    <row r="192" spans="1:15" s="1" customFormat="1" ht="13.5" customHeight="1">
      <c r="A192" s="3" t="s">
        <v>579</v>
      </c>
      <c r="B192" s="3" t="s">
        <v>283</v>
      </c>
      <c r="C192" s="3"/>
      <c r="D192" s="5" t="s">
        <v>580</v>
      </c>
      <c r="E192" s="5" t="s">
        <v>124</v>
      </c>
      <c r="F192" s="3" t="s">
        <v>1118</v>
      </c>
      <c r="G192" s="6">
        <f>9.871*L192</f>
        <v>128.32300000000001</v>
      </c>
      <c r="H192" s="7">
        <v>41612</v>
      </c>
      <c r="I192" s="6" t="s">
        <v>161</v>
      </c>
      <c r="J192" s="6" t="s">
        <v>1119</v>
      </c>
      <c r="K192" s="6" t="s">
        <v>21</v>
      </c>
      <c r="L192" s="6">
        <v>13</v>
      </c>
      <c r="M192" s="15" t="s">
        <v>1117</v>
      </c>
      <c r="N192" s="15" t="s">
        <v>167</v>
      </c>
      <c r="O192" s="27" t="s">
        <v>1120</v>
      </c>
    </row>
    <row r="193" spans="1:15" s="1" customFormat="1" ht="13.5" customHeight="1">
      <c r="A193" s="3" t="s">
        <v>1082</v>
      </c>
      <c r="B193" s="3" t="s">
        <v>283</v>
      </c>
      <c r="C193" s="3"/>
      <c r="D193" s="5" t="s">
        <v>1083</v>
      </c>
      <c r="E193" s="5" t="s">
        <v>124</v>
      </c>
      <c r="F193" s="3" t="s">
        <v>1121</v>
      </c>
      <c r="G193" s="6">
        <f>9.871*L193</f>
        <v>118.452</v>
      </c>
      <c r="H193" s="7">
        <v>41612</v>
      </c>
      <c r="I193" s="6" t="s">
        <v>161</v>
      </c>
      <c r="J193" s="6" t="s">
        <v>1122</v>
      </c>
      <c r="K193" s="6" t="s">
        <v>21</v>
      </c>
      <c r="L193" s="6">
        <v>12</v>
      </c>
      <c r="M193" s="15" t="s">
        <v>1123</v>
      </c>
      <c r="N193" s="15" t="s">
        <v>164</v>
      </c>
      <c r="O193" s="27" t="s">
        <v>1123</v>
      </c>
    </row>
    <row r="194" spans="1:15" s="1" customFormat="1" ht="13.5" customHeight="1">
      <c r="A194" s="3" t="s">
        <v>1082</v>
      </c>
      <c r="B194" s="3" t="s">
        <v>283</v>
      </c>
      <c r="C194" s="3"/>
      <c r="D194" s="5" t="s">
        <v>1083</v>
      </c>
      <c r="E194" s="5" t="s">
        <v>124</v>
      </c>
      <c r="F194" s="3" t="s">
        <v>1124</v>
      </c>
      <c r="G194" s="6">
        <f>9.871*L194</f>
        <v>128.32300000000001</v>
      </c>
      <c r="H194" s="7">
        <v>41612</v>
      </c>
      <c r="I194" s="6" t="s">
        <v>161</v>
      </c>
      <c r="J194" s="6" t="s">
        <v>1125</v>
      </c>
      <c r="K194" s="6" t="s">
        <v>21</v>
      </c>
      <c r="L194" s="6">
        <v>13</v>
      </c>
      <c r="M194" s="15" t="s">
        <v>1123</v>
      </c>
      <c r="N194" s="15" t="s">
        <v>167</v>
      </c>
      <c r="O194" s="27" t="s">
        <v>1126</v>
      </c>
    </row>
    <row r="195" spans="1:15" s="1" customFormat="1" ht="13.5" customHeight="1">
      <c r="A195" s="3" t="s">
        <v>1127</v>
      </c>
      <c r="B195" s="4"/>
      <c r="C195" s="3"/>
      <c r="D195" s="5" t="s">
        <v>1128</v>
      </c>
      <c r="E195" s="5" t="s">
        <v>124</v>
      </c>
      <c r="F195" s="3" t="s">
        <v>1129</v>
      </c>
      <c r="G195" s="6">
        <f>29.101*L195</f>
        <v>174.60599999999999</v>
      </c>
      <c r="H195" s="7">
        <v>41612</v>
      </c>
      <c r="I195" s="6" t="s">
        <v>178</v>
      </c>
      <c r="J195" s="6" t="s">
        <v>1130</v>
      </c>
      <c r="K195" s="6" t="s">
        <v>21</v>
      </c>
      <c r="L195" s="6">
        <v>6</v>
      </c>
      <c r="M195" s="15" t="s">
        <v>1131</v>
      </c>
      <c r="N195" s="15" t="s">
        <v>787</v>
      </c>
      <c r="O195" s="28" t="s">
        <v>1131</v>
      </c>
    </row>
    <row r="196" spans="1:15" ht="13.5" customHeight="1">
      <c r="A196" s="3" t="s">
        <v>1127</v>
      </c>
      <c r="B196" s="4"/>
      <c r="C196" s="3"/>
      <c r="D196" s="5" t="s">
        <v>1128</v>
      </c>
      <c r="E196" s="5" t="s">
        <v>124</v>
      </c>
      <c r="F196" s="3" t="s">
        <v>1132</v>
      </c>
      <c r="G196" s="6">
        <f>29.101*L196</f>
        <v>174.60599999999999</v>
      </c>
      <c r="H196" s="7">
        <v>41612</v>
      </c>
      <c r="I196" s="6" t="s">
        <v>178</v>
      </c>
      <c r="J196" s="6" t="s">
        <v>1133</v>
      </c>
      <c r="K196" s="6" t="s">
        <v>21</v>
      </c>
      <c r="L196" s="6">
        <v>6</v>
      </c>
      <c r="M196" s="15" t="s">
        <v>1131</v>
      </c>
      <c r="N196" s="15" t="s">
        <v>395</v>
      </c>
      <c r="O196" s="28" t="s">
        <v>1134</v>
      </c>
    </row>
    <row r="197" spans="1:15" s="1" customFormat="1" ht="13.5" customHeight="1">
      <c r="A197" s="3" t="s">
        <v>1127</v>
      </c>
      <c r="B197" s="4"/>
      <c r="C197" s="3"/>
      <c r="D197" s="5" t="s">
        <v>1128</v>
      </c>
      <c r="E197" s="5" t="s">
        <v>124</v>
      </c>
      <c r="F197" s="3" t="s">
        <v>1135</v>
      </c>
      <c r="G197" s="6">
        <f>29.101*L197</f>
        <v>174.60599999999999</v>
      </c>
      <c r="H197" s="7">
        <v>41612</v>
      </c>
      <c r="I197" s="6" t="s">
        <v>178</v>
      </c>
      <c r="J197" s="6" t="s">
        <v>1136</v>
      </c>
      <c r="K197" s="6" t="s">
        <v>21</v>
      </c>
      <c r="L197" s="6">
        <v>6</v>
      </c>
      <c r="M197" s="15" t="s">
        <v>1131</v>
      </c>
      <c r="N197" s="15" t="s">
        <v>1137</v>
      </c>
      <c r="O197" s="28" t="s">
        <v>1138</v>
      </c>
    </row>
    <row r="198" spans="1:15" s="1" customFormat="1" ht="13.5" customHeight="1">
      <c r="A198" s="3" t="s">
        <v>1127</v>
      </c>
      <c r="B198" s="4"/>
      <c r="C198" s="3"/>
      <c r="D198" s="5" t="s">
        <v>1128</v>
      </c>
      <c r="E198" s="5" t="s">
        <v>124</v>
      </c>
      <c r="F198" s="3" t="s">
        <v>1139</v>
      </c>
      <c r="G198" s="6">
        <f>29.101*L198</f>
        <v>203.70699999999999</v>
      </c>
      <c r="H198" s="7">
        <v>41612</v>
      </c>
      <c r="I198" s="6" t="s">
        <v>178</v>
      </c>
      <c r="J198" s="6" t="s">
        <v>1140</v>
      </c>
      <c r="K198" s="6" t="s">
        <v>21</v>
      </c>
      <c r="L198" s="6">
        <v>7</v>
      </c>
      <c r="M198" s="15" t="s">
        <v>1131</v>
      </c>
      <c r="N198" s="15" t="s">
        <v>1141</v>
      </c>
      <c r="O198" s="28" t="s">
        <v>1142</v>
      </c>
    </row>
    <row r="199" spans="1:15" s="1" customFormat="1" ht="13.5" customHeight="1">
      <c r="A199" s="3" t="s">
        <v>520</v>
      </c>
      <c r="B199" s="4"/>
      <c r="C199" s="3"/>
      <c r="D199" s="5" t="s">
        <v>461</v>
      </c>
      <c r="E199" s="5" t="s">
        <v>124</v>
      </c>
      <c r="F199" s="3" t="s">
        <v>1143</v>
      </c>
      <c r="G199" s="6">
        <f>14.405*L199</f>
        <v>28.81</v>
      </c>
      <c r="H199" s="7">
        <v>41613</v>
      </c>
      <c r="I199" s="6" t="s">
        <v>265</v>
      </c>
      <c r="J199" s="6" t="s">
        <v>1144</v>
      </c>
      <c r="K199" s="6" t="s">
        <v>21</v>
      </c>
      <c r="L199" s="6">
        <v>2</v>
      </c>
      <c r="M199" s="15" t="s">
        <v>518</v>
      </c>
      <c r="N199" s="15" t="s">
        <v>836</v>
      </c>
      <c r="O199" s="28" t="s">
        <v>1145</v>
      </c>
    </row>
    <row r="200" spans="1:15" s="1" customFormat="1" ht="13.5" customHeight="1">
      <c r="A200" s="3" t="s">
        <v>520</v>
      </c>
      <c r="B200" s="4"/>
      <c r="C200" s="3"/>
      <c r="D200" s="5" t="s">
        <v>461</v>
      </c>
      <c r="E200" s="5" t="s">
        <v>124</v>
      </c>
      <c r="F200" s="3" t="s">
        <v>1146</v>
      </c>
      <c r="G200" s="6">
        <f>14.405*L200</f>
        <v>216.07499999999999</v>
      </c>
      <c r="H200" s="7">
        <v>41613</v>
      </c>
      <c r="I200" s="6" t="s">
        <v>265</v>
      </c>
      <c r="J200" s="6" t="s">
        <v>1147</v>
      </c>
      <c r="K200" s="6" t="s">
        <v>21</v>
      </c>
      <c r="L200" s="6">
        <v>15</v>
      </c>
      <c r="M200" s="15" t="s">
        <v>1148</v>
      </c>
      <c r="N200" s="15" t="s">
        <v>1149</v>
      </c>
      <c r="O200" s="28" t="s">
        <v>1148</v>
      </c>
    </row>
    <row r="201" spans="1:15" s="1" customFormat="1" ht="13.5" customHeight="1">
      <c r="A201" s="3" t="s">
        <v>1150</v>
      </c>
      <c r="B201" s="4"/>
      <c r="C201" s="3"/>
      <c r="D201" s="5" t="s">
        <v>1151</v>
      </c>
      <c r="E201" s="5" t="s">
        <v>124</v>
      </c>
      <c r="F201" s="3" t="s">
        <v>1152</v>
      </c>
      <c r="G201" s="6">
        <f>17.712*L201</f>
        <v>106.27199999999999</v>
      </c>
      <c r="H201" s="7">
        <v>41613</v>
      </c>
      <c r="I201" s="6" t="s">
        <v>265</v>
      </c>
      <c r="J201" s="6" t="s">
        <v>1153</v>
      </c>
      <c r="K201" s="6" t="s">
        <v>21</v>
      </c>
      <c r="L201" s="6">
        <v>6</v>
      </c>
      <c r="M201" s="15" t="s">
        <v>1154</v>
      </c>
      <c r="N201" s="15" t="s">
        <v>1155</v>
      </c>
      <c r="O201" s="28" t="s">
        <v>1156</v>
      </c>
    </row>
    <row r="202" spans="1:15" ht="13.5" customHeight="1">
      <c r="A202" s="3" t="s">
        <v>716</v>
      </c>
      <c r="B202" s="4"/>
      <c r="C202" s="3"/>
      <c r="D202" s="5" t="s">
        <v>717</v>
      </c>
      <c r="E202" s="5" t="s">
        <v>124</v>
      </c>
      <c r="F202" s="3" t="s">
        <v>1157</v>
      </c>
      <c r="G202" s="6">
        <v>70.08</v>
      </c>
      <c r="H202" s="7">
        <v>41613</v>
      </c>
      <c r="I202" s="6" t="s">
        <v>209</v>
      </c>
      <c r="J202" s="6" t="s">
        <v>1158</v>
      </c>
      <c r="K202" s="6" t="s">
        <v>128</v>
      </c>
      <c r="L202" s="6" t="s">
        <v>1159</v>
      </c>
      <c r="M202" s="15" t="s">
        <v>721</v>
      </c>
      <c r="N202" s="15" t="s">
        <v>1160</v>
      </c>
      <c r="O202" s="28" t="s">
        <v>1161</v>
      </c>
    </row>
    <row r="203" spans="1:15" s="1" customFormat="1" ht="13.5" customHeight="1">
      <c r="A203" s="3" t="s">
        <v>596</v>
      </c>
      <c r="B203" s="4" t="s">
        <v>597</v>
      </c>
      <c r="C203" s="3"/>
      <c r="D203" s="5" t="s">
        <v>598</v>
      </c>
      <c r="E203" s="5" t="s">
        <v>124</v>
      </c>
      <c r="F203" s="3" t="s">
        <v>1162</v>
      </c>
      <c r="G203" s="6">
        <f>17.52*L203</f>
        <v>227.76</v>
      </c>
      <c r="H203" s="7">
        <v>41613</v>
      </c>
      <c r="I203" s="6" t="s">
        <v>265</v>
      </c>
      <c r="J203" s="6" t="s">
        <v>1163</v>
      </c>
      <c r="K203" s="6" t="s">
        <v>21</v>
      </c>
      <c r="L203" s="6">
        <v>13</v>
      </c>
      <c r="M203" s="15" t="s">
        <v>1164</v>
      </c>
      <c r="N203" s="15" t="s">
        <v>1165</v>
      </c>
      <c r="O203" s="28" t="s">
        <v>1164</v>
      </c>
    </row>
    <row r="204" spans="1:15" s="1" customFormat="1" ht="13.5" customHeight="1">
      <c r="A204" s="3" t="s">
        <v>579</v>
      </c>
      <c r="B204" s="3" t="s">
        <v>283</v>
      </c>
      <c r="C204" s="3"/>
      <c r="D204" s="5" t="s">
        <v>580</v>
      </c>
      <c r="E204" s="5" t="s">
        <v>124</v>
      </c>
      <c r="F204" s="3" t="s">
        <v>1166</v>
      </c>
      <c r="G204" s="6">
        <f>9.871*L204</f>
        <v>118.452</v>
      </c>
      <c r="H204" s="7">
        <v>41613</v>
      </c>
      <c r="I204" s="6" t="s">
        <v>161</v>
      </c>
      <c r="J204" s="6" t="s">
        <v>1167</v>
      </c>
      <c r="K204" s="6" t="s">
        <v>21</v>
      </c>
      <c r="L204" s="6">
        <v>12</v>
      </c>
      <c r="M204" s="15" t="s">
        <v>1168</v>
      </c>
      <c r="N204" s="15" t="s">
        <v>164</v>
      </c>
      <c r="O204" s="27" t="s">
        <v>1168</v>
      </c>
    </row>
    <row r="205" spans="1:15" s="1" customFormat="1" ht="13.5" customHeight="1">
      <c r="A205" s="3" t="s">
        <v>579</v>
      </c>
      <c r="B205" s="3" t="s">
        <v>283</v>
      </c>
      <c r="C205" s="3"/>
      <c r="D205" s="5" t="s">
        <v>580</v>
      </c>
      <c r="E205" s="5" t="s">
        <v>124</v>
      </c>
      <c r="F205" s="3" t="s">
        <v>1169</v>
      </c>
      <c r="G205" s="6">
        <f>9.871*L205</f>
        <v>128.32300000000001</v>
      </c>
      <c r="H205" s="7">
        <v>41613</v>
      </c>
      <c r="I205" s="6" t="s">
        <v>161</v>
      </c>
      <c r="J205" s="6" t="s">
        <v>1170</v>
      </c>
      <c r="K205" s="6" t="s">
        <v>21</v>
      </c>
      <c r="L205" s="6">
        <v>13</v>
      </c>
      <c r="M205" s="15" t="s">
        <v>1168</v>
      </c>
      <c r="N205" s="15" t="s">
        <v>167</v>
      </c>
      <c r="O205" s="27" t="s">
        <v>1171</v>
      </c>
    </row>
    <row r="206" spans="1:15" s="1" customFormat="1" ht="13.5" customHeight="1">
      <c r="A206" s="3" t="s">
        <v>579</v>
      </c>
      <c r="B206" s="3" t="s">
        <v>283</v>
      </c>
      <c r="C206" s="3"/>
      <c r="D206" s="5" t="s">
        <v>580</v>
      </c>
      <c r="E206" s="5" t="s">
        <v>124</v>
      </c>
      <c r="F206" s="3" t="s">
        <v>1172</v>
      </c>
      <c r="G206" s="6">
        <f>9.871*L206</f>
        <v>118.452</v>
      </c>
      <c r="H206" s="7">
        <v>41613</v>
      </c>
      <c r="I206" s="6" t="s">
        <v>161</v>
      </c>
      <c r="J206" s="6" t="s">
        <v>1173</v>
      </c>
      <c r="K206" s="6" t="s">
        <v>21</v>
      </c>
      <c r="L206" s="6">
        <v>12</v>
      </c>
      <c r="M206" s="15" t="s">
        <v>1174</v>
      </c>
      <c r="N206" s="15" t="s">
        <v>164</v>
      </c>
      <c r="O206" s="27" t="s">
        <v>1174</v>
      </c>
    </row>
    <row r="207" spans="1:15" s="1" customFormat="1" ht="13.5" customHeight="1">
      <c r="A207" s="3" t="s">
        <v>579</v>
      </c>
      <c r="B207" s="3" t="s">
        <v>283</v>
      </c>
      <c r="C207" s="3"/>
      <c r="D207" s="5" t="s">
        <v>580</v>
      </c>
      <c r="E207" s="5" t="s">
        <v>124</v>
      </c>
      <c r="F207" s="3" t="s">
        <v>1175</v>
      </c>
      <c r="G207" s="6">
        <f>9.871*L207</f>
        <v>128.32300000000001</v>
      </c>
      <c r="H207" s="7">
        <v>41613</v>
      </c>
      <c r="I207" s="6" t="s">
        <v>161</v>
      </c>
      <c r="J207" s="6" t="s">
        <v>1176</v>
      </c>
      <c r="K207" s="6" t="s">
        <v>21</v>
      </c>
      <c r="L207" s="6">
        <v>13</v>
      </c>
      <c r="M207" s="15" t="s">
        <v>1174</v>
      </c>
      <c r="N207" s="15" t="s">
        <v>167</v>
      </c>
      <c r="O207" s="27" t="s">
        <v>1177</v>
      </c>
    </row>
    <row r="208" spans="1:15" s="1" customFormat="1" ht="13.5" customHeight="1">
      <c r="A208" s="3" t="s">
        <v>854</v>
      </c>
      <c r="B208" s="4"/>
      <c r="C208" s="3"/>
      <c r="D208" s="5" t="s">
        <v>855</v>
      </c>
      <c r="E208" s="5" t="s">
        <v>124</v>
      </c>
      <c r="F208" s="3" t="s">
        <v>1178</v>
      </c>
      <c r="G208" s="6">
        <f>17.52*L208</f>
        <v>105.12</v>
      </c>
      <c r="H208" s="7">
        <v>41618</v>
      </c>
      <c r="I208" s="6" t="s">
        <v>209</v>
      </c>
      <c r="J208" s="6" t="s">
        <v>1179</v>
      </c>
      <c r="K208" s="6" t="s">
        <v>21</v>
      </c>
      <c r="L208" s="6">
        <v>6</v>
      </c>
      <c r="M208" s="15" t="s">
        <v>866</v>
      </c>
      <c r="N208" s="15" t="s">
        <v>1155</v>
      </c>
      <c r="O208" s="27" t="s">
        <v>1180</v>
      </c>
    </row>
    <row r="209" spans="1:15" ht="13.5" customHeight="1">
      <c r="A209" s="3" t="s">
        <v>777</v>
      </c>
      <c r="B209" s="4"/>
      <c r="C209" s="3"/>
      <c r="D209" s="5" t="s">
        <v>778</v>
      </c>
      <c r="E209" s="5" t="s">
        <v>124</v>
      </c>
      <c r="F209" s="3" t="s">
        <v>1181</v>
      </c>
      <c r="G209" s="6">
        <f>17.52*L209</f>
        <v>52.56</v>
      </c>
      <c r="H209" s="7">
        <v>41618</v>
      </c>
      <c r="I209" s="6" t="s">
        <v>265</v>
      </c>
      <c r="J209" s="6" t="s">
        <v>1182</v>
      </c>
      <c r="K209" s="6" t="s">
        <v>21</v>
      </c>
      <c r="L209" s="6">
        <v>3</v>
      </c>
      <c r="M209" s="15" t="s">
        <v>1183</v>
      </c>
      <c r="N209" s="15" t="s">
        <v>657</v>
      </c>
      <c r="O209" s="27" t="s">
        <v>1183</v>
      </c>
    </row>
    <row r="210" spans="1:15" ht="13.5" customHeight="1">
      <c r="A210" s="3" t="s">
        <v>819</v>
      </c>
      <c r="B210" s="4"/>
      <c r="C210" s="3"/>
      <c r="D210" s="5" t="s">
        <v>820</v>
      </c>
      <c r="E210" s="5" t="s">
        <v>124</v>
      </c>
      <c r="F210" s="3" t="s">
        <v>1184</v>
      </c>
      <c r="G210" s="6">
        <f>29.101*L210</f>
        <v>58.201999999999998</v>
      </c>
      <c r="H210" s="7">
        <v>41618</v>
      </c>
      <c r="I210" s="6" t="s">
        <v>178</v>
      </c>
      <c r="J210" s="6" t="s">
        <v>1185</v>
      </c>
      <c r="K210" s="6" t="s">
        <v>21</v>
      </c>
      <c r="L210" s="6">
        <v>2</v>
      </c>
      <c r="M210" s="15" t="s">
        <v>1186</v>
      </c>
      <c r="N210" s="15" t="s">
        <v>268</v>
      </c>
      <c r="O210" s="27" t="s">
        <v>1186</v>
      </c>
    </row>
    <row r="211" spans="1:15" ht="13.5" customHeight="1">
      <c r="A211" s="3" t="s">
        <v>1187</v>
      </c>
      <c r="B211" s="4"/>
      <c r="C211" s="3"/>
      <c r="D211" s="5" t="s">
        <v>1188</v>
      </c>
      <c r="E211" s="5" t="s">
        <v>124</v>
      </c>
      <c r="F211" s="3" t="s">
        <v>1189</v>
      </c>
      <c r="G211" s="6">
        <f>29.101*L211</f>
        <v>145.505</v>
      </c>
      <c r="H211" s="7">
        <v>41618</v>
      </c>
      <c r="I211" s="6" t="s">
        <v>178</v>
      </c>
      <c r="J211" s="6" t="s">
        <v>1190</v>
      </c>
      <c r="K211" s="6" t="s">
        <v>21</v>
      </c>
      <c r="L211" s="6">
        <v>5</v>
      </c>
      <c r="M211" s="15" t="s">
        <v>1191</v>
      </c>
      <c r="N211" s="15" t="s">
        <v>59</v>
      </c>
      <c r="O211" s="27" t="s">
        <v>1191</v>
      </c>
    </row>
    <row r="212" spans="1:15" s="1" customFormat="1" ht="13.5" customHeight="1">
      <c r="A212" s="3" t="s">
        <v>1187</v>
      </c>
      <c r="B212" s="4"/>
      <c r="C212" s="3"/>
      <c r="D212" s="5" t="s">
        <v>1188</v>
      </c>
      <c r="E212" s="5" t="s">
        <v>124</v>
      </c>
      <c r="F212" s="3" t="s">
        <v>1192</v>
      </c>
      <c r="G212" s="6">
        <f>29.101*L212</f>
        <v>145.505</v>
      </c>
      <c r="H212" s="7">
        <v>41618</v>
      </c>
      <c r="I212" s="6" t="s">
        <v>178</v>
      </c>
      <c r="J212" s="6" t="s">
        <v>1193</v>
      </c>
      <c r="K212" s="6" t="s">
        <v>21</v>
      </c>
      <c r="L212" s="6">
        <v>5</v>
      </c>
      <c r="M212" s="15" t="s">
        <v>1191</v>
      </c>
      <c r="N212" s="15" t="s">
        <v>1194</v>
      </c>
      <c r="O212" s="27" t="s">
        <v>1195</v>
      </c>
    </row>
    <row r="213" spans="1:15" ht="13.5" customHeight="1">
      <c r="A213" s="3" t="s">
        <v>846</v>
      </c>
      <c r="B213" s="4"/>
      <c r="C213" s="3"/>
      <c r="D213" s="5" t="s">
        <v>191</v>
      </c>
      <c r="E213" s="5" t="s">
        <v>124</v>
      </c>
      <c r="F213" s="3" t="s">
        <v>1196</v>
      </c>
      <c r="G213" s="6">
        <f>18.708*L213</f>
        <v>224.49599999999998</v>
      </c>
      <c r="H213" s="7">
        <v>41618</v>
      </c>
      <c r="I213" s="6" t="s">
        <v>247</v>
      </c>
      <c r="J213" s="6" t="s">
        <v>1197</v>
      </c>
      <c r="K213" s="6" t="s">
        <v>21</v>
      </c>
      <c r="L213" s="6">
        <v>12</v>
      </c>
      <c r="M213" s="15" t="s">
        <v>1198</v>
      </c>
      <c r="N213" s="15" t="s">
        <v>164</v>
      </c>
      <c r="O213" s="27" t="s">
        <v>1198</v>
      </c>
    </row>
    <row r="214" spans="1:15" ht="13.5" customHeight="1">
      <c r="A214" s="3" t="s">
        <v>846</v>
      </c>
      <c r="B214" s="4"/>
      <c r="C214" s="3"/>
      <c r="D214" s="5" t="s">
        <v>191</v>
      </c>
      <c r="E214" s="5" t="s">
        <v>124</v>
      </c>
      <c r="F214" s="3" t="s">
        <v>1199</v>
      </c>
      <c r="G214" s="6">
        <f>18.708*L214</f>
        <v>243.20399999999998</v>
      </c>
      <c r="H214" s="7">
        <v>41618</v>
      </c>
      <c r="I214" s="6" t="s">
        <v>247</v>
      </c>
      <c r="J214" s="6" t="s">
        <v>1200</v>
      </c>
      <c r="K214" s="6" t="s">
        <v>21</v>
      </c>
      <c r="L214" s="6">
        <v>13</v>
      </c>
      <c r="M214" s="15" t="s">
        <v>1198</v>
      </c>
      <c r="N214" s="15" t="s">
        <v>167</v>
      </c>
      <c r="O214" s="27" t="s">
        <v>1201</v>
      </c>
    </row>
    <row r="215" spans="1:15" ht="13.5" customHeight="1">
      <c r="A215" s="3" t="s">
        <v>1087</v>
      </c>
      <c r="B215" s="3" t="s">
        <v>283</v>
      </c>
      <c r="C215" s="3"/>
      <c r="D215" s="5" t="s">
        <v>1088</v>
      </c>
      <c r="E215" s="5" t="s">
        <v>124</v>
      </c>
      <c r="F215" s="3" t="s">
        <v>1202</v>
      </c>
      <c r="G215" s="6">
        <f>9.804*L215</f>
        <v>98.04</v>
      </c>
      <c r="H215" s="7">
        <v>41618</v>
      </c>
      <c r="I215" s="6" t="s">
        <v>1090</v>
      </c>
      <c r="J215" s="6" t="s">
        <v>1203</v>
      </c>
      <c r="K215" s="6" t="s">
        <v>21</v>
      </c>
      <c r="L215" s="6">
        <v>10</v>
      </c>
      <c r="M215" s="15" t="s">
        <v>1204</v>
      </c>
      <c r="N215" s="15" t="s">
        <v>35</v>
      </c>
      <c r="O215" s="27" t="s">
        <v>1204</v>
      </c>
    </row>
    <row r="216" spans="1:15" s="1" customFormat="1" ht="13.5" customHeight="1">
      <c r="A216" s="3" t="s">
        <v>525</v>
      </c>
      <c r="B216" s="4"/>
      <c r="C216" s="3"/>
      <c r="D216" s="5" t="s">
        <v>526</v>
      </c>
      <c r="E216" s="5" t="s">
        <v>124</v>
      </c>
      <c r="F216" s="3" t="s">
        <v>1205</v>
      </c>
      <c r="G216" s="6">
        <f>17.498*L216</f>
        <v>174.98000000000002</v>
      </c>
      <c r="H216" s="7">
        <v>41618</v>
      </c>
      <c r="I216" s="6" t="s">
        <v>913</v>
      </c>
      <c r="J216" s="6" t="s">
        <v>1206</v>
      </c>
      <c r="K216" s="6" t="s">
        <v>21</v>
      </c>
      <c r="L216" s="6">
        <v>10</v>
      </c>
      <c r="M216" s="15" t="s">
        <v>1207</v>
      </c>
      <c r="N216" s="15" t="s">
        <v>556</v>
      </c>
      <c r="O216" s="27" t="s">
        <v>1207</v>
      </c>
    </row>
    <row r="217" spans="1:15" s="1" customFormat="1" ht="13.5" customHeight="1">
      <c r="A217" s="22" t="s">
        <v>1082</v>
      </c>
      <c r="B217" s="3" t="s">
        <v>283</v>
      </c>
      <c r="C217" s="3"/>
      <c r="D217" s="5" t="s">
        <v>1083</v>
      </c>
      <c r="E217" s="5" t="s">
        <v>124</v>
      </c>
      <c r="F217" s="3" t="s">
        <v>1208</v>
      </c>
      <c r="G217" s="6">
        <f>9.871*L217</f>
        <v>118.452</v>
      </c>
      <c r="H217" s="7">
        <v>41618</v>
      </c>
      <c r="I217" s="6" t="s">
        <v>161</v>
      </c>
      <c r="J217" s="6" t="s">
        <v>1209</v>
      </c>
      <c r="K217" s="6" t="s">
        <v>21</v>
      </c>
      <c r="L217" s="6">
        <v>12</v>
      </c>
      <c r="M217" s="15" t="s">
        <v>1210</v>
      </c>
      <c r="N217" s="15" t="s">
        <v>1211</v>
      </c>
      <c r="O217" s="27" t="s">
        <v>1210</v>
      </c>
    </row>
    <row r="218" spans="1:15" ht="13.5" customHeight="1">
      <c r="A218" s="22" t="s">
        <v>1082</v>
      </c>
      <c r="B218" s="3" t="s">
        <v>283</v>
      </c>
      <c r="C218" s="3"/>
      <c r="D218" s="5" t="s">
        <v>1083</v>
      </c>
      <c r="E218" s="5" t="s">
        <v>124</v>
      </c>
      <c r="F218" s="3" t="s">
        <v>1212</v>
      </c>
      <c r="G218" s="6">
        <f>9.871*L218</f>
        <v>128.32300000000001</v>
      </c>
      <c r="H218" s="7">
        <v>41618</v>
      </c>
      <c r="I218" s="6" t="s">
        <v>161</v>
      </c>
      <c r="J218" s="6" t="s">
        <v>1213</v>
      </c>
      <c r="K218" s="6" t="s">
        <v>21</v>
      </c>
      <c r="L218" s="6">
        <v>13</v>
      </c>
      <c r="M218" s="15" t="s">
        <v>1214</v>
      </c>
      <c r="N218" s="15" t="s">
        <v>1215</v>
      </c>
      <c r="O218" s="27" t="s">
        <v>1214</v>
      </c>
    </row>
    <row r="219" spans="1:15" ht="13.5" customHeight="1">
      <c r="A219" s="21" t="s">
        <v>14</v>
      </c>
      <c r="B219" s="3" t="s">
        <v>15</v>
      </c>
      <c r="C219" s="3"/>
      <c r="D219" s="5" t="s">
        <v>16</v>
      </c>
      <c r="E219" s="5" t="s">
        <v>17</v>
      </c>
      <c r="F219" s="3" t="s">
        <v>18</v>
      </c>
      <c r="G219" s="6">
        <v>22.353000000000002</v>
      </c>
      <c r="H219" s="7">
        <v>41619</v>
      </c>
      <c r="I219" s="6" t="s">
        <v>19</v>
      </c>
      <c r="J219" s="6" t="s">
        <v>20</v>
      </c>
      <c r="K219" s="6" t="s">
        <v>21</v>
      </c>
      <c r="L219" s="6">
        <v>1</v>
      </c>
      <c r="M219" s="15" t="s">
        <v>22</v>
      </c>
      <c r="N219" s="15" t="s">
        <v>23</v>
      </c>
      <c r="O219" s="27" t="s">
        <v>24</v>
      </c>
    </row>
    <row r="220" spans="1:15" ht="13.5" customHeight="1">
      <c r="A220" s="22" t="s">
        <v>1216</v>
      </c>
      <c r="B220" s="3" t="s">
        <v>15</v>
      </c>
      <c r="C220" s="3"/>
      <c r="D220" s="5" t="s">
        <v>1217</v>
      </c>
      <c r="E220" s="5" t="s">
        <v>124</v>
      </c>
      <c r="F220" s="3" t="s">
        <v>1218</v>
      </c>
      <c r="G220" s="6">
        <v>60.064999999999998</v>
      </c>
      <c r="H220" s="7">
        <v>41619</v>
      </c>
      <c r="I220" s="6" t="s">
        <v>209</v>
      </c>
      <c r="J220" s="6" t="s">
        <v>1219</v>
      </c>
      <c r="K220" s="6" t="s">
        <v>128</v>
      </c>
      <c r="L220" s="6" t="s">
        <v>1220</v>
      </c>
      <c r="M220" s="15" t="s">
        <v>1221</v>
      </c>
      <c r="N220" s="15" t="s">
        <v>1222</v>
      </c>
      <c r="O220" s="27" t="s">
        <v>1223</v>
      </c>
    </row>
    <row r="221" spans="1:15" ht="13.5" customHeight="1">
      <c r="A221" s="22" t="s">
        <v>1216</v>
      </c>
      <c r="B221" s="3" t="s">
        <v>15</v>
      </c>
      <c r="C221" s="3"/>
      <c r="D221" s="5" t="s">
        <v>1217</v>
      </c>
      <c r="E221" s="5" t="s">
        <v>124</v>
      </c>
      <c r="F221" s="3" t="s">
        <v>1224</v>
      </c>
      <c r="G221" s="6">
        <v>233.09399999999999</v>
      </c>
      <c r="H221" s="7">
        <v>41621</v>
      </c>
      <c r="I221" s="6" t="s">
        <v>209</v>
      </c>
      <c r="J221" s="6" t="s">
        <v>1225</v>
      </c>
      <c r="K221" s="6" t="s">
        <v>128</v>
      </c>
      <c r="L221" s="6" t="s">
        <v>1226</v>
      </c>
      <c r="M221" s="15" t="s">
        <v>1227</v>
      </c>
      <c r="N221" s="15" t="s">
        <v>1228</v>
      </c>
      <c r="O221" s="27" t="s">
        <v>1229</v>
      </c>
    </row>
    <row r="222" spans="1:15" ht="13.5" customHeight="1">
      <c r="A222" s="21" t="s">
        <v>25</v>
      </c>
      <c r="B222" s="3" t="s">
        <v>15</v>
      </c>
      <c r="C222" s="3"/>
      <c r="D222" s="5" t="s">
        <v>26</v>
      </c>
      <c r="E222" s="5" t="s">
        <v>17</v>
      </c>
      <c r="F222" s="3" t="s">
        <v>27</v>
      </c>
      <c r="G222" s="6">
        <f>8.063*L222</f>
        <v>24.189</v>
      </c>
      <c r="H222" s="7">
        <v>41624</v>
      </c>
      <c r="I222" s="6" t="s">
        <v>28</v>
      </c>
      <c r="J222" s="6" t="s">
        <v>29</v>
      </c>
      <c r="K222" s="6" t="s">
        <v>21</v>
      </c>
      <c r="L222" s="6">
        <v>3</v>
      </c>
      <c r="M222" s="15" t="s">
        <v>30</v>
      </c>
      <c r="N222" s="15" t="s">
        <v>31</v>
      </c>
      <c r="O222" s="27"/>
    </row>
    <row r="223" spans="1:15" s="1" customFormat="1" ht="13.5" customHeight="1">
      <c r="A223" s="3" t="s">
        <v>1187</v>
      </c>
      <c r="B223" s="4"/>
      <c r="C223" s="3"/>
      <c r="D223" s="5" t="s">
        <v>1188</v>
      </c>
      <c r="E223" s="5" t="s">
        <v>124</v>
      </c>
      <c r="F223" s="3" t="s">
        <v>1230</v>
      </c>
      <c r="G223" s="6">
        <f>29.101*L223</f>
        <v>203.70699999999999</v>
      </c>
      <c r="H223" s="7">
        <v>41624</v>
      </c>
      <c r="I223" s="6" t="s">
        <v>178</v>
      </c>
      <c r="J223" s="6" t="s">
        <v>1231</v>
      </c>
      <c r="K223" s="6" t="s">
        <v>21</v>
      </c>
      <c r="L223" s="6">
        <v>7</v>
      </c>
      <c r="M223" s="15" t="s">
        <v>1232</v>
      </c>
      <c r="N223" s="15" t="s">
        <v>1141</v>
      </c>
      <c r="O223" s="27" t="s">
        <v>1232</v>
      </c>
    </row>
    <row r="224" spans="1:15" ht="13.5" customHeight="1">
      <c r="A224" s="3" t="s">
        <v>772</v>
      </c>
      <c r="B224" s="4"/>
      <c r="C224" s="3"/>
      <c r="D224" s="5" t="s">
        <v>773</v>
      </c>
      <c r="E224" s="5" t="s">
        <v>124</v>
      </c>
      <c r="F224" s="3" t="s">
        <v>1233</v>
      </c>
      <c r="G224" s="6">
        <f>18.708*L224</f>
        <v>187.07999999999998</v>
      </c>
      <c r="H224" s="7">
        <v>41624</v>
      </c>
      <c r="I224" s="6" t="s">
        <v>265</v>
      </c>
      <c r="J224" s="6" t="s">
        <v>1234</v>
      </c>
      <c r="K224" s="6" t="s">
        <v>21</v>
      </c>
      <c r="L224" s="6">
        <v>10</v>
      </c>
      <c r="M224" s="15" t="s">
        <v>1235</v>
      </c>
      <c r="N224" s="15" t="s">
        <v>1236</v>
      </c>
      <c r="O224" s="28" t="s">
        <v>1235</v>
      </c>
    </row>
    <row r="225" spans="1:15" s="1" customFormat="1" ht="13.5" customHeight="1">
      <c r="A225" s="5" t="s">
        <v>1127</v>
      </c>
      <c r="B225" s="4"/>
      <c r="C225" s="3"/>
      <c r="D225" s="5" t="s">
        <v>1128</v>
      </c>
      <c r="E225" s="5" t="s">
        <v>7026</v>
      </c>
      <c r="F225" s="3" t="s">
        <v>7069</v>
      </c>
      <c r="G225" s="6">
        <f>29.101*L225</f>
        <v>174.60599999999999</v>
      </c>
      <c r="H225" s="7">
        <v>41624</v>
      </c>
      <c r="I225" s="6" t="s">
        <v>178</v>
      </c>
      <c r="J225" s="6" t="s">
        <v>7070</v>
      </c>
      <c r="K225" s="6" t="s">
        <v>21</v>
      </c>
      <c r="L225" s="6">
        <v>6</v>
      </c>
      <c r="M225" s="15" t="s">
        <v>7071</v>
      </c>
      <c r="N225" s="15" t="s">
        <v>787</v>
      </c>
      <c r="O225" s="27" t="s">
        <v>7072</v>
      </c>
    </row>
    <row r="226" spans="1:15" ht="13.5" customHeight="1">
      <c r="A226" s="5" t="s">
        <v>1127</v>
      </c>
      <c r="B226" s="4"/>
      <c r="C226" s="3"/>
      <c r="D226" s="5" t="s">
        <v>1128</v>
      </c>
      <c r="E226" s="5" t="s">
        <v>7026</v>
      </c>
      <c r="F226" s="3" t="s">
        <v>7073</v>
      </c>
      <c r="G226" s="6">
        <f>29.101*L226</f>
        <v>174.60599999999999</v>
      </c>
      <c r="H226" s="7">
        <v>41624</v>
      </c>
      <c r="I226" s="6" t="s">
        <v>178</v>
      </c>
      <c r="J226" s="6" t="s">
        <v>7074</v>
      </c>
      <c r="K226" s="6" t="s">
        <v>21</v>
      </c>
      <c r="L226" s="6">
        <v>6</v>
      </c>
      <c r="M226" s="15" t="s">
        <v>7071</v>
      </c>
      <c r="N226" s="15" t="s">
        <v>395</v>
      </c>
      <c r="O226" s="27" t="s">
        <v>7075</v>
      </c>
    </row>
    <row r="227" spans="1:15" s="1" customFormat="1" ht="13.5" customHeight="1">
      <c r="A227" s="5" t="s">
        <v>1127</v>
      </c>
      <c r="B227" s="4"/>
      <c r="C227" s="3"/>
      <c r="D227" s="5" t="s">
        <v>1128</v>
      </c>
      <c r="E227" s="5" t="s">
        <v>7026</v>
      </c>
      <c r="F227" s="3" t="s">
        <v>7076</v>
      </c>
      <c r="G227" s="6">
        <f>29.101*L227</f>
        <v>174.60599999999999</v>
      </c>
      <c r="H227" s="7">
        <v>41624</v>
      </c>
      <c r="I227" s="6" t="s">
        <v>178</v>
      </c>
      <c r="J227" s="6" t="s">
        <v>7077</v>
      </c>
      <c r="K227" s="6" t="s">
        <v>21</v>
      </c>
      <c r="L227" s="6">
        <v>6</v>
      </c>
      <c r="M227" s="15" t="s">
        <v>7071</v>
      </c>
      <c r="N227" s="15" t="s">
        <v>1137</v>
      </c>
      <c r="O227" s="27" t="s">
        <v>7078</v>
      </c>
    </row>
    <row r="228" spans="1:15" s="1" customFormat="1" ht="13.5" customHeight="1">
      <c r="A228" s="5" t="s">
        <v>1127</v>
      </c>
      <c r="B228" s="4"/>
      <c r="C228" s="3"/>
      <c r="D228" s="5" t="s">
        <v>1128</v>
      </c>
      <c r="E228" s="5" t="s">
        <v>7026</v>
      </c>
      <c r="F228" s="3" t="s">
        <v>7079</v>
      </c>
      <c r="G228" s="6">
        <f>29.101*L228</f>
        <v>203.70699999999999</v>
      </c>
      <c r="H228" s="7">
        <v>41624</v>
      </c>
      <c r="I228" s="6" t="s">
        <v>178</v>
      </c>
      <c r="J228" s="6" t="s">
        <v>7080</v>
      </c>
      <c r="K228" s="6" t="s">
        <v>21</v>
      </c>
      <c r="L228" s="6">
        <v>7</v>
      </c>
      <c r="M228" s="15" t="s">
        <v>7071</v>
      </c>
      <c r="N228" s="15" t="s">
        <v>1141</v>
      </c>
      <c r="O228" s="27" t="s">
        <v>7081</v>
      </c>
    </row>
    <row r="229" spans="1:15" s="1" customFormat="1" ht="13.5" customHeight="1">
      <c r="A229" s="5" t="s">
        <v>1043</v>
      </c>
      <c r="B229" s="4"/>
      <c r="C229" s="3"/>
      <c r="D229" s="5" t="s">
        <v>443</v>
      </c>
      <c r="E229" s="5" t="s">
        <v>7026</v>
      </c>
      <c r="F229" s="3" t="s">
        <v>7082</v>
      </c>
      <c r="G229" s="6">
        <f>18.708*L229</f>
        <v>224.49599999999998</v>
      </c>
      <c r="H229" s="7">
        <v>41624</v>
      </c>
      <c r="I229" s="6" t="s">
        <v>178</v>
      </c>
      <c r="J229" s="6" t="s">
        <v>7083</v>
      </c>
      <c r="K229" s="6" t="s">
        <v>21</v>
      </c>
      <c r="L229" s="6">
        <v>12</v>
      </c>
      <c r="M229" s="15" t="s">
        <v>7084</v>
      </c>
      <c r="N229" s="15" t="s">
        <v>164</v>
      </c>
      <c r="O229" s="27" t="s">
        <v>7085</v>
      </c>
    </row>
    <row r="230" spans="1:15" s="1" customFormat="1" ht="13.5" customHeight="1">
      <c r="A230" s="5" t="s">
        <v>1043</v>
      </c>
      <c r="B230" s="4"/>
      <c r="C230" s="3"/>
      <c r="D230" s="5" t="s">
        <v>443</v>
      </c>
      <c r="E230" s="5" t="s">
        <v>7026</v>
      </c>
      <c r="F230" s="3" t="s">
        <v>7086</v>
      </c>
      <c r="G230" s="6">
        <f>18.708*L230</f>
        <v>243.20399999999998</v>
      </c>
      <c r="H230" s="7">
        <v>41624</v>
      </c>
      <c r="I230" s="6" t="s">
        <v>178</v>
      </c>
      <c r="J230" s="6" t="s">
        <v>7087</v>
      </c>
      <c r="K230" s="6" t="s">
        <v>21</v>
      </c>
      <c r="L230" s="6">
        <v>13</v>
      </c>
      <c r="M230" s="15" t="s">
        <v>7084</v>
      </c>
      <c r="N230" s="15" t="s">
        <v>167</v>
      </c>
      <c r="O230" s="27" t="s">
        <v>7088</v>
      </c>
    </row>
    <row r="231" spans="1:15" s="1" customFormat="1" ht="13.5" customHeight="1">
      <c r="A231" s="3" t="s">
        <v>884</v>
      </c>
      <c r="B231" s="3" t="s">
        <v>134</v>
      </c>
      <c r="C231" s="3"/>
      <c r="D231" s="5" t="s">
        <v>135</v>
      </c>
      <c r="E231" s="5" t="s">
        <v>124</v>
      </c>
      <c r="F231" s="3" t="s">
        <v>1237</v>
      </c>
      <c r="G231" s="6">
        <f>29.101*L231/2</f>
        <v>58.201999999999998</v>
      </c>
      <c r="H231" s="7">
        <v>41625</v>
      </c>
      <c r="I231" s="6" t="s">
        <v>886</v>
      </c>
      <c r="J231" s="6" t="s">
        <v>1238</v>
      </c>
      <c r="K231" s="6" t="s">
        <v>21</v>
      </c>
      <c r="L231" s="6">
        <v>4</v>
      </c>
      <c r="M231" s="15" t="s">
        <v>1239</v>
      </c>
      <c r="N231" s="15" t="s">
        <v>653</v>
      </c>
      <c r="O231" s="28" t="s">
        <v>1239</v>
      </c>
    </row>
    <row r="232" spans="1:15" s="1" customFormat="1" ht="13.5" customHeight="1">
      <c r="A232" s="3" t="s">
        <v>846</v>
      </c>
      <c r="B232" s="4"/>
      <c r="C232" s="3"/>
      <c r="D232" s="5" t="s">
        <v>191</v>
      </c>
      <c r="E232" s="5" t="s">
        <v>124</v>
      </c>
      <c r="F232" s="3" t="s">
        <v>1240</v>
      </c>
      <c r="G232" s="6">
        <f t="shared" ref="G232:G237" si="3">18.708*L232</f>
        <v>224.49599999999998</v>
      </c>
      <c r="H232" s="7">
        <v>41625</v>
      </c>
      <c r="I232" s="6" t="s">
        <v>247</v>
      </c>
      <c r="J232" s="6" t="s">
        <v>1241</v>
      </c>
      <c r="K232" s="6" t="s">
        <v>21</v>
      </c>
      <c r="L232" s="6">
        <v>12</v>
      </c>
      <c r="M232" s="15" t="s">
        <v>1242</v>
      </c>
      <c r="N232" s="15" t="s">
        <v>164</v>
      </c>
      <c r="O232" s="28" t="s">
        <v>1242</v>
      </c>
    </row>
    <row r="233" spans="1:15" ht="13.5" customHeight="1">
      <c r="A233" s="3" t="s">
        <v>846</v>
      </c>
      <c r="B233" s="4"/>
      <c r="C233" s="3"/>
      <c r="D233" s="5" t="s">
        <v>191</v>
      </c>
      <c r="E233" s="5" t="s">
        <v>124</v>
      </c>
      <c r="F233" s="3" t="s">
        <v>1243</v>
      </c>
      <c r="G233" s="6">
        <f t="shared" si="3"/>
        <v>243.20399999999998</v>
      </c>
      <c r="H233" s="7">
        <v>41625</v>
      </c>
      <c r="I233" s="6" t="s">
        <v>247</v>
      </c>
      <c r="J233" s="6" t="s">
        <v>1244</v>
      </c>
      <c r="K233" s="6" t="s">
        <v>21</v>
      </c>
      <c r="L233" s="6">
        <v>13</v>
      </c>
      <c r="M233" s="15" t="s">
        <v>1242</v>
      </c>
      <c r="N233" s="15" t="s">
        <v>167</v>
      </c>
      <c r="O233" s="28" t="s">
        <v>1245</v>
      </c>
    </row>
    <row r="234" spans="1:15" s="1" customFormat="1" ht="13.5" customHeight="1">
      <c r="A234" s="3" t="s">
        <v>846</v>
      </c>
      <c r="B234" s="4"/>
      <c r="C234" s="3"/>
      <c r="D234" s="5" t="s">
        <v>191</v>
      </c>
      <c r="E234" s="5" t="s">
        <v>124</v>
      </c>
      <c r="F234" s="3" t="s">
        <v>1246</v>
      </c>
      <c r="G234" s="6">
        <f t="shared" si="3"/>
        <v>224.49599999999998</v>
      </c>
      <c r="H234" s="7">
        <v>41625</v>
      </c>
      <c r="I234" s="6" t="s">
        <v>247</v>
      </c>
      <c r="J234" s="6" t="s">
        <v>1247</v>
      </c>
      <c r="K234" s="6" t="s">
        <v>21</v>
      </c>
      <c r="L234" s="6">
        <v>12</v>
      </c>
      <c r="M234" s="15" t="s">
        <v>1248</v>
      </c>
      <c r="N234" s="15" t="s">
        <v>164</v>
      </c>
      <c r="O234" s="28" t="s">
        <v>1248</v>
      </c>
    </row>
    <row r="235" spans="1:15" ht="13.5" customHeight="1">
      <c r="A235" s="3" t="s">
        <v>846</v>
      </c>
      <c r="B235" s="4"/>
      <c r="C235" s="3"/>
      <c r="D235" s="5" t="s">
        <v>191</v>
      </c>
      <c r="E235" s="5" t="s">
        <v>124</v>
      </c>
      <c r="F235" s="3" t="s">
        <v>1249</v>
      </c>
      <c r="G235" s="6">
        <f t="shared" si="3"/>
        <v>243.20399999999998</v>
      </c>
      <c r="H235" s="7">
        <v>41625</v>
      </c>
      <c r="I235" s="6" t="s">
        <v>247</v>
      </c>
      <c r="J235" s="6" t="s">
        <v>1250</v>
      </c>
      <c r="K235" s="6" t="s">
        <v>21</v>
      </c>
      <c r="L235" s="6">
        <v>13</v>
      </c>
      <c r="M235" s="15" t="s">
        <v>1248</v>
      </c>
      <c r="N235" s="15" t="s">
        <v>167</v>
      </c>
      <c r="O235" s="28" t="s">
        <v>1251</v>
      </c>
    </row>
    <row r="236" spans="1:15" ht="13.5" customHeight="1">
      <c r="A236" s="3" t="s">
        <v>846</v>
      </c>
      <c r="B236" s="4"/>
      <c r="C236" s="3"/>
      <c r="D236" s="5" t="s">
        <v>191</v>
      </c>
      <c r="E236" s="5" t="s">
        <v>124</v>
      </c>
      <c r="F236" s="3" t="s">
        <v>1252</v>
      </c>
      <c r="G236" s="6">
        <f t="shared" si="3"/>
        <v>187.07999999999998</v>
      </c>
      <c r="H236" s="7">
        <v>41625</v>
      </c>
      <c r="I236" s="6" t="s">
        <v>247</v>
      </c>
      <c r="J236" s="6" t="s">
        <v>1253</v>
      </c>
      <c r="K236" s="6" t="s">
        <v>21</v>
      </c>
      <c r="L236" s="6">
        <v>10</v>
      </c>
      <c r="M236" s="15" t="s">
        <v>1254</v>
      </c>
      <c r="N236" s="15" t="s">
        <v>1255</v>
      </c>
      <c r="O236" s="28" t="s">
        <v>1254</v>
      </c>
    </row>
    <row r="237" spans="1:15" s="1" customFormat="1" ht="13.5" customHeight="1">
      <c r="A237" s="3" t="s">
        <v>659</v>
      </c>
      <c r="B237" s="4"/>
      <c r="C237" s="3"/>
      <c r="D237" s="5" t="s">
        <v>191</v>
      </c>
      <c r="E237" s="5" t="s">
        <v>124</v>
      </c>
      <c r="F237" s="3" t="s">
        <v>1256</v>
      </c>
      <c r="G237" s="6">
        <f t="shared" si="3"/>
        <v>56.123999999999995</v>
      </c>
      <c r="H237" s="7">
        <v>41625</v>
      </c>
      <c r="I237" s="6" t="s">
        <v>178</v>
      </c>
      <c r="J237" s="6" t="s">
        <v>1257</v>
      </c>
      <c r="K237" s="6" t="s">
        <v>21</v>
      </c>
      <c r="L237" s="6">
        <v>3</v>
      </c>
      <c r="M237" s="15" t="s">
        <v>1254</v>
      </c>
      <c r="N237" s="15" t="s">
        <v>407</v>
      </c>
      <c r="O237" s="28" t="s">
        <v>1258</v>
      </c>
    </row>
    <row r="238" spans="1:15" s="1" customFormat="1" ht="13.5" customHeight="1">
      <c r="A238" s="3" t="s">
        <v>1259</v>
      </c>
      <c r="B238" s="4"/>
      <c r="C238" s="3"/>
      <c r="D238" s="5" t="s">
        <v>170</v>
      </c>
      <c r="E238" s="5" t="s">
        <v>124</v>
      </c>
      <c r="F238" s="3" t="s">
        <v>1260</v>
      </c>
      <c r="G238" s="6">
        <f>17.498*L238</f>
        <v>104.988</v>
      </c>
      <c r="H238" s="7">
        <v>41625</v>
      </c>
      <c r="I238" s="6" t="s">
        <v>265</v>
      </c>
      <c r="J238" s="6" t="s">
        <v>1261</v>
      </c>
      <c r="K238" s="6" t="s">
        <v>21</v>
      </c>
      <c r="L238" s="6">
        <v>6</v>
      </c>
      <c r="M238" s="15" t="s">
        <v>876</v>
      </c>
      <c r="N238" s="15" t="s">
        <v>1137</v>
      </c>
      <c r="O238" s="27" t="s">
        <v>1262</v>
      </c>
    </row>
    <row r="239" spans="1:15" s="1" customFormat="1" ht="13.5" customHeight="1">
      <c r="A239" s="3" t="s">
        <v>579</v>
      </c>
      <c r="B239" s="3" t="s">
        <v>283</v>
      </c>
      <c r="C239" s="3"/>
      <c r="D239" s="5" t="s">
        <v>580</v>
      </c>
      <c r="E239" s="5" t="s">
        <v>124</v>
      </c>
      <c r="F239" s="3" t="s">
        <v>1263</v>
      </c>
      <c r="G239" s="6">
        <f t="shared" ref="G239:G244" si="4">9.871*L239</f>
        <v>118.452</v>
      </c>
      <c r="H239" s="7">
        <v>41625</v>
      </c>
      <c r="I239" s="6" t="s">
        <v>161</v>
      </c>
      <c r="J239" s="6" t="s">
        <v>1264</v>
      </c>
      <c r="K239" s="6" t="s">
        <v>21</v>
      </c>
      <c r="L239" s="6">
        <v>12</v>
      </c>
      <c r="M239" s="15" t="s">
        <v>1265</v>
      </c>
      <c r="N239" s="15" t="s">
        <v>164</v>
      </c>
      <c r="O239" s="27" t="s">
        <v>1265</v>
      </c>
    </row>
    <row r="240" spans="1:15" s="1" customFormat="1" ht="13.5" customHeight="1">
      <c r="A240" s="3" t="s">
        <v>579</v>
      </c>
      <c r="B240" s="3" t="s">
        <v>283</v>
      </c>
      <c r="C240" s="3"/>
      <c r="D240" s="5" t="s">
        <v>580</v>
      </c>
      <c r="E240" s="5" t="s">
        <v>124</v>
      </c>
      <c r="F240" s="3" t="s">
        <v>1266</v>
      </c>
      <c r="G240" s="6">
        <f t="shared" si="4"/>
        <v>128.32300000000001</v>
      </c>
      <c r="H240" s="7">
        <v>41625</v>
      </c>
      <c r="I240" s="6" t="s">
        <v>161</v>
      </c>
      <c r="J240" s="6" t="s">
        <v>1267</v>
      </c>
      <c r="K240" s="6" t="s">
        <v>21</v>
      </c>
      <c r="L240" s="6">
        <v>13</v>
      </c>
      <c r="M240" s="15" t="s">
        <v>1265</v>
      </c>
      <c r="N240" s="15" t="s">
        <v>167</v>
      </c>
      <c r="O240" s="27" t="s">
        <v>1268</v>
      </c>
    </row>
    <row r="241" spans="1:15" s="1" customFormat="1" ht="13.5" customHeight="1">
      <c r="A241" s="3" t="s">
        <v>579</v>
      </c>
      <c r="B241" s="3" t="s">
        <v>283</v>
      </c>
      <c r="C241" s="3"/>
      <c r="D241" s="5" t="s">
        <v>580</v>
      </c>
      <c r="E241" s="5" t="s">
        <v>124</v>
      </c>
      <c r="F241" s="3" t="s">
        <v>1269</v>
      </c>
      <c r="G241" s="6">
        <f t="shared" si="4"/>
        <v>118.452</v>
      </c>
      <c r="H241" s="7">
        <v>41625</v>
      </c>
      <c r="I241" s="6" t="s">
        <v>161</v>
      </c>
      <c r="J241" s="6" t="s">
        <v>1270</v>
      </c>
      <c r="K241" s="6" t="s">
        <v>21</v>
      </c>
      <c r="L241" s="6">
        <v>12</v>
      </c>
      <c r="M241" s="15" t="s">
        <v>1271</v>
      </c>
      <c r="N241" s="15" t="s">
        <v>164</v>
      </c>
      <c r="O241" s="27" t="s">
        <v>1271</v>
      </c>
    </row>
    <row r="242" spans="1:15" s="1" customFormat="1" ht="13.5" customHeight="1">
      <c r="A242" s="3" t="s">
        <v>579</v>
      </c>
      <c r="B242" s="3" t="s">
        <v>283</v>
      </c>
      <c r="C242" s="3"/>
      <c r="D242" s="5" t="s">
        <v>580</v>
      </c>
      <c r="E242" s="5" t="s">
        <v>124</v>
      </c>
      <c r="F242" s="3" t="s">
        <v>1272</v>
      </c>
      <c r="G242" s="6">
        <f t="shared" si="4"/>
        <v>128.32300000000001</v>
      </c>
      <c r="H242" s="7">
        <v>41625</v>
      </c>
      <c r="I242" s="6" t="s">
        <v>161</v>
      </c>
      <c r="J242" s="6" t="s">
        <v>1273</v>
      </c>
      <c r="K242" s="6" t="s">
        <v>21</v>
      </c>
      <c r="L242" s="6">
        <v>13</v>
      </c>
      <c r="M242" s="15" t="s">
        <v>1271</v>
      </c>
      <c r="N242" s="15" t="s">
        <v>167</v>
      </c>
      <c r="O242" s="27" t="s">
        <v>1274</v>
      </c>
    </row>
    <row r="243" spans="1:15" ht="13.5" customHeight="1">
      <c r="A243" s="3" t="s">
        <v>579</v>
      </c>
      <c r="B243" s="3" t="s">
        <v>283</v>
      </c>
      <c r="C243" s="3"/>
      <c r="D243" s="5" t="s">
        <v>580</v>
      </c>
      <c r="E243" s="5" t="s">
        <v>124</v>
      </c>
      <c r="F243" s="3" t="s">
        <v>1275</v>
      </c>
      <c r="G243" s="6">
        <f t="shared" si="4"/>
        <v>118.452</v>
      </c>
      <c r="H243" s="7">
        <v>41625</v>
      </c>
      <c r="I243" s="6" t="s">
        <v>161</v>
      </c>
      <c r="J243" s="6" t="s">
        <v>1276</v>
      </c>
      <c r="K243" s="6" t="s">
        <v>21</v>
      </c>
      <c r="L243" s="6">
        <v>12</v>
      </c>
      <c r="M243" s="15" t="s">
        <v>1277</v>
      </c>
      <c r="N243" s="15" t="s">
        <v>164</v>
      </c>
      <c r="O243" s="27" t="s">
        <v>1277</v>
      </c>
    </row>
    <row r="244" spans="1:15" s="1" customFormat="1" ht="13.5" customHeight="1">
      <c r="A244" s="3" t="s">
        <v>579</v>
      </c>
      <c r="B244" s="3" t="s">
        <v>283</v>
      </c>
      <c r="C244" s="3"/>
      <c r="D244" s="5" t="s">
        <v>580</v>
      </c>
      <c r="E244" s="5" t="s">
        <v>124</v>
      </c>
      <c r="F244" s="3" t="s">
        <v>1278</v>
      </c>
      <c r="G244" s="6">
        <f t="shared" si="4"/>
        <v>128.32300000000001</v>
      </c>
      <c r="H244" s="7">
        <v>41625</v>
      </c>
      <c r="I244" s="6" t="s">
        <v>161</v>
      </c>
      <c r="J244" s="6" t="s">
        <v>1279</v>
      </c>
      <c r="K244" s="6" t="s">
        <v>21</v>
      </c>
      <c r="L244" s="6">
        <v>13</v>
      </c>
      <c r="M244" s="15" t="s">
        <v>1277</v>
      </c>
      <c r="N244" s="15" t="s">
        <v>167</v>
      </c>
      <c r="O244" s="27" t="s">
        <v>1280</v>
      </c>
    </row>
    <row r="245" spans="1:15" ht="13.5" customHeight="1">
      <c r="A245" s="3" t="s">
        <v>465</v>
      </c>
      <c r="B245" s="4"/>
      <c r="C245" s="3"/>
      <c r="D245" s="5" t="s">
        <v>391</v>
      </c>
      <c r="E245" s="5" t="s">
        <v>124</v>
      </c>
      <c r="F245" s="3" t="s">
        <v>1281</v>
      </c>
      <c r="G245" s="6">
        <f>17.712*L245</f>
        <v>88.56</v>
      </c>
      <c r="H245" s="7">
        <v>41625</v>
      </c>
      <c r="I245" s="6" t="s">
        <v>265</v>
      </c>
      <c r="J245" s="6" t="s">
        <v>1282</v>
      </c>
      <c r="K245" s="6" t="s">
        <v>21</v>
      </c>
      <c r="L245" s="6">
        <v>5</v>
      </c>
      <c r="M245" s="15" t="s">
        <v>1283</v>
      </c>
      <c r="N245" s="15" t="s">
        <v>1284</v>
      </c>
      <c r="O245" s="27" t="s">
        <v>1283</v>
      </c>
    </row>
    <row r="246" spans="1:15" s="1" customFormat="1" ht="13.5" customHeight="1">
      <c r="A246" s="3" t="s">
        <v>1285</v>
      </c>
      <c r="B246" s="4" t="s">
        <v>283</v>
      </c>
      <c r="C246" s="3" t="s">
        <v>1286</v>
      </c>
      <c r="D246" s="21" t="s">
        <v>1287</v>
      </c>
      <c r="E246" s="5" t="s">
        <v>124</v>
      </c>
      <c r="F246" s="3" t="s">
        <v>1288</v>
      </c>
      <c r="G246" s="6">
        <f>8.606*L246</f>
        <v>86.06</v>
      </c>
      <c r="H246" s="7">
        <v>41625</v>
      </c>
      <c r="I246" s="6" t="s">
        <v>272</v>
      </c>
      <c r="J246" s="6" t="s">
        <v>1289</v>
      </c>
      <c r="K246" s="6" t="s">
        <v>21</v>
      </c>
      <c r="L246" s="6">
        <v>10</v>
      </c>
      <c r="M246" s="15" t="s">
        <v>1290</v>
      </c>
      <c r="N246" s="15" t="s">
        <v>35</v>
      </c>
      <c r="O246" s="27" t="s">
        <v>1290</v>
      </c>
    </row>
    <row r="247" spans="1:15" s="1" customFormat="1" ht="13.5" customHeight="1">
      <c r="A247" s="3" t="s">
        <v>788</v>
      </c>
      <c r="B247" s="3" t="s">
        <v>283</v>
      </c>
      <c r="C247" s="3"/>
      <c r="D247" s="5" t="s">
        <v>789</v>
      </c>
      <c r="E247" s="5" t="s">
        <v>124</v>
      </c>
      <c r="F247" s="3" t="s">
        <v>1291</v>
      </c>
      <c r="G247" s="6">
        <f>8.606*L247</f>
        <v>60.241999999999997</v>
      </c>
      <c r="H247" s="7">
        <v>41625</v>
      </c>
      <c r="I247" s="6" t="s">
        <v>272</v>
      </c>
      <c r="J247" s="6" t="s">
        <v>1292</v>
      </c>
      <c r="K247" s="6" t="s">
        <v>21</v>
      </c>
      <c r="L247" s="6">
        <v>7</v>
      </c>
      <c r="M247" s="15" t="s">
        <v>1293</v>
      </c>
      <c r="N247" s="15" t="s">
        <v>1093</v>
      </c>
      <c r="O247" s="27" t="s">
        <v>1293</v>
      </c>
    </row>
    <row r="248" spans="1:15" s="1" customFormat="1" ht="13.5" customHeight="1">
      <c r="A248" s="3" t="s">
        <v>788</v>
      </c>
      <c r="B248" s="3" t="s">
        <v>283</v>
      </c>
      <c r="C248" s="3"/>
      <c r="D248" s="5" t="s">
        <v>789</v>
      </c>
      <c r="E248" s="5" t="s">
        <v>124</v>
      </c>
      <c r="F248" s="3" t="s">
        <v>1294</v>
      </c>
      <c r="G248" s="6">
        <f>8.606*L248</f>
        <v>68.847999999999999</v>
      </c>
      <c r="H248" s="7">
        <v>41625</v>
      </c>
      <c r="I248" s="6" t="s">
        <v>272</v>
      </c>
      <c r="J248" s="6" t="s">
        <v>1295</v>
      </c>
      <c r="K248" s="6" t="s">
        <v>21</v>
      </c>
      <c r="L248" s="6">
        <v>8</v>
      </c>
      <c r="M248" s="15" t="s">
        <v>1293</v>
      </c>
      <c r="N248" s="15" t="s">
        <v>1096</v>
      </c>
      <c r="O248" s="27" t="s">
        <v>1296</v>
      </c>
    </row>
    <row r="249" spans="1:15" ht="13.5" customHeight="1">
      <c r="A249" s="3" t="s">
        <v>1018</v>
      </c>
      <c r="B249" s="4"/>
      <c r="C249" s="3"/>
      <c r="D249" s="5" t="s">
        <v>1019</v>
      </c>
      <c r="E249" s="5" t="s">
        <v>124</v>
      </c>
      <c r="F249" s="3" t="s">
        <v>1297</v>
      </c>
      <c r="G249" s="6">
        <v>69.578000000000003</v>
      </c>
      <c r="H249" s="7">
        <v>41625</v>
      </c>
      <c r="I249" s="6" t="s">
        <v>209</v>
      </c>
      <c r="J249" s="6" t="s">
        <v>1298</v>
      </c>
      <c r="K249" s="6" t="s">
        <v>128</v>
      </c>
      <c r="L249" s="6" t="s">
        <v>1299</v>
      </c>
      <c r="M249" s="15" t="s">
        <v>1300</v>
      </c>
      <c r="N249" s="15" t="s">
        <v>1301</v>
      </c>
      <c r="O249" s="27" t="s">
        <v>1302</v>
      </c>
    </row>
    <row r="250" spans="1:15" ht="13.5" customHeight="1">
      <c r="A250" s="3" t="s">
        <v>1303</v>
      </c>
      <c r="B250" s="4"/>
      <c r="C250" s="3"/>
      <c r="D250" s="5" t="s">
        <v>1304</v>
      </c>
      <c r="E250" s="5" t="s">
        <v>124</v>
      </c>
      <c r="F250" s="3" t="s">
        <v>1305</v>
      </c>
      <c r="G250" s="6">
        <v>103.765</v>
      </c>
      <c r="H250" s="7">
        <v>41625</v>
      </c>
      <c r="I250" s="6" t="s">
        <v>209</v>
      </c>
      <c r="J250" s="6" t="s">
        <v>1306</v>
      </c>
      <c r="K250" s="6" t="s">
        <v>128</v>
      </c>
      <c r="L250" s="6" t="s">
        <v>1307</v>
      </c>
      <c r="M250" s="15" t="s">
        <v>1308</v>
      </c>
      <c r="N250" s="15" t="s">
        <v>1309</v>
      </c>
      <c r="O250" s="27" t="s">
        <v>1310</v>
      </c>
    </row>
    <row r="251" spans="1:15" s="1" customFormat="1" ht="13.5" customHeight="1">
      <c r="A251" s="3" t="s">
        <v>1311</v>
      </c>
      <c r="B251" s="4"/>
      <c r="C251" s="3"/>
      <c r="D251" s="5" t="s">
        <v>1312</v>
      </c>
      <c r="E251" s="5" t="s">
        <v>124</v>
      </c>
      <c r="F251" s="3" t="s">
        <v>1313</v>
      </c>
      <c r="G251" s="6">
        <v>60.69</v>
      </c>
      <c r="H251" s="7">
        <v>41626</v>
      </c>
      <c r="I251" s="6" t="s">
        <v>209</v>
      </c>
      <c r="J251" s="6" t="s">
        <v>1314</v>
      </c>
      <c r="K251" s="6" t="s">
        <v>128</v>
      </c>
      <c r="L251" s="6" t="s">
        <v>1315</v>
      </c>
      <c r="M251" s="15" t="s">
        <v>1316</v>
      </c>
      <c r="N251" s="15" t="s">
        <v>1317</v>
      </c>
      <c r="O251" s="28" t="s">
        <v>1318</v>
      </c>
    </row>
    <row r="252" spans="1:15" s="1" customFormat="1" ht="13.5" customHeight="1">
      <c r="A252" s="3" t="s">
        <v>569</v>
      </c>
      <c r="B252" s="3" t="s">
        <v>283</v>
      </c>
      <c r="C252" s="3"/>
      <c r="D252" s="5" t="s">
        <v>570</v>
      </c>
      <c r="E252" s="5" t="s">
        <v>124</v>
      </c>
      <c r="F252" s="3" t="s">
        <v>1319</v>
      </c>
      <c r="G252" s="6">
        <f>9.871*L252</f>
        <v>49.355000000000004</v>
      </c>
      <c r="H252" s="7">
        <v>41626</v>
      </c>
      <c r="I252" s="6" t="s">
        <v>161</v>
      </c>
      <c r="J252" s="6" t="s">
        <v>1320</v>
      </c>
      <c r="K252" s="6" t="s">
        <v>21</v>
      </c>
      <c r="L252" s="6">
        <v>5</v>
      </c>
      <c r="M252" s="15" t="s">
        <v>1321</v>
      </c>
      <c r="N252" s="15" t="s">
        <v>1284</v>
      </c>
      <c r="O252" s="28" t="s">
        <v>1321</v>
      </c>
    </row>
    <row r="253" spans="1:15" s="1" customFormat="1" ht="13.5" customHeight="1">
      <c r="A253" s="3" t="s">
        <v>1322</v>
      </c>
      <c r="B253" s="4"/>
      <c r="C253" s="3"/>
      <c r="D253" s="5" t="s">
        <v>672</v>
      </c>
      <c r="E253" s="5" t="s">
        <v>124</v>
      </c>
      <c r="F253" s="3" t="s">
        <v>1323</v>
      </c>
      <c r="G253" s="6">
        <v>151.995</v>
      </c>
      <c r="H253" s="7">
        <v>41628</v>
      </c>
      <c r="I253" s="6" t="s">
        <v>209</v>
      </c>
      <c r="J253" s="6" t="s">
        <v>1324</v>
      </c>
      <c r="K253" s="6" t="s">
        <v>128</v>
      </c>
      <c r="L253" s="6" t="s">
        <v>808</v>
      </c>
      <c r="M253" s="15" t="s">
        <v>1325</v>
      </c>
      <c r="N253" s="15" t="s">
        <v>810</v>
      </c>
      <c r="O253" s="28" t="s">
        <v>1326</v>
      </c>
    </row>
    <row r="254" spans="1:15" s="1" customFormat="1" ht="13.5" customHeight="1">
      <c r="A254" s="3" t="s">
        <v>1322</v>
      </c>
      <c r="B254" s="4"/>
      <c r="C254" s="3"/>
      <c r="D254" s="5" t="s">
        <v>672</v>
      </c>
      <c r="E254" s="5" t="s">
        <v>124</v>
      </c>
      <c r="F254" s="3" t="s">
        <v>1327</v>
      </c>
      <c r="G254" s="6">
        <v>84.9</v>
      </c>
      <c r="H254" s="7">
        <v>41628</v>
      </c>
      <c r="I254" s="6" t="s">
        <v>209</v>
      </c>
      <c r="J254" s="6" t="s">
        <v>1328</v>
      </c>
      <c r="K254" s="6" t="s">
        <v>128</v>
      </c>
      <c r="L254" s="6" t="s">
        <v>1329</v>
      </c>
      <c r="M254" s="15" t="s">
        <v>1330</v>
      </c>
      <c r="N254" s="15" t="s">
        <v>1331</v>
      </c>
      <c r="O254" s="28" t="s">
        <v>1332</v>
      </c>
    </row>
    <row r="255" spans="1:15" ht="13.5" customHeight="1">
      <c r="A255" s="3" t="s">
        <v>1322</v>
      </c>
      <c r="B255" s="4"/>
      <c r="C255" s="3"/>
      <c r="D255" s="5" t="s">
        <v>672</v>
      </c>
      <c r="E255" s="5" t="s">
        <v>124</v>
      </c>
      <c r="F255" s="3" t="s">
        <v>1333</v>
      </c>
      <c r="G255" s="6">
        <v>66.894999999999996</v>
      </c>
      <c r="H255" s="7">
        <v>41628</v>
      </c>
      <c r="I255" s="6" t="s">
        <v>209</v>
      </c>
      <c r="J255" s="6" t="s">
        <v>1334</v>
      </c>
      <c r="K255" s="6" t="s">
        <v>128</v>
      </c>
      <c r="L255" s="6" t="s">
        <v>1335</v>
      </c>
      <c r="M255" s="15" t="s">
        <v>1336</v>
      </c>
      <c r="N255" s="15" t="s">
        <v>1337</v>
      </c>
      <c r="O255" s="28" t="s">
        <v>1338</v>
      </c>
    </row>
    <row r="256" spans="1:15" ht="13.5" customHeight="1">
      <c r="A256" s="3" t="s">
        <v>1322</v>
      </c>
      <c r="B256" s="4"/>
      <c r="C256" s="3"/>
      <c r="D256" s="5" t="s">
        <v>672</v>
      </c>
      <c r="E256" s="5" t="s">
        <v>124</v>
      </c>
      <c r="F256" s="3" t="s">
        <v>1339</v>
      </c>
      <c r="G256" s="6">
        <v>84.653000000000006</v>
      </c>
      <c r="H256" s="7">
        <v>41628</v>
      </c>
      <c r="I256" s="6" t="s">
        <v>209</v>
      </c>
      <c r="J256" s="6" t="s">
        <v>1340</v>
      </c>
      <c r="K256" s="6" t="s">
        <v>128</v>
      </c>
      <c r="L256" s="6" t="s">
        <v>1329</v>
      </c>
      <c r="M256" s="15" t="s">
        <v>1341</v>
      </c>
      <c r="N256" s="15" t="s">
        <v>1342</v>
      </c>
      <c r="O256" s="28" t="s">
        <v>1343</v>
      </c>
    </row>
    <row r="257" spans="1:15" s="1" customFormat="1" ht="13.5" customHeight="1">
      <c r="A257" s="22" t="s">
        <v>1216</v>
      </c>
      <c r="B257" s="3" t="s">
        <v>15</v>
      </c>
      <c r="C257" s="3"/>
      <c r="D257" s="5" t="s">
        <v>1217</v>
      </c>
      <c r="E257" s="5" t="s">
        <v>124</v>
      </c>
      <c r="F257" s="3" t="s">
        <v>1344</v>
      </c>
      <c r="G257" s="6">
        <v>29.173999999999999</v>
      </c>
      <c r="H257" s="7">
        <v>41628</v>
      </c>
      <c r="I257" s="6" t="s">
        <v>209</v>
      </c>
      <c r="J257" s="6" t="s">
        <v>1345</v>
      </c>
      <c r="K257" s="6" t="s">
        <v>128</v>
      </c>
      <c r="L257" s="6" t="s">
        <v>743</v>
      </c>
      <c r="M257" s="15" t="s">
        <v>1346</v>
      </c>
      <c r="N257" s="15" t="s">
        <v>1347</v>
      </c>
      <c r="O257" s="27" t="s">
        <v>1348</v>
      </c>
    </row>
    <row r="258" spans="1:15" s="1" customFormat="1" ht="13.5" customHeight="1">
      <c r="A258" s="22" t="s">
        <v>1349</v>
      </c>
      <c r="B258" s="3" t="s">
        <v>15</v>
      </c>
      <c r="C258" s="3"/>
      <c r="D258" s="5" t="s">
        <v>1217</v>
      </c>
      <c r="E258" s="5" t="s">
        <v>124</v>
      </c>
      <c r="F258" s="3" t="s">
        <v>1350</v>
      </c>
      <c r="G258" s="6">
        <v>116.696</v>
      </c>
      <c r="H258" s="7">
        <v>41628</v>
      </c>
      <c r="I258" s="6" t="s">
        <v>178</v>
      </c>
      <c r="J258" s="6" t="s">
        <v>1351</v>
      </c>
      <c r="K258" s="6" t="s">
        <v>128</v>
      </c>
      <c r="L258" s="6" t="s">
        <v>1299</v>
      </c>
      <c r="M258" s="15" t="s">
        <v>1352</v>
      </c>
      <c r="N258" s="15" t="s">
        <v>1353</v>
      </c>
      <c r="O258" s="27" t="s">
        <v>1354</v>
      </c>
    </row>
    <row r="259" spans="1:15" s="1" customFormat="1" ht="14.25" customHeight="1">
      <c r="A259" s="3" t="s">
        <v>1355</v>
      </c>
      <c r="B259" s="4" t="s">
        <v>206</v>
      </c>
      <c r="C259" s="3"/>
      <c r="D259" s="5" t="s">
        <v>207</v>
      </c>
      <c r="E259" s="5" t="s">
        <v>124</v>
      </c>
      <c r="F259" s="3" t="s">
        <v>1356</v>
      </c>
      <c r="G259" s="6">
        <v>190.21799999999999</v>
      </c>
      <c r="H259" s="7">
        <v>41631</v>
      </c>
      <c r="I259" s="6" t="s">
        <v>209</v>
      </c>
      <c r="J259" s="6" t="s">
        <v>1357</v>
      </c>
      <c r="K259" s="6" t="s">
        <v>128</v>
      </c>
      <c r="L259" s="6" t="s">
        <v>1358</v>
      </c>
      <c r="M259" s="15" t="s">
        <v>1359</v>
      </c>
      <c r="N259" s="15" t="s">
        <v>1360</v>
      </c>
      <c r="O259" s="27" t="s">
        <v>1361</v>
      </c>
    </row>
    <row r="260" spans="1:15" s="1" customFormat="1" ht="13.5" customHeight="1">
      <c r="A260" s="3" t="s">
        <v>765</v>
      </c>
      <c r="B260" s="4" t="s">
        <v>206</v>
      </c>
      <c r="C260" s="3"/>
      <c r="D260" s="5" t="s">
        <v>207</v>
      </c>
      <c r="E260" s="5" t="s">
        <v>124</v>
      </c>
      <c r="F260" s="3" t="s">
        <v>1362</v>
      </c>
      <c r="G260" s="6">
        <v>209.96</v>
      </c>
      <c r="H260" s="7">
        <v>41631</v>
      </c>
      <c r="I260" s="6" t="s">
        <v>209</v>
      </c>
      <c r="J260" s="6" t="s">
        <v>1363</v>
      </c>
      <c r="K260" s="6" t="s">
        <v>128</v>
      </c>
      <c r="L260" s="6" t="s">
        <v>1364</v>
      </c>
      <c r="M260" s="15" t="s">
        <v>1365</v>
      </c>
      <c r="N260" s="15" t="s">
        <v>1366</v>
      </c>
      <c r="O260" s="27" t="s">
        <v>1367</v>
      </c>
    </row>
    <row r="261" spans="1:15" ht="13.5" customHeight="1">
      <c r="A261" s="3" t="s">
        <v>1006</v>
      </c>
      <c r="B261" s="4" t="s">
        <v>206</v>
      </c>
      <c r="C261" s="3"/>
      <c r="D261" s="5" t="s">
        <v>383</v>
      </c>
      <c r="E261" s="5" t="s">
        <v>124</v>
      </c>
      <c r="F261" s="3" t="s">
        <v>1368</v>
      </c>
      <c r="G261" s="6">
        <v>305.416</v>
      </c>
      <c r="H261" s="7">
        <v>41631</v>
      </c>
      <c r="I261" s="6" t="s">
        <v>209</v>
      </c>
      <c r="J261" s="6" t="s">
        <v>1369</v>
      </c>
      <c r="K261" s="6" t="s">
        <v>128</v>
      </c>
      <c r="L261" s="6" t="s">
        <v>1370</v>
      </c>
      <c r="M261" s="15" t="s">
        <v>1371</v>
      </c>
      <c r="N261" s="15" t="s">
        <v>1372</v>
      </c>
      <c r="O261" s="27" t="s">
        <v>1373</v>
      </c>
    </row>
    <row r="262" spans="1:15" ht="13.5" customHeight="1">
      <c r="A262" s="3" t="s">
        <v>1018</v>
      </c>
      <c r="B262" s="4" t="s">
        <v>206</v>
      </c>
      <c r="C262" s="3"/>
      <c r="D262" s="5" t="s">
        <v>1019</v>
      </c>
      <c r="E262" s="5" t="s">
        <v>124</v>
      </c>
      <c r="F262" s="3" t="s">
        <v>1374</v>
      </c>
      <c r="G262" s="6">
        <v>48.286000000000001</v>
      </c>
      <c r="H262" s="7">
        <v>41631</v>
      </c>
      <c r="I262" s="6" t="s">
        <v>209</v>
      </c>
      <c r="J262" s="6" t="s">
        <v>1375</v>
      </c>
      <c r="K262" s="6" t="s">
        <v>128</v>
      </c>
      <c r="L262" s="6" t="s">
        <v>219</v>
      </c>
      <c r="M262" s="15" t="s">
        <v>1376</v>
      </c>
      <c r="N262" s="15" t="s">
        <v>1377</v>
      </c>
      <c r="O262" s="27" t="s">
        <v>1378</v>
      </c>
    </row>
    <row r="263" spans="1:15" s="1" customFormat="1" ht="13.5" customHeight="1">
      <c r="A263" s="22" t="s">
        <v>1379</v>
      </c>
      <c r="B263" s="3" t="s">
        <v>1380</v>
      </c>
      <c r="C263" s="3"/>
      <c r="D263" s="5" t="s">
        <v>1381</v>
      </c>
      <c r="E263" s="5" t="s">
        <v>124</v>
      </c>
      <c r="F263" s="3" t="s">
        <v>1382</v>
      </c>
      <c r="G263" s="6">
        <f>4.66*L263</f>
        <v>27.96</v>
      </c>
      <c r="H263" s="7">
        <v>41631</v>
      </c>
      <c r="I263" s="6" t="s">
        <v>372</v>
      </c>
      <c r="J263" s="6" t="s">
        <v>1383</v>
      </c>
      <c r="K263" s="6" t="s">
        <v>21</v>
      </c>
      <c r="L263" s="6">
        <v>6</v>
      </c>
      <c r="M263" s="15" t="s">
        <v>1384</v>
      </c>
      <c r="N263" s="15" t="s">
        <v>395</v>
      </c>
      <c r="O263" s="27" t="s">
        <v>1385</v>
      </c>
    </row>
    <row r="264" spans="1:15" s="1" customFormat="1" ht="13.5" customHeight="1">
      <c r="A264" s="5" t="s">
        <v>1043</v>
      </c>
      <c r="B264" s="4"/>
      <c r="C264" s="3"/>
      <c r="D264" s="5" t="s">
        <v>443</v>
      </c>
      <c r="E264" s="5" t="s">
        <v>7026</v>
      </c>
      <c r="F264" s="3" t="s">
        <v>7089</v>
      </c>
      <c r="G264" s="6">
        <f>18.708*L264</f>
        <v>205.78799999999998</v>
      </c>
      <c r="H264" s="7">
        <v>41632</v>
      </c>
      <c r="I264" s="6" t="s">
        <v>178</v>
      </c>
      <c r="J264" s="6" t="s">
        <v>7090</v>
      </c>
      <c r="K264" s="6" t="s">
        <v>21</v>
      </c>
      <c r="L264" s="6">
        <v>11</v>
      </c>
      <c r="M264" s="15" t="s">
        <v>7091</v>
      </c>
      <c r="N264" s="15" t="s">
        <v>2199</v>
      </c>
      <c r="O264" s="27" t="s">
        <v>7092</v>
      </c>
    </row>
    <row r="265" spans="1:15" s="1" customFormat="1" ht="13.5" customHeight="1">
      <c r="A265" s="5" t="s">
        <v>1043</v>
      </c>
      <c r="B265" s="4"/>
      <c r="C265" s="3"/>
      <c r="D265" s="5" t="s">
        <v>443</v>
      </c>
      <c r="E265" s="5" t="s">
        <v>7026</v>
      </c>
      <c r="F265" s="3" t="s">
        <v>7093</v>
      </c>
      <c r="G265" s="6">
        <f>18.708*L265</f>
        <v>224.49599999999998</v>
      </c>
      <c r="H265" s="7">
        <v>41632</v>
      </c>
      <c r="I265" s="6" t="s">
        <v>178</v>
      </c>
      <c r="J265" s="6" t="s">
        <v>7094</v>
      </c>
      <c r="K265" s="6" t="s">
        <v>21</v>
      </c>
      <c r="L265" s="6">
        <v>12</v>
      </c>
      <c r="M265" s="15" t="s">
        <v>7095</v>
      </c>
      <c r="N265" s="15" t="s">
        <v>164</v>
      </c>
      <c r="O265" s="27" t="s">
        <v>7096</v>
      </c>
    </row>
    <row r="266" spans="1:15" s="1" customFormat="1" ht="13.5" customHeight="1">
      <c r="A266" s="5" t="s">
        <v>1043</v>
      </c>
      <c r="B266" s="4"/>
      <c r="C266" s="3"/>
      <c r="D266" s="5" t="s">
        <v>443</v>
      </c>
      <c r="E266" s="5" t="s">
        <v>7026</v>
      </c>
      <c r="F266" s="3" t="s">
        <v>7097</v>
      </c>
      <c r="G266" s="6">
        <f>18.708*L266</f>
        <v>243.20399999999998</v>
      </c>
      <c r="H266" s="7">
        <v>41632</v>
      </c>
      <c r="I266" s="6" t="s">
        <v>178</v>
      </c>
      <c r="J266" s="6" t="s">
        <v>7098</v>
      </c>
      <c r="K266" s="6" t="s">
        <v>21</v>
      </c>
      <c r="L266" s="6">
        <v>13</v>
      </c>
      <c r="M266" s="15" t="s">
        <v>7095</v>
      </c>
      <c r="N266" s="15" t="s">
        <v>167</v>
      </c>
      <c r="O266" s="27" t="s">
        <v>7099</v>
      </c>
    </row>
    <row r="267" spans="1:15" s="1" customFormat="1" ht="13.5" customHeight="1">
      <c r="A267" s="3" t="s">
        <v>169</v>
      </c>
      <c r="B267" s="4"/>
      <c r="C267" s="3"/>
      <c r="D267" s="5" t="s">
        <v>170</v>
      </c>
      <c r="E267" s="5" t="s">
        <v>124</v>
      </c>
      <c r="F267" s="3" t="s">
        <v>1386</v>
      </c>
      <c r="G267" s="6">
        <f>17.498*L267</f>
        <v>122.486</v>
      </c>
      <c r="H267" s="7">
        <v>41633</v>
      </c>
      <c r="I267" s="6" t="s">
        <v>265</v>
      </c>
      <c r="J267" s="6" t="s">
        <v>1387</v>
      </c>
      <c r="K267" s="6" t="s">
        <v>21</v>
      </c>
      <c r="L267" s="6">
        <v>7</v>
      </c>
      <c r="M267" s="15" t="s">
        <v>876</v>
      </c>
      <c r="N267" s="15" t="s">
        <v>1141</v>
      </c>
      <c r="O267" s="28" t="s">
        <v>1388</v>
      </c>
    </row>
    <row r="268" spans="1:15" s="1" customFormat="1" ht="13.5" customHeight="1">
      <c r="A268" s="3" t="s">
        <v>460</v>
      </c>
      <c r="B268" s="4"/>
      <c r="C268" s="3"/>
      <c r="D268" s="5" t="s">
        <v>461</v>
      </c>
      <c r="E268" s="5" t="s">
        <v>124</v>
      </c>
      <c r="F268" s="3" t="s">
        <v>1389</v>
      </c>
      <c r="G268" s="6">
        <f>14.405*L268</f>
        <v>144.04999999999998</v>
      </c>
      <c r="H268" s="7">
        <v>41633</v>
      </c>
      <c r="I268" s="6" t="s">
        <v>265</v>
      </c>
      <c r="J268" s="6" t="s">
        <v>1390</v>
      </c>
      <c r="K268" s="6" t="s">
        <v>21</v>
      </c>
      <c r="L268" s="6">
        <v>10</v>
      </c>
      <c r="M268" s="15" t="s">
        <v>1391</v>
      </c>
      <c r="N268" s="15" t="s">
        <v>114</v>
      </c>
      <c r="O268" s="28" t="s">
        <v>1391</v>
      </c>
    </row>
    <row r="269" spans="1:15" ht="13.5" customHeight="1">
      <c r="A269" s="3" t="s">
        <v>1108</v>
      </c>
      <c r="B269" s="4"/>
      <c r="C269" s="3"/>
      <c r="D269" s="5" t="s">
        <v>391</v>
      </c>
      <c r="E269" s="5" t="s">
        <v>124</v>
      </c>
      <c r="F269" s="3" t="s">
        <v>1392</v>
      </c>
      <c r="G269" s="6">
        <f>17.712*L269</f>
        <v>212.54399999999998</v>
      </c>
      <c r="H269" s="7">
        <v>41633</v>
      </c>
      <c r="I269" s="6" t="s">
        <v>265</v>
      </c>
      <c r="J269" s="6" t="s">
        <v>1393</v>
      </c>
      <c r="K269" s="6" t="s">
        <v>21</v>
      </c>
      <c r="L269" s="6">
        <v>12</v>
      </c>
      <c r="M269" s="15" t="s">
        <v>1394</v>
      </c>
      <c r="N269" s="15" t="s">
        <v>164</v>
      </c>
      <c r="O269" s="28" t="s">
        <v>1394</v>
      </c>
    </row>
    <row r="270" spans="1:15" ht="13.5" customHeight="1">
      <c r="A270" s="3" t="s">
        <v>1108</v>
      </c>
      <c r="B270" s="4"/>
      <c r="C270" s="3"/>
      <c r="D270" s="5" t="s">
        <v>391</v>
      </c>
      <c r="E270" s="5" t="s">
        <v>124</v>
      </c>
      <c r="F270" s="3" t="s">
        <v>1395</v>
      </c>
      <c r="G270" s="6">
        <f>17.712*L270</f>
        <v>230.256</v>
      </c>
      <c r="H270" s="7">
        <v>41633</v>
      </c>
      <c r="I270" s="6" t="s">
        <v>265</v>
      </c>
      <c r="J270" s="6" t="s">
        <v>1396</v>
      </c>
      <c r="K270" s="6" t="s">
        <v>21</v>
      </c>
      <c r="L270" s="6">
        <v>13</v>
      </c>
      <c r="M270" s="15" t="s">
        <v>1394</v>
      </c>
      <c r="N270" s="15" t="s">
        <v>167</v>
      </c>
      <c r="O270" s="28" t="s">
        <v>1397</v>
      </c>
    </row>
    <row r="271" spans="1:15" s="1" customFormat="1" ht="13.5" customHeight="1">
      <c r="A271" s="3" t="s">
        <v>1108</v>
      </c>
      <c r="B271" s="4"/>
      <c r="C271" s="3"/>
      <c r="D271" s="5" t="s">
        <v>391</v>
      </c>
      <c r="E271" s="5" t="s">
        <v>124</v>
      </c>
      <c r="F271" s="3" t="s">
        <v>1398</v>
      </c>
      <c r="G271" s="6">
        <f>17.712*L271</f>
        <v>212.54399999999998</v>
      </c>
      <c r="H271" s="7">
        <v>41633</v>
      </c>
      <c r="I271" s="6" t="s">
        <v>265</v>
      </c>
      <c r="J271" s="6" t="s">
        <v>1399</v>
      </c>
      <c r="K271" s="6" t="s">
        <v>21</v>
      </c>
      <c r="L271" s="6">
        <v>12</v>
      </c>
      <c r="M271" s="15" t="s">
        <v>1400</v>
      </c>
      <c r="N271" s="15" t="s">
        <v>164</v>
      </c>
      <c r="O271" s="28" t="s">
        <v>1400</v>
      </c>
    </row>
    <row r="272" spans="1:15" s="1" customFormat="1" ht="13.5" customHeight="1">
      <c r="A272" s="3" t="s">
        <v>1108</v>
      </c>
      <c r="B272" s="4"/>
      <c r="C272" s="3"/>
      <c r="D272" s="5" t="s">
        <v>391</v>
      </c>
      <c r="E272" s="5" t="s">
        <v>124</v>
      </c>
      <c r="F272" s="3" t="s">
        <v>1401</v>
      </c>
      <c r="G272" s="6">
        <f>17.712*L272</f>
        <v>230.256</v>
      </c>
      <c r="H272" s="7">
        <v>41633</v>
      </c>
      <c r="I272" s="6" t="s">
        <v>265</v>
      </c>
      <c r="J272" s="6" t="s">
        <v>1402</v>
      </c>
      <c r="K272" s="6" t="s">
        <v>21</v>
      </c>
      <c r="L272" s="6">
        <v>13</v>
      </c>
      <c r="M272" s="15" t="s">
        <v>1400</v>
      </c>
      <c r="N272" s="15" t="s">
        <v>167</v>
      </c>
      <c r="O272" s="28" t="s">
        <v>1403</v>
      </c>
    </row>
    <row r="273" spans="1:15" ht="13.5" customHeight="1">
      <c r="A273" s="3" t="s">
        <v>753</v>
      </c>
      <c r="B273" s="4"/>
      <c r="C273" s="3"/>
      <c r="D273" s="5" t="s">
        <v>754</v>
      </c>
      <c r="E273" s="5" t="s">
        <v>124</v>
      </c>
      <c r="F273" s="3" t="s">
        <v>1404</v>
      </c>
      <c r="G273" s="6">
        <f>17.52*L273</f>
        <v>105.12</v>
      </c>
      <c r="H273" s="7">
        <v>41633</v>
      </c>
      <c r="I273" s="6" t="s">
        <v>265</v>
      </c>
      <c r="J273" s="6" t="s">
        <v>1405</v>
      </c>
      <c r="K273" s="6" t="s">
        <v>21</v>
      </c>
      <c r="L273" s="6">
        <v>6</v>
      </c>
      <c r="M273" s="15" t="s">
        <v>882</v>
      </c>
      <c r="N273" s="15" t="s">
        <v>706</v>
      </c>
      <c r="O273" s="28" t="s">
        <v>1406</v>
      </c>
    </row>
    <row r="274" spans="1:15" s="1" customFormat="1" ht="13.5" customHeight="1">
      <c r="A274" s="3" t="s">
        <v>569</v>
      </c>
      <c r="B274" s="3" t="s">
        <v>283</v>
      </c>
      <c r="C274" s="3"/>
      <c r="D274" s="5" t="s">
        <v>570</v>
      </c>
      <c r="E274" s="5" t="s">
        <v>124</v>
      </c>
      <c r="F274" s="3" t="s">
        <v>1407</v>
      </c>
      <c r="G274" s="6">
        <f>9.871*L274</f>
        <v>69.097000000000008</v>
      </c>
      <c r="H274" s="7">
        <v>41633</v>
      </c>
      <c r="I274" s="6" t="s">
        <v>161</v>
      </c>
      <c r="J274" s="6" t="s">
        <v>1408</v>
      </c>
      <c r="K274" s="6" t="s">
        <v>21</v>
      </c>
      <c r="L274" s="6">
        <v>7</v>
      </c>
      <c r="M274" s="15" t="s">
        <v>1409</v>
      </c>
      <c r="N274" s="15" t="s">
        <v>1410</v>
      </c>
      <c r="O274" s="27" t="s">
        <v>1409</v>
      </c>
    </row>
    <row r="275" spans="1:15" ht="13.5" customHeight="1">
      <c r="A275" s="3" t="s">
        <v>569</v>
      </c>
      <c r="B275" s="3" t="s">
        <v>283</v>
      </c>
      <c r="C275" s="3"/>
      <c r="D275" s="5" t="s">
        <v>570</v>
      </c>
      <c r="E275" s="5" t="s">
        <v>124</v>
      </c>
      <c r="F275" s="3" t="s">
        <v>1411</v>
      </c>
      <c r="G275" s="6">
        <f>9.871*L275</f>
        <v>78.968000000000004</v>
      </c>
      <c r="H275" s="7">
        <v>41633</v>
      </c>
      <c r="I275" s="6" t="s">
        <v>161</v>
      </c>
      <c r="J275" s="6" t="s">
        <v>1412</v>
      </c>
      <c r="K275" s="6" t="s">
        <v>21</v>
      </c>
      <c r="L275" s="6">
        <v>8</v>
      </c>
      <c r="M275" s="15" t="s">
        <v>1409</v>
      </c>
      <c r="N275" s="15" t="s">
        <v>499</v>
      </c>
      <c r="O275" s="27" t="s">
        <v>1413</v>
      </c>
    </row>
    <row r="276" spans="1:15" s="1" customFormat="1" ht="13.5" customHeight="1">
      <c r="A276" s="3" t="s">
        <v>1311</v>
      </c>
      <c r="B276" s="4"/>
      <c r="C276" s="3"/>
      <c r="D276" s="5" t="s">
        <v>1312</v>
      </c>
      <c r="E276" s="5" t="s">
        <v>124</v>
      </c>
      <c r="F276" s="3" t="s">
        <v>1414</v>
      </c>
      <c r="G276" s="6">
        <v>16.846</v>
      </c>
      <c r="H276" s="7">
        <v>41633</v>
      </c>
      <c r="I276" s="6" t="s">
        <v>209</v>
      </c>
      <c r="J276" s="6" t="s">
        <v>1415</v>
      </c>
      <c r="K276" s="6" t="s">
        <v>128</v>
      </c>
      <c r="L276" s="6" t="s">
        <v>547</v>
      </c>
      <c r="M276" s="15" t="s">
        <v>1416</v>
      </c>
      <c r="N276" s="15" t="s">
        <v>1417</v>
      </c>
      <c r="O276" s="28" t="s">
        <v>1418</v>
      </c>
    </row>
    <row r="277" spans="1:15" s="1" customFormat="1" ht="13.5" customHeight="1">
      <c r="A277" s="3" t="s">
        <v>1311</v>
      </c>
      <c r="B277" s="4"/>
      <c r="C277" s="3"/>
      <c r="D277" s="5" t="s">
        <v>1312</v>
      </c>
      <c r="E277" s="5" t="s">
        <v>124</v>
      </c>
      <c r="F277" s="3" t="s">
        <v>1419</v>
      </c>
      <c r="G277" s="6">
        <v>16.806000000000001</v>
      </c>
      <c r="H277" s="7">
        <v>41633</v>
      </c>
      <c r="I277" s="6" t="s">
        <v>209</v>
      </c>
      <c r="J277" s="6" t="s">
        <v>1420</v>
      </c>
      <c r="K277" s="6" t="s">
        <v>128</v>
      </c>
      <c r="L277" s="6" t="s">
        <v>547</v>
      </c>
      <c r="M277" s="15" t="s">
        <v>1421</v>
      </c>
      <c r="N277" s="15" t="s">
        <v>1422</v>
      </c>
      <c r="O277" s="28" t="s">
        <v>1423</v>
      </c>
    </row>
    <row r="278" spans="1:15" s="1" customFormat="1" ht="13.5" customHeight="1">
      <c r="A278" s="3" t="s">
        <v>1311</v>
      </c>
      <c r="B278" s="4"/>
      <c r="C278" s="3"/>
      <c r="D278" s="5" t="s">
        <v>1312</v>
      </c>
      <c r="E278" s="5" t="s">
        <v>124</v>
      </c>
      <c r="F278" s="3" t="s">
        <v>1424</v>
      </c>
      <c r="G278" s="6">
        <v>16.678999999999998</v>
      </c>
      <c r="H278" s="7">
        <v>41633</v>
      </c>
      <c r="I278" s="6" t="s">
        <v>209</v>
      </c>
      <c r="J278" s="6" t="s">
        <v>1425</v>
      </c>
      <c r="K278" s="6" t="s">
        <v>128</v>
      </c>
      <c r="L278" s="6" t="s">
        <v>547</v>
      </c>
      <c r="M278" s="15" t="s">
        <v>1426</v>
      </c>
      <c r="N278" s="15" t="s">
        <v>1427</v>
      </c>
      <c r="O278" s="28" t="s">
        <v>1428</v>
      </c>
    </row>
    <row r="279" spans="1:15" s="1" customFormat="1" ht="13.5" customHeight="1">
      <c r="A279" s="5" t="s">
        <v>1127</v>
      </c>
      <c r="B279" s="4"/>
      <c r="C279" s="3"/>
      <c r="D279" s="5" t="s">
        <v>1128</v>
      </c>
      <c r="E279" s="5" t="s">
        <v>7026</v>
      </c>
      <c r="F279" s="3" t="s">
        <v>7100</v>
      </c>
      <c r="G279" s="6">
        <f t="shared" ref="G279:G287" si="5">29.101*L279</f>
        <v>174.60599999999999</v>
      </c>
      <c r="H279" s="7">
        <v>41633</v>
      </c>
      <c r="I279" s="6" t="s">
        <v>178</v>
      </c>
      <c r="J279" s="6" t="s">
        <v>7101</v>
      </c>
      <c r="K279" s="6" t="s">
        <v>21</v>
      </c>
      <c r="L279" s="6">
        <v>6</v>
      </c>
      <c r="M279" s="15" t="s">
        <v>7102</v>
      </c>
      <c r="N279" s="15" t="s">
        <v>1137</v>
      </c>
      <c r="O279" s="27" t="s">
        <v>7103</v>
      </c>
    </row>
    <row r="280" spans="1:15" ht="13.5" customHeight="1">
      <c r="A280" s="5" t="s">
        <v>1127</v>
      </c>
      <c r="B280" s="4"/>
      <c r="C280" s="3"/>
      <c r="D280" s="5" t="s">
        <v>1128</v>
      </c>
      <c r="E280" s="5" t="s">
        <v>7026</v>
      </c>
      <c r="F280" s="3" t="s">
        <v>7104</v>
      </c>
      <c r="G280" s="6">
        <f t="shared" si="5"/>
        <v>174.60599999999999</v>
      </c>
      <c r="H280" s="7">
        <v>41633</v>
      </c>
      <c r="I280" s="6" t="s">
        <v>178</v>
      </c>
      <c r="J280" s="6" t="s">
        <v>7105</v>
      </c>
      <c r="K280" s="6" t="s">
        <v>21</v>
      </c>
      <c r="L280" s="6">
        <v>6</v>
      </c>
      <c r="M280" s="15" t="s">
        <v>7106</v>
      </c>
      <c r="N280" s="15" t="s">
        <v>787</v>
      </c>
      <c r="O280" s="27" t="s">
        <v>7107</v>
      </c>
    </row>
    <row r="281" spans="1:15" s="1" customFormat="1" ht="13.5" customHeight="1">
      <c r="A281" s="5" t="s">
        <v>1127</v>
      </c>
      <c r="B281" s="4"/>
      <c r="C281" s="3"/>
      <c r="D281" s="5" t="s">
        <v>1128</v>
      </c>
      <c r="E281" s="5" t="s">
        <v>7026</v>
      </c>
      <c r="F281" s="3" t="s">
        <v>7108</v>
      </c>
      <c r="G281" s="6">
        <f t="shared" si="5"/>
        <v>174.60599999999999</v>
      </c>
      <c r="H281" s="7">
        <v>41633</v>
      </c>
      <c r="I281" s="6" t="s">
        <v>178</v>
      </c>
      <c r="J281" s="6" t="s">
        <v>7109</v>
      </c>
      <c r="K281" s="6" t="s">
        <v>21</v>
      </c>
      <c r="L281" s="6">
        <v>6</v>
      </c>
      <c r="M281" s="15" t="s">
        <v>7106</v>
      </c>
      <c r="N281" s="15" t="s">
        <v>395</v>
      </c>
      <c r="O281" s="27" t="s">
        <v>7110</v>
      </c>
    </row>
    <row r="282" spans="1:15" s="1" customFormat="1" ht="13.5" customHeight="1">
      <c r="A282" s="5" t="s">
        <v>1127</v>
      </c>
      <c r="B282" s="4"/>
      <c r="C282" s="3" t="s">
        <v>67</v>
      </c>
      <c r="D282" s="5" t="s">
        <v>1128</v>
      </c>
      <c r="E282" s="5" t="s">
        <v>7026</v>
      </c>
      <c r="F282" s="3" t="s">
        <v>7111</v>
      </c>
      <c r="G282" s="6">
        <f t="shared" si="5"/>
        <v>174.60599999999999</v>
      </c>
      <c r="H282" s="7">
        <v>41633</v>
      </c>
      <c r="I282" s="6" t="s">
        <v>178</v>
      </c>
      <c r="J282" s="6" t="s">
        <v>7112</v>
      </c>
      <c r="K282" s="6" t="s">
        <v>21</v>
      </c>
      <c r="L282" s="6">
        <v>6</v>
      </c>
      <c r="M282" s="15" t="s">
        <v>7106</v>
      </c>
      <c r="N282" s="15" t="s">
        <v>1137</v>
      </c>
      <c r="O282" s="27" t="s">
        <v>7113</v>
      </c>
    </row>
    <row r="283" spans="1:15" s="1" customFormat="1" ht="13.5" customHeight="1">
      <c r="A283" s="5" t="s">
        <v>1127</v>
      </c>
      <c r="B283" s="4"/>
      <c r="C283" s="3"/>
      <c r="D283" s="5" t="s">
        <v>1128</v>
      </c>
      <c r="E283" s="5" t="s">
        <v>7026</v>
      </c>
      <c r="F283" s="3" t="s">
        <v>7114</v>
      </c>
      <c r="G283" s="6">
        <f t="shared" si="5"/>
        <v>203.70699999999999</v>
      </c>
      <c r="H283" s="7">
        <v>41633</v>
      </c>
      <c r="I283" s="6" t="s">
        <v>178</v>
      </c>
      <c r="J283" s="6" t="s">
        <v>7115</v>
      </c>
      <c r="K283" s="6" t="s">
        <v>21</v>
      </c>
      <c r="L283" s="6">
        <v>7</v>
      </c>
      <c r="M283" s="15" t="s">
        <v>7106</v>
      </c>
      <c r="N283" s="15" t="s">
        <v>1141</v>
      </c>
      <c r="O283" s="27" t="s">
        <v>7116</v>
      </c>
    </row>
    <row r="284" spans="1:15" ht="13.5" customHeight="1">
      <c r="A284" s="5" t="s">
        <v>1127</v>
      </c>
      <c r="B284" s="4"/>
      <c r="C284" s="3"/>
      <c r="D284" s="5" t="s">
        <v>1128</v>
      </c>
      <c r="E284" s="5" t="s">
        <v>7026</v>
      </c>
      <c r="F284" s="3" t="s">
        <v>7117</v>
      </c>
      <c r="G284" s="6">
        <f t="shared" si="5"/>
        <v>174.60599999999999</v>
      </c>
      <c r="H284" s="7">
        <v>41633</v>
      </c>
      <c r="I284" s="6" t="s">
        <v>178</v>
      </c>
      <c r="J284" s="6" t="s">
        <v>7118</v>
      </c>
      <c r="K284" s="6" t="s">
        <v>21</v>
      </c>
      <c r="L284" s="6">
        <v>6</v>
      </c>
      <c r="M284" s="15" t="s">
        <v>7119</v>
      </c>
      <c r="N284" s="15" t="s">
        <v>395</v>
      </c>
      <c r="O284" s="27" t="s">
        <v>7120</v>
      </c>
    </row>
    <row r="285" spans="1:15" s="1" customFormat="1" ht="13.5" customHeight="1">
      <c r="A285" s="5" t="s">
        <v>1127</v>
      </c>
      <c r="B285" s="4"/>
      <c r="C285" s="3"/>
      <c r="D285" s="5" t="s">
        <v>1128</v>
      </c>
      <c r="E285" s="5" t="s">
        <v>7026</v>
      </c>
      <c r="F285" s="3" t="s">
        <v>7121</v>
      </c>
      <c r="G285" s="6">
        <f t="shared" si="5"/>
        <v>174.60599999999999</v>
      </c>
      <c r="H285" s="7">
        <v>41633</v>
      </c>
      <c r="I285" s="6" t="s">
        <v>178</v>
      </c>
      <c r="J285" s="6" t="s">
        <v>7122</v>
      </c>
      <c r="K285" s="6" t="s">
        <v>21</v>
      </c>
      <c r="L285" s="6">
        <v>6</v>
      </c>
      <c r="M285" s="15" t="s">
        <v>7119</v>
      </c>
      <c r="N285" s="15" t="s">
        <v>1137</v>
      </c>
      <c r="O285" s="27" t="s">
        <v>7123</v>
      </c>
    </row>
    <row r="286" spans="1:15" s="1" customFormat="1" ht="13.5" customHeight="1">
      <c r="A286" s="5" t="s">
        <v>1127</v>
      </c>
      <c r="B286" s="4"/>
      <c r="C286" s="3"/>
      <c r="D286" s="5" t="s">
        <v>1128</v>
      </c>
      <c r="E286" s="5" t="s">
        <v>7026</v>
      </c>
      <c r="F286" s="3" t="s">
        <v>7124</v>
      </c>
      <c r="G286" s="6">
        <f t="shared" si="5"/>
        <v>203.70699999999999</v>
      </c>
      <c r="H286" s="7">
        <v>41633</v>
      </c>
      <c r="I286" s="6" t="s">
        <v>178</v>
      </c>
      <c r="J286" s="6" t="s">
        <v>7125</v>
      </c>
      <c r="K286" s="6" t="s">
        <v>21</v>
      </c>
      <c r="L286" s="6">
        <v>7</v>
      </c>
      <c r="M286" s="15" t="s">
        <v>7119</v>
      </c>
      <c r="N286" s="15" t="s">
        <v>1141</v>
      </c>
      <c r="O286" s="27" t="s">
        <v>7126</v>
      </c>
    </row>
    <row r="287" spans="1:15" s="1" customFormat="1" ht="13.5" customHeight="1">
      <c r="A287" s="5" t="s">
        <v>1127</v>
      </c>
      <c r="B287" s="4"/>
      <c r="C287" s="3"/>
      <c r="D287" s="5" t="s">
        <v>1128</v>
      </c>
      <c r="E287" s="5" t="s">
        <v>7026</v>
      </c>
      <c r="F287" s="3" t="s">
        <v>7127</v>
      </c>
      <c r="G287" s="6">
        <f t="shared" si="5"/>
        <v>116.404</v>
      </c>
      <c r="H287" s="7">
        <v>41633</v>
      </c>
      <c r="I287" s="6" t="s">
        <v>178</v>
      </c>
      <c r="J287" s="6" t="s">
        <v>7128</v>
      </c>
      <c r="K287" s="6" t="s">
        <v>21</v>
      </c>
      <c r="L287" s="6">
        <v>4</v>
      </c>
      <c r="M287" s="15" t="s">
        <v>7129</v>
      </c>
      <c r="N287" s="15" t="s">
        <v>653</v>
      </c>
      <c r="O287" s="27" t="s">
        <v>7130</v>
      </c>
    </row>
    <row r="288" spans="1:15" ht="13.5" customHeight="1">
      <c r="A288" s="22" t="s">
        <v>1429</v>
      </c>
      <c r="B288" s="3" t="s">
        <v>283</v>
      </c>
      <c r="C288" s="3"/>
      <c r="D288" s="5" t="s">
        <v>1430</v>
      </c>
      <c r="E288" s="5" t="s">
        <v>124</v>
      </c>
      <c r="F288" s="3" t="s">
        <v>1431</v>
      </c>
      <c r="G288" s="6">
        <f>33.349*L288</f>
        <v>100.047</v>
      </c>
      <c r="H288" s="7">
        <v>41634</v>
      </c>
      <c r="I288" s="6" t="s">
        <v>1432</v>
      </c>
      <c r="J288" s="6" t="s">
        <v>1433</v>
      </c>
      <c r="K288" s="6" t="s">
        <v>21</v>
      </c>
      <c r="L288" s="6">
        <v>3</v>
      </c>
      <c r="M288" s="15" t="s">
        <v>1434</v>
      </c>
      <c r="N288" s="15" t="s">
        <v>1435</v>
      </c>
      <c r="O288" s="27" t="s">
        <v>1434</v>
      </c>
    </row>
    <row r="289" spans="1:15" ht="13.5" customHeight="1">
      <c r="A289" s="22" t="s">
        <v>1436</v>
      </c>
      <c r="B289" s="3" t="s">
        <v>283</v>
      </c>
      <c r="C289" s="3"/>
      <c r="D289" s="5" t="s">
        <v>1437</v>
      </c>
      <c r="E289" s="5" t="s">
        <v>124</v>
      </c>
      <c r="F289" s="3" t="s">
        <v>1438</v>
      </c>
      <c r="G289" s="6">
        <f>33.349*L289</f>
        <v>33.348999999999997</v>
      </c>
      <c r="H289" s="7">
        <v>41634</v>
      </c>
      <c r="I289" s="6" t="s">
        <v>1432</v>
      </c>
      <c r="J289" s="6" t="s">
        <v>1439</v>
      </c>
      <c r="K289" s="6" t="s">
        <v>21</v>
      </c>
      <c r="L289" s="6">
        <v>1</v>
      </c>
      <c r="M289" s="15" t="s">
        <v>1440</v>
      </c>
      <c r="N289" s="15" t="s">
        <v>315</v>
      </c>
      <c r="O289" s="27" t="s">
        <v>1440</v>
      </c>
    </row>
    <row r="290" spans="1:15" ht="13.5" customHeight="1">
      <c r="A290" s="3" t="s">
        <v>1087</v>
      </c>
      <c r="B290" s="3" t="s">
        <v>283</v>
      </c>
      <c r="C290" s="3"/>
      <c r="D290" s="5" t="s">
        <v>1088</v>
      </c>
      <c r="E290" s="5" t="s">
        <v>124</v>
      </c>
      <c r="F290" s="3" t="s">
        <v>1441</v>
      </c>
      <c r="G290" s="6">
        <f>9.804*L290</f>
        <v>117.648</v>
      </c>
      <c r="H290" s="7">
        <v>41639</v>
      </c>
      <c r="I290" s="6" t="s">
        <v>1090</v>
      </c>
      <c r="J290" s="6" t="s">
        <v>1442</v>
      </c>
      <c r="K290" s="6" t="s">
        <v>21</v>
      </c>
      <c r="L290" s="6">
        <v>12</v>
      </c>
      <c r="M290" s="15" t="s">
        <v>1443</v>
      </c>
      <c r="N290" s="15" t="s">
        <v>164</v>
      </c>
      <c r="O290" s="28" t="s">
        <v>1444</v>
      </c>
    </row>
    <row r="291" spans="1:15" ht="13.5" customHeight="1">
      <c r="A291" s="3" t="s">
        <v>1087</v>
      </c>
      <c r="B291" s="3" t="s">
        <v>283</v>
      </c>
      <c r="C291" s="3"/>
      <c r="D291" s="5" t="s">
        <v>1088</v>
      </c>
      <c r="E291" s="5" t="s">
        <v>124</v>
      </c>
      <c r="F291" s="3" t="s">
        <v>1445</v>
      </c>
      <c r="G291" s="6">
        <f>9.804*L291</f>
        <v>127.452</v>
      </c>
      <c r="H291" s="7">
        <v>41639</v>
      </c>
      <c r="I291" s="6" t="s">
        <v>1090</v>
      </c>
      <c r="J291" s="6" t="s">
        <v>1446</v>
      </c>
      <c r="K291" s="6" t="s">
        <v>21</v>
      </c>
      <c r="L291" s="6">
        <v>13</v>
      </c>
      <c r="M291" s="15" t="s">
        <v>1443</v>
      </c>
      <c r="N291" s="15" t="s">
        <v>167</v>
      </c>
      <c r="O291" s="28" t="s">
        <v>1443</v>
      </c>
    </row>
    <row r="292" spans="1:15" ht="13.5" customHeight="1">
      <c r="A292" s="3" t="s">
        <v>1087</v>
      </c>
      <c r="B292" s="3" t="s">
        <v>283</v>
      </c>
      <c r="C292" s="3"/>
      <c r="D292" s="5" t="s">
        <v>1088</v>
      </c>
      <c r="E292" s="5" t="s">
        <v>124</v>
      </c>
      <c r="F292" s="3" t="s">
        <v>1447</v>
      </c>
      <c r="G292" s="6">
        <f>9.804*L292</f>
        <v>98.04</v>
      </c>
      <c r="H292" s="7">
        <v>41639</v>
      </c>
      <c r="I292" s="6" t="s">
        <v>1090</v>
      </c>
      <c r="J292" s="6" t="s">
        <v>1448</v>
      </c>
      <c r="K292" s="6" t="s">
        <v>21</v>
      </c>
      <c r="L292" s="6">
        <v>10</v>
      </c>
      <c r="M292" s="15" t="s">
        <v>1449</v>
      </c>
      <c r="N292" s="15" t="s">
        <v>859</v>
      </c>
      <c r="O292" s="28" t="s">
        <v>1450</v>
      </c>
    </row>
    <row r="293" spans="1:15" s="1" customFormat="1" ht="13.5" customHeight="1">
      <c r="A293" s="3" t="s">
        <v>1087</v>
      </c>
      <c r="B293" s="3" t="s">
        <v>283</v>
      </c>
      <c r="C293" s="3"/>
      <c r="D293" s="5" t="s">
        <v>1088</v>
      </c>
      <c r="E293" s="5" t="s">
        <v>124</v>
      </c>
      <c r="F293" s="3" t="s">
        <v>1451</v>
      </c>
      <c r="G293" s="6">
        <f>9.804*L293</f>
        <v>98.04</v>
      </c>
      <c r="H293" s="7">
        <v>41639</v>
      </c>
      <c r="I293" s="6" t="s">
        <v>1090</v>
      </c>
      <c r="J293" s="6" t="s">
        <v>1452</v>
      </c>
      <c r="K293" s="6" t="s">
        <v>21</v>
      </c>
      <c r="L293" s="6">
        <v>10</v>
      </c>
      <c r="M293" s="15" t="s">
        <v>1449</v>
      </c>
      <c r="N293" s="15" t="s">
        <v>114</v>
      </c>
      <c r="O293" s="28" t="s">
        <v>1449</v>
      </c>
    </row>
    <row r="294" spans="1:15" ht="13.5" customHeight="1">
      <c r="A294" s="3" t="s">
        <v>557</v>
      </c>
      <c r="B294" s="3" t="s">
        <v>283</v>
      </c>
      <c r="C294" s="3"/>
      <c r="D294" s="5" t="s">
        <v>558</v>
      </c>
      <c r="E294" s="5" t="s">
        <v>124</v>
      </c>
      <c r="F294" s="3" t="s">
        <v>1453</v>
      </c>
      <c r="G294" s="6">
        <f>29.101*L294</f>
        <v>116.404</v>
      </c>
      <c r="H294" s="7">
        <v>41639</v>
      </c>
      <c r="I294" s="6" t="s">
        <v>346</v>
      </c>
      <c r="J294" s="6" t="s">
        <v>1454</v>
      </c>
      <c r="K294" s="6" t="s">
        <v>21</v>
      </c>
      <c r="L294" s="6">
        <v>4</v>
      </c>
      <c r="M294" s="15" t="s">
        <v>1455</v>
      </c>
      <c r="N294" s="15" t="s">
        <v>1456</v>
      </c>
      <c r="O294" s="28" t="s">
        <v>1455</v>
      </c>
    </row>
    <row r="295" spans="1:15" ht="13.5" customHeight="1">
      <c r="A295" s="3" t="s">
        <v>282</v>
      </c>
      <c r="B295" s="3" t="s">
        <v>283</v>
      </c>
      <c r="C295" s="3"/>
      <c r="D295" s="5" t="s">
        <v>284</v>
      </c>
      <c r="E295" s="5" t="s">
        <v>124</v>
      </c>
      <c r="F295" s="3" t="s">
        <v>1457</v>
      </c>
      <c r="G295" s="6">
        <f>14.924*L295</f>
        <v>104.46799999999999</v>
      </c>
      <c r="H295" s="7">
        <v>41639</v>
      </c>
      <c r="I295" s="6" t="s">
        <v>286</v>
      </c>
      <c r="J295" s="6" t="s">
        <v>1458</v>
      </c>
      <c r="K295" s="6" t="s">
        <v>21</v>
      </c>
      <c r="L295" s="6">
        <v>7</v>
      </c>
      <c r="M295" s="15" t="s">
        <v>1459</v>
      </c>
      <c r="N295" s="15" t="s">
        <v>1460</v>
      </c>
      <c r="O295" s="28" t="s">
        <v>1459</v>
      </c>
    </row>
    <row r="296" spans="1:15" s="1" customFormat="1" ht="13.5" customHeight="1">
      <c r="A296" s="3" t="s">
        <v>282</v>
      </c>
      <c r="B296" s="3" t="s">
        <v>283</v>
      </c>
      <c r="C296" s="3"/>
      <c r="D296" s="5" t="s">
        <v>284</v>
      </c>
      <c r="E296" s="5" t="s">
        <v>124</v>
      </c>
      <c r="F296" s="3" t="s">
        <v>1461</v>
      </c>
      <c r="G296" s="6">
        <f>14.924*L296</f>
        <v>119.392</v>
      </c>
      <c r="H296" s="7">
        <v>41639</v>
      </c>
      <c r="I296" s="6" t="s">
        <v>286</v>
      </c>
      <c r="J296" s="6" t="s">
        <v>1462</v>
      </c>
      <c r="K296" s="6" t="s">
        <v>21</v>
      </c>
      <c r="L296" s="6">
        <v>8</v>
      </c>
      <c r="M296" s="15" t="s">
        <v>1459</v>
      </c>
      <c r="N296" s="15" t="s">
        <v>1463</v>
      </c>
      <c r="O296" s="28" t="s">
        <v>1464</v>
      </c>
    </row>
    <row r="297" spans="1:15" s="1" customFormat="1" ht="13.5" customHeight="1">
      <c r="A297" s="3" t="s">
        <v>282</v>
      </c>
      <c r="B297" s="3" t="s">
        <v>283</v>
      </c>
      <c r="C297" s="3"/>
      <c r="D297" s="5" t="s">
        <v>284</v>
      </c>
      <c r="E297" s="5" t="s">
        <v>124</v>
      </c>
      <c r="F297" s="3" t="s">
        <v>1465</v>
      </c>
      <c r="G297" s="6">
        <f>14.924*L297</f>
        <v>179.08799999999999</v>
      </c>
      <c r="H297" s="7">
        <v>41639</v>
      </c>
      <c r="I297" s="6" t="s">
        <v>286</v>
      </c>
      <c r="J297" s="6" t="s">
        <v>1466</v>
      </c>
      <c r="K297" s="6" t="s">
        <v>21</v>
      </c>
      <c r="L297" s="6">
        <v>12</v>
      </c>
      <c r="M297" s="15" t="s">
        <v>1467</v>
      </c>
      <c r="N297" s="15" t="s">
        <v>164</v>
      </c>
      <c r="O297" s="27" t="s">
        <v>1468</v>
      </c>
    </row>
    <row r="298" spans="1:15" s="1" customFormat="1" ht="13.5" customHeight="1">
      <c r="A298" s="3" t="s">
        <v>282</v>
      </c>
      <c r="B298" s="3" t="s">
        <v>283</v>
      </c>
      <c r="C298" s="3"/>
      <c r="D298" s="5" t="s">
        <v>284</v>
      </c>
      <c r="E298" s="5" t="s">
        <v>124</v>
      </c>
      <c r="F298" s="3" t="s">
        <v>1469</v>
      </c>
      <c r="G298" s="6">
        <f>14.924*L298</f>
        <v>194.012</v>
      </c>
      <c r="H298" s="7">
        <v>41639</v>
      </c>
      <c r="I298" s="6" t="s">
        <v>286</v>
      </c>
      <c r="J298" s="6" t="s">
        <v>1470</v>
      </c>
      <c r="K298" s="6" t="s">
        <v>21</v>
      </c>
      <c r="L298" s="6">
        <v>13</v>
      </c>
      <c r="M298" s="15" t="s">
        <v>1467</v>
      </c>
      <c r="N298" s="15" t="s">
        <v>167</v>
      </c>
      <c r="O298" s="27" t="s">
        <v>1467</v>
      </c>
    </row>
    <row r="299" spans="1:15" s="1" customFormat="1" ht="13.5" customHeight="1">
      <c r="A299" s="3" t="s">
        <v>788</v>
      </c>
      <c r="B299" s="3" t="s">
        <v>283</v>
      </c>
      <c r="C299" s="3"/>
      <c r="D299" s="5" t="s">
        <v>789</v>
      </c>
      <c r="E299" s="5" t="s">
        <v>124</v>
      </c>
      <c r="F299" s="3" t="s">
        <v>1471</v>
      </c>
      <c r="G299" s="6">
        <f>8.606*L299</f>
        <v>17.212</v>
      </c>
      <c r="H299" s="7">
        <v>41639</v>
      </c>
      <c r="I299" s="6" t="s">
        <v>272</v>
      </c>
      <c r="J299" s="6" t="s">
        <v>1472</v>
      </c>
      <c r="K299" s="6" t="s">
        <v>21</v>
      </c>
      <c r="L299" s="6">
        <v>2</v>
      </c>
      <c r="M299" s="15" t="s">
        <v>1473</v>
      </c>
      <c r="N299" s="15" t="s">
        <v>534</v>
      </c>
      <c r="O299" s="27" t="s">
        <v>1473</v>
      </c>
    </row>
    <row r="300" spans="1:15" ht="13.5" customHeight="1">
      <c r="A300" s="5" t="s">
        <v>1043</v>
      </c>
      <c r="B300" s="4"/>
      <c r="C300" s="3"/>
      <c r="D300" s="5" t="s">
        <v>443</v>
      </c>
      <c r="E300" s="5" t="s">
        <v>7026</v>
      </c>
      <c r="F300" s="3" t="s">
        <v>7131</v>
      </c>
      <c r="G300" s="6">
        <f>18.708*L300</f>
        <v>149.66399999999999</v>
      </c>
      <c r="H300" s="7">
        <v>41639</v>
      </c>
      <c r="I300" s="6" t="s">
        <v>178</v>
      </c>
      <c r="J300" s="6" t="s">
        <v>7132</v>
      </c>
      <c r="K300" s="6" t="s">
        <v>21</v>
      </c>
      <c r="L300" s="6">
        <v>8</v>
      </c>
      <c r="M300" s="15" t="s">
        <v>7133</v>
      </c>
      <c r="N300" s="15" t="s">
        <v>447</v>
      </c>
      <c r="O300" s="27" t="s">
        <v>7134</v>
      </c>
    </row>
    <row r="301" spans="1:15" ht="13.5" customHeight="1">
      <c r="A301" s="5" t="s">
        <v>1043</v>
      </c>
      <c r="B301" s="4"/>
      <c r="C301" s="3"/>
      <c r="D301" s="5" t="s">
        <v>443</v>
      </c>
      <c r="E301" s="5" t="s">
        <v>7026</v>
      </c>
      <c r="F301" s="3" t="s">
        <v>7135</v>
      </c>
      <c r="G301" s="6">
        <f>18.708*L301</f>
        <v>149.66399999999999</v>
      </c>
      <c r="H301" s="7">
        <v>41639</v>
      </c>
      <c r="I301" s="6" t="s">
        <v>178</v>
      </c>
      <c r="J301" s="6" t="s">
        <v>7136</v>
      </c>
      <c r="K301" s="6" t="s">
        <v>21</v>
      </c>
      <c r="L301" s="6">
        <v>8</v>
      </c>
      <c r="M301" s="15" t="s">
        <v>7133</v>
      </c>
      <c r="N301" s="15" t="s">
        <v>892</v>
      </c>
      <c r="O301" s="27" t="s">
        <v>7137</v>
      </c>
    </row>
    <row r="302" spans="1:15" s="1" customFormat="1" ht="13.5" customHeight="1">
      <c r="A302" s="5" t="s">
        <v>1043</v>
      </c>
      <c r="B302" s="4"/>
      <c r="C302" s="3"/>
      <c r="D302" s="5" t="s">
        <v>443</v>
      </c>
      <c r="E302" s="5" t="s">
        <v>7026</v>
      </c>
      <c r="F302" s="3" t="s">
        <v>7138</v>
      </c>
      <c r="G302" s="6">
        <f>18.708*L302</f>
        <v>224.49599999999998</v>
      </c>
      <c r="H302" s="7">
        <v>41639</v>
      </c>
      <c r="I302" s="6" t="s">
        <v>178</v>
      </c>
      <c r="J302" s="6" t="s">
        <v>7139</v>
      </c>
      <c r="K302" s="6" t="s">
        <v>21</v>
      </c>
      <c r="L302" s="6">
        <v>12</v>
      </c>
      <c r="M302" s="15" t="s">
        <v>7140</v>
      </c>
      <c r="N302" s="15" t="s">
        <v>164</v>
      </c>
      <c r="O302" s="27" t="s">
        <v>7141</v>
      </c>
    </row>
    <row r="303" spans="1:15" s="1" customFormat="1" ht="13.5" customHeight="1">
      <c r="A303" s="5" t="s">
        <v>1043</v>
      </c>
      <c r="B303" s="4"/>
      <c r="C303" s="3"/>
      <c r="D303" s="5" t="s">
        <v>443</v>
      </c>
      <c r="E303" s="5" t="s">
        <v>7026</v>
      </c>
      <c r="F303" s="3" t="s">
        <v>7142</v>
      </c>
      <c r="G303" s="6">
        <f>18.708*L303</f>
        <v>243.20399999999998</v>
      </c>
      <c r="H303" s="7">
        <v>41639</v>
      </c>
      <c r="I303" s="6" t="s">
        <v>178</v>
      </c>
      <c r="J303" s="6" t="s">
        <v>7143</v>
      </c>
      <c r="K303" s="6" t="s">
        <v>21</v>
      </c>
      <c r="L303" s="6">
        <v>13</v>
      </c>
      <c r="M303" s="15" t="s">
        <v>7140</v>
      </c>
      <c r="N303" s="15" t="s">
        <v>167</v>
      </c>
      <c r="O303" s="27" t="s">
        <v>7144</v>
      </c>
    </row>
    <row r="304" spans="1:15" s="1" customFormat="1" ht="13.5" customHeight="1">
      <c r="A304" s="5" t="s">
        <v>7145</v>
      </c>
      <c r="B304" s="4"/>
      <c r="C304" s="3"/>
      <c r="D304" s="5" t="s">
        <v>170</v>
      </c>
      <c r="E304" s="5" t="s">
        <v>7026</v>
      </c>
      <c r="F304" s="3" t="s">
        <v>7146</v>
      </c>
      <c r="G304" s="6">
        <f>17.498*L304</f>
        <v>209.976</v>
      </c>
      <c r="H304" s="7">
        <v>41639</v>
      </c>
      <c r="I304" s="6" t="s">
        <v>265</v>
      </c>
      <c r="J304" s="6" t="s">
        <v>7147</v>
      </c>
      <c r="K304" s="6" t="s">
        <v>21</v>
      </c>
      <c r="L304" s="6">
        <v>12</v>
      </c>
      <c r="M304" s="15" t="s">
        <v>7148</v>
      </c>
      <c r="N304" s="15" t="s">
        <v>164</v>
      </c>
      <c r="O304" s="27" t="s">
        <v>7149</v>
      </c>
    </row>
    <row r="305" spans="1:15" s="1" customFormat="1" ht="13.5" customHeight="1">
      <c r="A305" s="3" t="s">
        <v>654</v>
      </c>
      <c r="B305" s="4"/>
      <c r="C305" s="3"/>
      <c r="D305" s="5" t="s">
        <v>410</v>
      </c>
      <c r="E305" s="5" t="s">
        <v>124</v>
      </c>
      <c r="F305" s="3" t="s">
        <v>1474</v>
      </c>
      <c r="G305" s="6">
        <f t="shared" ref="G305:G316" si="6">17.52*L305</f>
        <v>210.24</v>
      </c>
      <c r="H305" s="7">
        <v>41641</v>
      </c>
      <c r="I305" s="6" t="s">
        <v>209</v>
      </c>
      <c r="J305" s="6" t="s">
        <v>1475</v>
      </c>
      <c r="K305" s="6" t="s">
        <v>21</v>
      </c>
      <c r="L305" s="6">
        <v>12</v>
      </c>
      <c r="M305" s="15" t="s">
        <v>1476</v>
      </c>
      <c r="N305" s="15" t="s">
        <v>164</v>
      </c>
      <c r="O305" s="27" t="s">
        <v>1476</v>
      </c>
    </row>
    <row r="306" spans="1:15" ht="13.5" customHeight="1">
      <c r="A306" s="3" t="s">
        <v>654</v>
      </c>
      <c r="B306" s="4"/>
      <c r="C306" s="3"/>
      <c r="D306" s="5" t="s">
        <v>410</v>
      </c>
      <c r="E306" s="5" t="s">
        <v>124</v>
      </c>
      <c r="F306" s="3" t="s">
        <v>1477</v>
      </c>
      <c r="G306" s="6">
        <f t="shared" si="6"/>
        <v>227.76</v>
      </c>
      <c r="H306" s="7">
        <v>41641</v>
      </c>
      <c r="I306" s="6" t="s">
        <v>209</v>
      </c>
      <c r="J306" s="6" t="s">
        <v>1478</v>
      </c>
      <c r="K306" s="6" t="s">
        <v>21</v>
      </c>
      <c r="L306" s="6">
        <v>13</v>
      </c>
      <c r="M306" s="15" t="s">
        <v>1476</v>
      </c>
      <c r="N306" s="15" t="s">
        <v>167</v>
      </c>
      <c r="O306" s="27" t="s">
        <v>1479</v>
      </c>
    </row>
    <row r="307" spans="1:15" ht="13.5" customHeight="1">
      <c r="A307" s="3" t="s">
        <v>654</v>
      </c>
      <c r="B307" s="4"/>
      <c r="C307" s="3"/>
      <c r="D307" s="5" t="s">
        <v>410</v>
      </c>
      <c r="E307" s="5" t="s">
        <v>124</v>
      </c>
      <c r="F307" s="3" t="s">
        <v>1480</v>
      </c>
      <c r="G307" s="6">
        <f t="shared" si="6"/>
        <v>210.24</v>
      </c>
      <c r="H307" s="7">
        <v>41641</v>
      </c>
      <c r="I307" s="6" t="s">
        <v>209</v>
      </c>
      <c r="J307" s="6" t="s">
        <v>1481</v>
      </c>
      <c r="K307" s="6" t="s">
        <v>21</v>
      </c>
      <c r="L307" s="6">
        <v>12</v>
      </c>
      <c r="M307" s="15" t="s">
        <v>1482</v>
      </c>
      <c r="N307" s="15" t="s">
        <v>164</v>
      </c>
      <c r="O307" s="27" t="s">
        <v>1482</v>
      </c>
    </row>
    <row r="308" spans="1:15" ht="13.5" customHeight="1">
      <c r="A308" s="3" t="s">
        <v>654</v>
      </c>
      <c r="B308" s="4"/>
      <c r="C308" s="3"/>
      <c r="D308" s="5" t="s">
        <v>410</v>
      </c>
      <c r="E308" s="5" t="s">
        <v>124</v>
      </c>
      <c r="F308" s="3" t="s">
        <v>1483</v>
      </c>
      <c r="G308" s="6">
        <f t="shared" si="6"/>
        <v>227.76</v>
      </c>
      <c r="H308" s="7">
        <v>41641</v>
      </c>
      <c r="I308" s="6" t="s">
        <v>209</v>
      </c>
      <c r="J308" s="6" t="s">
        <v>1484</v>
      </c>
      <c r="K308" s="6" t="s">
        <v>21</v>
      </c>
      <c r="L308" s="6">
        <v>13</v>
      </c>
      <c r="M308" s="15" t="s">
        <v>1482</v>
      </c>
      <c r="N308" s="15" t="s">
        <v>167</v>
      </c>
      <c r="O308" s="27" t="s">
        <v>1485</v>
      </c>
    </row>
    <row r="309" spans="1:15" ht="13.5" customHeight="1">
      <c r="A309" s="3" t="s">
        <v>654</v>
      </c>
      <c r="B309" s="4"/>
      <c r="C309" s="3"/>
      <c r="D309" s="5" t="s">
        <v>410</v>
      </c>
      <c r="E309" s="5" t="s">
        <v>124</v>
      </c>
      <c r="F309" s="3" t="s">
        <v>1486</v>
      </c>
      <c r="G309" s="6">
        <f t="shared" si="6"/>
        <v>210.24</v>
      </c>
      <c r="H309" s="7">
        <v>41641</v>
      </c>
      <c r="I309" s="6" t="s">
        <v>209</v>
      </c>
      <c r="J309" s="6" t="s">
        <v>1487</v>
      </c>
      <c r="K309" s="6" t="s">
        <v>21</v>
      </c>
      <c r="L309" s="6">
        <v>12</v>
      </c>
      <c r="M309" s="15" t="s">
        <v>1488</v>
      </c>
      <c r="N309" s="15" t="s">
        <v>164</v>
      </c>
      <c r="O309" s="27" t="s">
        <v>1488</v>
      </c>
    </row>
    <row r="310" spans="1:15" ht="13.5" customHeight="1">
      <c r="A310" s="3" t="s">
        <v>654</v>
      </c>
      <c r="B310" s="4"/>
      <c r="C310" s="3"/>
      <c r="D310" s="5" t="s">
        <v>410</v>
      </c>
      <c r="E310" s="5" t="s">
        <v>124</v>
      </c>
      <c r="F310" s="3" t="s">
        <v>1489</v>
      </c>
      <c r="G310" s="6">
        <f t="shared" si="6"/>
        <v>227.76</v>
      </c>
      <c r="H310" s="7">
        <v>41641</v>
      </c>
      <c r="I310" s="6" t="s">
        <v>209</v>
      </c>
      <c r="J310" s="6" t="s">
        <v>1490</v>
      </c>
      <c r="K310" s="6" t="s">
        <v>21</v>
      </c>
      <c r="L310" s="6">
        <v>13</v>
      </c>
      <c r="M310" s="15" t="s">
        <v>1488</v>
      </c>
      <c r="N310" s="15" t="s">
        <v>167</v>
      </c>
      <c r="O310" s="27" t="s">
        <v>1491</v>
      </c>
    </row>
    <row r="311" spans="1:15" ht="13.5" customHeight="1">
      <c r="A311" s="3" t="s">
        <v>409</v>
      </c>
      <c r="B311" s="4"/>
      <c r="C311" s="3"/>
      <c r="D311" s="5" t="s">
        <v>410</v>
      </c>
      <c r="E311" s="5" t="s">
        <v>124</v>
      </c>
      <c r="F311" s="3" t="s">
        <v>1492</v>
      </c>
      <c r="G311" s="6">
        <f t="shared" si="6"/>
        <v>35.04</v>
      </c>
      <c r="H311" s="7">
        <v>41641</v>
      </c>
      <c r="I311" s="6" t="s">
        <v>209</v>
      </c>
      <c r="J311" s="6" t="s">
        <v>1493</v>
      </c>
      <c r="K311" s="6" t="s">
        <v>21</v>
      </c>
      <c r="L311" s="6">
        <v>2</v>
      </c>
      <c r="M311" s="15" t="s">
        <v>1494</v>
      </c>
      <c r="N311" s="15" t="s">
        <v>422</v>
      </c>
      <c r="O311" s="27" t="s">
        <v>1494</v>
      </c>
    </row>
    <row r="312" spans="1:15" ht="13.5" customHeight="1">
      <c r="A312" s="3" t="s">
        <v>854</v>
      </c>
      <c r="B312" s="4"/>
      <c r="C312" s="3"/>
      <c r="D312" s="5" t="s">
        <v>855</v>
      </c>
      <c r="E312" s="5" t="s">
        <v>124</v>
      </c>
      <c r="F312" s="3" t="s">
        <v>1495</v>
      </c>
      <c r="G312" s="6">
        <f t="shared" si="6"/>
        <v>157.68</v>
      </c>
      <c r="H312" s="7">
        <v>41641</v>
      </c>
      <c r="I312" s="6" t="s">
        <v>209</v>
      </c>
      <c r="J312" s="6" t="s">
        <v>1496</v>
      </c>
      <c r="K312" s="6" t="s">
        <v>21</v>
      </c>
      <c r="L312" s="6">
        <v>9</v>
      </c>
      <c r="M312" s="15" t="s">
        <v>866</v>
      </c>
      <c r="N312" s="15" t="s">
        <v>896</v>
      </c>
      <c r="O312" s="27" t="s">
        <v>1497</v>
      </c>
    </row>
    <row r="313" spans="1:15" ht="13.5" customHeight="1">
      <c r="A313" s="3" t="s">
        <v>1498</v>
      </c>
      <c r="B313" s="4"/>
      <c r="C313" s="3"/>
      <c r="D313" s="5" t="s">
        <v>1499</v>
      </c>
      <c r="E313" s="5" t="s">
        <v>124</v>
      </c>
      <c r="F313" s="3" t="s">
        <v>1500</v>
      </c>
      <c r="G313" s="6">
        <f t="shared" si="6"/>
        <v>192.72</v>
      </c>
      <c r="H313" s="7">
        <v>41641</v>
      </c>
      <c r="I313" s="6" t="s">
        <v>265</v>
      </c>
      <c r="J313" s="6" t="s">
        <v>1501</v>
      </c>
      <c r="K313" s="6" t="s">
        <v>21</v>
      </c>
      <c r="L313" s="6">
        <v>11</v>
      </c>
      <c r="M313" s="15" t="s">
        <v>1502</v>
      </c>
      <c r="N313" s="15" t="s">
        <v>1503</v>
      </c>
      <c r="O313" s="27" t="s">
        <v>1502</v>
      </c>
    </row>
    <row r="314" spans="1:15" s="1" customFormat="1" ht="13.5" customHeight="1">
      <c r="A314" s="3" t="s">
        <v>1498</v>
      </c>
      <c r="B314" s="4"/>
      <c r="C314" s="3"/>
      <c r="D314" s="5" t="s">
        <v>1499</v>
      </c>
      <c r="E314" s="5" t="s">
        <v>124</v>
      </c>
      <c r="F314" s="3" t="s">
        <v>1504</v>
      </c>
      <c r="G314" s="6">
        <f t="shared" si="6"/>
        <v>70.08</v>
      </c>
      <c r="H314" s="7">
        <v>41641</v>
      </c>
      <c r="I314" s="6" t="s">
        <v>265</v>
      </c>
      <c r="J314" s="6" t="s">
        <v>1505</v>
      </c>
      <c r="K314" s="6" t="s">
        <v>21</v>
      </c>
      <c r="L314" s="6">
        <v>4</v>
      </c>
      <c r="M314" s="15" t="s">
        <v>1506</v>
      </c>
      <c r="N314" s="15" t="s">
        <v>653</v>
      </c>
      <c r="O314" s="27" t="s">
        <v>1506</v>
      </c>
    </row>
    <row r="315" spans="1:15" s="1" customFormat="1" ht="13.5" customHeight="1">
      <c r="A315" s="3" t="s">
        <v>609</v>
      </c>
      <c r="B315" s="4"/>
      <c r="C315" s="3"/>
      <c r="D315" s="5" t="s">
        <v>610</v>
      </c>
      <c r="E315" s="5" t="s">
        <v>124</v>
      </c>
      <c r="F315" s="3" t="s">
        <v>1507</v>
      </c>
      <c r="G315" s="6">
        <f t="shared" si="6"/>
        <v>105.12</v>
      </c>
      <c r="H315" s="7">
        <v>41641</v>
      </c>
      <c r="I315" s="6" t="s">
        <v>761</v>
      </c>
      <c r="J315" s="6" t="s">
        <v>1508</v>
      </c>
      <c r="K315" s="6" t="s">
        <v>21</v>
      </c>
      <c r="L315" s="6">
        <v>6</v>
      </c>
      <c r="M315" s="15" t="s">
        <v>614</v>
      </c>
      <c r="N315" s="15" t="s">
        <v>574</v>
      </c>
      <c r="O315" s="27" t="s">
        <v>1509</v>
      </c>
    </row>
    <row r="316" spans="1:15" ht="13.5" customHeight="1">
      <c r="A316" s="3" t="s">
        <v>753</v>
      </c>
      <c r="B316" s="4"/>
      <c r="C316" s="3"/>
      <c r="D316" s="5" t="s">
        <v>754</v>
      </c>
      <c r="E316" s="5" t="s">
        <v>124</v>
      </c>
      <c r="F316" s="3" t="s">
        <v>1510</v>
      </c>
      <c r="G316" s="6">
        <f t="shared" si="6"/>
        <v>52.56</v>
      </c>
      <c r="H316" s="7">
        <v>41641</v>
      </c>
      <c r="I316" s="6" t="s">
        <v>265</v>
      </c>
      <c r="J316" s="6" t="s">
        <v>1511</v>
      </c>
      <c r="K316" s="6" t="s">
        <v>21</v>
      </c>
      <c r="L316" s="6">
        <v>3</v>
      </c>
      <c r="M316" s="15" t="s">
        <v>882</v>
      </c>
      <c r="N316" s="15" t="s">
        <v>1512</v>
      </c>
      <c r="O316" s="27" t="s">
        <v>1513</v>
      </c>
    </row>
    <row r="317" spans="1:15" s="1" customFormat="1" ht="13.5" customHeight="1">
      <c r="A317" s="3" t="s">
        <v>1127</v>
      </c>
      <c r="B317" s="4"/>
      <c r="C317" s="3"/>
      <c r="D317" s="5" t="s">
        <v>1128</v>
      </c>
      <c r="E317" s="5" t="s">
        <v>124</v>
      </c>
      <c r="F317" s="3" t="s">
        <v>1514</v>
      </c>
      <c r="G317" s="6">
        <f>29.101*L317</f>
        <v>232.80799999999999</v>
      </c>
      <c r="H317" s="7">
        <v>41641</v>
      </c>
      <c r="I317" s="6" t="s">
        <v>178</v>
      </c>
      <c r="J317" s="6" t="s">
        <v>1515</v>
      </c>
      <c r="K317" s="6" t="s">
        <v>21</v>
      </c>
      <c r="L317" s="6">
        <v>8</v>
      </c>
      <c r="M317" s="15" t="s">
        <v>1516</v>
      </c>
      <c r="N317" s="15" t="s">
        <v>1517</v>
      </c>
      <c r="O317" s="27" t="s">
        <v>1518</v>
      </c>
    </row>
    <row r="318" spans="1:15" s="1" customFormat="1" ht="13.5" customHeight="1">
      <c r="A318" s="3" t="s">
        <v>1127</v>
      </c>
      <c r="B318" s="4"/>
      <c r="C318" s="3"/>
      <c r="D318" s="5" t="s">
        <v>1128</v>
      </c>
      <c r="E318" s="5" t="s">
        <v>124</v>
      </c>
      <c r="F318" s="3" t="s">
        <v>1519</v>
      </c>
      <c r="G318" s="6">
        <f>29.101*L318</f>
        <v>232.80799999999999</v>
      </c>
      <c r="H318" s="7">
        <v>41641</v>
      </c>
      <c r="I318" s="6" t="s">
        <v>178</v>
      </c>
      <c r="J318" s="6" t="s">
        <v>1520</v>
      </c>
      <c r="K318" s="6" t="s">
        <v>21</v>
      </c>
      <c r="L318" s="6">
        <v>8</v>
      </c>
      <c r="M318" s="15" t="s">
        <v>1516</v>
      </c>
      <c r="N318" s="15" t="s">
        <v>1521</v>
      </c>
      <c r="O318" s="27" t="s">
        <v>1522</v>
      </c>
    </row>
    <row r="319" spans="1:15" ht="13.5" customHeight="1">
      <c r="A319" s="3" t="s">
        <v>1127</v>
      </c>
      <c r="B319" s="4"/>
      <c r="C319" s="3"/>
      <c r="D319" s="5" t="s">
        <v>1128</v>
      </c>
      <c r="E319" s="5" t="s">
        <v>124</v>
      </c>
      <c r="F319" s="3" t="s">
        <v>1523</v>
      </c>
      <c r="G319" s="6">
        <f>29.101*L319</f>
        <v>232.80799999999999</v>
      </c>
      <c r="H319" s="7">
        <v>41641</v>
      </c>
      <c r="I319" s="6" t="s">
        <v>178</v>
      </c>
      <c r="J319" s="6" t="s">
        <v>1524</v>
      </c>
      <c r="K319" s="6" t="s">
        <v>21</v>
      </c>
      <c r="L319" s="6">
        <v>8</v>
      </c>
      <c r="M319" s="15" t="s">
        <v>1516</v>
      </c>
      <c r="N319" s="15" t="s">
        <v>1096</v>
      </c>
      <c r="O319" s="27" t="s">
        <v>1525</v>
      </c>
    </row>
    <row r="320" spans="1:15" s="1" customFormat="1" ht="13.5" customHeight="1">
      <c r="A320" s="3" t="s">
        <v>423</v>
      </c>
      <c r="B320" s="4"/>
      <c r="C320" s="3"/>
      <c r="D320" s="5" t="s">
        <v>191</v>
      </c>
      <c r="E320" s="5" t="s">
        <v>124</v>
      </c>
      <c r="F320" s="3" t="s">
        <v>1526</v>
      </c>
      <c r="G320" s="6">
        <f>18.708*L320</f>
        <v>112.24799999999999</v>
      </c>
      <c r="H320" s="7">
        <v>41641</v>
      </c>
      <c r="I320" s="6" t="s">
        <v>247</v>
      </c>
      <c r="J320" s="6" t="s">
        <v>1527</v>
      </c>
      <c r="K320" s="6" t="s">
        <v>21</v>
      </c>
      <c r="L320" s="6">
        <v>6</v>
      </c>
      <c r="M320" s="15" t="s">
        <v>1254</v>
      </c>
      <c r="N320" s="15" t="s">
        <v>574</v>
      </c>
      <c r="O320" s="27" t="s">
        <v>1528</v>
      </c>
    </row>
    <row r="321" spans="1:15" ht="13.5" customHeight="1">
      <c r="A321" s="22" t="s">
        <v>1072</v>
      </c>
      <c r="B321" s="4" t="s">
        <v>1529</v>
      </c>
      <c r="C321" s="3"/>
      <c r="D321" s="5" t="s">
        <v>1073</v>
      </c>
      <c r="E321" s="5" t="s">
        <v>124</v>
      </c>
      <c r="F321" s="3" t="s">
        <v>1530</v>
      </c>
      <c r="G321" s="6">
        <f>17.712*L321</f>
        <v>70.847999999999999</v>
      </c>
      <c r="H321" s="7">
        <v>41641</v>
      </c>
      <c r="I321" s="6" t="s">
        <v>265</v>
      </c>
      <c r="J321" s="6" t="s">
        <v>1531</v>
      </c>
      <c r="K321" s="6" t="s">
        <v>21</v>
      </c>
      <c r="L321" s="6">
        <v>4</v>
      </c>
      <c r="M321" s="15" t="s">
        <v>1076</v>
      </c>
      <c r="N321" s="15" t="s">
        <v>1532</v>
      </c>
      <c r="O321" s="27" t="s">
        <v>1533</v>
      </c>
    </row>
    <row r="322" spans="1:15" ht="13.5" customHeight="1">
      <c r="A322" s="22" t="s">
        <v>1534</v>
      </c>
      <c r="B322" s="3" t="s">
        <v>15</v>
      </c>
      <c r="C322" s="3"/>
      <c r="D322" s="5" t="s">
        <v>1535</v>
      </c>
      <c r="E322" s="5" t="s">
        <v>124</v>
      </c>
      <c r="F322" s="3" t="s">
        <v>1536</v>
      </c>
      <c r="G322" s="6">
        <v>58.347999999999999</v>
      </c>
      <c r="H322" s="7">
        <v>41641</v>
      </c>
      <c r="I322" s="6" t="s">
        <v>209</v>
      </c>
      <c r="J322" s="6" t="s">
        <v>1537</v>
      </c>
      <c r="K322" s="6" t="s">
        <v>128</v>
      </c>
      <c r="L322" s="6" t="s">
        <v>301</v>
      </c>
      <c r="M322" s="15" t="s">
        <v>1538</v>
      </c>
      <c r="N322" s="15" t="s">
        <v>1539</v>
      </c>
      <c r="O322" s="27" t="s">
        <v>1540</v>
      </c>
    </row>
    <row r="323" spans="1:15" s="1" customFormat="1" ht="13.5" customHeight="1">
      <c r="A323" s="22" t="s">
        <v>1541</v>
      </c>
      <c r="B323" s="3" t="s">
        <v>15</v>
      </c>
      <c r="C323" s="3"/>
      <c r="D323" s="5" t="s">
        <v>1542</v>
      </c>
      <c r="E323" s="5" t="s">
        <v>124</v>
      </c>
      <c r="F323" s="3" t="s">
        <v>1543</v>
      </c>
      <c r="G323" s="6">
        <v>16.96</v>
      </c>
      <c r="H323" s="7">
        <v>41641</v>
      </c>
      <c r="I323" s="6" t="s">
        <v>209</v>
      </c>
      <c r="J323" s="6" t="s">
        <v>1544</v>
      </c>
      <c r="K323" s="6" t="s">
        <v>128</v>
      </c>
      <c r="L323" s="6" t="s">
        <v>547</v>
      </c>
      <c r="M323" s="15" t="s">
        <v>1545</v>
      </c>
      <c r="N323" s="15" t="s">
        <v>1546</v>
      </c>
      <c r="O323" s="27" t="s">
        <v>1547</v>
      </c>
    </row>
    <row r="324" spans="1:15" ht="13.5" customHeight="1">
      <c r="A324" s="22" t="s">
        <v>1548</v>
      </c>
      <c r="B324" s="3" t="s">
        <v>1380</v>
      </c>
      <c r="C324" s="3"/>
      <c r="D324" s="5" t="s">
        <v>1549</v>
      </c>
      <c r="E324" s="5" t="s">
        <v>124</v>
      </c>
      <c r="F324" s="3" t="s">
        <v>1550</v>
      </c>
      <c r="G324" s="6">
        <f>4.66*L324</f>
        <v>13.98</v>
      </c>
      <c r="H324" s="7">
        <v>41641</v>
      </c>
      <c r="I324" s="6" t="s">
        <v>372</v>
      </c>
      <c r="J324" s="6" t="s">
        <v>1551</v>
      </c>
      <c r="K324" s="6" t="s">
        <v>21</v>
      </c>
      <c r="L324" s="6">
        <v>3</v>
      </c>
      <c r="M324" s="15" t="s">
        <v>1552</v>
      </c>
      <c r="N324" s="15" t="s">
        <v>31</v>
      </c>
      <c r="O324" s="27" t="s">
        <v>1552</v>
      </c>
    </row>
    <row r="325" spans="1:15" s="1" customFormat="1" ht="13.5" customHeight="1">
      <c r="A325" s="3" t="s">
        <v>854</v>
      </c>
      <c r="B325" s="4"/>
      <c r="C325" s="3"/>
      <c r="D325" s="5" t="s">
        <v>855</v>
      </c>
      <c r="E325" s="5" t="s">
        <v>124</v>
      </c>
      <c r="F325" s="3" t="s">
        <v>1553</v>
      </c>
      <c r="G325" s="6">
        <f>17.52*L325</f>
        <v>175.2</v>
      </c>
      <c r="H325" s="7">
        <v>41642</v>
      </c>
      <c r="I325" s="6" t="s">
        <v>209</v>
      </c>
      <c r="J325" s="6" t="s">
        <v>1554</v>
      </c>
      <c r="K325" s="6" t="s">
        <v>21</v>
      </c>
      <c r="L325" s="6">
        <v>10</v>
      </c>
      <c r="M325" s="15" t="s">
        <v>1555</v>
      </c>
      <c r="N325" s="15" t="s">
        <v>114</v>
      </c>
      <c r="O325" s="27" t="s">
        <v>1555</v>
      </c>
    </row>
    <row r="326" spans="1:15" ht="13.5" customHeight="1">
      <c r="A326" s="3" t="s">
        <v>442</v>
      </c>
      <c r="B326" s="4"/>
      <c r="C326" s="3"/>
      <c r="D326" s="5" t="s">
        <v>443</v>
      </c>
      <c r="E326" s="5" t="s">
        <v>124</v>
      </c>
      <c r="F326" s="3" t="s">
        <v>1556</v>
      </c>
      <c r="G326" s="6">
        <f>18.708*L326</f>
        <v>130.95599999999999</v>
      </c>
      <c r="H326" s="7">
        <v>41642</v>
      </c>
      <c r="I326" s="6" t="s">
        <v>247</v>
      </c>
      <c r="J326" s="6" t="s">
        <v>1557</v>
      </c>
      <c r="K326" s="6" t="s">
        <v>21</v>
      </c>
      <c r="L326" s="6">
        <v>7</v>
      </c>
      <c r="M326" s="15" t="s">
        <v>1558</v>
      </c>
      <c r="N326" s="15" t="s">
        <v>1093</v>
      </c>
      <c r="O326" s="28" t="s">
        <v>1558</v>
      </c>
    </row>
    <row r="327" spans="1:15" s="1" customFormat="1" ht="13.5" customHeight="1">
      <c r="A327" s="3" t="s">
        <v>442</v>
      </c>
      <c r="B327" s="4"/>
      <c r="C327" s="3"/>
      <c r="D327" s="5" t="s">
        <v>443</v>
      </c>
      <c r="E327" s="5" t="s">
        <v>124</v>
      </c>
      <c r="F327" s="3" t="s">
        <v>1559</v>
      </c>
      <c r="G327" s="6">
        <f>18.708*L327</f>
        <v>149.66399999999999</v>
      </c>
      <c r="H327" s="7">
        <v>41642</v>
      </c>
      <c r="I327" s="6" t="s">
        <v>247</v>
      </c>
      <c r="J327" s="6" t="s">
        <v>1560</v>
      </c>
      <c r="K327" s="6" t="s">
        <v>21</v>
      </c>
      <c r="L327" s="6">
        <v>8</v>
      </c>
      <c r="M327" s="15" t="s">
        <v>1558</v>
      </c>
      <c r="N327" s="15" t="s">
        <v>1096</v>
      </c>
      <c r="O327" s="28" t="s">
        <v>1561</v>
      </c>
    </row>
    <row r="328" spans="1:15" s="1" customFormat="1" ht="13.5" customHeight="1">
      <c r="A328" s="22" t="s">
        <v>1562</v>
      </c>
      <c r="B328" s="4"/>
      <c r="C328" s="3"/>
      <c r="D328" s="5" t="s">
        <v>1563</v>
      </c>
      <c r="E328" s="5" t="s">
        <v>124</v>
      </c>
      <c r="F328" s="3" t="s">
        <v>1564</v>
      </c>
      <c r="G328" s="6">
        <f>17.498*L328</f>
        <v>104.988</v>
      </c>
      <c r="H328" s="7">
        <v>41642</v>
      </c>
      <c r="I328" s="6" t="s">
        <v>265</v>
      </c>
      <c r="J328" s="6" t="s">
        <v>1565</v>
      </c>
      <c r="K328" s="6" t="s">
        <v>21</v>
      </c>
      <c r="L328" s="6">
        <v>6</v>
      </c>
      <c r="M328" s="15" t="s">
        <v>1566</v>
      </c>
      <c r="N328" s="15" t="s">
        <v>787</v>
      </c>
      <c r="O328" s="27" t="s">
        <v>1566</v>
      </c>
    </row>
    <row r="329" spans="1:15" ht="13.5" customHeight="1">
      <c r="A329" s="3" t="s">
        <v>846</v>
      </c>
      <c r="B329" s="4"/>
      <c r="C329" s="3"/>
      <c r="D329" s="5" t="s">
        <v>191</v>
      </c>
      <c r="E329" s="5" t="s">
        <v>124</v>
      </c>
      <c r="F329" s="3" t="s">
        <v>1567</v>
      </c>
      <c r="G329" s="6">
        <f>18.708*L329</f>
        <v>74.831999999999994</v>
      </c>
      <c r="H329" s="7">
        <v>41642</v>
      </c>
      <c r="I329" s="6" t="s">
        <v>247</v>
      </c>
      <c r="J329" s="6" t="s">
        <v>1568</v>
      </c>
      <c r="K329" s="6" t="s">
        <v>21</v>
      </c>
      <c r="L329" s="6">
        <v>4</v>
      </c>
      <c r="M329" s="15" t="s">
        <v>1254</v>
      </c>
      <c r="N329" s="15" t="s">
        <v>46</v>
      </c>
      <c r="O329" s="27" t="s">
        <v>1569</v>
      </c>
    </row>
    <row r="330" spans="1:15" ht="13.5" customHeight="1">
      <c r="A330" s="3" t="s">
        <v>846</v>
      </c>
      <c r="B330" s="4"/>
      <c r="C330" s="3"/>
      <c r="D330" s="5" t="s">
        <v>191</v>
      </c>
      <c r="E330" s="5" t="s">
        <v>124</v>
      </c>
      <c r="F330" s="3" t="s">
        <v>1570</v>
      </c>
      <c r="G330" s="6">
        <f>18.708*L330</f>
        <v>224.49599999999998</v>
      </c>
      <c r="H330" s="7">
        <v>41642</v>
      </c>
      <c r="I330" s="6" t="s">
        <v>247</v>
      </c>
      <c r="J330" s="6" t="s">
        <v>1571</v>
      </c>
      <c r="K330" s="6" t="s">
        <v>21</v>
      </c>
      <c r="L330" s="6">
        <v>12</v>
      </c>
      <c r="M330" s="15" t="s">
        <v>1572</v>
      </c>
      <c r="N330" s="15" t="s">
        <v>164</v>
      </c>
      <c r="O330" s="27" t="s">
        <v>1572</v>
      </c>
    </row>
    <row r="331" spans="1:15" s="1" customFormat="1" ht="13.5" customHeight="1">
      <c r="A331" s="3" t="s">
        <v>846</v>
      </c>
      <c r="B331" s="4"/>
      <c r="C331" s="3"/>
      <c r="D331" s="5" t="s">
        <v>191</v>
      </c>
      <c r="E331" s="5" t="s">
        <v>124</v>
      </c>
      <c r="F331" s="3" t="s">
        <v>1573</v>
      </c>
      <c r="G331" s="6">
        <f>18.708*L331</f>
        <v>243.20399999999998</v>
      </c>
      <c r="H331" s="7">
        <v>41642</v>
      </c>
      <c r="I331" s="6" t="s">
        <v>247</v>
      </c>
      <c r="J331" s="6" t="s">
        <v>1574</v>
      </c>
      <c r="K331" s="6" t="s">
        <v>21</v>
      </c>
      <c r="L331" s="6">
        <v>13</v>
      </c>
      <c r="M331" s="15" t="s">
        <v>1572</v>
      </c>
      <c r="N331" s="15" t="s">
        <v>167</v>
      </c>
      <c r="O331" s="27" t="s">
        <v>1575</v>
      </c>
    </row>
    <row r="332" spans="1:15" s="1" customFormat="1" ht="13.5" customHeight="1">
      <c r="A332" s="3" t="s">
        <v>269</v>
      </c>
      <c r="B332" s="4"/>
      <c r="C332" s="3"/>
      <c r="D332" s="5" t="s">
        <v>270</v>
      </c>
      <c r="E332" s="5" t="s">
        <v>124</v>
      </c>
      <c r="F332" s="3" t="s">
        <v>1576</v>
      </c>
      <c r="G332" s="6">
        <f>17.498*L332</f>
        <v>122.486</v>
      </c>
      <c r="H332" s="7">
        <v>41642</v>
      </c>
      <c r="I332" s="6" t="s">
        <v>272</v>
      </c>
      <c r="J332" s="6" t="s">
        <v>1577</v>
      </c>
      <c r="K332" s="6" t="s">
        <v>21</v>
      </c>
      <c r="L332" s="6">
        <v>7</v>
      </c>
      <c r="M332" s="15" t="s">
        <v>489</v>
      </c>
      <c r="N332" s="15" t="s">
        <v>1141</v>
      </c>
      <c r="O332" s="28" t="s">
        <v>1578</v>
      </c>
    </row>
    <row r="333" spans="1:15" s="1" customFormat="1" ht="13.5" customHeight="1">
      <c r="A333" s="3" t="s">
        <v>269</v>
      </c>
      <c r="B333" s="4"/>
      <c r="C333" s="3"/>
      <c r="D333" s="5" t="s">
        <v>270</v>
      </c>
      <c r="E333" s="5" t="s">
        <v>124</v>
      </c>
      <c r="F333" s="3" t="s">
        <v>1579</v>
      </c>
      <c r="G333" s="6">
        <f>17.498*L333</f>
        <v>192.47800000000001</v>
      </c>
      <c r="H333" s="7">
        <v>41642</v>
      </c>
      <c r="I333" s="6" t="s">
        <v>272</v>
      </c>
      <c r="J333" s="6" t="s">
        <v>1580</v>
      </c>
      <c r="K333" s="6" t="s">
        <v>21</v>
      </c>
      <c r="L333" s="6">
        <v>11</v>
      </c>
      <c r="M333" s="15" t="s">
        <v>1581</v>
      </c>
      <c r="N333" s="15" t="s">
        <v>626</v>
      </c>
      <c r="O333" s="28" t="s">
        <v>1581</v>
      </c>
    </row>
    <row r="334" spans="1:15" ht="13.5" customHeight="1">
      <c r="A334" s="3" t="s">
        <v>269</v>
      </c>
      <c r="B334" s="4"/>
      <c r="C334" s="3"/>
      <c r="D334" s="5" t="s">
        <v>270</v>
      </c>
      <c r="E334" s="5" t="s">
        <v>124</v>
      </c>
      <c r="F334" s="3" t="s">
        <v>1582</v>
      </c>
      <c r="G334" s="6">
        <f>17.498*L334</f>
        <v>192.47800000000001</v>
      </c>
      <c r="H334" s="7">
        <v>41642</v>
      </c>
      <c r="I334" s="6" t="s">
        <v>272</v>
      </c>
      <c r="J334" s="6" t="s">
        <v>1583</v>
      </c>
      <c r="K334" s="6" t="s">
        <v>21</v>
      </c>
      <c r="L334" s="6">
        <v>11</v>
      </c>
      <c r="M334" s="15" t="s">
        <v>1581</v>
      </c>
      <c r="N334" s="15" t="s">
        <v>427</v>
      </c>
      <c r="O334" s="28" t="s">
        <v>1584</v>
      </c>
    </row>
    <row r="335" spans="1:15" s="1" customFormat="1" ht="13.5" customHeight="1">
      <c r="A335" s="3" t="s">
        <v>525</v>
      </c>
      <c r="B335" s="4"/>
      <c r="C335" s="3"/>
      <c r="D335" s="5" t="s">
        <v>526</v>
      </c>
      <c r="E335" s="5" t="s">
        <v>124</v>
      </c>
      <c r="F335" s="3" t="s">
        <v>1585</v>
      </c>
      <c r="G335" s="6">
        <f>17.498*L335</f>
        <v>104.988</v>
      </c>
      <c r="H335" s="7">
        <v>41642</v>
      </c>
      <c r="I335" s="6" t="s">
        <v>913</v>
      </c>
      <c r="J335" s="6" t="s">
        <v>1586</v>
      </c>
      <c r="K335" s="6" t="s">
        <v>21</v>
      </c>
      <c r="L335" s="6">
        <v>6</v>
      </c>
      <c r="M335" s="15" t="s">
        <v>1587</v>
      </c>
      <c r="N335" s="15" t="s">
        <v>1588</v>
      </c>
      <c r="O335" s="27" t="s">
        <v>1587</v>
      </c>
    </row>
    <row r="336" spans="1:15" s="1" customFormat="1" ht="13.5" customHeight="1">
      <c r="A336" s="3" t="s">
        <v>1150</v>
      </c>
      <c r="B336" s="4"/>
      <c r="C336" s="3"/>
      <c r="D336" s="5" t="s">
        <v>1151</v>
      </c>
      <c r="E336" s="5" t="s">
        <v>124</v>
      </c>
      <c r="F336" s="3" t="s">
        <v>1589</v>
      </c>
      <c r="G336" s="6">
        <f t="shared" ref="G336:G342" si="7">17.712*L336</f>
        <v>212.54399999999998</v>
      </c>
      <c r="H336" s="7">
        <v>41642</v>
      </c>
      <c r="I336" s="6" t="s">
        <v>265</v>
      </c>
      <c r="J336" s="6" t="s">
        <v>1590</v>
      </c>
      <c r="K336" s="6" t="s">
        <v>21</v>
      </c>
      <c r="L336" s="6">
        <v>12</v>
      </c>
      <c r="M336" s="15" t="s">
        <v>1591</v>
      </c>
      <c r="N336" s="15" t="s">
        <v>1592</v>
      </c>
      <c r="O336" s="27" t="s">
        <v>1591</v>
      </c>
    </row>
    <row r="337" spans="1:15" ht="13.5" customHeight="1">
      <c r="A337" s="3" t="s">
        <v>1593</v>
      </c>
      <c r="B337" s="4"/>
      <c r="C337" s="3"/>
      <c r="D337" s="5" t="s">
        <v>1151</v>
      </c>
      <c r="E337" s="5" t="s">
        <v>124</v>
      </c>
      <c r="F337" s="3" t="s">
        <v>1594</v>
      </c>
      <c r="G337" s="6">
        <f t="shared" si="7"/>
        <v>70.847999999999999</v>
      </c>
      <c r="H337" s="7">
        <v>41642</v>
      </c>
      <c r="I337" s="6" t="s">
        <v>265</v>
      </c>
      <c r="J337" s="6" t="s">
        <v>1595</v>
      </c>
      <c r="K337" s="6" t="s">
        <v>21</v>
      </c>
      <c r="L337" s="6">
        <v>4</v>
      </c>
      <c r="M337" s="15" t="s">
        <v>1154</v>
      </c>
      <c r="N337" s="15" t="s">
        <v>1596</v>
      </c>
      <c r="O337" s="27" t="s">
        <v>1597</v>
      </c>
    </row>
    <row r="338" spans="1:15" s="1" customFormat="1" ht="13.5" customHeight="1">
      <c r="A338" s="3" t="s">
        <v>1593</v>
      </c>
      <c r="B338" s="4"/>
      <c r="C338" s="3"/>
      <c r="D338" s="5" t="s">
        <v>1151</v>
      </c>
      <c r="E338" s="5" t="s">
        <v>124</v>
      </c>
      <c r="F338" s="3" t="s">
        <v>1598</v>
      </c>
      <c r="G338" s="6">
        <f t="shared" si="7"/>
        <v>141.696</v>
      </c>
      <c r="H338" s="7">
        <v>41642</v>
      </c>
      <c r="I338" s="6" t="s">
        <v>265</v>
      </c>
      <c r="J338" s="6" t="s">
        <v>1599</v>
      </c>
      <c r="K338" s="6" t="s">
        <v>21</v>
      </c>
      <c r="L338" s="6">
        <v>8</v>
      </c>
      <c r="M338" s="15" t="s">
        <v>1591</v>
      </c>
      <c r="N338" s="15" t="s">
        <v>1096</v>
      </c>
      <c r="O338" s="27" t="s">
        <v>1600</v>
      </c>
    </row>
    <row r="339" spans="1:15" ht="13.5" customHeight="1">
      <c r="A339" s="3" t="s">
        <v>918</v>
      </c>
      <c r="B339" s="4"/>
      <c r="C339" s="3"/>
      <c r="D339" s="5" t="s">
        <v>919</v>
      </c>
      <c r="E339" s="5" t="s">
        <v>124</v>
      </c>
      <c r="F339" s="3" t="s">
        <v>1601</v>
      </c>
      <c r="G339" s="6">
        <f t="shared" si="7"/>
        <v>212.54399999999998</v>
      </c>
      <c r="H339" s="7">
        <v>41642</v>
      </c>
      <c r="I339" s="6" t="s">
        <v>265</v>
      </c>
      <c r="J339" s="6" t="s">
        <v>1602</v>
      </c>
      <c r="K339" s="6" t="s">
        <v>21</v>
      </c>
      <c r="L339" s="6">
        <v>12</v>
      </c>
      <c r="M339" s="15" t="s">
        <v>1603</v>
      </c>
      <c r="N339" s="15" t="s">
        <v>164</v>
      </c>
      <c r="O339" s="27" t="s">
        <v>1603</v>
      </c>
    </row>
    <row r="340" spans="1:15" s="1" customFormat="1" ht="13.5" customHeight="1">
      <c r="A340" s="3" t="s">
        <v>918</v>
      </c>
      <c r="B340" s="4"/>
      <c r="C340" s="3"/>
      <c r="D340" s="5" t="s">
        <v>919</v>
      </c>
      <c r="E340" s="5" t="s">
        <v>124</v>
      </c>
      <c r="F340" s="3" t="s">
        <v>1604</v>
      </c>
      <c r="G340" s="6">
        <f t="shared" si="7"/>
        <v>230.256</v>
      </c>
      <c r="H340" s="7">
        <v>41642</v>
      </c>
      <c r="I340" s="6" t="s">
        <v>265</v>
      </c>
      <c r="J340" s="6" t="s">
        <v>1605</v>
      </c>
      <c r="K340" s="6" t="s">
        <v>21</v>
      </c>
      <c r="L340" s="6">
        <v>13</v>
      </c>
      <c r="M340" s="15" t="s">
        <v>1603</v>
      </c>
      <c r="N340" s="15" t="s">
        <v>167</v>
      </c>
      <c r="O340" s="27" t="s">
        <v>1606</v>
      </c>
    </row>
    <row r="341" spans="1:15" s="1" customFormat="1" ht="13.5" customHeight="1">
      <c r="A341" s="3" t="s">
        <v>918</v>
      </c>
      <c r="B341" s="4"/>
      <c r="C341" s="3"/>
      <c r="D341" s="5" t="s">
        <v>919</v>
      </c>
      <c r="E341" s="5" t="s">
        <v>124</v>
      </c>
      <c r="F341" s="3" t="s">
        <v>1607</v>
      </c>
      <c r="G341" s="6">
        <f t="shared" si="7"/>
        <v>212.54399999999998</v>
      </c>
      <c r="H341" s="7">
        <v>41642</v>
      </c>
      <c r="I341" s="6" t="s">
        <v>265</v>
      </c>
      <c r="J341" s="6" t="s">
        <v>1608</v>
      </c>
      <c r="K341" s="6" t="s">
        <v>21</v>
      </c>
      <c r="L341" s="6">
        <v>12</v>
      </c>
      <c r="M341" s="15" t="s">
        <v>1609</v>
      </c>
      <c r="N341" s="15" t="s">
        <v>164</v>
      </c>
      <c r="O341" s="27" t="s">
        <v>1609</v>
      </c>
    </row>
    <row r="342" spans="1:15" s="1" customFormat="1" ht="13.5" customHeight="1">
      <c r="A342" s="3" t="s">
        <v>918</v>
      </c>
      <c r="B342" s="4"/>
      <c r="C342" s="3"/>
      <c r="D342" s="5" t="s">
        <v>919</v>
      </c>
      <c r="E342" s="5" t="s">
        <v>124</v>
      </c>
      <c r="F342" s="3" t="s">
        <v>1610</v>
      </c>
      <c r="G342" s="6">
        <f t="shared" si="7"/>
        <v>230.256</v>
      </c>
      <c r="H342" s="7">
        <v>41642</v>
      </c>
      <c r="I342" s="6" t="s">
        <v>265</v>
      </c>
      <c r="J342" s="6" t="s">
        <v>1611</v>
      </c>
      <c r="K342" s="6" t="s">
        <v>21</v>
      </c>
      <c r="L342" s="6">
        <v>13</v>
      </c>
      <c r="M342" s="15" t="s">
        <v>1609</v>
      </c>
      <c r="N342" s="15" t="s">
        <v>167</v>
      </c>
      <c r="O342" s="27" t="s">
        <v>1612</v>
      </c>
    </row>
    <row r="343" spans="1:15" s="1" customFormat="1" ht="13.5" customHeight="1">
      <c r="A343" s="3" t="s">
        <v>363</v>
      </c>
      <c r="B343" s="4"/>
      <c r="C343" s="3"/>
      <c r="D343" s="5" t="s">
        <v>364</v>
      </c>
      <c r="E343" s="5" t="s">
        <v>124</v>
      </c>
      <c r="F343" s="3" t="s">
        <v>1613</v>
      </c>
      <c r="G343" s="6">
        <f>12.838*L343</f>
        <v>38.513999999999996</v>
      </c>
      <c r="H343" s="7">
        <v>41642</v>
      </c>
      <c r="I343" s="6" t="s">
        <v>209</v>
      </c>
      <c r="J343" s="6" t="s">
        <v>1614</v>
      </c>
      <c r="K343" s="6" t="s">
        <v>21</v>
      </c>
      <c r="L343" s="6">
        <v>3</v>
      </c>
      <c r="M343" s="15" t="s">
        <v>944</v>
      </c>
      <c r="N343" s="15" t="s">
        <v>1512</v>
      </c>
      <c r="O343" s="27" t="s">
        <v>1615</v>
      </c>
    </row>
    <row r="344" spans="1:15" s="1" customFormat="1" ht="13.5" customHeight="1">
      <c r="A344" s="3" t="s">
        <v>716</v>
      </c>
      <c r="B344" s="4"/>
      <c r="C344" s="3"/>
      <c r="D344" s="5" t="s">
        <v>717</v>
      </c>
      <c r="E344" s="5" t="s">
        <v>124</v>
      </c>
      <c r="F344" s="3" t="s">
        <v>1616</v>
      </c>
      <c r="G344" s="6">
        <v>77.307000000000002</v>
      </c>
      <c r="H344" s="7">
        <v>41642</v>
      </c>
      <c r="I344" s="6" t="s">
        <v>209</v>
      </c>
      <c r="J344" s="6" t="s">
        <v>1617</v>
      </c>
      <c r="K344" s="6" t="s">
        <v>128</v>
      </c>
      <c r="L344" s="6" t="s">
        <v>720</v>
      </c>
      <c r="M344" s="15" t="s">
        <v>1618</v>
      </c>
      <c r="N344" s="15" t="s">
        <v>1619</v>
      </c>
      <c r="O344" s="27" t="s">
        <v>1620</v>
      </c>
    </row>
    <row r="345" spans="1:15" s="1" customFormat="1" ht="13.5" customHeight="1">
      <c r="A345" s="22" t="s">
        <v>825</v>
      </c>
      <c r="B345" s="4"/>
      <c r="C345" s="3"/>
      <c r="D345" s="5" t="s">
        <v>826</v>
      </c>
      <c r="E345" s="5" t="s">
        <v>124</v>
      </c>
      <c r="F345" s="3" t="s">
        <v>1621</v>
      </c>
      <c r="G345" s="6">
        <v>30.524999999999999</v>
      </c>
      <c r="H345" s="7">
        <v>41642</v>
      </c>
      <c r="I345" s="6" t="s">
        <v>209</v>
      </c>
      <c r="J345" s="6" t="s">
        <v>1622</v>
      </c>
      <c r="K345" s="6" t="s">
        <v>128</v>
      </c>
      <c r="L345" s="6" t="s">
        <v>642</v>
      </c>
      <c r="M345" s="15" t="s">
        <v>1623</v>
      </c>
      <c r="N345" s="15" t="s">
        <v>1624</v>
      </c>
      <c r="O345" s="27" t="s">
        <v>1625</v>
      </c>
    </row>
    <row r="346" spans="1:15" s="1" customFormat="1" ht="13.5" customHeight="1">
      <c r="A346" s="3" t="s">
        <v>1626</v>
      </c>
      <c r="B346" s="4"/>
      <c r="C346" s="3"/>
      <c r="D346" s="5" t="s">
        <v>1627</v>
      </c>
      <c r="E346" s="5" t="s">
        <v>124</v>
      </c>
      <c r="F346" s="3" t="s">
        <v>1628</v>
      </c>
      <c r="G346" s="6">
        <v>17.091000000000001</v>
      </c>
      <c r="H346" s="7">
        <v>41642</v>
      </c>
      <c r="I346" s="6" t="s">
        <v>209</v>
      </c>
      <c r="J346" s="6" t="s">
        <v>1629</v>
      </c>
      <c r="K346" s="6" t="s">
        <v>128</v>
      </c>
      <c r="L346" s="6" t="s">
        <v>743</v>
      </c>
      <c r="M346" s="15" t="s">
        <v>1630</v>
      </c>
      <c r="N346" s="15" t="s">
        <v>1631</v>
      </c>
      <c r="O346" s="27" t="s">
        <v>1632</v>
      </c>
    </row>
    <row r="347" spans="1:15" s="1" customFormat="1" ht="13.5" customHeight="1">
      <c r="A347" s="3" t="s">
        <v>1216</v>
      </c>
      <c r="B347" s="4"/>
      <c r="C347" s="3"/>
      <c r="D347" s="5" t="s">
        <v>1217</v>
      </c>
      <c r="E347" s="5" t="s">
        <v>124</v>
      </c>
      <c r="F347" s="3" t="s">
        <v>1633</v>
      </c>
      <c r="G347" s="6">
        <v>58.347999999999999</v>
      </c>
      <c r="H347" s="7">
        <v>41642</v>
      </c>
      <c r="I347" s="6" t="s">
        <v>209</v>
      </c>
      <c r="J347" s="6" t="s">
        <v>1634</v>
      </c>
      <c r="K347" s="6" t="s">
        <v>128</v>
      </c>
      <c r="L347" s="6" t="s">
        <v>1635</v>
      </c>
      <c r="M347" s="15" t="s">
        <v>1636</v>
      </c>
      <c r="N347" s="15" t="s">
        <v>1637</v>
      </c>
      <c r="O347" s="27" t="s">
        <v>1638</v>
      </c>
    </row>
    <row r="348" spans="1:15" s="1" customFormat="1" ht="13.5" customHeight="1">
      <c r="A348" s="3" t="s">
        <v>1534</v>
      </c>
      <c r="B348" s="4"/>
      <c r="C348" s="3"/>
      <c r="D348" s="5" t="s">
        <v>1535</v>
      </c>
      <c r="E348" s="5" t="s">
        <v>124</v>
      </c>
      <c r="F348" s="3" t="s">
        <v>1639</v>
      </c>
      <c r="G348" s="6">
        <v>142.19</v>
      </c>
      <c r="H348" s="7">
        <v>41642</v>
      </c>
      <c r="I348" s="6" t="s">
        <v>209</v>
      </c>
      <c r="J348" s="6" t="s">
        <v>1640</v>
      </c>
      <c r="K348" s="6" t="s">
        <v>128</v>
      </c>
      <c r="L348" s="6" t="s">
        <v>1641</v>
      </c>
      <c r="M348" s="15" t="s">
        <v>1642</v>
      </c>
      <c r="N348" s="15" t="s">
        <v>1643</v>
      </c>
      <c r="O348" s="27" t="s">
        <v>1644</v>
      </c>
    </row>
    <row r="349" spans="1:15" ht="13.5" customHeight="1">
      <c r="A349" s="3" t="s">
        <v>1534</v>
      </c>
      <c r="B349" s="4"/>
      <c r="C349" s="3"/>
      <c r="D349" s="5" t="s">
        <v>1535</v>
      </c>
      <c r="E349" s="5" t="s">
        <v>124</v>
      </c>
      <c r="F349" s="3" t="s">
        <v>1645</v>
      </c>
      <c r="G349" s="6">
        <v>142.25</v>
      </c>
      <c r="H349" s="7">
        <v>41642</v>
      </c>
      <c r="I349" s="6" t="s">
        <v>209</v>
      </c>
      <c r="J349" s="6" t="s">
        <v>1646</v>
      </c>
      <c r="K349" s="6" t="s">
        <v>128</v>
      </c>
      <c r="L349" s="6" t="s">
        <v>1641</v>
      </c>
      <c r="M349" s="15" t="s">
        <v>1647</v>
      </c>
      <c r="N349" s="15" t="s">
        <v>1648</v>
      </c>
      <c r="O349" s="27" t="s">
        <v>1649</v>
      </c>
    </row>
    <row r="350" spans="1:15" s="1" customFormat="1" ht="13.5" customHeight="1">
      <c r="A350" s="3" t="s">
        <v>1311</v>
      </c>
      <c r="B350" s="4"/>
      <c r="C350" s="3"/>
      <c r="D350" s="5" t="s">
        <v>1312</v>
      </c>
      <c r="E350" s="5" t="s">
        <v>124</v>
      </c>
      <c r="F350" s="3" t="s">
        <v>1650</v>
      </c>
      <c r="G350" s="6">
        <v>50.871000000000002</v>
      </c>
      <c r="H350" s="7">
        <v>41642</v>
      </c>
      <c r="I350" s="6" t="s">
        <v>209</v>
      </c>
      <c r="J350" s="6" t="s">
        <v>1651</v>
      </c>
      <c r="K350" s="6" t="s">
        <v>128</v>
      </c>
      <c r="L350" s="6" t="s">
        <v>1652</v>
      </c>
      <c r="M350" s="15" t="s">
        <v>1653</v>
      </c>
      <c r="N350" s="15" t="s">
        <v>1654</v>
      </c>
      <c r="O350" s="27" t="s">
        <v>1655</v>
      </c>
    </row>
    <row r="351" spans="1:15" s="1" customFormat="1" ht="13.5" customHeight="1">
      <c r="A351" s="3" t="s">
        <v>1311</v>
      </c>
      <c r="B351" s="4"/>
      <c r="C351" s="3"/>
      <c r="D351" s="5" t="s">
        <v>1312</v>
      </c>
      <c r="E351" s="5" t="s">
        <v>124</v>
      </c>
      <c r="F351" s="3" t="s">
        <v>1656</v>
      </c>
      <c r="G351" s="6">
        <v>70.08</v>
      </c>
      <c r="H351" s="7">
        <v>41642</v>
      </c>
      <c r="I351" s="6" t="s">
        <v>209</v>
      </c>
      <c r="J351" s="6" t="s">
        <v>1657</v>
      </c>
      <c r="K351" s="6" t="s">
        <v>128</v>
      </c>
      <c r="L351" s="6" t="s">
        <v>1658</v>
      </c>
      <c r="M351" s="15" t="s">
        <v>1659</v>
      </c>
      <c r="N351" s="15" t="s">
        <v>1660</v>
      </c>
      <c r="O351" s="27" t="s">
        <v>1661</v>
      </c>
    </row>
    <row r="352" spans="1:15" ht="13.5" customHeight="1">
      <c r="A352" s="3" t="s">
        <v>1311</v>
      </c>
      <c r="B352" s="4"/>
      <c r="C352" s="3"/>
      <c r="D352" s="5" t="s">
        <v>1312</v>
      </c>
      <c r="E352" s="5" t="s">
        <v>124</v>
      </c>
      <c r="F352" s="3" t="s">
        <v>1662</v>
      </c>
      <c r="G352" s="6">
        <v>100.827</v>
      </c>
      <c r="H352" s="7">
        <v>41642</v>
      </c>
      <c r="I352" s="6" t="s">
        <v>209</v>
      </c>
      <c r="J352" s="6" t="s">
        <v>1663</v>
      </c>
      <c r="K352" s="6" t="s">
        <v>128</v>
      </c>
      <c r="L352" s="6" t="s">
        <v>1664</v>
      </c>
      <c r="M352" s="15" t="s">
        <v>1665</v>
      </c>
      <c r="N352" s="15" t="s">
        <v>1666</v>
      </c>
      <c r="O352" s="27" t="s">
        <v>1667</v>
      </c>
    </row>
    <row r="353" spans="1:15" s="1" customFormat="1" ht="13.5" customHeight="1">
      <c r="A353" s="3" t="s">
        <v>1668</v>
      </c>
      <c r="B353" s="4"/>
      <c r="C353" s="3"/>
      <c r="D353" s="5" t="s">
        <v>143</v>
      </c>
      <c r="E353" s="5" t="s">
        <v>124</v>
      </c>
      <c r="F353" s="3" t="s">
        <v>1669</v>
      </c>
      <c r="G353" s="6">
        <v>191.095</v>
      </c>
      <c r="H353" s="7">
        <v>41642</v>
      </c>
      <c r="I353" s="6" t="s">
        <v>209</v>
      </c>
      <c r="J353" s="6" t="s">
        <v>1670</v>
      </c>
      <c r="K353" s="6" t="s">
        <v>128</v>
      </c>
      <c r="L353" s="6" t="s">
        <v>1671</v>
      </c>
      <c r="M353" s="15" t="s">
        <v>1672</v>
      </c>
      <c r="N353" s="15" t="s">
        <v>1673</v>
      </c>
      <c r="O353" s="27" t="s">
        <v>1674</v>
      </c>
    </row>
    <row r="354" spans="1:15" s="1" customFormat="1" ht="13.5" customHeight="1">
      <c r="A354" s="3" t="s">
        <v>1668</v>
      </c>
      <c r="B354" s="4"/>
      <c r="C354" s="3"/>
      <c r="D354" s="5" t="s">
        <v>143</v>
      </c>
      <c r="E354" s="5" t="s">
        <v>124</v>
      </c>
      <c r="F354" s="3" t="s">
        <v>1675</v>
      </c>
      <c r="G354" s="6">
        <v>155.45699999999999</v>
      </c>
      <c r="H354" s="7">
        <v>41642</v>
      </c>
      <c r="I354" s="6" t="s">
        <v>209</v>
      </c>
      <c r="J354" s="6" t="s">
        <v>1676</v>
      </c>
      <c r="K354" s="6" t="s">
        <v>128</v>
      </c>
      <c r="L354" s="6" t="s">
        <v>147</v>
      </c>
      <c r="M354" s="15" t="s">
        <v>1677</v>
      </c>
      <c r="N354" s="15" t="s">
        <v>1678</v>
      </c>
      <c r="O354" s="27" t="s">
        <v>1679</v>
      </c>
    </row>
    <row r="355" spans="1:15" ht="13.5" customHeight="1">
      <c r="A355" s="3" t="s">
        <v>1668</v>
      </c>
      <c r="B355" s="4"/>
      <c r="C355" s="3"/>
      <c r="D355" s="5" t="s">
        <v>143</v>
      </c>
      <c r="E355" s="5" t="s">
        <v>124</v>
      </c>
      <c r="F355" s="3" t="s">
        <v>1680</v>
      </c>
      <c r="G355" s="6">
        <v>119.375</v>
      </c>
      <c r="H355" s="7">
        <v>41642</v>
      </c>
      <c r="I355" s="6" t="s">
        <v>209</v>
      </c>
      <c r="J355" s="6" t="s">
        <v>1681</v>
      </c>
      <c r="K355" s="6" t="s">
        <v>128</v>
      </c>
      <c r="L355" s="6" t="s">
        <v>1682</v>
      </c>
      <c r="M355" s="15" t="s">
        <v>1683</v>
      </c>
      <c r="N355" s="15" t="s">
        <v>1684</v>
      </c>
      <c r="O355" s="27" t="s">
        <v>1685</v>
      </c>
    </row>
    <row r="356" spans="1:15" ht="13.5" customHeight="1">
      <c r="A356" s="3" t="s">
        <v>1668</v>
      </c>
      <c r="B356" s="4"/>
      <c r="C356" s="3"/>
      <c r="D356" s="5" t="s">
        <v>143</v>
      </c>
      <c r="E356" s="5" t="s">
        <v>124</v>
      </c>
      <c r="F356" s="3" t="s">
        <v>1686</v>
      </c>
      <c r="G356" s="6">
        <v>83.742000000000004</v>
      </c>
      <c r="H356" s="7">
        <v>41642</v>
      </c>
      <c r="I356" s="6" t="s">
        <v>209</v>
      </c>
      <c r="J356" s="6" t="s">
        <v>1687</v>
      </c>
      <c r="K356" s="6" t="s">
        <v>128</v>
      </c>
      <c r="L356" s="6" t="s">
        <v>1039</v>
      </c>
      <c r="M356" s="15" t="s">
        <v>1688</v>
      </c>
      <c r="N356" s="15" t="s">
        <v>1689</v>
      </c>
      <c r="O356" s="27" t="s">
        <v>1690</v>
      </c>
    </row>
    <row r="357" spans="1:15" s="1" customFormat="1" ht="13.5" customHeight="1">
      <c r="A357" s="3" t="s">
        <v>1668</v>
      </c>
      <c r="B357" s="4"/>
      <c r="C357" s="3"/>
      <c r="D357" s="5" t="s">
        <v>143</v>
      </c>
      <c r="E357" s="5" t="s">
        <v>124</v>
      </c>
      <c r="F357" s="3" t="s">
        <v>1691</v>
      </c>
      <c r="G357" s="6">
        <v>154.76599999999999</v>
      </c>
      <c r="H357" s="7">
        <v>41642</v>
      </c>
      <c r="I357" s="6" t="s">
        <v>209</v>
      </c>
      <c r="J357" s="6" t="s">
        <v>1692</v>
      </c>
      <c r="K357" s="6" t="s">
        <v>128</v>
      </c>
      <c r="L357" s="6" t="s">
        <v>147</v>
      </c>
      <c r="M357" s="15" t="s">
        <v>1693</v>
      </c>
      <c r="N357" s="15" t="s">
        <v>1694</v>
      </c>
      <c r="O357" s="27" t="s">
        <v>1695</v>
      </c>
    </row>
    <row r="358" spans="1:15" s="1" customFormat="1" ht="13.5" customHeight="1">
      <c r="A358" s="3" t="s">
        <v>1668</v>
      </c>
      <c r="B358" s="4"/>
      <c r="C358" s="3"/>
      <c r="D358" s="5" t="s">
        <v>143</v>
      </c>
      <c r="E358" s="5" t="s">
        <v>124</v>
      </c>
      <c r="F358" s="3" t="s">
        <v>1696</v>
      </c>
      <c r="G358" s="6">
        <v>155.00899999999999</v>
      </c>
      <c r="H358" s="7">
        <v>41642</v>
      </c>
      <c r="I358" s="6" t="s">
        <v>209</v>
      </c>
      <c r="J358" s="6" t="s">
        <v>1697</v>
      </c>
      <c r="K358" s="6" t="s">
        <v>128</v>
      </c>
      <c r="L358" s="6" t="s">
        <v>147</v>
      </c>
      <c r="M358" s="15" t="s">
        <v>1698</v>
      </c>
      <c r="N358" s="15" t="s">
        <v>1699</v>
      </c>
      <c r="O358" s="27" t="s">
        <v>1700</v>
      </c>
    </row>
    <row r="359" spans="1:15" s="1" customFormat="1" ht="13.5" customHeight="1">
      <c r="A359" s="3" t="s">
        <v>205</v>
      </c>
      <c r="B359" s="4"/>
      <c r="C359" s="3"/>
      <c r="D359" s="5" t="s">
        <v>207</v>
      </c>
      <c r="E359" s="5" t="s">
        <v>124</v>
      </c>
      <c r="F359" s="3" t="s">
        <v>1701</v>
      </c>
      <c r="G359" s="6">
        <v>103.661</v>
      </c>
      <c r="H359" s="7">
        <v>41642</v>
      </c>
      <c r="I359" s="6" t="s">
        <v>209</v>
      </c>
      <c r="J359" s="6" t="s">
        <v>1702</v>
      </c>
      <c r="K359" s="6" t="s">
        <v>128</v>
      </c>
      <c r="L359" s="6" t="s">
        <v>1307</v>
      </c>
      <c r="M359" s="15" t="s">
        <v>1703</v>
      </c>
      <c r="N359" s="15" t="s">
        <v>1704</v>
      </c>
      <c r="O359" s="27" t="s">
        <v>1705</v>
      </c>
    </row>
    <row r="360" spans="1:15" s="1" customFormat="1" ht="13.5" customHeight="1">
      <c r="A360" s="3" t="s">
        <v>205</v>
      </c>
      <c r="B360" s="4"/>
      <c r="C360" s="3"/>
      <c r="D360" s="5" t="s">
        <v>207</v>
      </c>
      <c r="E360" s="5" t="s">
        <v>124</v>
      </c>
      <c r="F360" s="3" t="s">
        <v>1706</v>
      </c>
      <c r="G360" s="6">
        <v>172.68</v>
      </c>
      <c r="H360" s="7">
        <v>41642</v>
      </c>
      <c r="I360" s="6" t="s">
        <v>209</v>
      </c>
      <c r="J360" s="6" t="s">
        <v>1707</v>
      </c>
      <c r="K360" s="6" t="s">
        <v>128</v>
      </c>
      <c r="L360" s="6" t="s">
        <v>1708</v>
      </c>
      <c r="M360" s="15" t="s">
        <v>1709</v>
      </c>
      <c r="N360" s="15" t="s">
        <v>1710</v>
      </c>
      <c r="O360" s="27" t="s">
        <v>1711</v>
      </c>
    </row>
    <row r="361" spans="1:15" ht="13.5" customHeight="1">
      <c r="A361" s="3" t="s">
        <v>1018</v>
      </c>
      <c r="B361" s="4"/>
      <c r="C361" s="3"/>
      <c r="D361" s="5" t="s">
        <v>1019</v>
      </c>
      <c r="E361" s="5" t="s">
        <v>124</v>
      </c>
      <c r="F361" s="3" t="s">
        <v>1712</v>
      </c>
      <c r="G361" s="6">
        <v>207.65</v>
      </c>
      <c r="H361" s="7">
        <v>41642</v>
      </c>
      <c r="I361" s="6" t="s">
        <v>209</v>
      </c>
      <c r="J361" s="6" t="s">
        <v>1713</v>
      </c>
      <c r="K361" s="6" t="s">
        <v>128</v>
      </c>
      <c r="L361" s="6" t="s">
        <v>948</v>
      </c>
      <c r="M361" s="15" t="s">
        <v>1714</v>
      </c>
      <c r="N361" s="15" t="s">
        <v>950</v>
      </c>
      <c r="O361" s="27" t="s">
        <v>1715</v>
      </c>
    </row>
    <row r="362" spans="1:15" s="1" customFormat="1" ht="13.5" customHeight="1">
      <c r="A362" s="3" t="s">
        <v>1018</v>
      </c>
      <c r="B362" s="4"/>
      <c r="C362" s="3"/>
      <c r="D362" s="5" t="s">
        <v>1019</v>
      </c>
      <c r="E362" s="5" t="s">
        <v>124</v>
      </c>
      <c r="F362" s="3" t="s">
        <v>1716</v>
      </c>
      <c r="G362" s="6">
        <v>224.303</v>
      </c>
      <c r="H362" s="7">
        <v>41642</v>
      </c>
      <c r="I362" s="6" t="s">
        <v>209</v>
      </c>
      <c r="J362" s="6" t="s">
        <v>1717</v>
      </c>
      <c r="K362" s="6" t="s">
        <v>128</v>
      </c>
      <c r="L362" s="6" t="s">
        <v>954</v>
      </c>
      <c r="M362" s="15" t="s">
        <v>1718</v>
      </c>
      <c r="N362" s="15" t="s">
        <v>956</v>
      </c>
      <c r="O362" s="27" t="s">
        <v>1719</v>
      </c>
    </row>
    <row r="363" spans="1:15" s="1" customFormat="1" ht="13.5" customHeight="1">
      <c r="A363" s="3" t="s">
        <v>1018</v>
      </c>
      <c r="B363" s="4"/>
      <c r="C363" s="3"/>
      <c r="D363" s="5" t="s">
        <v>1019</v>
      </c>
      <c r="E363" s="5" t="s">
        <v>124</v>
      </c>
      <c r="F363" s="3" t="s">
        <v>1720</v>
      </c>
      <c r="G363" s="6">
        <v>190.422</v>
      </c>
      <c r="H363" s="7">
        <v>41642</v>
      </c>
      <c r="I363" s="6" t="s">
        <v>209</v>
      </c>
      <c r="J363" s="6" t="s">
        <v>1721</v>
      </c>
      <c r="K363" s="6" t="s">
        <v>128</v>
      </c>
      <c r="L363" s="6" t="s">
        <v>1722</v>
      </c>
      <c r="M363" s="15" t="s">
        <v>1723</v>
      </c>
      <c r="N363" s="15" t="s">
        <v>1724</v>
      </c>
      <c r="O363" s="27" t="s">
        <v>1725</v>
      </c>
    </row>
    <row r="364" spans="1:15" ht="13.5" customHeight="1">
      <c r="A364" s="3" t="s">
        <v>1018</v>
      </c>
      <c r="B364" s="4"/>
      <c r="C364" s="3"/>
      <c r="D364" s="5" t="s">
        <v>1019</v>
      </c>
      <c r="E364" s="5" t="s">
        <v>124</v>
      </c>
      <c r="F364" s="3" t="s">
        <v>1726</v>
      </c>
      <c r="G364" s="6">
        <v>155.95699999999999</v>
      </c>
      <c r="H364" s="7">
        <v>41642</v>
      </c>
      <c r="I364" s="6" t="s">
        <v>209</v>
      </c>
      <c r="J364" s="6" t="s">
        <v>1727</v>
      </c>
      <c r="K364" s="6" t="s">
        <v>128</v>
      </c>
      <c r="L364" s="6" t="s">
        <v>1728</v>
      </c>
      <c r="M364" s="15" t="s">
        <v>1729</v>
      </c>
      <c r="N364" s="15" t="s">
        <v>1730</v>
      </c>
      <c r="O364" s="27" t="s">
        <v>1731</v>
      </c>
    </row>
    <row r="365" spans="1:15" s="1" customFormat="1" ht="13.5" customHeight="1">
      <c r="A365" s="3" t="s">
        <v>1562</v>
      </c>
      <c r="B365" s="4"/>
      <c r="C365" s="3"/>
      <c r="D365" s="5" t="s">
        <v>1563</v>
      </c>
      <c r="E365" s="5" t="s">
        <v>124</v>
      </c>
      <c r="F365" s="3" t="s">
        <v>1732</v>
      </c>
      <c r="G365" s="6">
        <f>17.498*L365</f>
        <v>157.482</v>
      </c>
      <c r="H365" s="7">
        <v>41642</v>
      </c>
      <c r="I365" s="6" t="s">
        <v>265</v>
      </c>
      <c r="J365" s="6" t="s">
        <v>1733</v>
      </c>
      <c r="K365" s="6" t="s">
        <v>21</v>
      </c>
      <c r="L365" s="6">
        <v>9</v>
      </c>
      <c r="M365" s="15" t="s">
        <v>1566</v>
      </c>
      <c r="N365" s="15" t="s">
        <v>798</v>
      </c>
      <c r="O365" s="27" t="s">
        <v>1734</v>
      </c>
    </row>
    <row r="366" spans="1:15" s="1" customFormat="1" ht="13.5" customHeight="1">
      <c r="A366" s="3" t="s">
        <v>1072</v>
      </c>
      <c r="B366" s="4" t="s">
        <v>1735</v>
      </c>
      <c r="C366" s="3"/>
      <c r="D366" s="5"/>
      <c r="E366" s="5" t="s">
        <v>124</v>
      </c>
      <c r="F366" s="3" t="s">
        <v>1736</v>
      </c>
      <c r="G366" s="6" t="s">
        <v>1737</v>
      </c>
      <c r="H366" s="7">
        <v>41642</v>
      </c>
      <c r="I366" s="6"/>
      <c r="J366" s="6"/>
      <c r="K366" s="6"/>
      <c r="L366" s="6"/>
      <c r="M366" s="15"/>
      <c r="N366" s="15"/>
      <c r="O366" s="27" t="s">
        <v>1738</v>
      </c>
    </row>
    <row r="367" spans="1:15" s="1" customFormat="1" ht="13.5" customHeight="1">
      <c r="A367" s="22" t="s">
        <v>1739</v>
      </c>
      <c r="B367" s="4"/>
      <c r="C367" s="3"/>
      <c r="D367" s="5" t="s">
        <v>383</v>
      </c>
      <c r="E367" s="5" t="s">
        <v>124</v>
      </c>
      <c r="F367" s="3" t="s">
        <v>1740</v>
      </c>
      <c r="G367" s="6">
        <v>31.123000000000001</v>
      </c>
      <c r="H367" s="7">
        <v>41642</v>
      </c>
      <c r="I367" s="6" t="s">
        <v>209</v>
      </c>
      <c r="J367" s="6" t="s">
        <v>1741</v>
      </c>
      <c r="K367" s="6" t="s">
        <v>128</v>
      </c>
      <c r="L367" s="6" t="s">
        <v>642</v>
      </c>
      <c r="M367" s="15" t="s">
        <v>1742</v>
      </c>
      <c r="N367" s="15" t="s">
        <v>1743</v>
      </c>
      <c r="O367" s="27" t="s">
        <v>1744</v>
      </c>
    </row>
    <row r="368" spans="1:15" s="1" customFormat="1" ht="13.5" customHeight="1">
      <c r="A368" s="5" t="s">
        <v>1127</v>
      </c>
      <c r="B368" s="4"/>
      <c r="C368" s="3"/>
      <c r="D368" s="5" t="s">
        <v>1128</v>
      </c>
      <c r="E368" s="5" t="s">
        <v>7026</v>
      </c>
      <c r="F368" s="3" t="s">
        <v>7150</v>
      </c>
      <c r="G368" s="6">
        <f>29.101*L368</f>
        <v>174.60599999999999</v>
      </c>
      <c r="H368" s="7">
        <v>41642</v>
      </c>
      <c r="I368" s="6" t="s">
        <v>178</v>
      </c>
      <c r="J368" s="6" t="s">
        <v>7151</v>
      </c>
      <c r="K368" s="6" t="s">
        <v>21</v>
      </c>
      <c r="L368" s="6">
        <v>6</v>
      </c>
      <c r="M368" s="15" t="s">
        <v>7152</v>
      </c>
      <c r="N368" s="15" t="s">
        <v>787</v>
      </c>
      <c r="O368" s="27" t="s">
        <v>7153</v>
      </c>
    </row>
    <row r="369" spans="1:15" s="1" customFormat="1" ht="13.5" customHeight="1">
      <c r="A369" s="5" t="s">
        <v>1127</v>
      </c>
      <c r="B369" s="4"/>
      <c r="C369" s="3"/>
      <c r="D369" s="5" t="s">
        <v>1128</v>
      </c>
      <c r="E369" s="5" t="s">
        <v>7026</v>
      </c>
      <c r="F369" s="3" t="s">
        <v>7154</v>
      </c>
      <c r="G369" s="6">
        <f>29.101*L369</f>
        <v>174.60599999999999</v>
      </c>
      <c r="H369" s="7">
        <v>41642</v>
      </c>
      <c r="I369" s="6" t="s">
        <v>178</v>
      </c>
      <c r="J369" s="6" t="s">
        <v>7155</v>
      </c>
      <c r="K369" s="6" t="s">
        <v>21</v>
      </c>
      <c r="L369" s="6">
        <v>6</v>
      </c>
      <c r="M369" s="15" t="s">
        <v>7152</v>
      </c>
      <c r="N369" s="15" t="s">
        <v>395</v>
      </c>
      <c r="O369" s="27" t="s">
        <v>7156</v>
      </c>
    </row>
    <row r="370" spans="1:15" s="1" customFormat="1" ht="13.5" customHeight="1">
      <c r="A370" s="5" t="s">
        <v>1127</v>
      </c>
      <c r="B370" s="4"/>
      <c r="C370" s="3"/>
      <c r="D370" s="5" t="s">
        <v>1128</v>
      </c>
      <c r="E370" s="5" t="s">
        <v>7026</v>
      </c>
      <c r="F370" s="3" t="s">
        <v>7157</v>
      </c>
      <c r="G370" s="6">
        <f>29.101*L370</f>
        <v>174.60599999999999</v>
      </c>
      <c r="H370" s="7">
        <v>41642</v>
      </c>
      <c r="I370" s="6" t="s">
        <v>178</v>
      </c>
      <c r="J370" s="6" t="s">
        <v>7158</v>
      </c>
      <c r="K370" s="6" t="s">
        <v>21</v>
      </c>
      <c r="L370" s="6">
        <v>6</v>
      </c>
      <c r="M370" s="15" t="s">
        <v>7152</v>
      </c>
      <c r="N370" s="15" t="s">
        <v>1137</v>
      </c>
      <c r="O370" s="27" t="s">
        <v>7159</v>
      </c>
    </row>
    <row r="371" spans="1:15" s="1" customFormat="1" ht="13.5" customHeight="1">
      <c r="A371" s="5" t="s">
        <v>1127</v>
      </c>
      <c r="B371" s="4"/>
      <c r="C371" s="3"/>
      <c r="D371" s="5" t="s">
        <v>1128</v>
      </c>
      <c r="E371" s="5" t="s">
        <v>7026</v>
      </c>
      <c r="F371" s="3" t="s">
        <v>7160</v>
      </c>
      <c r="G371" s="6">
        <f>29.101*L371</f>
        <v>203.70699999999999</v>
      </c>
      <c r="H371" s="7">
        <v>41642</v>
      </c>
      <c r="I371" s="6" t="s">
        <v>178</v>
      </c>
      <c r="J371" s="6" t="s">
        <v>7161</v>
      </c>
      <c r="K371" s="6" t="s">
        <v>21</v>
      </c>
      <c r="L371" s="6">
        <v>7</v>
      </c>
      <c r="M371" s="15" t="s">
        <v>7152</v>
      </c>
      <c r="N371" s="15" t="s">
        <v>1141</v>
      </c>
      <c r="O371" s="27" t="s">
        <v>7162</v>
      </c>
    </row>
    <row r="372" spans="1:15" s="1" customFormat="1" ht="13.5" customHeight="1">
      <c r="A372" s="5" t="s">
        <v>627</v>
      </c>
      <c r="B372" s="4"/>
      <c r="C372" s="3"/>
      <c r="D372" s="5" t="s">
        <v>443</v>
      </c>
      <c r="E372" s="5" t="s">
        <v>7026</v>
      </c>
      <c r="F372" s="3" t="s">
        <v>7163</v>
      </c>
      <c r="G372" s="6">
        <f>18.708*L372</f>
        <v>224.49599999999998</v>
      </c>
      <c r="H372" s="7">
        <v>41642</v>
      </c>
      <c r="I372" s="6" t="s">
        <v>265</v>
      </c>
      <c r="J372" s="6" t="s">
        <v>7164</v>
      </c>
      <c r="K372" s="6" t="s">
        <v>21</v>
      </c>
      <c r="L372" s="6">
        <v>12</v>
      </c>
      <c r="M372" s="15" t="s">
        <v>7165</v>
      </c>
      <c r="N372" s="15" t="s">
        <v>164</v>
      </c>
      <c r="O372" s="28" t="s">
        <v>7166</v>
      </c>
    </row>
    <row r="373" spans="1:15" s="1" customFormat="1" ht="13.5" customHeight="1">
      <c r="A373" s="5" t="s">
        <v>627</v>
      </c>
      <c r="B373" s="4"/>
      <c r="C373" s="3"/>
      <c r="D373" s="5" t="s">
        <v>443</v>
      </c>
      <c r="E373" s="5" t="s">
        <v>7026</v>
      </c>
      <c r="F373" s="3" t="s">
        <v>7167</v>
      </c>
      <c r="G373" s="6">
        <f>18.708*L373</f>
        <v>243.20399999999998</v>
      </c>
      <c r="H373" s="7">
        <v>41642</v>
      </c>
      <c r="I373" s="6" t="s">
        <v>265</v>
      </c>
      <c r="J373" s="6" t="s">
        <v>7168</v>
      </c>
      <c r="K373" s="6" t="s">
        <v>21</v>
      </c>
      <c r="L373" s="6">
        <v>13</v>
      </c>
      <c r="M373" s="15" t="s">
        <v>7165</v>
      </c>
      <c r="N373" s="15" t="s">
        <v>167</v>
      </c>
      <c r="O373" s="28" t="s">
        <v>7169</v>
      </c>
    </row>
    <row r="374" spans="1:15" ht="13.5" customHeight="1">
      <c r="A374" s="3" t="s">
        <v>1127</v>
      </c>
      <c r="B374" s="4"/>
      <c r="C374" s="3"/>
      <c r="D374" s="5" t="s">
        <v>1128</v>
      </c>
      <c r="E374" s="5" t="s">
        <v>124</v>
      </c>
      <c r="F374" s="3" t="s">
        <v>1745</v>
      </c>
      <c r="G374" s="6">
        <f t="shared" ref="G374:G382" si="8">29.101*L374</f>
        <v>349.21199999999999</v>
      </c>
      <c r="H374" s="7">
        <v>41646</v>
      </c>
      <c r="I374" s="6" t="s">
        <v>178</v>
      </c>
      <c r="J374" s="6" t="s">
        <v>1746</v>
      </c>
      <c r="K374" s="6" t="s">
        <v>21</v>
      </c>
      <c r="L374" s="6">
        <v>12</v>
      </c>
      <c r="M374" s="15" t="s">
        <v>1747</v>
      </c>
      <c r="N374" s="31" t="s">
        <v>1748</v>
      </c>
      <c r="O374" s="27" t="s">
        <v>1747</v>
      </c>
    </row>
    <row r="375" spans="1:15" ht="13.5" customHeight="1">
      <c r="A375" s="3" t="s">
        <v>1127</v>
      </c>
      <c r="B375" s="4"/>
      <c r="C375" s="3"/>
      <c r="D375" s="5" t="s">
        <v>1128</v>
      </c>
      <c r="E375" s="5" t="s">
        <v>124</v>
      </c>
      <c r="F375" s="3" t="s">
        <v>1749</v>
      </c>
      <c r="G375" s="6">
        <f t="shared" si="8"/>
        <v>232.80799999999999</v>
      </c>
      <c r="H375" s="7">
        <v>41646</v>
      </c>
      <c r="I375" s="6" t="s">
        <v>178</v>
      </c>
      <c r="J375" s="6" t="s">
        <v>1750</v>
      </c>
      <c r="K375" s="6" t="s">
        <v>21</v>
      </c>
      <c r="L375" s="6">
        <v>8</v>
      </c>
      <c r="M375" s="15" t="s">
        <v>1751</v>
      </c>
      <c r="N375" s="31" t="s">
        <v>1748</v>
      </c>
      <c r="O375" s="27" t="s">
        <v>1751</v>
      </c>
    </row>
    <row r="376" spans="1:15" s="1" customFormat="1" ht="13.5" customHeight="1">
      <c r="A376" s="3" t="s">
        <v>1127</v>
      </c>
      <c r="B376" s="4"/>
      <c r="C376" s="3"/>
      <c r="D376" s="5" t="s">
        <v>1128</v>
      </c>
      <c r="E376" s="5" t="s">
        <v>124</v>
      </c>
      <c r="F376" s="3" t="s">
        <v>1752</v>
      </c>
      <c r="G376" s="6">
        <f t="shared" si="8"/>
        <v>203.70699999999999</v>
      </c>
      <c r="H376" s="7">
        <v>41646</v>
      </c>
      <c r="I376" s="6" t="s">
        <v>178</v>
      </c>
      <c r="J376" s="6" t="s">
        <v>1753</v>
      </c>
      <c r="K376" s="6" t="s">
        <v>21</v>
      </c>
      <c r="L376" s="6">
        <v>7</v>
      </c>
      <c r="M376" s="15" t="s">
        <v>1754</v>
      </c>
      <c r="N376" s="31" t="s">
        <v>1748</v>
      </c>
      <c r="O376" s="27" t="s">
        <v>1754</v>
      </c>
    </row>
    <row r="377" spans="1:15" s="1" customFormat="1" ht="13.5" customHeight="1">
      <c r="A377" s="3" t="s">
        <v>1127</v>
      </c>
      <c r="B377" s="4"/>
      <c r="C377" s="3"/>
      <c r="D377" s="5" t="s">
        <v>1128</v>
      </c>
      <c r="E377" s="5" t="s">
        <v>124</v>
      </c>
      <c r="F377" s="3" t="s">
        <v>1755</v>
      </c>
      <c r="G377" s="6">
        <f t="shared" si="8"/>
        <v>232.80799999999999</v>
      </c>
      <c r="H377" s="7">
        <v>41646</v>
      </c>
      <c r="I377" s="6" t="s">
        <v>178</v>
      </c>
      <c r="J377" s="6" t="s">
        <v>1756</v>
      </c>
      <c r="K377" s="6" t="s">
        <v>21</v>
      </c>
      <c r="L377" s="6">
        <v>8</v>
      </c>
      <c r="M377" s="15" t="s">
        <v>1754</v>
      </c>
      <c r="N377" s="31" t="s">
        <v>1748</v>
      </c>
      <c r="O377" s="27" t="s">
        <v>1757</v>
      </c>
    </row>
    <row r="378" spans="1:15" s="1" customFormat="1" ht="13.5" customHeight="1">
      <c r="A378" s="3" t="s">
        <v>1127</v>
      </c>
      <c r="B378" s="4"/>
      <c r="C378" s="3"/>
      <c r="D378" s="5" t="s">
        <v>1128</v>
      </c>
      <c r="E378" s="5" t="s">
        <v>124</v>
      </c>
      <c r="F378" s="3" t="s">
        <v>1758</v>
      </c>
      <c r="G378" s="6">
        <f t="shared" si="8"/>
        <v>232.80799999999999</v>
      </c>
      <c r="H378" s="7">
        <v>41646</v>
      </c>
      <c r="I378" s="6" t="s">
        <v>178</v>
      </c>
      <c r="J378" s="6" t="s">
        <v>1759</v>
      </c>
      <c r="K378" s="6" t="s">
        <v>21</v>
      </c>
      <c r="L378" s="6">
        <v>8</v>
      </c>
      <c r="M378" s="15" t="s">
        <v>1754</v>
      </c>
      <c r="N378" s="31" t="s">
        <v>1748</v>
      </c>
      <c r="O378" s="27" t="s">
        <v>1760</v>
      </c>
    </row>
    <row r="379" spans="1:15" s="1" customFormat="1" ht="13.5" customHeight="1">
      <c r="A379" s="3" t="s">
        <v>1127</v>
      </c>
      <c r="B379" s="4"/>
      <c r="C379" s="3"/>
      <c r="D379" s="5" t="s">
        <v>1128</v>
      </c>
      <c r="E379" s="5" t="s">
        <v>124</v>
      </c>
      <c r="F379" s="3" t="s">
        <v>1761</v>
      </c>
      <c r="G379" s="6">
        <f t="shared" si="8"/>
        <v>203.70699999999999</v>
      </c>
      <c r="H379" s="7">
        <v>41646</v>
      </c>
      <c r="I379" s="6" t="s">
        <v>178</v>
      </c>
      <c r="J379" s="6" t="s">
        <v>1762</v>
      </c>
      <c r="K379" s="6" t="s">
        <v>21</v>
      </c>
      <c r="L379" s="6">
        <v>7</v>
      </c>
      <c r="M379" s="15" t="s">
        <v>1763</v>
      </c>
      <c r="N379" s="31" t="s">
        <v>1748</v>
      </c>
      <c r="O379" s="27" t="s">
        <v>1763</v>
      </c>
    </row>
    <row r="380" spans="1:15" s="1" customFormat="1" ht="13.5" customHeight="1">
      <c r="A380" s="3" t="s">
        <v>1127</v>
      </c>
      <c r="B380" s="4"/>
      <c r="C380" s="3"/>
      <c r="D380" s="5" t="s">
        <v>1128</v>
      </c>
      <c r="E380" s="5" t="s">
        <v>124</v>
      </c>
      <c r="F380" s="3" t="s">
        <v>1764</v>
      </c>
      <c r="G380" s="6">
        <f t="shared" si="8"/>
        <v>291.01</v>
      </c>
      <c r="H380" s="7">
        <v>41646</v>
      </c>
      <c r="I380" s="6" t="s">
        <v>178</v>
      </c>
      <c r="J380" s="6" t="s">
        <v>1765</v>
      </c>
      <c r="K380" s="6" t="s">
        <v>21</v>
      </c>
      <c r="L380" s="6">
        <v>10</v>
      </c>
      <c r="M380" s="15" t="s">
        <v>1766</v>
      </c>
      <c r="N380" s="31" t="s">
        <v>1748</v>
      </c>
      <c r="O380" s="27" t="s">
        <v>1766</v>
      </c>
    </row>
    <row r="381" spans="1:15" s="1" customFormat="1" ht="13.5" customHeight="1">
      <c r="A381" s="3" t="s">
        <v>1127</v>
      </c>
      <c r="B381" s="4"/>
      <c r="C381" s="3"/>
      <c r="D381" s="5" t="s">
        <v>1128</v>
      </c>
      <c r="E381" s="5" t="s">
        <v>124</v>
      </c>
      <c r="F381" s="3" t="s">
        <v>1767</v>
      </c>
      <c r="G381" s="6">
        <f t="shared" si="8"/>
        <v>291.01</v>
      </c>
      <c r="H381" s="7">
        <v>41646</v>
      </c>
      <c r="I381" s="6" t="s">
        <v>178</v>
      </c>
      <c r="J381" s="6" t="s">
        <v>1768</v>
      </c>
      <c r="K381" s="6" t="s">
        <v>21</v>
      </c>
      <c r="L381" s="6">
        <v>10</v>
      </c>
      <c r="M381" s="15" t="s">
        <v>1766</v>
      </c>
      <c r="N381" s="31" t="s">
        <v>1748</v>
      </c>
      <c r="O381" s="27" t="s">
        <v>1769</v>
      </c>
    </row>
    <row r="382" spans="1:15" ht="13.5" customHeight="1">
      <c r="A382" s="3" t="s">
        <v>1127</v>
      </c>
      <c r="B382" s="4"/>
      <c r="C382" s="3"/>
      <c r="D382" s="5" t="s">
        <v>1128</v>
      </c>
      <c r="E382" s="5" t="s">
        <v>124</v>
      </c>
      <c r="F382" s="3" t="s">
        <v>1770</v>
      </c>
      <c r="G382" s="6">
        <f t="shared" si="8"/>
        <v>232.80799999999999</v>
      </c>
      <c r="H382" s="7">
        <v>41646</v>
      </c>
      <c r="I382" s="6" t="s">
        <v>178</v>
      </c>
      <c r="J382" s="6" t="s">
        <v>1771</v>
      </c>
      <c r="K382" s="6" t="s">
        <v>21</v>
      </c>
      <c r="L382" s="6">
        <v>8</v>
      </c>
      <c r="M382" s="15" t="s">
        <v>1772</v>
      </c>
      <c r="N382" s="31" t="s">
        <v>1748</v>
      </c>
      <c r="O382" s="27" t="s">
        <v>1772</v>
      </c>
    </row>
    <row r="383" spans="1:15" ht="13.5" customHeight="1">
      <c r="A383" s="3" t="s">
        <v>1773</v>
      </c>
      <c r="B383" s="4"/>
      <c r="C383" s="3"/>
      <c r="D383" s="5" t="s">
        <v>552</v>
      </c>
      <c r="E383" s="5" t="s">
        <v>124</v>
      </c>
      <c r="F383" s="3" t="s">
        <v>1774</v>
      </c>
      <c r="G383" s="6">
        <f>17.52*L383</f>
        <v>35.04</v>
      </c>
      <c r="H383" s="7">
        <v>41648</v>
      </c>
      <c r="I383" s="6" t="s">
        <v>265</v>
      </c>
      <c r="J383" s="6" t="s">
        <v>1775</v>
      </c>
      <c r="K383" s="6" t="s">
        <v>21</v>
      </c>
      <c r="L383" s="6">
        <v>2</v>
      </c>
      <c r="M383" s="15" t="s">
        <v>1776</v>
      </c>
      <c r="N383" s="15" t="s">
        <v>1777</v>
      </c>
      <c r="O383" s="27" t="s">
        <v>1776</v>
      </c>
    </row>
    <row r="384" spans="1:15" s="1" customFormat="1" ht="13.5" customHeight="1">
      <c r="A384" s="3" t="s">
        <v>772</v>
      </c>
      <c r="B384" s="4"/>
      <c r="C384" s="3"/>
      <c r="D384" s="5" t="s">
        <v>773</v>
      </c>
      <c r="E384" s="5" t="s">
        <v>124</v>
      </c>
      <c r="F384" s="3" t="s">
        <v>1778</v>
      </c>
      <c r="G384" s="6">
        <f>18.708*L384</f>
        <v>187.07999999999998</v>
      </c>
      <c r="H384" s="7">
        <v>41648</v>
      </c>
      <c r="I384" s="6" t="s">
        <v>265</v>
      </c>
      <c r="J384" s="6" t="s">
        <v>1779</v>
      </c>
      <c r="K384" s="6" t="s">
        <v>21</v>
      </c>
      <c r="L384" s="6">
        <v>10</v>
      </c>
      <c r="M384" s="15" t="s">
        <v>1780</v>
      </c>
      <c r="N384" s="15" t="s">
        <v>35</v>
      </c>
      <c r="O384" s="27" t="s">
        <v>1780</v>
      </c>
    </row>
    <row r="385" spans="1:15" ht="13.5" customHeight="1">
      <c r="A385" s="3" t="s">
        <v>1087</v>
      </c>
      <c r="B385" s="3" t="s">
        <v>283</v>
      </c>
      <c r="C385" s="3"/>
      <c r="D385" s="5" t="s">
        <v>1088</v>
      </c>
      <c r="E385" s="5" t="s">
        <v>124</v>
      </c>
      <c r="F385" s="3" t="s">
        <v>1781</v>
      </c>
      <c r="G385" s="6">
        <f>9.804*L385</f>
        <v>117.648</v>
      </c>
      <c r="H385" s="7">
        <v>41648</v>
      </c>
      <c r="I385" s="6" t="s">
        <v>1090</v>
      </c>
      <c r="J385" s="6" t="s">
        <v>1782</v>
      </c>
      <c r="K385" s="6" t="s">
        <v>21</v>
      </c>
      <c r="L385" s="6">
        <v>12</v>
      </c>
      <c r="M385" s="15" t="s">
        <v>1783</v>
      </c>
      <c r="N385" s="15" t="s">
        <v>1784</v>
      </c>
      <c r="O385" s="27" t="s">
        <v>1783</v>
      </c>
    </row>
    <row r="386" spans="1:15" ht="13.5" customHeight="1">
      <c r="A386" s="3" t="s">
        <v>1087</v>
      </c>
      <c r="B386" s="3" t="s">
        <v>283</v>
      </c>
      <c r="C386" s="3"/>
      <c r="D386" s="5" t="s">
        <v>1088</v>
      </c>
      <c r="E386" s="5" t="s">
        <v>124</v>
      </c>
      <c r="F386" s="3" t="s">
        <v>1785</v>
      </c>
      <c r="G386" s="6">
        <f>9.804*L386</f>
        <v>117.648</v>
      </c>
      <c r="H386" s="7">
        <v>41648</v>
      </c>
      <c r="I386" s="6" t="s">
        <v>1090</v>
      </c>
      <c r="J386" s="6" t="s">
        <v>1786</v>
      </c>
      <c r="K386" s="6" t="s">
        <v>21</v>
      </c>
      <c r="L386" s="6">
        <v>12</v>
      </c>
      <c r="M386" s="15" t="s">
        <v>1783</v>
      </c>
      <c r="N386" s="15" t="s">
        <v>1211</v>
      </c>
      <c r="O386" s="27" t="s">
        <v>1787</v>
      </c>
    </row>
    <row r="387" spans="1:15" s="1" customFormat="1" ht="13.5" customHeight="1">
      <c r="A387" s="3" t="s">
        <v>1087</v>
      </c>
      <c r="B387" s="3" t="s">
        <v>283</v>
      </c>
      <c r="C387" s="3"/>
      <c r="D387" s="5" t="s">
        <v>1088</v>
      </c>
      <c r="E387" s="5" t="s">
        <v>124</v>
      </c>
      <c r="F387" s="3" t="s">
        <v>1788</v>
      </c>
      <c r="G387" s="6">
        <f>9.804*L387</f>
        <v>117.648</v>
      </c>
      <c r="H387" s="7">
        <v>41648</v>
      </c>
      <c r="I387" s="6" t="s">
        <v>1090</v>
      </c>
      <c r="J387" s="6" t="s">
        <v>1789</v>
      </c>
      <c r="K387" s="6" t="s">
        <v>21</v>
      </c>
      <c r="L387" s="6">
        <v>12</v>
      </c>
      <c r="M387" s="15" t="s">
        <v>1790</v>
      </c>
      <c r="N387" s="15" t="s">
        <v>164</v>
      </c>
      <c r="O387" s="27" t="s">
        <v>1790</v>
      </c>
    </row>
    <row r="388" spans="1:15" s="1" customFormat="1" ht="13.5" customHeight="1">
      <c r="A388" s="3" t="s">
        <v>442</v>
      </c>
      <c r="B388" s="4"/>
      <c r="C388" s="3"/>
      <c r="D388" s="5" t="s">
        <v>443</v>
      </c>
      <c r="E388" s="5" t="s">
        <v>124</v>
      </c>
      <c r="F388" s="3" t="s">
        <v>1791</v>
      </c>
      <c r="G388" s="6">
        <f>18.708*L388</f>
        <v>93.539999999999992</v>
      </c>
      <c r="H388" s="7">
        <v>41648</v>
      </c>
      <c r="I388" s="6" t="s">
        <v>247</v>
      </c>
      <c r="J388" s="6" t="s">
        <v>1792</v>
      </c>
      <c r="K388" s="6" t="s">
        <v>21</v>
      </c>
      <c r="L388" s="6">
        <v>5</v>
      </c>
      <c r="M388" s="15" t="s">
        <v>1793</v>
      </c>
      <c r="N388" s="15" t="s">
        <v>59</v>
      </c>
      <c r="O388" s="27" t="s">
        <v>1793</v>
      </c>
    </row>
    <row r="389" spans="1:15" ht="13.5" customHeight="1">
      <c r="A389" s="3" t="s">
        <v>904</v>
      </c>
      <c r="B389" s="4"/>
      <c r="C389" s="3"/>
      <c r="D389" s="5" t="s">
        <v>905</v>
      </c>
      <c r="E389" s="5" t="s">
        <v>124</v>
      </c>
      <c r="F389" s="3" t="s">
        <v>1794</v>
      </c>
      <c r="G389" s="6">
        <f>17.498*L389</f>
        <v>104.988</v>
      </c>
      <c r="H389" s="7">
        <v>41648</v>
      </c>
      <c r="I389" s="6" t="s">
        <v>907</v>
      </c>
      <c r="J389" s="6" t="s">
        <v>1795</v>
      </c>
      <c r="K389" s="6" t="s">
        <v>21</v>
      </c>
      <c r="L389" s="6">
        <v>6</v>
      </c>
      <c r="M389" s="15" t="s">
        <v>909</v>
      </c>
      <c r="N389" s="15" t="s">
        <v>1070</v>
      </c>
      <c r="O389" s="27" t="s">
        <v>1796</v>
      </c>
    </row>
    <row r="390" spans="1:15" ht="13.5" customHeight="1">
      <c r="A390" s="3" t="s">
        <v>460</v>
      </c>
      <c r="B390" s="4"/>
      <c r="C390" s="3"/>
      <c r="D390" s="5" t="s">
        <v>461</v>
      </c>
      <c r="E390" s="5" t="s">
        <v>124</v>
      </c>
      <c r="F390" s="3" t="s">
        <v>1797</v>
      </c>
      <c r="G390" s="6">
        <f>14.405*L390</f>
        <v>72.024999999999991</v>
      </c>
      <c r="H390" s="7">
        <v>41648</v>
      </c>
      <c r="I390" s="6" t="s">
        <v>265</v>
      </c>
      <c r="J390" s="6" t="s">
        <v>1798</v>
      </c>
      <c r="K390" s="6" t="s">
        <v>21</v>
      </c>
      <c r="L390" s="6">
        <v>5</v>
      </c>
      <c r="M390" s="15" t="s">
        <v>1799</v>
      </c>
      <c r="N390" s="15" t="s">
        <v>59</v>
      </c>
      <c r="O390" s="27" t="s">
        <v>1799</v>
      </c>
    </row>
    <row r="391" spans="1:15" ht="13.5" customHeight="1">
      <c r="A391" s="3" t="s">
        <v>1108</v>
      </c>
      <c r="B391" s="4"/>
      <c r="C391" s="3"/>
      <c r="D391" s="5" t="s">
        <v>391</v>
      </c>
      <c r="E391" s="5" t="s">
        <v>124</v>
      </c>
      <c r="F391" s="3" t="s">
        <v>1800</v>
      </c>
      <c r="G391" s="6">
        <f>17.712*L391</f>
        <v>141.696</v>
      </c>
      <c r="H391" s="7">
        <v>41648</v>
      </c>
      <c r="I391" s="6" t="s">
        <v>265</v>
      </c>
      <c r="J391" s="6" t="s">
        <v>1801</v>
      </c>
      <c r="K391" s="6" t="s">
        <v>21</v>
      </c>
      <c r="L391" s="6">
        <v>8</v>
      </c>
      <c r="M391" s="15" t="s">
        <v>1802</v>
      </c>
      <c r="N391" s="15" t="s">
        <v>1803</v>
      </c>
      <c r="O391" s="27" t="s">
        <v>1802</v>
      </c>
    </row>
    <row r="392" spans="1:15" s="1" customFormat="1" ht="13.5" customHeight="1">
      <c r="A392" s="3" t="s">
        <v>1108</v>
      </c>
      <c r="B392" s="4"/>
      <c r="C392" s="3"/>
      <c r="D392" s="5" t="s">
        <v>391</v>
      </c>
      <c r="E392" s="5" t="s">
        <v>124</v>
      </c>
      <c r="F392" s="3" t="s">
        <v>1804</v>
      </c>
      <c r="G392" s="6">
        <f>17.712*L392</f>
        <v>141.696</v>
      </c>
      <c r="H392" s="7">
        <v>41648</v>
      </c>
      <c r="I392" s="6" t="s">
        <v>265</v>
      </c>
      <c r="J392" s="6" t="s">
        <v>1805</v>
      </c>
      <c r="K392" s="6" t="s">
        <v>21</v>
      </c>
      <c r="L392" s="6">
        <v>8</v>
      </c>
      <c r="M392" s="15" t="s">
        <v>1802</v>
      </c>
      <c r="N392" s="15" t="s">
        <v>499</v>
      </c>
      <c r="O392" s="27" t="s">
        <v>1806</v>
      </c>
    </row>
    <row r="393" spans="1:15" ht="13.5" customHeight="1">
      <c r="A393" s="3" t="s">
        <v>494</v>
      </c>
      <c r="B393" s="4"/>
      <c r="C393" s="3"/>
      <c r="D393" s="5" t="s">
        <v>495</v>
      </c>
      <c r="E393" s="5" t="s">
        <v>124</v>
      </c>
      <c r="F393" s="3" t="s">
        <v>1807</v>
      </c>
      <c r="G393" s="6">
        <f>12.838*L393</f>
        <v>38.513999999999996</v>
      </c>
      <c r="H393" s="7">
        <v>41649</v>
      </c>
      <c r="I393" s="6" t="s">
        <v>471</v>
      </c>
      <c r="J393" s="6" t="s">
        <v>1808</v>
      </c>
      <c r="K393" s="6" t="s">
        <v>21</v>
      </c>
      <c r="L393" s="6">
        <v>3</v>
      </c>
      <c r="M393" s="15" t="s">
        <v>1809</v>
      </c>
      <c r="N393" s="15" t="s">
        <v>657</v>
      </c>
      <c r="O393" s="27" t="s">
        <v>1809</v>
      </c>
    </row>
    <row r="394" spans="1:15" ht="13.5" customHeight="1">
      <c r="A394" s="3" t="s">
        <v>1810</v>
      </c>
      <c r="B394" s="4"/>
      <c r="C394" s="3"/>
      <c r="D394" s="5" t="s">
        <v>717</v>
      </c>
      <c r="E394" s="5" t="s">
        <v>124</v>
      </c>
      <c r="F394" s="3" t="s">
        <v>1811</v>
      </c>
      <c r="G394" s="6">
        <v>30.925999999999998</v>
      </c>
      <c r="H394" s="7">
        <v>41649</v>
      </c>
      <c r="I394" s="6" t="s">
        <v>209</v>
      </c>
      <c r="J394" s="6" t="s">
        <v>1812</v>
      </c>
      <c r="K394" s="6" t="s">
        <v>128</v>
      </c>
      <c r="L394" s="6" t="s">
        <v>642</v>
      </c>
      <c r="M394" s="15" t="s">
        <v>1813</v>
      </c>
      <c r="N394" s="15" t="s">
        <v>1814</v>
      </c>
      <c r="O394" s="27" t="s">
        <v>1815</v>
      </c>
    </row>
    <row r="395" spans="1:15" ht="13.5" customHeight="1">
      <c r="A395" s="3" t="s">
        <v>1739</v>
      </c>
      <c r="B395" s="4"/>
      <c r="C395" s="3"/>
      <c r="D395" s="5" t="s">
        <v>383</v>
      </c>
      <c r="E395" s="5" t="s">
        <v>124</v>
      </c>
      <c r="F395" s="3" t="s">
        <v>1816</v>
      </c>
      <c r="G395" s="6">
        <v>76.760000000000005</v>
      </c>
      <c r="H395" s="7">
        <v>41649</v>
      </c>
      <c r="I395" s="6" t="s">
        <v>209</v>
      </c>
      <c r="J395" s="6" t="s">
        <v>1817</v>
      </c>
      <c r="K395" s="6" t="s">
        <v>128</v>
      </c>
      <c r="L395" s="6" t="s">
        <v>720</v>
      </c>
      <c r="M395" s="15" t="s">
        <v>1818</v>
      </c>
      <c r="N395" s="15" t="s">
        <v>1819</v>
      </c>
      <c r="O395" s="27" t="s">
        <v>1820</v>
      </c>
    </row>
    <row r="396" spans="1:15" ht="13.5" customHeight="1">
      <c r="A396" s="3" t="s">
        <v>1534</v>
      </c>
      <c r="B396" s="4"/>
      <c r="C396" s="3"/>
      <c r="D396" s="5" t="s">
        <v>1535</v>
      </c>
      <c r="E396" s="5" t="s">
        <v>124</v>
      </c>
      <c r="F396" s="3" t="s">
        <v>1821</v>
      </c>
      <c r="G396" s="6">
        <v>201.60300000000001</v>
      </c>
      <c r="H396" s="7">
        <v>41649</v>
      </c>
      <c r="I396" s="6" t="s">
        <v>209</v>
      </c>
      <c r="J396" s="6" t="s">
        <v>1822</v>
      </c>
      <c r="K396" s="6" t="s">
        <v>128</v>
      </c>
      <c r="L396" s="6" t="s">
        <v>1823</v>
      </c>
      <c r="M396" s="15" t="s">
        <v>1824</v>
      </c>
      <c r="N396" s="15" t="s">
        <v>1825</v>
      </c>
      <c r="O396" s="27" t="s">
        <v>1826</v>
      </c>
    </row>
    <row r="397" spans="1:15" ht="13.5" customHeight="1">
      <c r="A397" s="3" t="s">
        <v>1534</v>
      </c>
      <c r="B397" s="4"/>
      <c r="C397" s="3"/>
      <c r="D397" s="5" t="s">
        <v>1535</v>
      </c>
      <c r="E397" s="5" t="s">
        <v>124</v>
      </c>
      <c r="F397" s="3" t="s">
        <v>1827</v>
      </c>
      <c r="G397" s="6">
        <v>201.423</v>
      </c>
      <c r="H397" s="7">
        <v>41649</v>
      </c>
      <c r="I397" s="6" t="s">
        <v>209</v>
      </c>
      <c r="J397" s="6" t="s">
        <v>1828</v>
      </c>
      <c r="K397" s="6" t="s">
        <v>128</v>
      </c>
      <c r="L397" s="6" t="s">
        <v>1823</v>
      </c>
      <c r="M397" s="15" t="s">
        <v>1829</v>
      </c>
      <c r="N397" s="15" t="s">
        <v>1830</v>
      </c>
      <c r="O397" s="27" t="s">
        <v>1831</v>
      </c>
    </row>
    <row r="398" spans="1:15" s="1" customFormat="1" ht="13.5" customHeight="1">
      <c r="A398" s="3" t="s">
        <v>1534</v>
      </c>
      <c r="B398" s="4"/>
      <c r="C398" s="3"/>
      <c r="D398" s="5" t="s">
        <v>1535</v>
      </c>
      <c r="E398" s="5" t="s">
        <v>124</v>
      </c>
      <c r="F398" s="3" t="s">
        <v>1832</v>
      </c>
      <c r="G398" s="6">
        <v>142.346</v>
      </c>
      <c r="H398" s="7">
        <v>41649</v>
      </c>
      <c r="I398" s="6" t="s">
        <v>209</v>
      </c>
      <c r="J398" s="6" t="s">
        <v>1833</v>
      </c>
      <c r="K398" s="6" t="s">
        <v>128</v>
      </c>
      <c r="L398" s="6" t="s">
        <v>1641</v>
      </c>
      <c r="M398" s="15" t="s">
        <v>1834</v>
      </c>
      <c r="N398" s="15" t="s">
        <v>1835</v>
      </c>
      <c r="O398" s="27" t="s">
        <v>1836</v>
      </c>
    </row>
    <row r="399" spans="1:15" s="1" customFormat="1" ht="13.5" customHeight="1">
      <c r="A399" s="3" t="s">
        <v>678</v>
      </c>
      <c r="B399" s="4"/>
      <c r="C399" s="3"/>
      <c r="D399" s="5" t="s">
        <v>679</v>
      </c>
      <c r="E399" s="5" t="s">
        <v>124</v>
      </c>
      <c r="F399" s="3" t="s">
        <v>1837</v>
      </c>
      <c r="G399" s="6">
        <v>35.04</v>
      </c>
      <c r="H399" s="7">
        <v>41649</v>
      </c>
      <c r="I399" s="6" t="s">
        <v>209</v>
      </c>
      <c r="J399" s="6" t="s">
        <v>1838</v>
      </c>
      <c r="K399" s="6" t="s">
        <v>128</v>
      </c>
      <c r="L399" s="6" t="s">
        <v>682</v>
      </c>
      <c r="M399" s="15" t="s">
        <v>1839</v>
      </c>
      <c r="N399" s="15" t="s">
        <v>1840</v>
      </c>
      <c r="O399" s="27" t="s">
        <v>1841</v>
      </c>
    </row>
    <row r="400" spans="1:15" ht="13.5" customHeight="1">
      <c r="A400" s="3" t="s">
        <v>731</v>
      </c>
      <c r="B400" s="4"/>
      <c r="C400" s="3"/>
      <c r="D400" s="5" t="s">
        <v>732</v>
      </c>
      <c r="E400" s="5" t="s">
        <v>124</v>
      </c>
      <c r="F400" s="3" t="s">
        <v>1842</v>
      </c>
      <c r="G400" s="6">
        <v>103.374</v>
      </c>
      <c r="H400" s="7">
        <v>41649</v>
      </c>
      <c r="I400" s="6" t="s">
        <v>209</v>
      </c>
      <c r="J400" s="6" t="s">
        <v>1843</v>
      </c>
      <c r="K400" s="6" t="s">
        <v>128</v>
      </c>
      <c r="L400" s="6" t="s">
        <v>1844</v>
      </c>
      <c r="M400" s="15" t="s">
        <v>1845</v>
      </c>
      <c r="N400" s="15" t="s">
        <v>1846</v>
      </c>
      <c r="O400" s="27" t="s">
        <v>1847</v>
      </c>
    </row>
    <row r="401" spans="1:15" ht="13.5" customHeight="1">
      <c r="A401" s="3" t="s">
        <v>724</v>
      </c>
      <c r="B401" s="4"/>
      <c r="C401" s="3"/>
      <c r="D401" s="5" t="s">
        <v>725</v>
      </c>
      <c r="E401" s="5" t="s">
        <v>124</v>
      </c>
      <c r="F401" s="3" t="s">
        <v>1848</v>
      </c>
      <c r="G401" s="6">
        <v>87.6</v>
      </c>
      <c r="H401" s="7">
        <v>41649</v>
      </c>
      <c r="I401" s="6" t="s">
        <v>209</v>
      </c>
      <c r="J401" s="6" t="s">
        <v>1849</v>
      </c>
      <c r="K401" s="6" t="s">
        <v>128</v>
      </c>
      <c r="L401" s="6" t="s">
        <v>1850</v>
      </c>
      <c r="M401" s="15" t="s">
        <v>1851</v>
      </c>
      <c r="N401" s="15" t="s">
        <v>1852</v>
      </c>
      <c r="O401" s="27" t="s">
        <v>1853</v>
      </c>
    </row>
    <row r="402" spans="1:15" s="1" customFormat="1" ht="13.5" customHeight="1">
      <c r="A402" s="22" t="s">
        <v>1854</v>
      </c>
      <c r="B402" s="4"/>
      <c r="C402" s="3"/>
      <c r="D402" s="5" t="s">
        <v>1855</v>
      </c>
      <c r="E402" s="5" t="s">
        <v>124</v>
      </c>
      <c r="F402" s="3" t="s">
        <v>1856</v>
      </c>
      <c r="G402" s="6">
        <v>104.33</v>
      </c>
      <c r="H402" s="7">
        <v>41649</v>
      </c>
      <c r="I402" s="6" t="s">
        <v>209</v>
      </c>
      <c r="J402" s="6" t="s">
        <v>1857</v>
      </c>
      <c r="K402" s="6" t="s">
        <v>128</v>
      </c>
      <c r="L402" s="6" t="s">
        <v>1844</v>
      </c>
      <c r="M402" s="15" t="s">
        <v>1858</v>
      </c>
      <c r="N402" s="15" t="s">
        <v>1859</v>
      </c>
      <c r="O402" s="27" t="s">
        <v>1860</v>
      </c>
    </row>
    <row r="403" spans="1:15" ht="13.5" customHeight="1">
      <c r="A403" s="22" t="s">
        <v>1854</v>
      </c>
      <c r="B403" s="3" t="s">
        <v>1861</v>
      </c>
      <c r="C403" s="3"/>
      <c r="D403" s="5" t="s">
        <v>1855</v>
      </c>
      <c r="E403" s="5" t="s">
        <v>124</v>
      </c>
      <c r="F403" s="3" t="s">
        <v>1862</v>
      </c>
      <c r="G403" s="6">
        <v>49.548999999999999</v>
      </c>
      <c r="H403" s="7">
        <v>41649</v>
      </c>
      <c r="I403" s="6" t="s">
        <v>209</v>
      </c>
      <c r="J403" s="6" t="s">
        <v>1863</v>
      </c>
      <c r="K403" s="6" t="s">
        <v>128</v>
      </c>
      <c r="L403" s="6" t="s">
        <v>1864</v>
      </c>
      <c r="M403" s="15" t="s">
        <v>1865</v>
      </c>
      <c r="N403" s="15" t="s">
        <v>1866</v>
      </c>
      <c r="O403" s="27" t="s">
        <v>1867</v>
      </c>
    </row>
    <row r="404" spans="1:15" s="1" customFormat="1" ht="13.5" customHeight="1">
      <c r="A404" s="22" t="s">
        <v>1868</v>
      </c>
      <c r="B404" s="3" t="s">
        <v>15</v>
      </c>
      <c r="C404" s="3"/>
      <c r="D404" s="21" t="s">
        <v>536</v>
      </c>
      <c r="E404" s="5" t="s">
        <v>124</v>
      </c>
      <c r="F404" s="3" t="s">
        <v>1869</v>
      </c>
      <c r="G404" s="6">
        <v>30.616</v>
      </c>
      <c r="H404" s="7">
        <v>41649</v>
      </c>
      <c r="I404" s="6" t="s">
        <v>209</v>
      </c>
      <c r="J404" s="6" t="s">
        <v>1870</v>
      </c>
      <c r="K404" s="6" t="s">
        <v>128</v>
      </c>
      <c r="L404" s="6" t="s">
        <v>301</v>
      </c>
      <c r="M404" s="15" t="s">
        <v>1871</v>
      </c>
      <c r="N404" s="15" t="s">
        <v>1872</v>
      </c>
      <c r="O404" s="27" t="s">
        <v>1873</v>
      </c>
    </row>
    <row r="405" spans="1:15" s="1" customFormat="1" ht="13.5" customHeight="1">
      <c r="A405" s="3" t="s">
        <v>739</v>
      </c>
      <c r="B405" s="4"/>
      <c r="C405" s="3"/>
      <c r="D405" s="5" t="s">
        <v>740</v>
      </c>
      <c r="E405" s="5" t="s">
        <v>124</v>
      </c>
      <c r="F405" s="3" t="s">
        <v>1874</v>
      </c>
      <c r="G405" s="6">
        <v>13.465</v>
      </c>
      <c r="H405" s="7">
        <v>41649</v>
      </c>
      <c r="I405" s="6" t="s">
        <v>209</v>
      </c>
      <c r="J405" s="6" t="s">
        <v>1875</v>
      </c>
      <c r="K405" s="6" t="s">
        <v>128</v>
      </c>
      <c r="L405" s="6" t="s">
        <v>539</v>
      </c>
      <c r="M405" s="15" t="s">
        <v>1876</v>
      </c>
      <c r="N405" s="15" t="s">
        <v>1877</v>
      </c>
      <c r="O405" s="27" t="s">
        <v>1878</v>
      </c>
    </row>
    <row r="406" spans="1:15" ht="13.5" customHeight="1">
      <c r="A406" s="3" t="s">
        <v>262</v>
      </c>
      <c r="B406" s="4"/>
      <c r="C406" s="3"/>
      <c r="D406" s="5" t="s">
        <v>263</v>
      </c>
      <c r="E406" s="5" t="s">
        <v>124</v>
      </c>
      <c r="F406" s="3" t="s">
        <v>1879</v>
      </c>
      <c r="G406" s="6">
        <f>17.498*L406</f>
        <v>157.482</v>
      </c>
      <c r="H406" s="7">
        <v>41649</v>
      </c>
      <c r="I406" s="6" t="s">
        <v>265</v>
      </c>
      <c r="J406" s="6" t="s">
        <v>1880</v>
      </c>
      <c r="K406" s="6" t="s">
        <v>21</v>
      </c>
      <c r="L406" s="6">
        <v>9</v>
      </c>
      <c r="M406" s="15" t="s">
        <v>1881</v>
      </c>
      <c r="N406" s="15" t="s">
        <v>1882</v>
      </c>
      <c r="O406" s="27" t="s">
        <v>1881</v>
      </c>
    </row>
    <row r="407" spans="1:15" s="1" customFormat="1" ht="13.5" customHeight="1">
      <c r="A407" s="3" t="s">
        <v>1534</v>
      </c>
      <c r="B407" s="4"/>
      <c r="C407" s="3"/>
      <c r="D407" s="5" t="s">
        <v>1535</v>
      </c>
      <c r="E407" s="5" t="s">
        <v>124</v>
      </c>
      <c r="F407" s="3" t="s">
        <v>1883</v>
      </c>
      <c r="G407" s="6">
        <v>260.30700000000002</v>
      </c>
      <c r="H407" s="7">
        <v>41652</v>
      </c>
      <c r="I407" s="6" t="s">
        <v>209</v>
      </c>
      <c r="J407" s="6" t="s">
        <v>1884</v>
      </c>
      <c r="K407" s="6" t="s">
        <v>128</v>
      </c>
      <c r="L407" s="6" t="s">
        <v>1885</v>
      </c>
      <c r="M407" s="15" t="s">
        <v>1886</v>
      </c>
      <c r="N407" s="15" t="s">
        <v>1887</v>
      </c>
      <c r="O407" s="27" t="s">
        <v>1888</v>
      </c>
    </row>
    <row r="408" spans="1:15" ht="13.5" customHeight="1">
      <c r="A408" s="3" t="s">
        <v>1349</v>
      </c>
      <c r="B408" s="4"/>
      <c r="C408" s="3"/>
      <c r="D408" s="5" t="s">
        <v>1217</v>
      </c>
      <c r="E408" s="5" t="s">
        <v>124</v>
      </c>
      <c r="F408" s="3" t="s">
        <v>1889</v>
      </c>
      <c r="G408" s="6">
        <v>261.95400000000001</v>
      </c>
      <c r="H408" s="7">
        <v>41652</v>
      </c>
      <c r="I408" s="6" t="s">
        <v>178</v>
      </c>
      <c r="J408" s="6" t="s">
        <v>1890</v>
      </c>
      <c r="K408" s="6" t="s">
        <v>128</v>
      </c>
      <c r="L408" s="6" t="s">
        <v>1891</v>
      </c>
      <c r="M408" s="15" t="s">
        <v>1892</v>
      </c>
      <c r="N408" s="15" t="s">
        <v>1893</v>
      </c>
      <c r="O408" s="27" t="s">
        <v>1894</v>
      </c>
    </row>
    <row r="409" spans="1:15" ht="13.5" customHeight="1">
      <c r="A409" s="3" t="s">
        <v>460</v>
      </c>
      <c r="B409" s="4"/>
      <c r="C409" s="3"/>
      <c r="D409" s="5" t="s">
        <v>461</v>
      </c>
      <c r="E409" s="5" t="s">
        <v>124</v>
      </c>
      <c r="F409" s="3" t="s">
        <v>1895</v>
      </c>
      <c r="G409" s="6">
        <f>14.405*L409</f>
        <v>216.07499999999999</v>
      </c>
      <c r="H409" s="7">
        <v>41652</v>
      </c>
      <c r="I409" s="6" t="s">
        <v>265</v>
      </c>
      <c r="J409" s="6" t="s">
        <v>1896</v>
      </c>
      <c r="K409" s="6" t="s">
        <v>21</v>
      </c>
      <c r="L409" s="6">
        <v>15</v>
      </c>
      <c r="M409" s="15" t="s">
        <v>1897</v>
      </c>
      <c r="N409" s="15" t="s">
        <v>1898</v>
      </c>
      <c r="O409" s="27" t="s">
        <v>1897</v>
      </c>
    </row>
    <row r="410" spans="1:15" ht="13.5" customHeight="1">
      <c r="A410" s="3" t="s">
        <v>514</v>
      </c>
      <c r="B410" s="4"/>
      <c r="C410" s="3"/>
      <c r="D410" s="5" t="s">
        <v>461</v>
      </c>
      <c r="E410" s="5" t="s">
        <v>124</v>
      </c>
      <c r="F410" s="3" t="s">
        <v>1899</v>
      </c>
      <c r="G410" s="6">
        <f>14.405*L410</f>
        <v>86.429999999999993</v>
      </c>
      <c r="H410" s="7">
        <v>41652</v>
      </c>
      <c r="I410" s="6" t="s">
        <v>265</v>
      </c>
      <c r="J410" s="6" t="s">
        <v>1900</v>
      </c>
      <c r="K410" s="6" t="s">
        <v>21</v>
      </c>
      <c r="L410" s="6">
        <v>6</v>
      </c>
      <c r="M410" s="15" t="s">
        <v>1897</v>
      </c>
      <c r="N410" s="15" t="s">
        <v>1070</v>
      </c>
      <c r="O410" s="27" t="s">
        <v>1901</v>
      </c>
    </row>
    <row r="411" spans="1:15" ht="13.5" customHeight="1">
      <c r="A411" s="3" t="s">
        <v>1082</v>
      </c>
      <c r="B411" s="3" t="s">
        <v>283</v>
      </c>
      <c r="C411" s="3"/>
      <c r="D411" s="5" t="s">
        <v>1083</v>
      </c>
      <c r="E411" s="5" t="s">
        <v>124</v>
      </c>
      <c r="F411" s="3" t="s">
        <v>1902</v>
      </c>
      <c r="G411" s="6">
        <f>9.871*L411</f>
        <v>118.452</v>
      </c>
      <c r="H411" s="7">
        <v>41652</v>
      </c>
      <c r="I411" s="6" t="s">
        <v>161</v>
      </c>
      <c r="J411" s="6" t="s">
        <v>1903</v>
      </c>
      <c r="K411" s="6" t="s">
        <v>21</v>
      </c>
      <c r="L411" s="6">
        <v>12</v>
      </c>
      <c r="M411" s="15" t="s">
        <v>1904</v>
      </c>
      <c r="N411" s="15" t="s">
        <v>164</v>
      </c>
      <c r="O411" s="27" t="s">
        <v>1904</v>
      </c>
    </row>
    <row r="412" spans="1:15" ht="13.5" customHeight="1">
      <c r="A412" s="3" t="s">
        <v>1082</v>
      </c>
      <c r="B412" s="3" t="s">
        <v>283</v>
      </c>
      <c r="C412" s="3"/>
      <c r="D412" s="5" t="s">
        <v>1083</v>
      </c>
      <c r="E412" s="5" t="s">
        <v>124</v>
      </c>
      <c r="F412" s="3" t="s">
        <v>1905</v>
      </c>
      <c r="G412" s="6">
        <f>9.871*L412</f>
        <v>128.32300000000001</v>
      </c>
      <c r="H412" s="7">
        <v>41652</v>
      </c>
      <c r="I412" s="6" t="s">
        <v>161</v>
      </c>
      <c r="J412" s="6" t="s">
        <v>1906</v>
      </c>
      <c r="K412" s="6" t="s">
        <v>21</v>
      </c>
      <c r="L412" s="6">
        <v>13</v>
      </c>
      <c r="M412" s="15" t="s">
        <v>1904</v>
      </c>
      <c r="N412" s="15" t="s">
        <v>167</v>
      </c>
      <c r="O412" s="27" t="s">
        <v>1907</v>
      </c>
    </row>
    <row r="413" spans="1:15" ht="13.5" customHeight="1">
      <c r="A413" s="22" t="s">
        <v>1908</v>
      </c>
      <c r="B413" s="4"/>
      <c r="C413" s="3"/>
      <c r="D413" s="5" t="s">
        <v>1909</v>
      </c>
      <c r="E413" s="5" t="s">
        <v>124</v>
      </c>
      <c r="F413" s="3" t="s">
        <v>1910</v>
      </c>
      <c r="G413" s="6">
        <f>27.688*L413</f>
        <v>27.687999999999999</v>
      </c>
      <c r="H413" s="7">
        <v>41652</v>
      </c>
      <c r="I413" s="6" t="s">
        <v>907</v>
      </c>
      <c r="J413" s="6" t="s">
        <v>1911</v>
      </c>
      <c r="K413" s="6" t="s">
        <v>21</v>
      </c>
      <c r="L413" s="6">
        <v>1</v>
      </c>
      <c r="M413" s="15" t="s">
        <v>1912</v>
      </c>
      <c r="N413" s="15" t="s">
        <v>1913</v>
      </c>
      <c r="O413" s="27" t="s">
        <v>1914</v>
      </c>
    </row>
    <row r="414" spans="1:15" ht="13.5" customHeight="1">
      <c r="A414" s="3" t="s">
        <v>142</v>
      </c>
      <c r="B414" s="3" t="s">
        <v>1915</v>
      </c>
      <c r="C414" s="3"/>
      <c r="D414" s="5"/>
      <c r="E414" s="5" t="s">
        <v>124</v>
      </c>
      <c r="F414" s="3" t="s">
        <v>1916</v>
      </c>
      <c r="G414" s="6" t="s">
        <v>1917</v>
      </c>
      <c r="H414" s="7">
        <v>41652</v>
      </c>
      <c r="I414" s="6"/>
      <c r="J414" s="6"/>
      <c r="K414" s="6"/>
      <c r="L414" s="6"/>
      <c r="M414" s="15"/>
      <c r="N414" s="15"/>
      <c r="O414" s="27" t="s">
        <v>1918</v>
      </c>
    </row>
    <row r="415" spans="1:15" s="1" customFormat="1" ht="13.5" customHeight="1">
      <c r="A415" s="3" t="s">
        <v>854</v>
      </c>
      <c r="B415" s="3"/>
      <c r="C415" s="3"/>
      <c r="D415" s="5" t="s">
        <v>855</v>
      </c>
      <c r="E415" s="5" t="s">
        <v>124</v>
      </c>
      <c r="F415" s="3" t="s">
        <v>1919</v>
      </c>
      <c r="G415" s="6">
        <f t="shared" ref="G415:G420" si="9">17.52*L415</f>
        <v>210.24</v>
      </c>
      <c r="H415" s="7">
        <v>41654</v>
      </c>
      <c r="I415" s="6" t="s">
        <v>209</v>
      </c>
      <c r="J415" s="6" t="s">
        <v>1920</v>
      </c>
      <c r="K415" s="6" t="s">
        <v>21</v>
      </c>
      <c r="L415" s="6">
        <v>12</v>
      </c>
      <c r="M415" s="15" t="s">
        <v>1921</v>
      </c>
      <c r="N415" s="15" t="s">
        <v>164</v>
      </c>
      <c r="O415" s="27" t="s">
        <v>1921</v>
      </c>
    </row>
    <row r="416" spans="1:15" s="1" customFormat="1" ht="13.5" customHeight="1">
      <c r="A416" s="3" t="s">
        <v>854</v>
      </c>
      <c r="B416" s="3"/>
      <c r="C416" s="3"/>
      <c r="D416" s="5" t="s">
        <v>855</v>
      </c>
      <c r="E416" s="5" t="s">
        <v>124</v>
      </c>
      <c r="F416" s="3" t="s">
        <v>1922</v>
      </c>
      <c r="G416" s="6">
        <f t="shared" si="9"/>
        <v>227.76</v>
      </c>
      <c r="H416" s="7">
        <v>41654</v>
      </c>
      <c r="I416" s="6" t="s">
        <v>209</v>
      </c>
      <c r="J416" s="6" t="s">
        <v>1923</v>
      </c>
      <c r="K416" s="6" t="s">
        <v>21</v>
      </c>
      <c r="L416" s="6">
        <v>13</v>
      </c>
      <c r="M416" s="15" t="s">
        <v>1921</v>
      </c>
      <c r="N416" s="15" t="s">
        <v>167</v>
      </c>
      <c r="O416" s="27" t="s">
        <v>1924</v>
      </c>
    </row>
    <row r="417" spans="1:15" s="1" customFormat="1" ht="13.5" customHeight="1">
      <c r="A417" s="3" t="s">
        <v>316</v>
      </c>
      <c r="B417" s="3"/>
      <c r="C417" s="3"/>
      <c r="D417" s="5" t="s">
        <v>317</v>
      </c>
      <c r="E417" s="5" t="s">
        <v>124</v>
      </c>
      <c r="F417" s="3" t="s">
        <v>1925</v>
      </c>
      <c r="G417" s="6">
        <f t="shared" si="9"/>
        <v>52.56</v>
      </c>
      <c r="H417" s="7">
        <v>41654</v>
      </c>
      <c r="I417" s="6" t="s">
        <v>209</v>
      </c>
      <c r="J417" s="6" t="s">
        <v>1926</v>
      </c>
      <c r="K417" s="6" t="s">
        <v>21</v>
      </c>
      <c r="L417" s="6">
        <v>3</v>
      </c>
      <c r="M417" s="15" t="s">
        <v>1927</v>
      </c>
      <c r="N417" s="15" t="s">
        <v>657</v>
      </c>
      <c r="O417" s="27" t="s">
        <v>1927</v>
      </c>
    </row>
    <row r="418" spans="1:15" s="1" customFormat="1" ht="13.5" customHeight="1">
      <c r="A418" s="3" t="s">
        <v>1498</v>
      </c>
      <c r="B418" s="3"/>
      <c r="C418" s="3"/>
      <c r="D418" s="5" t="s">
        <v>1499</v>
      </c>
      <c r="E418" s="5" t="s">
        <v>124</v>
      </c>
      <c r="F418" s="3" t="s">
        <v>1928</v>
      </c>
      <c r="G418" s="6">
        <f t="shared" si="9"/>
        <v>227.76</v>
      </c>
      <c r="H418" s="7">
        <v>41654</v>
      </c>
      <c r="I418" s="6" t="s">
        <v>265</v>
      </c>
      <c r="J418" s="6" t="s">
        <v>1929</v>
      </c>
      <c r="K418" s="6" t="s">
        <v>21</v>
      </c>
      <c r="L418" s="6">
        <v>13</v>
      </c>
      <c r="M418" s="15" t="s">
        <v>1506</v>
      </c>
      <c r="N418" s="15" t="s">
        <v>1930</v>
      </c>
      <c r="O418" s="27" t="s">
        <v>1931</v>
      </c>
    </row>
    <row r="419" spans="1:15" s="1" customFormat="1" ht="13.5" customHeight="1">
      <c r="A419" s="3" t="s">
        <v>753</v>
      </c>
      <c r="B419" s="3"/>
      <c r="C419" s="3"/>
      <c r="D419" s="5" t="s">
        <v>754</v>
      </c>
      <c r="E419" s="5" t="s">
        <v>124</v>
      </c>
      <c r="F419" s="3" t="s">
        <v>1932</v>
      </c>
      <c r="G419" s="6">
        <f t="shared" si="9"/>
        <v>52.56</v>
      </c>
      <c r="H419" s="7">
        <v>41654</v>
      </c>
      <c r="I419" s="6" t="s">
        <v>265</v>
      </c>
      <c r="J419" s="6" t="s">
        <v>1933</v>
      </c>
      <c r="K419" s="6" t="s">
        <v>21</v>
      </c>
      <c r="L419" s="6">
        <v>3</v>
      </c>
      <c r="M419" s="15" t="s">
        <v>882</v>
      </c>
      <c r="N419" s="15" t="s">
        <v>1934</v>
      </c>
      <c r="O419" s="27" t="s">
        <v>1935</v>
      </c>
    </row>
    <row r="420" spans="1:15" s="1" customFormat="1" ht="13.5" customHeight="1">
      <c r="A420" s="3" t="s">
        <v>1773</v>
      </c>
      <c r="B420" s="3"/>
      <c r="C420" s="3"/>
      <c r="D420" s="5" t="s">
        <v>552</v>
      </c>
      <c r="E420" s="5" t="s">
        <v>124</v>
      </c>
      <c r="F420" s="3" t="s">
        <v>1936</v>
      </c>
      <c r="G420" s="6">
        <f t="shared" si="9"/>
        <v>52.56</v>
      </c>
      <c r="H420" s="7">
        <v>41654</v>
      </c>
      <c r="I420" s="6" t="s">
        <v>265</v>
      </c>
      <c r="J420" s="6" t="s">
        <v>1937</v>
      </c>
      <c r="K420" s="6" t="s">
        <v>21</v>
      </c>
      <c r="L420" s="6">
        <v>3</v>
      </c>
      <c r="M420" s="15" t="s">
        <v>555</v>
      </c>
      <c r="N420" s="15" t="s">
        <v>368</v>
      </c>
      <c r="O420" s="27" t="s">
        <v>1938</v>
      </c>
    </row>
    <row r="421" spans="1:15" s="1" customFormat="1" ht="13.5" customHeight="1">
      <c r="A421" s="3" t="s">
        <v>884</v>
      </c>
      <c r="B421" s="3" t="s">
        <v>134</v>
      </c>
      <c r="C421" s="3"/>
      <c r="D421" s="5" t="s">
        <v>135</v>
      </c>
      <c r="E421" s="5" t="s">
        <v>124</v>
      </c>
      <c r="F421" s="3" t="s">
        <v>1939</v>
      </c>
      <c r="G421" s="6">
        <f>29.101*L421/2</f>
        <v>116.404</v>
      </c>
      <c r="H421" s="7">
        <v>41654</v>
      </c>
      <c r="I421" s="6" t="s">
        <v>886</v>
      </c>
      <c r="J421" s="6" t="s">
        <v>1940</v>
      </c>
      <c r="K421" s="6" t="s">
        <v>21</v>
      </c>
      <c r="L421" s="6">
        <v>8</v>
      </c>
      <c r="M421" s="15" t="s">
        <v>1239</v>
      </c>
      <c r="N421" s="15" t="s">
        <v>1803</v>
      </c>
      <c r="O421" s="27" t="s">
        <v>1941</v>
      </c>
    </row>
    <row r="422" spans="1:15" ht="13.5" customHeight="1">
      <c r="A422" s="3" t="s">
        <v>557</v>
      </c>
      <c r="B422" s="3" t="s">
        <v>283</v>
      </c>
      <c r="C422" s="3"/>
      <c r="D422" s="5" t="s">
        <v>558</v>
      </c>
      <c r="E422" s="5" t="s">
        <v>124</v>
      </c>
      <c r="F422" s="3" t="s">
        <v>1942</v>
      </c>
      <c r="G422" s="6">
        <f>29.101*L422</f>
        <v>87.302999999999997</v>
      </c>
      <c r="H422" s="7">
        <v>41654</v>
      </c>
      <c r="I422" s="6" t="s">
        <v>346</v>
      </c>
      <c r="J422" s="6" t="s">
        <v>1943</v>
      </c>
      <c r="K422" s="6" t="s">
        <v>21</v>
      </c>
      <c r="L422" s="6">
        <v>3</v>
      </c>
      <c r="M422" s="15" t="s">
        <v>1944</v>
      </c>
      <c r="N422" s="15" t="s">
        <v>11954</v>
      </c>
      <c r="O422" s="27" t="s">
        <v>1944</v>
      </c>
    </row>
    <row r="423" spans="1:15" s="1" customFormat="1" ht="13.5" customHeight="1">
      <c r="A423" s="3" t="s">
        <v>416</v>
      </c>
      <c r="B423" s="3"/>
      <c r="C423" s="3"/>
      <c r="D423" s="5" t="s">
        <v>417</v>
      </c>
      <c r="E423" s="5" t="s">
        <v>124</v>
      </c>
      <c r="F423" s="3" t="s">
        <v>1945</v>
      </c>
      <c r="G423" s="6">
        <f>29.101*L423</f>
        <v>145.505</v>
      </c>
      <c r="H423" s="7">
        <v>41654</v>
      </c>
      <c r="I423" s="6" t="s">
        <v>419</v>
      </c>
      <c r="J423" s="6" t="s">
        <v>1946</v>
      </c>
      <c r="K423" s="6" t="s">
        <v>21</v>
      </c>
      <c r="L423" s="6">
        <v>5</v>
      </c>
      <c r="M423" s="15" t="s">
        <v>1947</v>
      </c>
      <c r="N423" s="15" t="s">
        <v>59</v>
      </c>
      <c r="O423" s="27" t="s">
        <v>1947</v>
      </c>
    </row>
    <row r="424" spans="1:15" ht="13.5" customHeight="1">
      <c r="A424" s="3" t="s">
        <v>531</v>
      </c>
      <c r="B424" s="3"/>
      <c r="C424" s="3"/>
      <c r="D424" s="5" t="s">
        <v>526</v>
      </c>
      <c r="E424" s="5" t="s">
        <v>124</v>
      </c>
      <c r="F424" s="3" t="s">
        <v>1948</v>
      </c>
      <c r="G424" s="6">
        <f>17.498*L424</f>
        <v>52.494</v>
      </c>
      <c r="H424" s="7">
        <v>41654</v>
      </c>
      <c r="I424" s="6" t="s">
        <v>504</v>
      </c>
      <c r="J424" s="6" t="s">
        <v>1949</v>
      </c>
      <c r="K424" s="6" t="s">
        <v>21</v>
      </c>
      <c r="L424" s="6">
        <v>3</v>
      </c>
      <c r="M424" s="15" t="s">
        <v>1207</v>
      </c>
      <c r="N424" s="15" t="s">
        <v>368</v>
      </c>
      <c r="O424" s="27" t="s">
        <v>1950</v>
      </c>
    </row>
    <row r="425" spans="1:15" ht="13.5" customHeight="1">
      <c r="A425" s="3" t="s">
        <v>569</v>
      </c>
      <c r="B425" s="3" t="s">
        <v>283</v>
      </c>
      <c r="C425" s="3"/>
      <c r="D425" s="5" t="s">
        <v>570</v>
      </c>
      <c r="E425" s="5" t="s">
        <v>124</v>
      </c>
      <c r="F425" s="3" t="s">
        <v>1951</v>
      </c>
      <c r="G425" s="6">
        <f>9.871*L425</f>
        <v>118.452</v>
      </c>
      <c r="H425" s="7">
        <v>41654</v>
      </c>
      <c r="I425" s="6" t="s">
        <v>161</v>
      </c>
      <c r="J425" s="6" t="s">
        <v>1952</v>
      </c>
      <c r="K425" s="6" t="s">
        <v>21</v>
      </c>
      <c r="L425" s="6">
        <v>12</v>
      </c>
      <c r="M425" s="15" t="s">
        <v>1953</v>
      </c>
      <c r="N425" s="15" t="s">
        <v>164</v>
      </c>
      <c r="O425" s="27" t="s">
        <v>1953</v>
      </c>
    </row>
    <row r="426" spans="1:15" s="1" customFormat="1" ht="13.5" customHeight="1">
      <c r="A426" s="3" t="s">
        <v>569</v>
      </c>
      <c r="B426" s="3" t="s">
        <v>283</v>
      </c>
      <c r="C426" s="3"/>
      <c r="D426" s="5" t="s">
        <v>570</v>
      </c>
      <c r="E426" s="5" t="s">
        <v>124</v>
      </c>
      <c r="F426" s="3" t="s">
        <v>1954</v>
      </c>
      <c r="G426" s="6">
        <f>9.871*L426</f>
        <v>128.32300000000001</v>
      </c>
      <c r="H426" s="7">
        <v>41654</v>
      </c>
      <c r="I426" s="6" t="s">
        <v>161</v>
      </c>
      <c r="J426" s="6" t="s">
        <v>1955</v>
      </c>
      <c r="K426" s="6" t="s">
        <v>21</v>
      </c>
      <c r="L426" s="6">
        <v>13</v>
      </c>
      <c r="M426" s="15" t="s">
        <v>1953</v>
      </c>
      <c r="N426" s="15" t="s">
        <v>167</v>
      </c>
      <c r="O426" s="27" t="s">
        <v>1956</v>
      </c>
    </row>
    <row r="427" spans="1:15" s="1" customFormat="1" ht="13.5" customHeight="1">
      <c r="A427" s="3" t="s">
        <v>579</v>
      </c>
      <c r="B427" s="4" t="s">
        <v>283</v>
      </c>
      <c r="C427" s="3"/>
      <c r="D427" s="5" t="s">
        <v>580</v>
      </c>
      <c r="E427" s="5" t="s">
        <v>124</v>
      </c>
      <c r="F427" s="3" t="s">
        <v>1957</v>
      </c>
      <c r="G427" s="6">
        <f>9.871*L427</f>
        <v>118.452</v>
      </c>
      <c r="H427" s="7">
        <v>41654</v>
      </c>
      <c r="I427" s="6" t="s">
        <v>161</v>
      </c>
      <c r="J427" s="6" t="s">
        <v>1958</v>
      </c>
      <c r="K427" s="6" t="s">
        <v>21</v>
      </c>
      <c r="L427" s="6">
        <v>12</v>
      </c>
      <c r="M427" s="15" t="s">
        <v>1959</v>
      </c>
      <c r="N427" s="15" t="s">
        <v>164</v>
      </c>
      <c r="O427" s="27" t="s">
        <v>1959</v>
      </c>
    </row>
    <row r="428" spans="1:15" s="1" customFormat="1" ht="13.5" customHeight="1">
      <c r="A428" s="3" t="s">
        <v>579</v>
      </c>
      <c r="B428" s="4" t="s">
        <v>283</v>
      </c>
      <c r="C428" s="3"/>
      <c r="D428" s="5" t="s">
        <v>580</v>
      </c>
      <c r="E428" s="5" t="s">
        <v>124</v>
      </c>
      <c r="F428" s="3" t="s">
        <v>1960</v>
      </c>
      <c r="G428" s="6">
        <f>9.871*L428</f>
        <v>128.32300000000001</v>
      </c>
      <c r="H428" s="7">
        <v>41654</v>
      </c>
      <c r="I428" s="6" t="s">
        <v>161</v>
      </c>
      <c r="J428" s="6" t="s">
        <v>1961</v>
      </c>
      <c r="K428" s="6" t="s">
        <v>21</v>
      </c>
      <c r="L428" s="6">
        <v>13</v>
      </c>
      <c r="M428" s="15" t="s">
        <v>1959</v>
      </c>
      <c r="N428" s="15" t="s">
        <v>167</v>
      </c>
      <c r="O428" s="27" t="s">
        <v>1962</v>
      </c>
    </row>
    <row r="429" spans="1:15" s="1" customFormat="1" ht="13.5" customHeight="1">
      <c r="A429" s="22" t="s">
        <v>1072</v>
      </c>
      <c r="B429" s="3"/>
      <c r="C429" s="3"/>
      <c r="D429" s="21" t="s">
        <v>1963</v>
      </c>
      <c r="E429" s="5" t="s">
        <v>124</v>
      </c>
      <c r="F429" s="3" t="s">
        <v>1964</v>
      </c>
      <c r="G429" s="6">
        <f>17.712*L429</f>
        <v>17.712</v>
      </c>
      <c r="H429" s="7">
        <v>41654</v>
      </c>
      <c r="I429" s="6" t="s">
        <v>265</v>
      </c>
      <c r="J429" s="6" t="s">
        <v>1965</v>
      </c>
      <c r="K429" s="6" t="s">
        <v>21</v>
      </c>
      <c r="L429" s="6">
        <v>1</v>
      </c>
      <c r="M429" s="15" t="s">
        <v>1966</v>
      </c>
      <c r="N429" s="15" t="s">
        <v>334</v>
      </c>
      <c r="O429" s="27" t="s">
        <v>1967</v>
      </c>
    </row>
    <row r="430" spans="1:15" s="1" customFormat="1" ht="13.5" customHeight="1">
      <c r="A430" s="3" t="s">
        <v>1285</v>
      </c>
      <c r="B430" s="4" t="s">
        <v>283</v>
      </c>
      <c r="C430" s="3"/>
      <c r="D430" s="5" t="s">
        <v>1287</v>
      </c>
      <c r="E430" s="5" t="s">
        <v>124</v>
      </c>
      <c r="F430" s="3" t="s">
        <v>1968</v>
      </c>
      <c r="G430" s="6">
        <f>8.606*L430</f>
        <v>60.241999999999997</v>
      </c>
      <c r="H430" s="7">
        <v>41654</v>
      </c>
      <c r="I430" s="6" t="s">
        <v>272</v>
      </c>
      <c r="J430" s="6" t="s">
        <v>1969</v>
      </c>
      <c r="K430" s="6" t="s">
        <v>21</v>
      </c>
      <c r="L430" s="6">
        <v>7</v>
      </c>
      <c r="M430" s="15" t="s">
        <v>1970</v>
      </c>
      <c r="N430" s="15" t="s">
        <v>1093</v>
      </c>
      <c r="O430" s="27" t="s">
        <v>1970</v>
      </c>
    </row>
    <row r="431" spans="1:15" s="1" customFormat="1" ht="13.5" customHeight="1">
      <c r="A431" s="3" t="s">
        <v>1285</v>
      </c>
      <c r="B431" s="4" t="s">
        <v>283</v>
      </c>
      <c r="C431" s="3"/>
      <c r="D431" s="5" t="s">
        <v>1287</v>
      </c>
      <c r="E431" s="5" t="s">
        <v>124</v>
      </c>
      <c r="F431" s="3" t="s">
        <v>1971</v>
      </c>
      <c r="G431" s="6">
        <f>8.606*L431</f>
        <v>68.847999999999999</v>
      </c>
      <c r="H431" s="7">
        <v>41654</v>
      </c>
      <c r="I431" s="6" t="s">
        <v>272</v>
      </c>
      <c r="J431" s="6" t="s">
        <v>1972</v>
      </c>
      <c r="K431" s="6" t="s">
        <v>21</v>
      </c>
      <c r="L431" s="6">
        <v>8</v>
      </c>
      <c r="M431" s="15" t="s">
        <v>1970</v>
      </c>
      <c r="N431" s="15" t="s">
        <v>1096</v>
      </c>
      <c r="O431" s="27" t="s">
        <v>1973</v>
      </c>
    </row>
    <row r="432" spans="1:15" s="1" customFormat="1" ht="13.5" customHeight="1">
      <c r="A432" s="3" t="s">
        <v>363</v>
      </c>
      <c r="B432" s="3"/>
      <c r="C432" s="3"/>
      <c r="D432" s="5" t="s">
        <v>364</v>
      </c>
      <c r="E432" s="5" t="s">
        <v>124</v>
      </c>
      <c r="F432" s="3" t="s">
        <v>1974</v>
      </c>
      <c r="G432" s="6">
        <f>12.838*L432</f>
        <v>38.513999999999996</v>
      </c>
      <c r="H432" s="7">
        <v>41654</v>
      </c>
      <c r="I432" s="6" t="s">
        <v>209</v>
      </c>
      <c r="J432" s="6" t="s">
        <v>1975</v>
      </c>
      <c r="K432" s="6" t="s">
        <v>21</v>
      </c>
      <c r="L432" s="6">
        <v>3</v>
      </c>
      <c r="M432" s="15" t="s">
        <v>1976</v>
      </c>
      <c r="N432" s="15" t="s">
        <v>1977</v>
      </c>
      <c r="O432" s="27" t="s">
        <v>1976</v>
      </c>
    </row>
    <row r="433" spans="1:15" s="1" customFormat="1" ht="13.5" customHeight="1">
      <c r="A433" s="22" t="s">
        <v>1908</v>
      </c>
      <c r="B433" s="3" t="s">
        <v>15</v>
      </c>
      <c r="C433" s="3"/>
      <c r="D433" s="5" t="s">
        <v>1909</v>
      </c>
      <c r="E433" s="5" t="s">
        <v>124</v>
      </c>
      <c r="F433" s="3" t="s">
        <v>1978</v>
      </c>
      <c r="G433" s="6">
        <f>27.688*L433</f>
        <v>27.687999999999999</v>
      </c>
      <c r="H433" s="7">
        <v>41654</v>
      </c>
      <c r="I433" s="6" t="s">
        <v>907</v>
      </c>
      <c r="J433" s="6" t="s">
        <v>1979</v>
      </c>
      <c r="K433" s="6" t="s">
        <v>21</v>
      </c>
      <c r="L433" s="6">
        <v>1</v>
      </c>
      <c r="M433" s="15" t="s">
        <v>1912</v>
      </c>
      <c r="N433" s="15" t="s">
        <v>507</v>
      </c>
      <c r="O433" s="27" t="s">
        <v>1912</v>
      </c>
    </row>
    <row r="434" spans="1:15" s="1" customFormat="1" ht="13.5" customHeight="1">
      <c r="A434" s="3" t="s">
        <v>1018</v>
      </c>
      <c r="B434" s="3"/>
      <c r="C434" s="3"/>
      <c r="D434" s="5" t="s">
        <v>1019</v>
      </c>
      <c r="E434" s="5" t="s">
        <v>124</v>
      </c>
      <c r="F434" s="3" t="s">
        <v>1980</v>
      </c>
      <c r="G434" s="6">
        <v>260.20800000000003</v>
      </c>
      <c r="H434" s="7">
        <v>41654</v>
      </c>
      <c r="I434" s="6" t="s">
        <v>209</v>
      </c>
      <c r="J434" s="6" t="s">
        <v>1981</v>
      </c>
      <c r="K434" s="6" t="s">
        <v>128</v>
      </c>
      <c r="L434" s="6" t="s">
        <v>1982</v>
      </c>
      <c r="M434" s="15" t="s">
        <v>1983</v>
      </c>
      <c r="N434" s="15" t="s">
        <v>1984</v>
      </c>
      <c r="O434" s="27" t="s">
        <v>1985</v>
      </c>
    </row>
    <row r="435" spans="1:15" s="1" customFormat="1" ht="13.5" customHeight="1">
      <c r="A435" s="22" t="s">
        <v>1986</v>
      </c>
      <c r="B435" s="3"/>
      <c r="C435" s="3"/>
      <c r="D435" s="5" t="s">
        <v>1987</v>
      </c>
      <c r="E435" s="5" t="s">
        <v>124</v>
      </c>
      <c r="F435" s="3" t="s">
        <v>1988</v>
      </c>
      <c r="G435" s="6">
        <v>49.558</v>
      </c>
      <c r="H435" s="7">
        <v>41654</v>
      </c>
      <c r="I435" s="6" t="s">
        <v>209</v>
      </c>
      <c r="J435" s="6" t="s">
        <v>1989</v>
      </c>
      <c r="K435" s="6" t="s">
        <v>128</v>
      </c>
      <c r="L435" s="6" t="s">
        <v>1990</v>
      </c>
      <c r="M435" s="15" t="s">
        <v>1991</v>
      </c>
      <c r="N435" s="15" t="s">
        <v>1992</v>
      </c>
      <c r="O435" s="27" t="s">
        <v>1993</v>
      </c>
    </row>
    <row r="436" spans="1:15" s="1" customFormat="1" ht="13.5" customHeight="1">
      <c r="A436" s="3" t="s">
        <v>1349</v>
      </c>
      <c r="B436" s="3"/>
      <c r="C436" s="3"/>
      <c r="D436" s="5" t="s">
        <v>1217</v>
      </c>
      <c r="E436" s="5" t="s">
        <v>124</v>
      </c>
      <c r="F436" s="3" t="s">
        <v>1994</v>
      </c>
      <c r="G436" s="6">
        <v>199.72900000000001</v>
      </c>
      <c r="H436" s="7">
        <v>41654</v>
      </c>
      <c r="I436" s="6" t="s">
        <v>178</v>
      </c>
      <c r="J436" s="6" t="s">
        <v>1995</v>
      </c>
      <c r="K436" s="6" t="s">
        <v>128</v>
      </c>
      <c r="L436" s="6" t="s">
        <v>1996</v>
      </c>
      <c r="M436" s="15" t="s">
        <v>1997</v>
      </c>
      <c r="N436" s="15" t="s">
        <v>1998</v>
      </c>
      <c r="O436" s="27" t="s">
        <v>1999</v>
      </c>
    </row>
    <row r="437" spans="1:15" s="1" customFormat="1" ht="13.5" customHeight="1">
      <c r="A437" s="3" t="s">
        <v>777</v>
      </c>
      <c r="B437" s="3"/>
      <c r="C437" s="3"/>
      <c r="D437" s="5" t="s">
        <v>778</v>
      </c>
      <c r="E437" s="5" t="s">
        <v>124</v>
      </c>
      <c r="F437" s="3" t="s">
        <v>2000</v>
      </c>
      <c r="G437" s="6">
        <f>17.52*L437</f>
        <v>175.2</v>
      </c>
      <c r="H437" s="7">
        <v>41655</v>
      </c>
      <c r="I437" s="6" t="s">
        <v>265</v>
      </c>
      <c r="J437" s="6" t="s">
        <v>2001</v>
      </c>
      <c r="K437" s="6" t="s">
        <v>21</v>
      </c>
      <c r="L437" s="6">
        <v>10</v>
      </c>
      <c r="M437" s="15" t="s">
        <v>2002</v>
      </c>
      <c r="N437" s="15" t="s">
        <v>114</v>
      </c>
      <c r="O437" s="27" t="s">
        <v>2002</v>
      </c>
    </row>
    <row r="438" spans="1:15" ht="13.5" customHeight="1">
      <c r="A438" s="3" t="s">
        <v>569</v>
      </c>
      <c r="B438" s="4" t="s">
        <v>283</v>
      </c>
      <c r="C438" s="3"/>
      <c r="D438" s="5" t="s">
        <v>570</v>
      </c>
      <c r="E438" s="5" t="s">
        <v>124</v>
      </c>
      <c r="F438" s="3" t="s">
        <v>2003</v>
      </c>
      <c r="G438" s="6">
        <f t="shared" ref="G438:G443" si="10">9.871*L438</f>
        <v>118.452</v>
      </c>
      <c r="H438" s="7">
        <v>41655</v>
      </c>
      <c r="I438" s="6" t="s">
        <v>161</v>
      </c>
      <c r="J438" s="6" t="s">
        <v>2004</v>
      </c>
      <c r="K438" s="6" t="s">
        <v>21</v>
      </c>
      <c r="L438" s="6">
        <v>12</v>
      </c>
      <c r="M438" s="15" t="s">
        <v>2005</v>
      </c>
      <c r="N438" s="15" t="s">
        <v>164</v>
      </c>
      <c r="O438" s="27" t="s">
        <v>2005</v>
      </c>
    </row>
    <row r="439" spans="1:15" s="1" customFormat="1" ht="13.5" customHeight="1">
      <c r="A439" s="3" t="s">
        <v>569</v>
      </c>
      <c r="B439" s="4" t="s">
        <v>283</v>
      </c>
      <c r="C439" s="3"/>
      <c r="D439" s="5" t="s">
        <v>570</v>
      </c>
      <c r="E439" s="5" t="s">
        <v>124</v>
      </c>
      <c r="F439" s="3" t="s">
        <v>2006</v>
      </c>
      <c r="G439" s="6">
        <f t="shared" si="10"/>
        <v>128.32300000000001</v>
      </c>
      <c r="H439" s="7">
        <v>41655</v>
      </c>
      <c r="I439" s="6" t="s">
        <v>161</v>
      </c>
      <c r="J439" s="6" t="s">
        <v>2007</v>
      </c>
      <c r="K439" s="6" t="s">
        <v>21</v>
      </c>
      <c r="L439" s="6">
        <v>13</v>
      </c>
      <c r="M439" s="15" t="s">
        <v>2005</v>
      </c>
      <c r="N439" s="15" t="s">
        <v>167</v>
      </c>
      <c r="O439" s="27" t="s">
        <v>2008</v>
      </c>
    </row>
    <row r="440" spans="1:15" s="1" customFormat="1" ht="13.5" customHeight="1">
      <c r="A440" s="3" t="s">
        <v>1082</v>
      </c>
      <c r="B440" s="4" t="s">
        <v>283</v>
      </c>
      <c r="C440" s="3"/>
      <c r="D440" s="5" t="s">
        <v>1083</v>
      </c>
      <c r="E440" s="5" t="s">
        <v>124</v>
      </c>
      <c r="F440" s="3" t="s">
        <v>2009</v>
      </c>
      <c r="G440" s="6">
        <f t="shared" si="10"/>
        <v>118.452</v>
      </c>
      <c r="H440" s="7">
        <v>41655</v>
      </c>
      <c r="I440" s="6" t="s">
        <v>161</v>
      </c>
      <c r="J440" s="6" t="s">
        <v>2010</v>
      </c>
      <c r="K440" s="6" t="s">
        <v>21</v>
      </c>
      <c r="L440" s="6">
        <v>12</v>
      </c>
      <c r="M440" s="15" t="s">
        <v>2011</v>
      </c>
      <c r="N440" s="15" t="s">
        <v>164</v>
      </c>
      <c r="O440" s="27" t="s">
        <v>2011</v>
      </c>
    </row>
    <row r="441" spans="1:15" s="1" customFormat="1" ht="13.5" customHeight="1">
      <c r="A441" s="3" t="s">
        <v>1082</v>
      </c>
      <c r="B441" s="4" t="s">
        <v>283</v>
      </c>
      <c r="C441" s="3"/>
      <c r="D441" s="5" t="s">
        <v>1083</v>
      </c>
      <c r="E441" s="5" t="s">
        <v>124</v>
      </c>
      <c r="F441" s="3" t="s">
        <v>2012</v>
      </c>
      <c r="G441" s="6">
        <f t="shared" si="10"/>
        <v>128.32300000000001</v>
      </c>
      <c r="H441" s="7">
        <v>41655</v>
      </c>
      <c r="I441" s="6" t="s">
        <v>161</v>
      </c>
      <c r="J441" s="6" t="s">
        <v>2013</v>
      </c>
      <c r="K441" s="6" t="s">
        <v>21</v>
      </c>
      <c r="L441" s="6">
        <v>13</v>
      </c>
      <c r="M441" s="15" t="s">
        <v>2011</v>
      </c>
      <c r="N441" s="15" t="s">
        <v>167</v>
      </c>
      <c r="O441" s="27" t="s">
        <v>2014</v>
      </c>
    </row>
    <row r="442" spans="1:15" s="1" customFormat="1" ht="13.5" customHeight="1">
      <c r="A442" s="3" t="s">
        <v>1082</v>
      </c>
      <c r="B442" s="4" t="s">
        <v>283</v>
      </c>
      <c r="C442" s="3"/>
      <c r="D442" s="5" t="s">
        <v>1083</v>
      </c>
      <c r="E442" s="5" t="s">
        <v>124</v>
      </c>
      <c r="F442" s="3" t="s">
        <v>2015</v>
      </c>
      <c r="G442" s="6">
        <f t="shared" si="10"/>
        <v>118.452</v>
      </c>
      <c r="H442" s="7">
        <v>41655</v>
      </c>
      <c r="I442" s="6" t="s">
        <v>161</v>
      </c>
      <c r="J442" s="6" t="s">
        <v>2016</v>
      </c>
      <c r="K442" s="6" t="s">
        <v>21</v>
      </c>
      <c r="L442" s="6">
        <v>12</v>
      </c>
      <c r="M442" s="15" t="s">
        <v>2017</v>
      </c>
      <c r="N442" s="15" t="s">
        <v>164</v>
      </c>
      <c r="O442" s="27" t="s">
        <v>2017</v>
      </c>
    </row>
    <row r="443" spans="1:15" s="1" customFormat="1" ht="13.5" customHeight="1">
      <c r="A443" s="3" t="s">
        <v>1082</v>
      </c>
      <c r="B443" s="4" t="s">
        <v>283</v>
      </c>
      <c r="C443" s="3"/>
      <c r="D443" s="5" t="s">
        <v>1083</v>
      </c>
      <c r="E443" s="5" t="s">
        <v>124</v>
      </c>
      <c r="F443" s="3" t="s">
        <v>2018</v>
      </c>
      <c r="G443" s="6">
        <f t="shared" si="10"/>
        <v>128.32300000000001</v>
      </c>
      <c r="H443" s="7">
        <v>41655</v>
      </c>
      <c r="I443" s="6" t="s">
        <v>161</v>
      </c>
      <c r="J443" s="6" t="s">
        <v>2019</v>
      </c>
      <c r="K443" s="6" t="s">
        <v>21</v>
      </c>
      <c r="L443" s="6">
        <v>13</v>
      </c>
      <c r="M443" s="15" t="s">
        <v>2017</v>
      </c>
      <c r="N443" s="15" t="s">
        <v>167</v>
      </c>
      <c r="O443" s="27" t="s">
        <v>2020</v>
      </c>
    </row>
    <row r="444" spans="1:15" s="1" customFormat="1" ht="13.5" customHeight="1">
      <c r="A444" s="3" t="s">
        <v>282</v>
      </c>
      <c r="B444" s="4" t="s">
        <v>283</v>
      </c>
      <c r="C444" s="3"/>
      <c r="D444" s="5" t="s">
        <v>284</v>
      </c>
      <c r="E444" s="5" t="s">
        <v>124</v>
      </c>
      <c r="F444" s="3" t="s">
        <v>2021</v>
      </c>
      <c r="G444" s="6">
        <f>14.924*L444</f>
        <v>179.08799999999999</v>
      </c>
      <c r="H444" s="7">
        <v>41655</v>
      </c>
      <c r="I444" s="6" t="s">
        <v>286</v>
      </c>
      <c r="J444" s="6" t="s">
        <v>2022</v>
      </c>
      <c r="K444" s="6" t="s">
        <v>21</v>
      </c>
      <c r="L444" s="6">
        <v>12</v>
      </c>
      <c r="M444" s="15" t="s">
        <v>2023</v>
      </c>
      <c r="N444" s="15" t="s">
        <v>164</v>
      </c>
      <c r="O444" s="27" t="s">
        <v>2023</v>
      </c>
    </row>
    <row r="445" spans="1:15" s="1" customFormat="1" ht="13.5" customHeight="1">
      <c r="A445" s="3" t="s">
        <v>282</v>
      </c>
      <c r="B445" s="4" t="s">
        <v>283</v>
      </c>
      <c r="C445" s="3"/>
      <c r="D445" s="5" t="s">
        <v>284</v>
      </c>
      <c r="E445" s="5" t="s">
        <v>124</v>
      </c>
      <c r="F445" s="3" t="s">
        <v>2024</v>
      </c>
      <c r="G445" s="6">
        <f>14.924*L445</f>
        <v>194.012</v>
      </c>
      <c r="H445" s="7">
        <v>41655</v>
      </c>
      <c r="I445" s="6" t="s">
        <v>286</v>
      </c>
      <c r="J445" s="6" t="s">
        <v>2025</v>
      </c>
      <c r="K445" s="6" t="s">
        <v>21</v>
      </c>
      <c r="L445" s="6">
        <v>13</v>
      </c>
      <c r="M445" s="15" t="s">
        <v>2023</v>
      </c>
      <c r="N445" s="15" t="s">
        <v>167</v>
      </c>
      <c r="O445" s="27" t="s">
        <v>2026</v>
      </c>
    </row>
    <row r="446" spans="1:15" s="1" customFormat="1" ht="13.5" customHeight="1">
      <c r="A446" s="5" t="s">
        <v>1043</v>
      </c>
      <c r="B446" s="3"/>
      <c r="C446" s="3"/>
      <c r="D446" s="5" t="s">
        <v>443</v>
      </c>
      <c r="E446" s="5" t="s">
        <v>7026</v>
      </c>
      <c r="F446" s="3" t="s">
        <v>7170</v>
      </c>
      <c r="G446" s="6">
        <f>18.708*L446</f>
        <v>130.95599999999999</v>
      </c>
      <c r="H446" s="7">
        <v>41655</v>
      </c>
      <c r="I446" s="6" t="s">
        <v>178</v>
      </c>
      <c r="J446" s="6" t="s">
        <v>7171</v>
      </c>
      <c r="K446" s="6" t="s">
        <v>21</v>
      </c>
      <c r="L446" s="6">
        <v>7</v>
      </c>
      <c r="M446" s="15" t="s">
        <v>7172</v>
      </c>
      <c r="N446" s="15" t="s">
        <v>4145</v>
      </c>
      <c r="O446" s="28" t="s">
        <v>7173</v>
      </c>
    </row>
    <row r="447" spans="1:15" s="1" customFormat="1" ht="13.5" customHeight="1">
      <c r="A447" s="5" t="s">
        <v>1043</v>
      </c>
      <c r="B447" s="3"/>
      <c r="C447" s="3"/>
      <c r="D447" s="5" t="s">
        <v>443</v>
      </c>
      <c r="E447" s="5" t="s">
        <v>7026</v>
      </c>
      <c r="F447" s="3" t="s">
        <v>7174</v>
      </c>
      <c r="G447" s="6">
        <f>18.708*L447</f>
        <v>224.49599999999998</v>
      </c>
      <c r="H447" s="7">
        <v>41655</v>
      </c>
      <c r="I447" s="6" t="s">
        <v>178</v>
      </c>
      <c r="J447" s="6" t="s">
        <v>7175</v>
      </c>
      <c r="K447" s="6" t="s">
        <v>21</v>
      </c>
      <c r="L447" s="6">
        <v>12</v>
      </c>
      <c r="M447" s="15" t="s">
        <v>7176</v>
      </c>
      <c r="N447" s="15" t="s">
        <v>164</v>
      </c>
      <c r="O447" s="28" t="s">
        <v>7177</v>
      </c>
    </row>
    <row r="448" spans="1:15" ht="13.5" customHeight="1">
      <c r="A448" s="5" t="s">
        <v>1043</v>
      </c>
      <c r="B448" s="3"/>
      <c r="C448" s="3"/>
      <c r="D448" s="5" t="s">
        <v>443</v>
      </c>
      <c r="E448" s="5" t="s">
        <v>7026</v>
      </c>
      <c r="F448" s="3" t="s">
        <v>7178</v>
      </c>
      <c r="G448" s="6">
        <f>18.708*L448</f>
        <v>243.20399999999998</v>
      </c>
      <c r="H448" s="7">
        <v>41655</v>
      </c>
      <c r="I448" s="6" t="s">
        <v>178</v>
      </c>
      <c r="J448" s="6" t="s">
        <v>7179</v>
      </c>
      <c r="K448" s="6" t="s">
        <v>21</v>
      </c>
      <c r="L448" s="6">
        <v>13</v>
      </c>
      <c r="M448" s="15" t="s">
        <v>7176</v>
      </c>
      <c r="N448" s="15" t="s">
        <v>167</v>
      </c>
      <c r="O448" s="28" t="s">
        <v>7180</v>
      </c>
    </row>
    <row r="449" spans="1:15" s="1" customFormat="1" ht="13.5" customHeight="1">
      <c r="A449" s="5" t="s">
        <v>7145</v>
      </c>
      <c r="B449" s="3"/>
      <c r="C449" s="3"/>
      <c r="D449" s="5" t="s">
        <v>170</v>
      </c>
      <c r="E449" s="5" t="s">
        <v>7026</v>
      </c>
      <c r="F449" s="3" t="s">
        <v>7181</v>
      </c>
      <c r="G449" s="6">
        <f>17.498*L449</f>
        <v>104.988</v>
      </c>
      <c r="H449" s="7">
        <v>41655</v>
      </c>
      <c r="I449" s="6" t="s">
        <v>265</v>
      </c>
      <c r="J449" s="6" t="s">
        <v>7182</v>
      </c>
      <c r="K449" s="6" t="s">
        <v>21</v>
      </c>
      <c r="L449" s="6">
        <v>6</v>
      </c>
      <c r="M449" s="15" t="s">
        <v>7183</v>
      </c>
      <c r="N449" s="15" t="s">
        <v>787</v>
      </c>
      <c r="O449" s="28" t="s">
        <v>7184</v>
      </c>
    </row>
    <row r="450" spans="1:15" s="1" customFormat="1" ht="13.5" customHeight="1">
      <c r="A450" s="21" t="s">
        <v>169</v>
      </c>
      <c r="B450" s="3"/>
      <c r="C450" s="3"/>
      <c r="D450" s="5" t="s">
        <v>170</v>
      </c>
      <c r="E450" s="5" t="s">
        <v>7026</v>
      </c>
      <c r="F450" s="3" t="s">
        <v>7185</v>
      </c>
      <c r="G450" s="6">
        <f>17.498*L450</f>
        <v>157.482</v>
      </c>
      <c r="H450" s="7">
        <v>41655</v>
      </c>
      <c r="I450" s="6" t="s">
        <v>265</v>
      </c>
      <c r="J450" s="6" t="s">
        <v>7186</v>
      </c>
      <c r="K450" s="6" t="s">
        <v>21</v>
      </c>
      <c r="L450" s="6">
        <v>9</v>
      </c>
      <c r="M450" s="15" t="s">
        <v>7183</v>
      </c>
      <c r="N450" s="15" t="s">
        <v>798</v>
      </c>
      <c r="O450" s="28" t="s">
        <v>7187</v>
      </c>
    </row>
    <row r="451" spans="1:15" ht="13.5" customHeight="1">
      <c r="A451" s="21" t="s">
        <v>169</v>
      </c>
      <c r="B451" s="3"/>
      <c r="C451" s="3"/>
      <c r="D451" s="5" t="s">
        <v>170</v>
      </c>
      <c r="E451" s="5" t="s">
        <v>7026</v>
      </c>
      <c r="F451" s="3" t="s">
        <v>7188</v>
      </c>
      <c r="G451" s="6">
        <f>17.498*L451</f>
        <v>174.98000000000002</v>
      </c>
      <c r="H451" s="7">
        <v>41655</v>
      </c>
      <c r="I451" s="6" t="s">
        <v>265</v>
      </c>
      <c r="J451" s="6" t="s">
        <v>7189</v>
      </c>
      <c r="K451" s="6" t="s">
        <v>21</v>
      </c>
      <c r="L451" s="6">
        <v>10</v>
      </c>
      <c r="M451" s="15" t="s">
        <v>7183</v>
      </c>
      <c r="N451" s="15" t="s">
        <v>114</v>
      </c>
      <c r="O451" s="28" t="s">
        <v>7190</v>
      </c>
    </row>
    <row r="452" spans="1:15" ht="13.5" customHeight="1">
      <c r="A452" s="21" t="s">
        <v>7191</v>
      </c>
      <c r="B452" s="3"/>
      <c r="C452" s="3"/>
      <c r="D452" s="5" t="s">
        <v>170</v>
      </c>
      <c r="E452" s="5" t="s">
        <v>7026</v>
      </c>
      <c r="F452" s="3" t="s">
        <v>7192</v>
      </c>
      <c r="G452" s="6">
        <f>17.498*L452</f>
        <v>104.988</v>
      </c>
      <c r="H452" s="7">
        <v>41655</v>
      </c>
      <c r="I452" s="6" t="s">
        <v>265</v>
      </c>
      <c r="J452" s="6" t="s">
        <v>7193</v>
      </c>
      <c r="K452" s="6" t="s">
        <v>21</v>
      </c>
      <c r="L452" s="6">
        <v>6</v>
      </c>
      <c r="M452" s="15" t="s">
        <v>7194</v>
      </c>
      <c r="N452" s="15" t="s">
        <v>787</v>
      </c>
      <c r="O452" s="28" t="s">
        <v>7195</v>
      </c>
    </row>
    <row r="453" spans="1:15" ht="13.5" customHeight="1">
      <c r="A453" s="5" t="s">
        <v>1043</v>
      </c>
      <c r="B453" s="3"/>
      <c r="C453" s="3"/>
      <c r="D453" s="5" t="s">
        <v>443</v>
      </c>
      <c r="E453" s="5" t="s">
        <v>7026</v>
      </c>
      <c r="F453" s="3" t="s">
        <v>7196</v>
      </c>
      <c r="G453" s="6">
        <f>18.708*L453</f>
        <v>224.49599999999998</v>
      </c>
      <c r="H453" s="7">
        <v>41655</v>
      </c>
      <c r="I453" s="6" t="s">
        <v>178</v>
      </c>
      <c r="J453" s="6" t="s">
        <v>7197</v>
      </c>
      <c r="K453" s="6" t="s">
        <v>21</v>
      </c>
      <c r="L453" s="6">
        <v>12</v>
      </c>
      <c r="M453" s="15" t="s">
        <v>7198</v>
      </c>
      <c r="N453" s="15" t="s">
        <v>164</v>
      </c>
      <c r="O453" s="28" t="s">
        <v>7199</v>
      </c>
    </row>
    <row r="454" spans="1:15" s="1" customFormat="1" ht="13.5" customHeight="1">
      <c r="A454" s="5" t="s">
        <v>1043</v>
      </c>
      <c r="B454" s="3"/>
      <c r="C454" s="3"/>
      <c r="D454" s="5" t="s">
        <v>443</v>
      </c>
      <c r="E454" s="5" t="s">
        <v>7026</v>
      </c>
      <c r="F454" s="3" t="s">
        <v>7200</v>
      </c>
      <c r="G454" s="6">
        <f>18.708*L454</f>
        <v>243.20399999999998</v>
      </c>
      <c r="H454" s="7">
        <v>41655</v>
      </c>
      <c r="I454" s="6" t="s">
        <v>178</v>
      </c>
      <c r="J454" s="6" t="s">
        <v>7201</v>
      </c>
      <c r="K454" s="6" t="s">
        <v>21</v>
      </c>
      <c r="L454" s="6">
        <v>13</v>
      </c>
      <c r="M454" s="15" t="s">
        <v>7198</v>
      </c>
      <c r="N454" s="15" t="s">
        <v>167</v>
      </c>
      <c r="O454" s="28" t="s">
        <v>7202</v>
      </c>
    </row>
    <row r="455" spans="1:15" ht="13.5" customHeight="1">
      <c r="A455" s="3" t="s">
        <v>442</v>
      </c>
      <c r="B455" s="3"/>
      <c r="C455" s="3"/>
      <c r="D455" s="5" t="s">
        <v>443</v>
      </c>
      <c r="E455" s="5" t="s">
        <v>124</v>
      </c>
      <c r="F455" s="3" t="s">
        <v>2027</v>
      </c>
      <c r="G455" s="6">
        <f>18.708*L455</f>
        <v>93.539999999999992</v>
      </c>
      <c r="H455" s="7">
        <v>41660</v>
      </c>
      <c r="I455" s="6" t="s">
        <v>247</v>
      </c>
      <c r="J455" s="6" t="s">
        <v>2028</v>
      </c>
      <c r="K455" s="6" t="s">
        <v>21</v>
      </c>
      <c r="L455" s="6">
        <v>5</v>
      </c>
      <c r="M455" s="15" t="s">
        <v>2029</v>
      </c>
      <c r="N455" s="15" t="s">
        <v>59</v>
      </c>
      <c r="O455" s="27" t="s">
        <v>2029</v>
      </c>
    </row>
    <row r="456" spans="1:15" s="1" customFormat="1" ht="13.5" customHeight="1">
      <c r="A456" s="22" t="s">
        <v>460</v>
      </c>
      <c r="B456" s="3" t="s">
        <v>461</v>
      </c>
      <c r="C456" s="3"/>
      <c r="D456" s="21" t="s">
        <v>2030</v>
      </c>
      <c r="E456" s="5" t="s">
        <v>124</v>
      </c>
      <c r="F456" s="3" t="s">
        <v>2031</v>
      </c>
      <c r="G456" s="6">
        <f>14.405*L456</f>
        <v>57.62</v>
      </c>
      <c r="H456" s="7">
        <v>41660</v>
      </c>
      <c r="I456" s="6" t="s">
        <v>265</v>
      </c>
      <c r="J456" s="6" t="s">
        <v>2032</v>
      </c>
      <c r="K456" s="6" t="s">
        <v>21</v>
      </c>
      <c r="L456" s="6">
        <v>4</v>
      </c>
      <c r="M456" s="15" t="s">
        <v>2033</v>
      </c>
      <c r="N456" s="15" t="s">
        <v>653</v>
      </c>
      <c r="O456" s="27" t="s">
        <v>2033</v>
      </c>
    </row>
    <row r="457" spans="1:15" ht="13.5" customHeight="1">
      <c r="A457" s="3" t="s">
        <v>569</v>
      </c>
      <c r="B457" s="4" t="s">
        <v>283</v>
      </c>
      <c r="C457" s="3"/>
      <c r="D457" s="5" t="s">
        <v>570</v>
      </c>
      <c r="E457" s="5" t="s">
        <v>124</v>
      </c>
      <c r="F457" s="3" t="s">
        <v>2034</v>
      </c>
      <c r="G457" s="6">
        <f>9.871*L457</f>
        <v>118.452</v>
      </c>
      <c r="H457" s="7">
        <v>41660</v>
      </c>
      <c r="I457" s="6" t="s">
        <v>161</v>
      </c>
      <c r="J457" s="6" t="s">
        <v>2035</v>
      </c>
      <c r="K457" s="6" t="s">
        <v>21</v>
      </c>
      <c r="L457" s="6">
        <v>12</v>
      </c>
      <c r="M457" s="15" t="s">
        <v>2036</v>
      </c>
      <c r="N457" s="15" t="s">
        <v>164</v>
      </c>
      <c r="O457" s="27" t="s">
        <v>2036</v>
      </c>
    </row>
    <row r="458" spans="1:15" ht="13.5" customHeight="1">
      <c r="A458" s="3" t="s">
        <v>569</v>
      </c>
      <c r="B458" s="4" t="s">
        <v>283</v>
      </c>
      <c r="C458" s="3"/>
      <c r="D458" s="5" t="s">
        <v>570</v>
      </c>
      <c r="E458" s="5" t="s">
        <v>124</v>
      </c>
      <c r="F458" s="3" t="s">
        <v>2037</v>
      </c>
      <c r="G458" s="6">
        <f>9.871*L458</f>
        <v>128.32300000000001</v>
      </c>
      <c r="H458" s="7">
        <v>41660</v>
      </c>
      <c r="I458" s="6" t="s">
        <v>161</v>
      </c>
      <c r="J458" s="6" t="s">
        <v>2038</v>
      </c>
      <c r="K458" s="6" t="s">
        <v>21</v>
      </c>
      <c r="L458" s="6">
        <v>13</v>
      </c>
      <c r="M458" s="15" t="s">
        <v>2036</v>
      </c>
      <c r="N458" s="15" t="s">
        <v>167</v>
      </c>
      <c r="O458" s="27" t="s">
        <v>2039</v>
      </c>
    </row>
    <row r="459" spans="1:15" s="1" customFormat="1" ht="13.5" customHeight="1">
      <c r="A459" s="3" t="s">
        <v>579</v>
      </c>
      <c r="B459" s="4" t="s">
        <v>283</v>
      </c>
      <c r="C459" s="3"/>
      <c r="D459" s="5" t="s">
        <v>580</v>
      </c>
      <c r="E459" s="5" t="s">
        <v>124</v>
      </c>
      <c r="F459" s="3" t="s">
        <v>2040</v>
      </c>
      <c r="G459" s="6">
        <f>9.871*L459</f>
        <v>118.452</v>
      </c>
      <c r="H459" s="7">
        <v>41660</v>
      </c>
      <c r="I459" s="6" t="s">
        <v>161</v>
      </c>
      <c r="J459" s="6" t="s">
        <v>2041</v>
      </c>
      <c r="K459" s="6" t="s">
        <v>21</v>
      </c>
      <c r="L459" s="6">
        <v>12</v>
      </c>
      <c r="M459" s="15" t="s">
        <v>2042</v>
      </c>
      <c r="N459" s="15" t="s">
        <v>164</v>
      </c>
      <c r="O459" s="27" t="s">
        <v>2042</v>
      </c>
    </row>
    <row r="460" spans="1:15" s="1" customFormat="1" ht="13.5" customHeight="1">
      <c r="A460" s="3" t="s">
        <v>579</v>
      </c>
      <c r="B460" s="4" t="s">
        <v>283</v>
      </c>
      <c r="C460" s="3"/>
      <c r="D460" s="5" t="s">
        <v>580</v>
      </c>
      <c r="E460" s="5" t="s">
        <v>124</v>
      </c>
      <c r="F460" s="3" t="s">
        <v>2043</v>
      </c>
      <c r="G460" s="6">
        <f>9.871*L460</f>
        <v>128.32300000000001</v>
      </c>
      <c r="H460" s="7">
        <v>41660</v>
      </c>
      <c r="I460" s="6" t="s">
        <v>161</v>
      </c>
      <c r="J460" s="6" t="s">
        <v>2044</v>
      </c>
      <c r="K460" s="6" t="s">
        <v>21</v>
      </c>
      <c r="L460" s="6">
        <v>13</v>
      </c>
      <c r="M460" s="15" t="s">
        <v>2042</v>
      </c>
      <c r="N460" s="15" t="s">
        <v>167</v>
      </c>
      <c r="O460" s="27" t="s">
        <v>2045</v>
      </c>
    </row>
    <row r="461" spans="1:15" ht="13.5" customHeight="1">
      <c r="A461" s="3" t="s">
        <v>1285</v>
      </c>
      <c r="B461" s="4" t="s">
        <v>283</v>
      </c>
      <c r="C461" s="3"/>
      <c r="D461" s="5" t="s">
        <v>1287</v>
      </c>
      <c r="E461" s="5" t="s">
        <v>124</v>
      </c>
      <c r="F461" s="3" t="s">
        <v>2046</v>
      </c>
      <c r="G461" s="6">
        <f>8.606*L461</f>
        <v>34.423999999999999</v>
      </c>
      <c r="H461" s="7">
        <v>41660</v>
      </c>
      <c r="I461" s="6" t="s">
        <v>272</v>
      </c>
      <c r="J461" s="6" t="s">
        <v>2047</v>
      </c>
      <c r="K461" s="6" t="s">
        <v>21</v>
      </c>
      <c r="L461" s="6">
        <v>4</v>
      </c>
      <c r="M461" s="15" t="s">
        <v>2048</v>
      </c>
      <c r="N461" s="15" t="s">
        <v>653</v>
      </c>
      <c r="O461" s="27" t="s">
        <v>2048</v>
      </c>
    </row>
    <row r="462" spans="1:15" ht="13.5" customHeight="1">
      <c r="A462" s="3" t="s">
        <v>788</v>
      </c>
      <c r="B462" s="4" t="s">
        <v>283</v>
      </c>
      <c r="C462" s="3"/>
      <c r="D462" s="5" t="s">
        <v>789</v>
      </c>
      <c r="E462" s="5" t="s">
        <v>124</v>
      </c>
      <c r="F462" s="3" t="s">
        <v>2049</v>
      </c>
      <c r="G462" s="6">
        <f>8.606*L462</f>
        <v>43.03</v>
      </c>
      <c r="H462" s="7">
        <v>41660</v>
      </c>
      <c r="I462" s="6" t="s">
        <v>272</v>
      </c>
      <c r="J462" s="6" t="s">
        <v>2050</v>
      </c>
      <c r="K462" s="6" t="s">
        <v>21</v>
      </c>
      <c r="L462" s="6">
        <v>5</v>
      </c>
      <c r="M462" s="15" t="s">
        <v>2051</v>
      </c>
      <c r="N462" s="15" t="s">
        <v>2052</v>
      </c>
      <c r="O462" s="27" t="s">
        <v>2051</v>
      </c>
    </row>
    <row r="463" spans="1:15" s="1" customFormat="1" ht="13.5" customHeight="1">
      <c r="A463" s="3" t="s">
        <v>282</v>
      </c>
      <c r="B463" s="4" t="s">
        <v>283</v>
      </c>
      <c r="C463" s="3"/>
      <c r="D463" s="5" t="s">
        <v>284</v>
      </c>
      <c r="E463" s="5" t="s">
        <v>124</v>
      </c>
      <c r="F463" s="3" t="s">
        <v>2053</v>
      </c>
      <c r="G463" s="6">
        <f>14.924*L463</f>
        <v>104.46799999999999</v>
      </c>
      <c r="H463" s="7">
        <v>41660</v>
      </c>
      <c r="I463" s="6" t="s">
        <v>286</v>
      </c>
      <c r="J463" s="6" t="s">
        <v>2054</v>
      </c>
      <c r="K463" s="6" t="s">
        <v>21</v>
      </c>
      <c r="L463" s="6">
        <v>7</v>
      </c>
      <c r="M463" s="15" t="s">
        <v>2055</v>
      </c>
      <c r="N463" s="15" t="s">
        <v>1093</v>
      </c>
      <c r="O463" s="28" t="s">
        <v>2055</v>
      </c>
    </row>
    <row r="464" spans="1:15" ht="13.5" customHeight="1">
      <c r="A464" s="3" t="s">
        <v>282</v>
      </c>
      <c r="B464" s="4" t="s">
        <v>283</v>
      </c>
      <c r="C464" s="3"/>
      <c r="D464" s="5" t="s">
        <v>284</v>
      </c>
      <c r="E464" s="5" t="s">
        <v>124</v>
      </c>
      <c r="F464" s="3" t="s">
        <v>2056</v>
      </c>
      <c r="G464" s="6">
        <f>14.924*L464</f>
        <v>119.392</v>
      </c>
      <c r="H464" s="7">
        <v>41660</v>
      </c>
      <c r="I464" s="6" t="s">
        <v>286</v>
      </c>
      <c r="J464" s="6" t="s">
        <v>2057</v>
      </c>
      <c r="K464" s="6" t="s">
        <v>21</v>
      </c>
      <c r="L464" s="6">
        <v>8</v>
      </c>
      <c r="M464" s="15" t="s">
        <v>2055</v>
      </c>
      <c r="N464" s="15" t="s">
        <v>1096</v>
      </c>
      <c r="O464" s="28" t="s">
        <v>2058</v>
      </c>
    </row>
    <row r="465" spans="1:15" ht="13.5" customHeight="1">
      <c r="A465" s="3" t="s">
        <v>2059</v>
      </c>
      <c r="B465" s="3"/>
      <c r="C465" s="3"/>
      <c r="D465" s="5" t="s">
        <v>2060</v>
      </c>
      <c r="E465" s="5" t="s">
        <v>124</v>
      </c>
      <c r="F465" s="3" t="s">
        <v>2061</v>
      </c>
      <c r="G465" s="6">
        <v>155.48099999999999</v>
      </c>
      <c r="H465" s="7">
        <v>41660</v>
      </c>
      <c r="I465" s="6" t="s">
        <v>209</v>
      </c>
      <c r="J465" s="6" t="s">
        <v>2062</v>
      </c>
      <c r="K465" s="6" t="s">
        <v>128</v>
      </c>
      <c r="L465" s="6" t="s">
        <v>1728</v>
      </c>
      <c r="M465" s="15" t="s">
        <v>2063</v>
      </c>
      <c r="N465" s="15" t="s">
        <v>2064</v>
      </c>
      <c r="O465" s="28" t="s">
        <v>2065</v>
      </c>
    </row>
    <row r="466" spans="1:15" ht="13.5" customHeight="1">
      <c r="A466" s="3" t="s">
        <v>1626</v>
      </c>
      <c r="B466" s="3"/>
      <c r="C466" s="3"/>
      <c r="D466" s="5" t="s">
        <v>1627</v>
      </c>
      <c r="E466" s="5" t="s">
        <v>124</v>
      </c>
      <c r="F466" s="3" t="s">
        <v>2066</v>
      </c>
      <c r="G466" s="6">
        <v>51.2</v>
      </c>
      <c r="H466" s="7">
        <v>41660</v>
      </c>
      <c r="I466" s="6" t="s">
        <v>209</v>
      </c>
      <c r="J466" s="6" t="s">
        <v>2067</v>
      </c>
      <c r="K466" s="6" t="s">
        <v>128</v>
      </c>
      <c r="L466" s="6" t="s">
        <v>2068</v>
      </c>
      <c r="M466" s="15" t="s">
        <v>2069</v>
      </c>
      <c r="N466" s="15" t="s">
        <v>2070</v>
      </c>
      <c r="O466" s="28" t="s">
        <v>2071</v>
      </c>
    </row>
    <row r="467" spans="1:15" ht="13.5" customHeight="1">
      <c r="A467" s="3" t="s">
        <v>664</v>
      </c>
      <c r="B467" s="3"/>
      <c r="C467" s="3"/>
      <c r="D467" s="5" t="s">
        <v>665</v>
      </c>
      <c r="E467" s="5" t="s">
        <v>124</v>
      </c>
      <c r="F467" s="3" t="s">
        <v>2072</v>
      </c>
      <c r="G467" s="6">
        <v>105.12</v>
      </c>
      <c r="H467" s="7">
        <v>41660</v>
      </c>
      <c r="I467" s="6" t="s">
        <v>209</v>
      </c>
      <c r="J467" s="6" t="s">
        <v>2073</v>
      </c>
      <c r="K467" s="6" t="s">
        <v>128</v>
      </c>
      <c r="L467" s="6" t="s">
        <v>240</v>
      </c>
      <c r="M467" s="15" t="s">
        <v>2074</v>
      </c>
      <c r="N467" s="15" t="s">
        <v>2075</v>
      </c>
      <c r="O467" s="28" t="s">
        <v>2076</v>
      </c>
    </row>
    <row r="468" spans="1:15" ht="13.5" customHeight="1">
      <c r="A468" s="3" t="s">
        <v>1311</v>
      </c>
      <c r="B468" s="3"/>
      <c r="C468" s="3"/>
      <c r="D468" s="5" t="s">
        <v>1312</v>
      </c>
      <c r="E468" s="5" t="s">
        <v>124</v>
      </c>
      <c r="F468" s="3" t="s">
        <v>2077</v>
      </c>
      <c r="G468" s="6">
        <v>50.485999999999997</v>
      </c>
      <c r="H468" s="7">
        <v>41660</v>
      </c>
      <c r="I468" s="6" t="s">
        <v>209</v>
      </c>
      <c r="J468" s="6" t="s">
        <v>2078</v>
      </c>
      <c r="K468" s="6" t="s">
        <v>128</v>
      </c>
      <c r="L468" s="6" t="s">
        <v>1652</v>
      </c>
      <c r="M468" s="15" t="s">
        <v>2079</v>
      </c>
      <c r="N468" s="15" t="s">
        <v>2080</v>
      </c>
      <c r="O468" s="28" t="s">
        <v>2081</v>
      </c>
    </row>
    <row r="469" spans="1:15" s="1" customFormat="1" ht="13.5" customHeight="1">
      <c r="A469" s="3" t="s">
        <v>1311</v>
      </c>
      <c r="B469" s="3"/>
      <c r="C469" s="3"/>
      <c r="D469" s="5" t="s">
        <v>1312</v>
      </c>
      <c r="E469" s="5" t="s">
        <v>124</v>
      </c>
      <c r="F469" s="3" t="s">
        <v>2082</v>
      </c>
      <c r="G469" s="6">
        <v>69.266000000000005</v>
      </c>
      <c r="H469" s="7">
        <v>41660</v>
      </c>
      <c r="I469" s="6" t="s">
        <v>209</v>
      </c>
      <c r="J469" s="6" t="s">
        <v>2083</v>
      </c>
      <c r="K469" s="6" t="s">
        <v>128</v>
      </c>
      <c r="L469" s="6" t="s">
        <v>1658</v>
      </c>
      <c r="M469" s="15" t="s">
        <v>2084</v>
      </c>
      <c r="N469" s="15" t="s">
        <v>2085</v>
      </c>
      <c r="O469" s="28" t="s">
        <v>2086</v>
      </c>
    </row>
    <row r="470" spans="1:15" ht="13.5" customHeight="1">
      <c r="A470" s="22" t="s">
        <v>838</v>
      </c>
      <c r="B470" s="31" t="s">
        <v>2087</v>
      </c>
      <c r="C470" s="3"/>
      <c r="D470" s="21" t="s">
        <v>2088</v>
      </c>
      <c r="E470" s="5" t="s">
        <v>124</v>
      </c>
      <c r="F470" s="3" t="s">
        <v>2089</v>
      </c>
      <c r="G470" s="6">
        <v>23.728000000000002</v>
      </c>
      <c r="H470" s="7">
        <v>41660</v>
      </c>
      <c r="I470" s="6" t="s">
        <v>272</v>
      </c>
      <c r="J470" s="6" t="s">
        <v>2090</v>
      </c>
      <c r="K470" s="6" t="s">
        <v>21</v>
      </c>
      <c r="L470" s="6">
        <v>2</v>
      </c>
      <c r="M470" s="15" t="s">
        <v>2091</v>
      </c>
      <c r="N470" s="15" t="s">
        <v>2092</v>
      </c>
      <c r="O470" s="28" t="s">
        <v>2093</v>
      </c>
    </row>
    <row r="471" spans="1:15" s="1" customFormat="1" ht="13.5" customHeight="1">
      <c r="A471" s="5" t="s">
        <v>1127</v>
      </c>
      <c r="B471" s="3"/>
      <c r="C471" s="3"/>
      <c r="D471" s="5" t="s">
        <v>1128</v>
      </c>
      <c r="E471" s="5" t="s">
        <v>7026</v>
      </c>
      <c r="F471" s="3" t="s">
        <v>7203</v>
      </c>
      <c r="G471" s="6">
        <f t="shared" ref="G471:G478" si="11">29.101*L471</f>
        <v>232.80799999999999</v>
      </c>
      <c r="H471" s="7">
        <v>41661</v>
      </c>
      <c r="I471" s="6" t="s">
        <v>178</v>
      </c>
      <c r="J471" s="6" t="s">
        <v>7204</v>
      </c>
      <c r="K471" s="6" t="s">
        <v>21</v>
      </c>
      <c r="L471" s="6">
        <v>8</v>
      </c>
      <c r="M471" s="15" t="s">
        <v>7205</v>
      </c>
      <c r="N471" s="15" t="s">
        <v>892</v>
      </c>
      <c r="O471" s="27" t="s">
        <v>7206</v>
      </c>
    </row>
    <row r="472" spans="1:15" s="1" customFormat="1" ht="13.5" customHeight="1">
      <c r="A472" s="5" t="s">
        <v>1127</v>
      </c>
      <c r="B472" s="3"/>
      <c r="C472" s="3"/>
      <c r="D472" s="5" t="s">
        <v>1128</v>
      </c>
      <c r="E472" s="5" t="s">
        <v>7026</v>
      </c>
      <c r="F472" s="3" t="s">
        <v>7207</v>
      </c>
      <c r="G472" s="6">
        <f t="shared" si="11"/>
        <v>261.90899999999999</v>
      </c>
      <c r="H472" s="7">
        <v>41661</v>
      </c>
      <c r="I472" s="6" t="s">
        <v>178</v>
      </c>
      <c r="J472" s="6" t="s">
        <v>7208</v>
      </c>
      <c r="K472" s="6" t="s">
        <v>21</v>
      </c>
      <c r="L472" s="6">
        <v>9</v>
      </c>
      <c r="M472" s="15" t="s">
        <v>7205</v>
      </c>
      <c r="N472" s="15" t="s">
        <v>896</v>
      </c>
      <c r="O472" s="27" t="s">
        <v>7209</v>
      </c>
    </row>
    <row r="473" spans="1:15" s="1" customFormat="1" ht="13.5" customHeight="1">
      <c r="A473" s="5" t="s">
        <v>1127</v>
      </c>
      <c r="B473" s="3"/>
      <c r="C473" s="3"/>
      <c r="D473" s="5" t="s">
        <v>1128</v>
      </c>
      <c r="E473" s="5" t="s">
        <v>7026</v>
      </c>
      <c r="F473" s="3" t="s">
        <v>7210</v>
      </c>
      <c r="G473" s="6">
        <f t="shared" si="11"/>
        <v>232.80799999999999</v>
      </c>
      <c r="H473" s="7">
        <v>41661</v>
      </c>
      <c r="I473" s="6" t="s">
        <v>178</v>
      </c>
      <c r="J473" s="6" t="s">
        <v>7211</v>
      </c>
      <c r="K473" s="6" t="s">
        <v>21</v>
      </c>
      <c r="L473" s="6">
        <v>8</v>
      </c>
      <c r="M473" s="15" t="s">
        <v>7212</v>
      </c>
      <c r="N473" s="15" t="s">
        <v>447</v>
      </c>
      <c r="O473" s="27" t="s">
        <v>7213</v>
      </c>
    </row>
    <row r="474" spans="1:15" s="1" customFormat="1" ht="13.5" customHeight="1">
      <c r="A474" s="5" t="s">
        <v>1127</v>
      </c>
      <c r="B474" s="3"/>
      <c r="C474" s="3"/>
      <c r="D474" s="5" t="s">
        <v>1128</v>
      </c>
      <c r="E474" s="5" t="s">
        <v>7026</v>
      </c>
      <c r="F474" s="3" t="s">
        <v>7214</v>
      </c>
      <c r="G474" s="6">
        <f t="shared" si="11"/>
        <v>232.80799999999999</v>
      </c>
      <c r="H474" s="7">
        <v>41661</v>
      </c>
      <c r="I474" s="6" t="s">
        <v>178</v>
      </c>
      <c r="J474" s="6" t="s">
        <v>7215</v>
      </c>
      <c r="K474" s="6" t="s">
        <v>21</v>
      </c>
      <c r="L474" s="6">
        <v>8</v>
      </c>
      <c r="M474" s="15" t="s">
        <v>7212</v>
      </c>
      <c r="N474" s="15" t="s">
        <v>892</v>
      </c>
      <c r="O474" s="27" t="s">
        <v>7216</v>
      </c>
    </row>
    <row r="475" spans="1:15" ht="13.5" customHeight="1">
      <c r="A475" s="5" t="s">
        <v>1127</v>
      </c>
      <c r="B475" s="3"/>
      <c r="C475" s="3"/>
      <c r="D475" s="5" t="s">
        <v>1128</v>
      </c>
      <c r="E475" s="5" t="s">
        <v>7026</v>
      </c>
      <c r="F475" s="3" t="s">
        <v>7217</v>
      </c>
      <c r="G475" s="6">
        <f t="shared" si="11"/>
        <v>261.90899999999999</v>
      </c>
      <c r="H475" s="7">
        <v>41661</v>
      </c>
      <c r="I475" s="6" t="s">
        <v>178</v>
      </c>
      <c r="J475" s="6" t="s">
        <v>7218</v>
      </c>
      <c r="K475" s="6" t="s">
        <v>21</v>
      </c>
      <c r="L475" s="6">
        <v>9</v>
      </c>
      <c r="M475" s="15" t="s">
        <v>7212</v>
      </c>
      <c r="N475" s="15" t="s">
        <v>896</v>
      </c>
      <c r="O475" s="27" t="s">
        <v>7219</v>
      </c>
    </row>
    <row r="476" spans="1:15" ht="13.5" customHeight="1">
      <c r="A476" s="5" t="s">
        <v>1127</v>
      </c>
      <c r="B476" s="3"/>
      <c r="C476" s="3"/>
      <c r="D476" s="5" t="s">
        <v>1128</v>
      </c>
      <c r="E476" s="5" t="s">
        <v>7026</v>
      </c>
      <c r="F476" s="3" t="s">
        <v>7220</v>
      </c>
      <c r="G476" s="6">
        <f t="shared" si="11"/>
        <v>232.80799999999999</v>
      </c>
      <c r="H476" s="7">
        <v>41661</v>
      </c>
      <c r="I476" s="6" t="s">
        <v>178</v>
      </c>
      <c r="J476" s="6" t="s">
        <v>7221</v>
      </c>
      <c r="K476" s="6" t="s">
        <v>21</v>
      </c>
      <c r="L476" s="6">
        <v>8</v>
      </c>
      <c r="M476" s="15" t="s">
        <v>7222</v>
      </c>
      <c r="N476" s="15" t="s">
        <v>447</v>
      </c>
      <c r="O476" s="27" t="s">
        <v>7223</v>
      </c>
    </row>
    <row r="477" spans="1:15" ht="13.5" customHeight="1">
      <c r="A477" s="5" t="s">
        <v>1127</v>
      </c>
      <c r="B477" s="3"/>
      <c r="C477" s="3"/>
      <c r="D477" s="5" t="s">
        <v>1128</v>
      </c>
      <c r="E477" s="5" t="s">
        <v>7026</v>
      </c>
      <c r="F477" s="3" t="s">
        <v>7224</v>
      </c>
      <c r="G477" s="6">
        <f t="shared" si="11"/>
        <v>232.80799999999999</v>
      </c>
      <c r="H477" s="7">
        <v>41661</v>
      </c>
      <c r="I477" s="6" t="s">
        <v>178</v>
      </c>
      <c r="J477" s="6" t="s">
        <v>7225</v>
      </c>
      <c r="K477" s="6" t="s">
        <v>21</v>
      </c>
      <c r="L477" s="6">
        <v>8</v>
      </c>
      <c r="M477" s="15" t="s">
        <v>7222</v>
      </c>
      <c r="N477" s="15" t="s">
        <v>892</v>
      </c>
      <c r="O477" s="27" t="s">
        <v>7226</v>
      </c>
    </row>
    <row r="478" spans="1:15" ht="13.5" customHeight="1">
      <c r="A478" s="5" t="s">
        <v>1127</v>
      </c>
      <c r="B478" s="3"/>
      <c r="C478" s="3"/>
      <c r="D478" s="5" t="s">
        <v>1128</v>
      </c>
      <c r="E478" s="5" t="s">
        <v>7026</v>
      </c>
      <c r="F478" s="3" t="s">
        <v>7227</v>
      </c>
      <c r="G478" s="6">
        <f t="shared" si="11"/>
        <v>261.90899999999999</v>
      </c>
      <c r="H478" s="7">
        <v>41661</v>
      </c>
      <c r="I478" s="6" t="s">
        <v>178</v>
      </c>
      <c r="J478" s="6" t="s">
        <v>7228</v>
      </c>
      <c r="K478" s="6" t="s">
        <v>21</v>
      </c>
      <c r="L478" s="6">
        <v>9</v>
      </c>
      <c r="M478" s="15" t="s">
        <v>7222</v>
      </c>
      <c r="N478" s="15" t="s">
        <v>896</v>
      </c>
      <c r="O478" s="27" t="s">
        <v>7229</v>
      </c>
    </row>
    <row r="479" spans="1:15" ht="14.25" customHeight="1">
      <c r="A479" s="3" t="s">
        <v>1087</v>
      </c>
      <c r="B479" s="4" t="s">
        <v>283</v>
      </c>
      <c r="C479" s="3"/>
      <c r="D479" s="5" t="s">
        <v>1088</v>
      </c>
      <c r="E479" s="5" t="s">
        <v>124</v>
      </c>
      <c r="F479" s="3" t="s">
        <v>2094</v>
      </c>
      <c r="G479" s="6">
        <f>9.804*L479</f>
        <v>127.452</v>
      </c>
      <c r="H479" s="7">
        <v>41663</v>
      </c>
      <c r="I479" s="6" t="s">
        <v>1090</v>
      </c>
      <c r="J479" s="6" t="s">
        <v>2095</v>
      </c>
      <c r="K479" s="6" t="s">
        <v>21</v>
      </c>
      <c r="L479" s="6">
        <v>13</v>
      </c>
      <c r="M479" s="15" t="s">
        <v>1790</v>
      </c>
      <c r="N479" s="15" t="s">
        <v>167</v>
      </c>
      <c r="O479" s="28" t="s">
        <v>2096</v>
      </c>
    </row>
    <row r="480" spans="1:15" ht="13.5" customHeight="1">
      <c r="A480" s="3" t="s">
        <v>1087</v>
      </c>
      <c r="B480" s="4" t="s">
        <v>283</v>
      </c>
      <c r="C480" s="3"/>
      <c r="D480" s="5" t="s">
        <v>1088</v>
      </c>
      <c r="E480" s="5" t="s">
        <v>124</v>
      </c>
      <c r="F480" s="3" t="s">
        <v>2097</v>
      </c>
      <c r="G480" s="6">
        <f>9.804*L480</f>
        <v>117.648</v>
      </c>
      <c r="H480" s="7">
        <v>41663</v>
      </c>
      <c r="I480" s="6" t="s">
        <v>1090</v>
      </c>
      <c r="J480" s="6" t="s">
        <v>2098</v>
      </c>
      <c r="K480" s="6" t="s">
        <v>21</v>
      </c>
      <c r="L480" s="6">
        <v>12</v>
      </c>
      <c r="M480" s="15" t="s">
        <v>2099</v>
      </c>
      <c r="N480" s="15" t="s">
        <v>164</v>
      </c>
      <c r="O480" s="28" t="s">
        <v>2099</v>
      </c>
    </row>
    <row r="481" spans="1:15" s="1" customFormat="1" ht="13.5" customHeight="1">
      <c r="A481" s="3" t="s">
        <v>1087</v>
      </c>
      <c r="B481" s="4" t="s">
        <v>283</v>
      </c>
      <c r="C481" s="3"/>
      <c r="D481" s="5" t="s">
        <v>1088</v>
      </c>
      <c r="E481" s="5" t="s">
        <v>124</v>
      </c>
      <c r="F481" s="3" t="s">
        <v>2100</v>
      </c>
      <c r="G481" s="6">
        <f>9.804*L481</f>
        <v>127.452</v>
      </c>
      <c r="H481" s="7">
        <v>41663</v>
      </c>
      <c r="I481" s="6" t="s">
        <v>1090</v>
      </c>
      <c r="J481" s="6" t="s">
        <v>2101</v>
      </c>
      <c r="K481" s="6" t="s">
        <v>21</v>
      </c>
      <c r="L481" s="6">
        <v>13</v>
      </c>
      <c r="M481" s="15" t="s">
        <v>2099</v>
      </c>
      <c r="N481" s="15" t="s">
        <v>167</v>
      </c>
      <c r="O481" s="28" t="s">
        <v>2102</v>
      </c>
    </row>
    <row r="482" spans="1:15" s="1" customFormat="1" ht="13.5" customHeight="1">
      <c r="A482" s="3" t="s">
        <v>282</v>
      </c>
      <c r="B482" s="4" t="s">
        <v>283</v>
      </c>
      <c r="C482" s="3"/>
      <c r="D482" s="5" t="s">
        <v>284</v>
      </c>
      <c r="E482" s="5" t="s">
        <v>124</v>
      </c>
      <c r="F482" s="3" t="s">
        <v>2103</v>
      </c>
      <c r="G482" s="6">
        <f>14.924*L482</f>
        <v>89.543999999999997</v>
      </c>
      <c r="H482" s="7">
        <v>41663</v>
      </c>
      <c r="I482" s="6" t="s">
        <v>286</v>
      </c>
      <c r="J482" s="6" t="s">
        <v>2104</v>
      </c>
      <c r="K482" s="6" t="s">
        <v>21</v>
      </c>
      <c r="L482" s="6">
        <v>6</v>
      </c>
      <c r="M482" s="15" t="s">
        <v>2105</v>
      </c>
      <c r="N482" s="15" t="s">
        <v>1588</v>
      </c>
      <c r="O482" s="28" t="s">
        <v>2105</v>
      </c>
    </row>
    <row r="483" spans="1:15" ht="13.5" customHeight="1">
      <c r="A483" s="3" t="s">
        <v>1810</v>
      </c>
      <c r="B483" s="3"/>
      <c r="C483" s="3"/>
      <c r="D483" s="5" t="s">
        <v>717</v>
      </c>
      <c r="E483" s="5" t="s">
        <v>124</v>
      </c>
      <c r="F483" s="3" t="s">
        <v>2106</v>
      </c>
      <c r="G483" s="6">
        <v>87.6</v>
      </c>
      <c r="H483" s="7">
        <v>41663</v>
      </c>
      <c r="I483" s="6" t="s">
        <v>209</v>
      </c>
      <c r="J483" s="6" t="s">
        <v>2107</v>
      </c>
      <c r="K483" s="6" t="s">
        <v>128</v>
      </c>
      <c r="L483" s="6" t="s">
        <v>2108</v>
      </c>
      <c r="M483" s="15" t="s">
        <v>2109</v>
      </c>
      <c r="N483" s="15" t="s">
        <v>2110</v>
      </c>
      <c r="O483" s="27" t="s">
        <v>2111</v>
      </c>
    </row>
    <row r="484" spans="1:15" ht="13.5" customHeight="1">
      <c r="A484" s="3" t="s">
        <v>1868</v>
      </c>
      <c r="B484" s="3"/>
      <c r="C484" s="3"/>
      <c r="D484" s="5" t="s">
        <v>536</v>
      </c>
      <c r="E484" s="5" t="s">
        <v>124</v>
      </c>
      <c r="F484" s="3" t="s">
        <v>2112</v>
      </c>
      <c r="G484" s="6">
        <v>85.807000000000002</v>
      </c>
      <c r="H484" s="7">
        <v>41663</v>
      </c>
      <c r="I484" s="6" t="s">
        <v>209</v>
      </c>
      <c r="J484" s="6" t="s">
        <v>2113</v>
      </c>
      <c r="K484" s="6" t="s">
        <v>128</v>
      </c>
      <c r="L484" s="6" t="s">
        <v>1329</v>
      </c>
      <c r="M484" s="15" t="s">
        <v>2114</v>
      </c>
      <c r="N484" s="15" t="s">
        <v>2115</v>
      </c>
      <c r="O484" s="27" t="s">
        <v>2116</v>
      </c>
    </row>
    <row r="485" spans="1:15" ht="13.5" customHeight="1">
      <c r="A485" s="22" t="s">
        <v>1349</v>
      </c>
      <c r="B485" s="3"/>
      <c r="C485" s="3"/>
      <c r="D485" s="21" t="s">
        <v>2117</v>
      </c>
      <c r="E485" s="5" t="s">
        <v>124</v>
      </c>
      <c r="F485" s="3" t="s">
        <v>2118</v>
      </c>
      <c r="G485" s="6">
        <v>200.48599999999999</v>
      </c>
      <c r="H485" s="7">
        <v>41663</v>
      </c>
      <c r="I485" s="6" t="s">
        <v>178</v>
      </c>
      <c r="J485" s="6" t="s">
        <v>2119</v>
      </c>
      <c r="K485" s="6" t="s">
        <v>128</v>
      </c>
      <c r="L485" s="6" t="s">
        <v>1996</v>
      </c>
      <c r="M485" s="15" t="s">
        <v>2120</v>
      </c>
      <c r="N485" s="15" t="s">
        <v>2121</v>
      </c>
      <c r="O485" s="27" t="s">
        <v>2122</v>
      </c>
    </row>
    <row r="486" spans="1:15" ht="13.5" customHeight="1">
      <c r="A486" s="3" t="s">
        <v>1349</v>
      </c>
      <c r="B486" s="3"/>
      <c r="C486" s="3"/>
      <c r="D486" s="5" t="s">
        <v>2117</v>
      </c>
      <c r="E486" s="5" t="s">
        <v>124</v>
      </c>
      <c r="F486" s="3" t="s">
        <v>2123</v>
      </c>
      <c r="G486" s="6">
        <v>199.28800000000001</v>
      </c>
      <c r="H486" s="7">
        <v>41663</v>
      </c>
      <c r="I486" s="6" t="s">
        <v>178</v>
      </c>
      <c r="J486" s="6" t="s">
        <v>2124</v>
      </c>
      <c r="K486" s="6" t="s">
        <v>128</v>
      </c>
      <c r="L486" s="6" t="s">
        <v>1996</v>
      </c>
      <c r="M486" s="15" t="s">
        <v>2125</v>
      </c>
      <c r="N486" s="15" t="s">
        <v>2126</v>
      </c>
      <c r="O486" s="27" t="s">
        <v>2127</v>
      </c>
    </row>
    <row r="487" spans="1:15" s="1" customFormat="1" ht="13.5" customHeight="1">
      <c r="A487" s="5" t="s">
        <v>1127</v>
      </c>
      <c r="B487" s="3"/>
      <c r="C487" s="3"/>
      <c r="D487" s="5" t="s">
        <v>1128</v>
      </c>
      <c r="E487" s="5" t="s">
        <v>7026</v>
      </c>
      <c r="F487" s="3" t="s">
        <v>7230</v>
      </c>
      <c r="G487" s="6">
        <f>29.101*L487</f>
        <v>232.80799999999999</v>
      </c>
      <c r="H487" s="7">
        <v>41663</v>
      </c>
      <c r="I487" s="6" t="s">
        <v>178</v>
      </c>
      <c r="J487" s="6" t="s">
        <v>7231</v>
      </c>
      <c r="K487" s="6" t="s">
        <v>21</v>
      </c>
      <c r="L487" s="6">
        <v>8</v>
      </c>
      <c r="M487" s="15" t="s">
        <v>7232</v>
      </c>
      <c r="N487" s="15" t="s">
        <v>447</v>
      </c>
      <c r="O487" s="27" t="s">
        <v>7233</v>
      </c>
    </row>
    <row r="488" spans="1:15" s="1" customFormat="1" ht="13.5" customHeight="1">
      <c r="A488" s="5" t="s">
        <v>1127</v>
      </c>
      <c r="B488" s="3"/>
      <c r="C488" s="3"/>
      <c r="D488" s="5" t="s">
        <v>1128</v>
      </c>
      <c r="E488" s="5" t="s">
        <v>7026</v>
      </c>
      <c r="F488" s="3" t="s">
        <v>7234</v>
      </c>
      <c r="G488" s="6">
        <f>29.101*L488</f>
        <v>232.80799999999999</v>
      </c>
      <c r="H488" s="7">
        <v>41663</v>
      </c>
      <c r="I488" s="6" t="s">
        <v>178</v>
      </c>
      <c r="J488" s="6" t="s">
        <v>7235</v>
      </c>
      <c r="K488" s="6" t="s">
        <v>21</v>
      </c>
      <c r="L488" s="6">
        <v>8</v>
      </c>
      <c r="M488" s="15" t="s">
        <v>7232</v>
      </c>
      <c r="N488" s="15" t="s">
        <v>892</v>
      </c>
      <c r="O488" s="27" t="s">
        <v>7236</v>
      </c>
    </row>
    <row r="489" spans="1:15" s="1" customFormat="1" ht="13.5" customHeight="1">
      <c r="A489" s="5" t="s">
        <v>1127</v>
      </c>
      <c r="B489" s="3"/>
      <c r="C489" s="3"/>
      <c r="D489" s="5" t="s">
        <v>1128</v>
      </c>
      <c r="E489" s="5" t="s">
        <v>7026</v>
      </c>
      <c r="F489" s="3" t="s">
        <v>7237</v>
      </c>
      <c r="G489" s="6">
        <f>29.101*L489</f>
        <v>261.90899999999999</v>
      </c>
      <c r="H489" s="7">
        <v>41663</v>
      </c>
      <c r="I489" s="6" t="s">
        <v>178</v>
      </c>
      <c r="J489" s="6" t="s">
        <v>7238</v>
      </c>
      <c r="K489" s="6" t="s">
        <v>21</v>
      </c>
      <c r="L489" s="6">
        <v>9</v>
      </c>
      <c r="M489" s="15" t="s">
        <v>7232</v>
      </c>
      <c r="N489" s="15" t="s">
        <v>896</v>
      </c>
      <c r="O489" s="27" t="s">
        <v>7239</v>
      </c>
    </row>
    <row r="490" spans="1:15" ht="13.5" customHeight="1">
      <c r="A490" s="22" t="s">
        <v>1534</v>
      </c>
      <c r="B490" s="3"/>
      <c r="C490" s="3"/>
      <c r="D490" s="21" t="s">
        <v>2128</v>
      </c>
      <c r="E490" s="5" t="s">
        <v>124</v>
      </c>
      <c r="F490" s="3" t="s">
        <v>2129</v>
      </c>
      <c r="G490" s="6">
        <v>233.392</v>
      </c>
      <c r="H490" s="7">
        <v>41665</v>
      </c>
      <c r="I490" s="6" t="s">
        <v>209</v>
      </c>
      <c r="J490" s="6" t="s">
        <v>2130</v>
      </c>
      <c r="K490" s="6" t="s">
        <v>128</v>
      </c>
      <c r="L490" s="6" t="s">
        <v>2131</v>
      </c>
      <c r="M490" s="15" t="s">
        <v>2132</v>
      </c>
      <c r="N490" s="15" t="s">
        <v>2133</v>
      </c>
      <c r="O490" s="27" t="s">
        <v>2134</v>
      </c>
    </row>
    <row r="491" spans="1:15" s="1" customFormat="1" ht="13.5" customHeight="1">
      <c r="A491" s="3" t="s">
        <v>1534</v>
      </c>
      <c r="B491" s="3"/>
      <c r="C491" s="3"/>
      <c r="D491" s="5" t="s">
        <v>2128</v>
      </c>
      <c r="E491" s="5" t="s">
        <v>124</v>
      </c>
      <c r="F491" s="3" t="s">
        <v>2135</v>
      </c>
      <c r="G491" s="6">
        <v>261.48200000000003</v>
      </c>
      <c r="H491" s="7">
        <v>41666</v>
      </c>
      <c r="I491" s="6" t="s">
        <v>209</v>
      </c>
      <c r="J491" s="6" t="s">
        <v>2136</v>
      </c>
      <c r="K491" s="6" t="s">
        <v>128</v>
      </c>
      <c r="L491" s="6" t="s">
        <v>1885</v>
      </c>
      <c r="M491" s="15" t="s">
        <v>2137</v>
      </c>
      <c r="N491" s="15" t="s">
        <v>2138</v>
      </c>
      <c r="O491" s="27" t="s">
        <v>2139</v>
      </c>
    </row>
    <row r="492" spans="1:15" s="1" customFormat="1" ht="13.5" customHeight="1">
      <c r="A492" s="3" t="s">
        <v>1534</v>
      </c>
      <c r="B492" s="3"/>
      <c r="C492" s="3"/>
      <c r="D492" s="5" t="s">
        <v>2128</v>
      </c>
      <c r="E492" s="5" t="s">
        <v>124</v>
      </c>
      <c r="F492" s="3" t="s">
        <v>2140</v>
      </c>
      <c r="G492" s="6">
        <v>83.108000000000004</v>
      </c>
      <c r="H492" s="7">
        <v>41666</v>
      </c>
      <c r="I492" s="6" t="s">
        <v>209</v>
      </c>
      <c r="J492" s="6" t="s">
        <v>2141</v>
      </c>
      <c r="K492" s="6" t="s">
        <v>128</v>
      </c>
      <c r="L492" s="6" t="s">
        <v>2142</v>
      </c>
      <c r="M492" s="15" t="s">
        <v>2143</v>
      </c>
      <c r="N492" s="15" t="s">
        <v>2144</v>
      </c>
      <c r="O492" s="27" t="s">
        <v>2145</v>
      </c>
    </row>
    <row r="493" spans="1:15" s="1" customFormat="1" ht="13.5" customHeight="1">
      <c r="A493" s="22" t="s">
        <v>1216</v>
      </c>
      <c r="B493" s="3"/>
      <c r="C493" s="3"/>
      <c r="D493" s="21" t="s">
        <v>2117</v>
      </c>
      <c r="E493" s="5" t="s">
        <v>124</v>
      </c>
      <c r="F493" s="3" t="s">
        <v>2146</v>
      </c>
      <c r="G493" s="6">
        <v>200.232</v>
      </c>
      <c r="H493" s="7">
        <v>41667</v>
      </c>
      <c r="I493" s="6" t="s">
        <v>209</v>
      </c>
      <c r="J493" s="6" t="s">
        <v>2147</v>
      </c>
      <c r="K493" s="6" t="s">
        <v>128</v>
      </c>
      <c r="L493" s="6" t="s">
        <v>1996</v>
      </c>
      <c r="M493" s="15" t="s">
        <v>2148</v>
      </c>
      <c r="N493" s="15" t="s">
        <v>2149</v>
      </c>
      <c r="O493" s="27" t="s">
        <v>2150</v>
      </c>
    </row>
    <row r="494" spans="1:15" s="1" customFormat="1" ht="13.5" customHeight="1">
      <c r="A494" s="3" t="s">
        <v>1216</v>
      </c>
      <c r="B494" s="3"/>
      <c r="C494" s="3"/>
      <c r="D494" s="5" t="s">
        <v>2117</v>
      </c>
      <c r="E494" s="5" t="s">
        <v>124</v>
      </c>
      <c r="F494" s="3" t="s">
        <v>2151</v>
      </c>
      <c r="G494" s="6">
        <v>262.20499999999998</v>
      </c>
      <c r="H494" s="7">
        <v>41667</v>
      </c>
      <c r="I494" s="6" t="s">
        <v>209</v>
      </c>
      <c r="J494" s="6" t="s">
        <v>2152</v>
      </c>
      <c r="K494" s="6" t="s">
        <v>128</v>
      </c>
      <c r="L494" s="6" t="s">
        <v>1891</v>
      </c>
      <c r="M494" s="15" t="s">
        <v>2153</v>
      </c>
      <c r="N494" s="15" t="s">
        <v>2154</v>
      </c>
      <c r="O494" s="28" t="s">
        <v>2155</v>
      </c>
    </row>
    <row r="495" spans="1:15" ht="13.5" customHeight="1">
      <c r="A495" s="3" t="s">
        <v>1216</v>
      </c>
      <c r="B495" s="3"/>
      <c r="C495" s="3"/>
      <c r="D495" s="5" t="s">
        <v>2117</v>
      </c>
      <c r="E495" s="5" t="s">
        <v>124</v>
      </c>
      <c r="F495" s="3" t="s">
        <v>2156</v>
      </c>
      <c r="G495" s="6">
        <v>200.928</v>
      </c>
      <c r="H495" s="7">
        <v>41667</v>
      </c>
      <c r="I495" s="6" t="s">
        <v>209</v>
      </c>
      <c r="J495" s="6" t="s">
        <v>2157</v>
      </c>
      <c r="K495" s="6" t="s">
        <v>128</v>
      </c>
      <c r="L495" s="6" t="s">
        <v>1996</v>
      </c>
      <c r="M495" s="15" t="s">
        <v>2158</v>
      </c>
      <c r="N495" s="15" t="s">
        <v>2159</v>
      </c>
      <c r="O495" s="28" t="s">
        <v>2160</v>
      </c>
    </row>
    <row r="496" spans="1:15" ht="13.5" customHeight="1">
      <c r="A496" s="3" t="s">
        <v>1216</v>
      </c>
      <c r="B496" s="3"/>
      <c r="C496" s="3"/>
      <c r="D496" s="5" t="s">
        <v>2117</v>
      </c>
      <c r="E496" s="5" t="s">
        <v>124</v>
      </c>
      <c r="F496" s="3" t="s">
        <v>2161</v>
      </c>
      <c r="G496" s="6">
        <v>201.17099999999999</v>
      </c>
      <c r="H496" s="7">
        <v>41667</v>
      </c>
      <c r="I496" s="6" t="s">
        <v>209</v>
      </c>
      <c r="J496" s="6" t="s">
        <v>2162</v>
      </c>
      <c r="K496" s="6" t="s">
        <v>128</v>
      </c>
      <c r="L496" s="6" t="s">
        <v>1996</v>
      </c>
      <c r="M496" s="15" t="s">
        <v>2163</v>
      </c>
      <c r="N496" s="15" t="s">
        <v>2164</v>
      </c>
      <c r="O496" s="28" t="s">
        <v>2165</v>
      </c>
    </row>
    <row r="497" spans="1:15" s="1" customFormat="1" ht="13.5" customHeight="1">
      <c r="A497" s="3" t="s">
        <v>1349</v>
      </c>
      <c r="B497" s="3"/>
      <c r="C497" s="3"/>
      <c r="D497" s="5" t="s">
        <v>2117</v>
      </c>
      <c r="E497" s="5" t="s">
        <v>124</v>
      </c>
      <c r="F497" s="3" t="s">
        <v>2166</v>
      </c>
      <c r="G497" s="6">
        <v>232.78299999999999</v>
      </c>
      <c r="H497" s="7">
        <v>41667</v>
      </c>
      <c r="I497" s="6" t="s">
        <v>178</v>
      </c>
      <c r="J497" s="6" t="s">
        <v>2167</v>
      </c>
      <c r="K497" s="6" t="s">
        <v>128</v>
      </c>
      <c r="L497" s="6" t="s">
        <v>1226</v>
      </c>
      <c r="M497" s="15" t="s">
        <v>2168</v>
      </c>
      <c r="N497" s="15" t="s">
        <v>2169</v>
      </c>
      <c r="O497" s="28" t="s">
        <v>2170</v>
      </c>
    </row>
    <row r="498" spans="1:15" ht="13.5" customHeight="1">
      <c r="A498" s="3" t="s">
        <v>1349</v>
      </c>
      <c r="B498" s="3"/>
      <c r="C498" s="3"/>
      <c r="D498" s="5" t="s">
        <v>2117</v>
      </c>
      <c r="E498" s="5" t="s">
        <v>124</v>
      </c>
      <c r="F498" s="3" t="s">
        <v>2171</v>
      </c>
      <c r="G498" s="6">
        <v>262.56599999999997</v>
      </c>
      <c r="H498" s="7">
        <v>41667</v>
      </c>
      <c r="I498" s="6" t="s">
        <v>178</v>
      </c>
      <c r="J498" s="6" t="s">
        <v>2172</v>
      </c>
      <c r="K498" s="6" t="s">
        <v>128</v>
      </c>
      <c r="L498" s="6" t="s">
        <v>1891</v>
      </c>
      <c r="M498" s="15" t="s">
        <v>2173</v>
      </c>
      <c r="N498" s="15" t="s">
        <v>2174</v>
      </c>
      <c r="O498" s="28" t="s">
        <v>2175</v>
      </c>
    </row>
    <row r="499" spans="1:15" ht="13.5" customHeight="1">
      <c r="A499" s="3" t="s">
        <v>1349</v>
      </c>
      <c r="B499" s="3"/>
      <c r="C499" s="3"/>
      <c r="D499" s="5" t="s">
        <v>2117</v>
      </c>
      <c r="E499" s="5" t="s">
        <v>124</v>
      </c>
      <c r="F499" s="3" t="s">
        <v>2176</v>
      </c>
      <c r="G499" s="6">
        <v>233.25399999999999</v>
      </c>
      <c r="H499" s="7">
        <v>41667</v>
      </c>
      <c r="I499" s="6" t="s">
        <v>178</v>
      </c>
      <c r="J499" s="6" t="s">
        <v>2177</v>
      </c>
      <c r="K499" s="6" t="s">
        <v>128</v>
      </c>
      <c r="L499" s="6" t="s">
        <v>1226</v>
      </c>
      <c r="M499" s="15" t="s">
        <v>2178</v>
      </c>
      <c r="N499" s="15" t="s">
        <v>2179</v>
      </c>
      <c r="O499" s="28" t="s">
        <v>2180</v>
      </c>
    </row>
    <row r="500" spans="1:15" s="1" customFormat="1" ht="13.5" customHeight="1">
      <c r="A500" s="3" t="s">
        <v>1349</v>
      </c>
      <c r="B500" s="3"/>
      <c r="C500" s="3"/>
      <c r="D500" s="5" t="s">
        <v>2117</v>
      </c>
      <c r="E500" s="5" t="s">
        <v>124</v>
      </c>
      <c r="F500" s="3" t="s">
        <v>2181</v>
      </c>
      <c r="G500" s="6">
        <v>139.90600000000001</v>
      </c>
      <c r="H500" s="7">
        <v>41667</v>
      </c>
      <c r="I500" s="6" t="s">
        <v>178</v>
      </c>
      <c r="J500" s="6" t="s">
        <v>2182</v>
      </c>
      <c r="K500" s="6" t="s">
        <v>128</v>
      </c>
      <c r="L500" s="6" t="s">
        <v>2183</v>
      </c>
      <c r="M500" s="15" t="s">
        <v>2184</v>
      </c>
      <c r="N500" s="15" t="s">
        <v>2185</v>
      </c>
      <c r="O500" s="28" t="s">
        <v>2186</v>
      </c>
    </row>
    <row r="501" spans="1:15" s="1" customFormat="1" ht="13.5" customHeight="1">
      <c r="A501" s="22" t="s">
        <v>514</v>
      </c>
      <c r="B501" s="3"/>
      <c r="C501" s="3"/>
      <c r="D501" s="21" t="s">
        <v>2030</v>
      </c>
      <c r="E501" s="5" t="s">
        <v>124</v>
      </c>
      <c r="F501" s="3" t="s">
        <v>2187</v>
      </c>
      <c r="G501" s="6">
        <f t="shared" ref="G501:G506" si="12">14.405*L501</f>
        <v>172.85999999999999</v>
      </c>
      <c r="H501" s="7">
        <v>41667</v>
      </c>
      <c r="I501" s="6" t="s">
        <v>265</v>
      </c>
      <c r="J501" s="6" t="s">
        <v>2188</v>
      </c>
      <c r="K501" s="6" t="s">
        <v>21</v>
      </c>
      <c r="L501" s="6">
        <v>12</v>
      </c>
      <c r="M501" s="15" t="s">
        <v>2189</v>
      </c>
      <c r="N501" s="15" t="s">
        <v>164</v>
      </c>
      <c r="O501" s="28" t="s">
        <v>2189</v>
      </c>
    </row>
    <row r="502" spans="1:15" s="1" customFormat="1" ht="13.5" customHeight="1">
      <c r="A502" s="3" t="s">
        <v>514</v>
      </c>
      <c r="B502" s="3"/>
      <c r="C502" s="3"/>
      <c r="D502" s="5" t="s">
        <v>2030</v>
      </c>
      <c r="E502" s="5" t="s">
        <v>124</v>
      </c>
      <c r="F502" s="3" t="s">
        <v>2190</v>
      </c>
      <c r="G502" s="6">
        <f t="shared" si="12"/>
        <v>187.26499999999999</v>
      </c>
      <c r="H502" s="7">
        <v>41667</v>
      </c>
      <c r="I502" s="6" t="s">
        <v>265</v>
      </c>
      <c r="J502" s="6" t="s">
        <v>2191</v>
      </c>
      <c r="K502" s="6" t="s">
        <v>21</v>
      </c>
      <c r="L502" s="6">
        <v>13</v>
      </c>
      <c r="M502" s="15" t="s">
        <v>2189</v>
      </c>
      <c r="N502" s="15" t="s">
        <v>167</v>
      </c>
      <c r="O502" s="28" t="s">
        <v>2192</v>
      </c>
    </row>
    <row r="503" spans="1:15" s="1" customFormat="1" ht="13.5" customHeight="1">
      <c r="A503" s="3" t="s">
        <v>514</v>
      </c>
      <c r="B503" s="3"/>
      <c r="C503" s="3"/>
      <c r="D503" s="5" t="s">
        <v>2030</v>
      </c>
      <c r="E503" s="5" t="s">
        <v>124</v>
      </c>
      <c r="F503" s="3" t="s">
        <v>2193</v>
      </c>
      <c r="G503" s="6">
        <f t="shared" si="12"/>
        <v>201.67</v>
      </c>
      <c r="H503" s="7">
        <v>41667</v>
      </c>
      <c r="I503" s="6" t="s">
        <v>265</v>
      </c>
      <c r="J503" s="6" t="s">
        <v>2194</v>
      </c>
      <c r="K503" s="6" t="s">
        <v>21</v>
      </c>
      <c r="L503" s="6">
        <v>14</v>
      </c>
      <c r="M503" s="15" t="s">
        <v>2195</v>
      </c>
      <c r="N503" s="15" t="s">
        <v>2196</v>
      </c>
      <c r="O503" s="28" t="s">
        <v>2195</v>
      </c>
    </row>
    <row r="504" spans="1:15" ht="13.5" customHeight="1">
      <c r="A504" s="3" t="s">
        <v>460</v>
      </c>
      <c r="B504" s="3"/>
      <c r="C504" s="3"/>
      <c r="D504" s="5" t="s">
        <v>2030</v>
      </c>
      <c r="E504" s="5" t="s">
        <v>124</v>
      </c>
      <c r="F504" s="3" t="s">
        <v>2197</v>
      </c>
      <c r="G504" s="6">
        <f t="shared" si="12"/>
        <v>158.45499999999998</v>
      </c>
      <c r="H504" s="7">
        <v>41667</v>
      </c>
      <c r="I504" s="6" t="s">
        <v>265</v>
      </c>
      <c r="J504" s="6" t="s">
        <v>2198</v>
      </c>
      <c r="K504" s="6" t="s">
        <v>21</v>
      </c>
      <c r="L504" s="6">
        <v>11</v>
      </c>
      <c r="M504" s="15" t="s">
        <v>2195</v>
      </c>
      <c r="N504" s="15" t="s">
        <v>2199</v>
      </c>
      <c r="O504" s="28" t="s">
        <v>2200</v>
      </c>
    </row>
    <row r="505" spans="1:15" ht="13.5" customHeight="1">
      <c r="A505" s="3" t="s">
        <v>460</v>
      </c>
      <c r="B505" s="3"/>
      <c r="C505" s="3"/>
      <c r="D505" s="5" t="s">
        <v>2030</v>
      </c>
      <c r="E505" s="5" t="s">
        <v>124</v>
      </c>
      <c r="F505" s="3" t="s">
        <v>2201</v>
      </c>
      <c r="G505" s="6">
        <f t="shared" si="12"/>
        <v>172.85999999999999</v>
      </c>
      <c r="H505" s="7">
        <v>41667</v>
      </c>
      <c r="I505" s="6" t="s">
        <v>265</v>
      </c>
      <c r="J505" s="6" t="s">
        <v>2202</v>
      </c>
      <c r="K505" s="6" t="s">
        <v>21</v>
      </c>
      <c r="L505" s="6">
        <v>12</v>
      </c>
      <c r="M505" s="15" t="s">
        <v>2203</v>
      </c>
      <c r="N505" s="15" t="s">
        <v>164</v>
      </c>
      <c r="O505" s="28" t="s">
        <v>2203</v>
      </c>
    </row>
    <row r="506" spans="1:15" ht="13.5" customHeight="1">
      <c r="A506" s="3" t="s">
        <v>460</v>
      </c>
      <c r="B506" s="3"/>
      <c r="C506" s="3"/>
      <c r="D506" s="5" t="s">
        <v>2030</v>
      </c>
      <c r="E506" s="5" t="s">
        <v>124</v>
      </c>
      <c r="F506" s="3" t="s">
        <v>2204</v>
      </c>
      <c r="G506" s="6">
        <f t="shared" si="12"/>
        <v>187.26499999999999</v>
      </c>
      <c r="H506" s="7">
        <v>41667</v>
      </c>
      <c r="I506" s="6" t="s">
        <v>265</v>
      </c>
      <c r="J506" s="6" t="s">
        <v>2205</v>
      </c>
      <c r="K506" s="6" t="s">
        <v>21</v>
      </c>
      <c r="L506" s="6">
        <v>13</v>
      </c>
      <c r="M506" s="15" t="s">
        <v>2203</v>
      </c>
      <c r="N506" s="15" t="s">
        <v>167</v>
      </c>
      <c r="O506" s="28" t="s">
        <v>2206</v>
      </c>
    </row>
    <row r="507" spans="1:15" ht="13.5" customHeight="1">
      <c r="A507" s="3" t="s">
        <v>654</v>
      </c>
      <c r="B507" s="3"/>
      <c r="C507" s="3"/>
      <c r="D507" s="5" t="s">
        <v>410</v>
      </c>
      <c r="E507" s="5" t="s">
        <v>124</v>
      </c>
      <c r="F507" s="3" t="s">
        <v>2207</v>
      </c>
      <c r="G507" s="6">
        <f t="shared" ref="G507:G517" si="13">17.52*L507</f>
        <v>227.76</v>
      </c>
      <c r="H507" s="7">
        <v>41667</v>
      </c>
      <c r="I507" s="6" t="s">
        <v>209</v>
      </c>
      <c r="J507" s="6" t="s">
        <v>2208</v>
      </c>
      <c r="K507" s="6" t="s">
        <v>21</v>
      </c>
      <c r="L507" s="6">
        <v>13</v>
      </c>
      <c r="M507" s="15" t="s">
        <v>1494</v>
      </c>
      <c r="N507" s="15" t="s">
        <v>167</v>
      </c>
      <c r="O507" s="28" t="s">
        <v>2209</v>
      </c>
    </row>
    <row r="508" spans="1:15" ht="13.5" customHeight="1">
      <c r="A508" s="3" t="s">
        <v>654</v>
      </c>
      <c r="B508" s="3"/>
      <c r="C508" s="3"/>
      <c r="D508" s="5" t="s">
        <v>410</v>
      </c>
      <c r="E508" s="5" t="s">
        <v>124</v>
      </c>
      <c r="F508" s="3" t="s">
        <v>2210</v>
      </c>
      <c r="G508" s="6">
        <f t="shared" si="13"/>
        <v>210.24</v>
      </c>
      <c r="H508" s="7">
        <v>41667</v>
      </c>
      <c r="I508" s="6" t="s">
        <v>209</v>
      </c>
      <c r="J508" s="6" t="s">
        <v>2211</v>
      </c>
      <c r="K508" s="6" t="s">
        <v>21</v>
      </c>
      <c r="L508" s="6">
        <v>12</v>
      </c>
      <c r="M508" s="15" t="s">
        <v>2212</v>
      </c>
      <c r="N508" s="15" t="s">
        <v>164</v>
      </c>
      <c r="O508" s="28" t="s">
        <v>2212</v>
      </c>
    </row>
    <row r="509" spans="1:15" ht="13.5" customHeight="1">
      <c r="A509" s="3" t="s">
        <v>654</v>
      </c>
      <c r="B509" s="3"/>
      <c r="C509" s="3"/>
      <c r="D509" s="5" t="s">
        <v>410</v>
      </c>
      <c r="E509" s="5" t="s">
        <v>124</v>
      </c>
      <c r="F509" s="3" t="s">
        <v>2213</v>
      </c>
      <c r="G509" s="6">
        <f t="shared" si="13"/>
        <v>227.76</v>
      </c>
      <c r="H509" s="7">
        <v>41667</v>
      </c>
      <c r="I509" s="6" t="s">
        <v>209</v>
      </c>
      <c r="J509" s="6" t="s">
        <v>2214</v>
      </c>
      <c r="K509" s="6" t="s">
        <v>21</v>
      </c>
      <c r="L509" s="6">
        <v>13</v>
      </c>
      <c r="M509" s="15" t="s">
        <v>2212</v>
      </c>
      <c r="N509" s="15" t="s">
        <v>167</v>
      </c>
      <c r="O509" s="28" t="s">
        <v>2215</v>
      </c>
    </row>
    <row r="510" spans="1:15" s="1" customFormat="1" ht="13.5" customHeight="1">
      <c r="A510" s="3" t="s">
        <v>654</v>
      </c>
      <c r="B510" s="3"/>
      <c r="C510" s="3"/>
      <c r="D510" s="5" t="s">
        <v>410</v>
      </c>
      <c r="E510" s="5" t="s">
        <v>124</v>
      </c>
      <c r="F510" s="3" t="s">
        <v>2216</v>
      </c>
      <c r="G510" s="6">
        <f t="shared" si="13"/>
        <v>210.24</v>
      </c>
      <c r="H510" s="7">
        <v>41667</v>
      </c>
      <c r="I510" s="6" t="s">
        <v>209</v>
      </c>
      <c r="J510" s="6" t="s">
        <v>2217</v>
      </c>
      <c r="K510" s="6" t="s">
        <v>21</v>
      </c>
      <c r="L510" s="6">
        <v>12</v>
      </c>
      <c r="M510" s="15" t="s">
        <v>2218</v>
      </c>
      <c r="N510" s="15" t="s">
        <v>164</v>
      </c>
      <c r="O510" s="28" t="s">
        <v>2219</v>
      </c>
    </row>
    <row r="511" spans="1:15" s="1" customFormat="1" ht="13.5" customHeight="1">
      <c r="A511" s="3" t="s">
        <v>654</v>
      </c>
      <c r="B511" s="3"/>
      <c r="C511" s="3"/>
      <c r="D511" s="5" t="s">
        <v>410</v>
      </c>
      <c r="E511" s="5" t="s">
        <v>124</v>
      </c>
      <c r="F511" s="3" t="s">
        <v>2220</v>
      </c>
      <c r="G511" s="6">
        <f t="shared" si="13"/>
        <v>227.76</v>
      </c>
      <c r="H511" s="7">
        <v>41667</v>
      </c>
      <c r="I511" s="6" t="s">
        <v>209</v>
      </c>
      <c r="J511" s="6" t="s">
        <v>2221</v>
      </c>
      <c r="K511" s="6" t="s">
        <v>21</v>
      </c>
      <c r="L511" s="6">
        <v>13</v>
      </c>
      <c r="M511" s="15" t="s">
        <v>2218</v>
      </c>
      <c r="N511" s="15" t="s">
        <v>167</v>
      </c>
      <c r="O511" s="28" t="s">
        <v>2218</v>
      </c>
    </row>
    <row r="512" spans="1:15" ht="13.5" customHeight="1">
      <c r="A512" s="3" t="s">
        <v>854</v>
      </c>
      <c r="B512" s="3"/>
      <c r="C512" s="3"/>
      <c r="D512" s="5" t="s">
        <v>855</v>
      </c>
      <c r="E512" s="5" t="s">
        <v>124</v>
      </c>
      <c r="F512" s="3" t="s">
        <v>2222</v>
      </c>
      <c r="G512" s="6">
        <f t="shared" si="13"/>
        <v>122.64</v>
      </c>
      <c r="H512" s="7">
        <v>41667</v>
      </c>
      <c r="I512" s="6" t="s">
        <v>209</v>
      </c>
      <c r="J512" s="6" t="s">
        <v>2223</v>
      </c>
      <c r="K512" s="6" t="s">
        <v>21</v>
      </c>
      <c r="L512" s="6">
        <v>7</v>
      </c>
      <c r="M512" s="15" t="s">
        <v>2224</v>
      </c>
      <c r="N512" s="15" t="s">
        <v>1093</v>
      </c>
      <c r="O512" s="28" t="s">
        <v>2224</v>
      </c>
    </row>
    <row r="513" spans="1:15" ht="13.5" customHeight="1">
      <c r="A513" s="3" t="s">
        <v>854</v>
      </c>
      <c r="B513" s="3"/>
      <c r="C513" s="3"/>
      <c r="D513" s="5" t="s">
        <v>855</v>
      </c>
      <c r="E513" s="5" t="s">
        <v>124</v>
      </c>
      <c r="F513" s="3" t="s">
        <v>2225</v>
      </c>
      <c r="G513" s="6">
        <f t="shared" si="13"/>
        <v>140.16</v>
      </c>
      <c r="H513" s="7">
        <v>41667</v>
      </c>
      <c r="I513" s="6" t="s">
        <v>209</v>
      </c>
      <c r="J513" s="6" t="s">
        <v>2226</v>
      </c>
      <c r="K513" s="6" t="s">
        <v>21</v>
      </c>
      <c r="L513" s="6">
        <v>8</v>
      </c>
      <c r="M513" s="15" t="s">
        <v>2224</v>
      </c>
      <c r="N513" s="15" t="s">
        <v>1096</v>
      </c>
      <c r="O513" s="27" t="s">
        <v>2227</v>
      </c>
    </row>
    <row r="514" spans="1:15" ht="13.5" customHeight="1">
      <c r="A514" s="3" t="s">
        <v>1498</v>
      </c>
      <c r="B514" s="3"/>
      <c r="C514" s="3"/>
      <c r="D514" s="5" t="s">
        <v>1499</v>
      </c>
      <c r="E514" s="5" t="s">
        <v>124</v>
      </c>
      <c r="F514" s="3" t="s">
        <v>2228</v>
      </c>
      <c r="G514" s="6">
        <f t="shared" si="13"/>
        <v>140.16</v>
      </c>
      <c r="H514" s="7">
        <v>41667</v>
      </c>
      <c r="I514" s="6" t="s">
        <v>265</v>
      </c>
      <c r="J514" s="6" t="s">
        <v>2229</v>
      </c>
      <c r="K514" s="6" t="s">
        <v>21</v>
      </c>
      <c r="L514" s="6">
        <v>8</v>
      </c>
      <c r="M514" s="15" t="s">
        <v>1506</v>
      </c>
      <c r="N514" s="15" t="s">
        <v>1096</v>
      </c>
      <c r="O514" s="28" t="s">
        <v>2230</v>
      </c>
    </row>
    <row r="515" spans="1:15" s="1" customFormat="1" ht="13.5" customHeight="1">
      <c r="A515" s="3" t="s">
        <v>609</v>
      </c>
      <c r="B515" s="3"/>
      <c r="C515" s="3"/>
      <c r="D515" s="5" t="s">
        <v>610</v>
      </c>
      <c r="E515" s="5" t="s">
        <v>124</v>
      </c>
      <c r="F515" s="3" t="s">
        <v>2231</v>
      </c>
      <c r="G515" s="6">
        <f t="shared" si="13"/>
        <v>70.08</v>
      </c>
      <c r="H515" s="7">
        <v>41667</v>
      </c>
      <c r="I515" s="6" t="s">
        <v>761</v>
      </c>
      <c r="J515" s="6" t="s">
        <v>2232</v>
      </c>
      <c r="K515" s="6" t="s">
        <v>21</v>
      </c>
      <c r="L515" s="6">
        <v>4</v>
      </c>
      <c r="M515" s="15" t="s">
        <v>614</v>
      </c>
      <c r="N515" s="15" t="s">
        <v>46</v>
      </c>
      <c r="O515" s="28" t="s">
        <v>2233</v>
      </c>
    </row>
    <row r="516" spans="1:15" s="1" customFormat="1" ht="13.5" customHeight="1">
      <c r="A516" s="3" t="s">
        <v>604</v>
      </c>
      <c r="B516" s="3"/>
      <c r="C516" s="3"/>
      <c r="D516" s="5" t="s">
        <v>598</v>
      </c>
      <c r="E516" s="5" t="s">
        <v>124</v>
      </c>
      <c r="F516" s="3" t="s">
        <v>2234</v>
      </c>
      <c r="G516" s="6">
        <f t="shared" si="13"/>
        <v>35.04</v>
      </c>
      <c r="H516" s="7">
        <v>41667</v>
      </c>
      <c r="I516" s="6" t="s">
        <v>265</v>
      </c>
      <c r="J516" s="6" t="s">
        <v>2235</v>
      </c>
      <c r="K516" s="6" t="s">
        <v>21</v>
      </c>
      <c r="L516" s="6">
        <v>2</v>
      </c>
      <c r="M516" s="15" t="s">
        <v>2236</v>
      </c>
      <c r="N516" s="15" t="s">
        <v>268</v>
      </c>
      <c r="O516" s="28" t="s">
        <v>2236</v>
      </c>
    </row>
    <row r="517" spans="1:15" s="1" customFormat="1" ht="13.5" customHeight="1">
      <c r="A517" s="3" t="s">
        <v>753</v>
      </c>
      <c r="B517" s="3"/>
      <c r="C517" s="3"/>
      <c r="D517" s="5" t="s">
        <v>754</v>
      </c>
      <c r="E517" s="5" t="s">
        <v>124</v>
      </c>
      <c r="F517" s="3" t="s">
        <v>2237</v>
      </c>
      <c r="G517" s="6">
        <f t="shared" si="13"/>
        <v>70.08</v>
      </c>
      <c r="H517" s="7">
        <v>41667</v>
      </c>
      <c r="I517" s="6" t="s">
        <v>265</v>
      </c>
      <c r="J517" s="6" t="s">
        <v>2238</v>
      </c>
      <c r="K517" s="6" t="s">
        <v>21</v>
      </c>
      <c r="L517" s="6">
        <v>4</v>
      </c>
      <c r="M517" s="15" t="s">
        <v>882</v>
      </c>
      <c r="N517" s="15" t="s">
        <v>46</v>
      </c>
      <c r="O517" s="28" t="s">
        <v>2239</v>
      </c>
    </row>
    <row r="518" spans="1:15" s="1" customFormat="1" ht="13.5" customHeight="1">
      <c r="A518" s="3" t="s">
        <v>2240</v>
      </c>
      <c r="B518" s="3" t="s">
        <v>283</v>
      </c>
      <c r="C518" s="3"/>
      <c r="D518" s="5" t="s">
        <v>2241</v>
      </c>
      <c r="E518" s="5" t="s">
        <v>124</v>
      </c>
      <c r="F518" s="3" t="s">
        <v>2242</v>
      </c>
      <c r="G518" s="6">
        <f>29.101*L518</f>
        <v>58.201999999999998</v>
      </c>
      <c r="H518" s="7">
        <v>41667</v>
      </c>
      <c r="I518" s="6" t="s">
        <v>331</v>
      </c>
      <c r="J518" s="6" t="s">
        <v>2243</v>
      </c>
      <c r="K518" s="6" t="s">
        <v>21</v>
      </c>
      <c r="L518" s="6">
        <v>2</v>
      </c>
      <c r="M518" s="15" t="s">
        <v>2244</v>
      </c>
      <c r="N518" s="15" t="s">
        <v>615</v>
      </c>
      <c r="O518" s="28" t="s">
        <v>2244</v>
      </c>
    </row>
    <row r="519" spans="1:15" s="1" customFormat="1" ht="13.5" customHeight="1">
      <c r="A519" s="3" t="s">
        <v>884</v>
      </c>
      <c r="B519" s="3" t="s">
        <v>134</v>
      </c>
      <c r="C519" s="3"/>
      <c r="D519" s="5" t="s">
        <v>135</v>
      </c>
      <c r="E519" s="5" t="s">
        <v>124</v>
      </c>
      <c r="F519" s="3" t="s">
        <v>2245</v>
      </c>
      <c r="G519" s="6">
        <f>29.101*L519/2</f>
        <v>116.404</v>
      </c>
      <c r="H519" s="7">
        <v>41667</v>
      </c>
      <c r="I519" s="6" t="s">
        <v>886</v>
      </c>
      <c r="J519" s="6" t="s">
        <v>2246</v>
      </c>
      <c r="K519" s="6" t="s">
        <v>21</v>
      </c>
      <c r="L519" s="6">
        <v>8</v>
      </c>
      <c r="M519" s="15" t="s">
        <v>2247</v>
      </c>
      <c r="N519" s="15" t="s">
        <v>2248</v>
      </c>
      <c r="O519" s="28" t="s">
        <v>2247</v>
      </c>
    </row>
    <row r="520" spans="1:15" s="1" customFormat="1" ht="13.5" customHeight="1">
      <c r="A520" s="3" t="s">
        <v>846</v>
      </c>
      <c r="B520" s="3"/>
      <c r="C520" s="3"/>
      <c r="D520" s="5" t="s">
        <v>191</v>
      </c>
      <c r="E520" s="5" t="s">
        <v>124</v>
      </c>
      <c r="F520" s="3" t="s">
        <v>2249</v>
      </c>
      <c r="G520" s="6">
        <f t="shared" ref="G520:G530" si="14">18.708*L520</f>
        <v>168.37199999999999</v>
      </c>
      <c r="H520" s="7">
        <v>41667</v>
      </c>
      <c r="I520" s="6" t="s">
        <v>247</v>
      </c>
      <c r="J520" s="6" t="s">
        <v>2250</v>
      </c>
      <c r="K520" s="6" t="s">
        <v>21</v>
      </c>
      <c r="L520" s="6">
        <v>9</v>
      </c>
      <c r="M520" s="15" t="s">
        <v>2251</v>
      </c>
      <c r="N520" s="15" t="s">
        <v>896</v>
      </c>
      <c r="O520" s="27" t="s">
        <v>2251</v>
      </c>
    </row>
    <row r="521" spans="1:15" s="1" customFormat="1" ht="13.5" customHeight="1">
      <c r="A521" s="3" t="s">
        <v>846</v>
      </c>
      <c r="B521" s="3"/>
      <c r="C521" s="3"/>
      <c r="D521" s="5" t="s">
        <v>191</v>
      </c>
      <c r="E521" s="5" t="s">
        <v>124</v>
      </c>
      <c r="F521" s="3" t="s">
        <v>2252</v>
      </c>
      <c r="G521" s="6">
        <f t="shared" si="14"/>
        <v>93.539999999999992</v>
      </c>
      <c r="H521" s="7">
        <v>41667</v>
      </c>
      <c r="I521" s="6" t="s">
        <v>247</v>
      </c>
      <c r="J521" s="6" t="s">
        <v>2253</v>
      </c>
      <c r="K521" s="6" t="s">
        <v>21</v>
      </c>
      <c r="L521" s="6">
        <v>5</v>
      </c>
      <c r="M521" s="15" t="s">
        <v>2254</v>
      </c>
      <c r="N521" s="15" t="s">
        <v>2255</v>
      </c>
      <c r="O521" s="27" t="s">
        <v>2256</v>
      </c>
    </row>
    <row r="522" spans="1:15" s="1" customFormat="1" ht="13.5" customHeight="1">
      <c r="A522" s="3" t="s">
        <v>846</v>
      </c>
      <c r="B522" s="3"/>
      <c r="C522" s="3"/>
      <c r="D522" s="5" t="s">
        <v>191</v>
      </c>
      <c r="E522" s="5" t="s">
        <v>124</v>
      </c>
      <c r="F522" s="3" t="s">
        <v>2257</v>
      </c>
      <c r="G522" s="6">
        <f t="shared" si="14"/>
        <v>224.49599999999998</v>
      </c>
      <c r="H522" s="7">
        <v>41667</v>
      </c>
      <c r="I522" s="6" t="s">
        <v>247</v>
      </c>
      <c r="J522" s="6" t="s">
        <v>2258</v>
      </c>
      <c r="K522" s="6" t="s">
        <v>21</v>
      </c>
      <c r="L522" s="6">
        <v>12</v>
      </c>
      <c r="M522" s="15" t="s">
        <v>2259</v>
      </c>
      <c r="N522" s="15" t="s">
        <v>164</v>
      </c>
      <c r="O522" s="27" t="s">
        <v>2259</v>
      </c>
    </row>
    <row r="523" spans="1:15" ht="13.5" customHeight="1">
      <c r="A523" s="3" t="s">
        <v>846</v>
      </c>
      <c r="B523" s="3"/>
      <c r="C523" s="3"/>
      <c r="D523" s="5" t="s">
        <v>191</v>
      </c>
      <c r="E523" s="5" t="s">
        <v>124</v>
      </c>
      <c r="F523" s="3" t="s">
        <v>2260</v>
      </c>
      <c r="G523" s="6">
        <f t="shared" si="14"/>
        <v>243.20399999999998</v>
      </c>
      <c r="H523" s="7">
        <v>41667</v>
      </c>
      <c r="I523" s="6" t="s">
        <v>247</v>
      </c>
      <c r="J523" s="6" t="s">
        <v>2261</v>
      </c>
      <c r="K523" s="6" t="s">
        <v>21</v>
      </c>
      <c r="L523" s="6">
        <v>13</v>
      </c>
      <c r="M523" s="15" t="s">
        <v>2259</v>
      </c>
      <c r="N523" s="15" t="s">
        <v>167</v>
      </c>
      <c r="O523" s="28" t="s">
        <v>2262</v>
      </c>
    </row>
    <row r="524" spans="1:15" s="1" customFormat="1" ht="13.5" customHeight="1">
      <c r="A524" s="3" t="s">
        <v>846</v>
      </c>
      <c r="B524" s="3"/>
      <c r="C524" s="3"/>
      <c r="D524" s="5" t="s">
        <v>191</v>
      </c>
      <c r="E524" s="5" t="s">
        <v>124</v>
      </c>
      <c r="F524" s="3" t="s">
        <v>2263</v>
      </c>
      <c r="G524" s="6">
        <f t="shared" si="14"/>
        <v>224.49599999999998</v>
      </c>
      <c r="H524" s="7">
        <v>41667</v>
      </c>
      <c r="I524" s="6" t="s">
        <v>247</v>
      </c>
      <c r="J524" s="6" t="s">
        <v>2264</v>
      </c>
      <c r="K524" s="6" t="s">
        <v>21</v>
      </c>
      <c r="L524" s="6">
        <v>12</v>
      </c>
      <c r="M524" s="15" t="s">
        <v>2265</v>
      </c>
      <c r="N524" s="15" t="s">
        <v>164</v>
      </c>
      <c r="O524" s="28" t="s">
        <v>2265</v>
      </c>
    </row>
    <row r="525" spans="1:15" s="1" customFormat="1" ht="13.5" customHeight="1">
      <c r="A525" s="3" t="s">
        <v>846</v>
      </c>
      <c r="B525" s="3"/>
      <c r="C525" s="3"/>
      <c r="D525" s="5" t="s">
        <v>191</v>
      </c>
      <c r="E525" s="5" t="s">
        <v>124</v>
      </c>
      <c r="F525" s="3" t="s">
        <v>2266</v>
      </c>
      <c r="G525" s="6">
        <f t="shared" si="14"/>
        <v>243.20399999999998</v>
      </c>
      <c r="H525" s="7">
        <v>41667</v>
      </c>
      <c r="I525" s="6" t="s">
        <v>247</v>
      </c>
      <c r="J525" s="6" t="s">
        <v>2267</v>
      </c>
      <c r="K525" s="6" t="s">
        <v>21</v>
      </c>
      <c r="L525" s="6">
        <v>13</v>
      </c>
      <c r="M525" s="15" t="s">
        <v>2265</v>
      </c>
      <c r="N525" s="15" t="s">
        <v>167</v>
      </c>
      <c r="O525" s="28" t="s">
        <v>2268</v>
      </c>
    </row>
    <row r="526" spans="1:15" ht="13.5" customHeight="1">
      <c r="A526" s="3" t="s">
        <v>772</v>
      </c>
      <c r="B526" s="3"/>
      <c r="C526" s="3"/>
      <c r="D526" s="5" t="s">
        <v>773</v>
      </c>
      <c r="E526" s="5" t="s">
        <v>124</v>
      </c>
      <c r="F526" s="3" t="s">
        <v>2269</v>
      </c>
      <c r="G526" s="6">
        <f t="shared" si="14"/>
        <v>168.37199999999999</v>
      </c>
      <c r="H526" s="7">
        <v>41667</v>
      </c>
      <c r="I526" s="6" t="s">
        <v>265</v>
      </c>
      <c r="J526" s="6" t="s">
        <v>2270</v>
      </c>
      <c r="K526" s="6" t="s">
        <v>21</v>
      </c>
      <c r="L526" s="6">
        <v>9</v>
      </c>
      <c r="M526" s="15" t="s">
        <v>2271</v>
      </c>
      <c r="N526" s="15" t="s">
        <v>486</v>
      </c>
      <c r="O526" s="28" t="s">
        <v>2271</v>
      </c>
    </row>
    <row r="527" spans="1:15" ht="13.5" customHeight="1">
      <c r="A527" s="3" t="s">
        <v>627</v>
      </c>
      <c r="B527" s="3"/>
      <c r="C527" s="3"/>
      <c r="D527" s="5" t="s">
        <v>443</v>
      </c>
      <c r="E527" s="5" t="s">
        <v>124</v>
      </c>
      <c r="F527" s="3" t="s">
        <v>2272</v>
      </c>
      <c r="G527" s="6">
        <f t="shared" si="14"/>
        <v>187.07999999999998</v>
      </c>
      <c r="H527" s="7">
        <v>41667</v>
      </c>
      <c r="I527" s="6" t="s">
        <v>265</v>
      </c>
      <c r="J527" s="6" t="s">
        <v>2273</v>
      </c>
      <c r="K527" s="6" t="s">
        <v>21</v>
      </c>
      <c r="L527" s="6">
        <v>10</v>
      </c>
      <c r="M527" s="15" t="s">
        <v>2029</v>
      </c>
      <c r="N527" s="15" t="s">
        <v>859</v>
      </c>
      <c r="O527" s="28" t="s">
        <v>2274</v>
      </c>
    </row>
    <row r="528" spans="1:15" ht="13.5" customHeight="1">
      <c r="A528" s="3" t="s">
        <v>627</v>
      </c>
      <c r="B528" s="3"/>
      <c r="C528" s="3"/>
      <c r="D528" s="5" t="s">
        <v>443</v>
      </c>
      <c r="E528" s="5" t="s">
        <v>124</v>
      </c>
      <c r="F528" s="3" t="s">
        <v>2275</v>
      </c>
      <c r="G528" s="6">
        <f t="shared" si="14"/>
        <v>187.07999999999998</v>
      </c>
      <c r="H528" s="7">
        <v>41667</v>
      </c>
      <c r="I528" s="6" t="s">
        <v>265</v>
      </c>
      <c r="J528" s="6" t="s">
        <v>2276</v>
      </c>
      <c r="K528" s="6" t="s">
        <v>21</v>
      </c>
      <c r="L528" s="6">
        <v>10</v>
      </c>
      <c r="M528" s="15" t="s">
        <v>2029</v>
      </c>
      <c r="N528" s="15" t="s">
        <v>114</v>
      </c>
      <c r="O528" s="28" t="s">
        <v>2277</v>
      </c>
    </row>
    <row r="529" spans="1:15" ht="13.5" customHeight="1">
      <c r="A529" s="3" t="s">
        <v>442</v>
      </c>
      <c r="B529" s="3"/>
      <c r="C529" s="3"/>
      <c r="D529" s="5" t="s">
        <v>443</v>
      </c>
      <c r="E529" s="5" t="s">
        <v>124</v>
      </c>
      <c r="F529" s="3" t="s">
        <v>2278</v>
      </c>
      <c r="G529" s="6">
        <f t="shared" si="14"/>
        <v>187.07999999999998</v>
      </c>
      <c r="H529" s="7">
        <v>41667</v>
      </c>
      <c r="I529" s="6" t="s">
        <v>247</v>
      </c>
      <c r="J529" s="6" t="s">
        <v>2279</v>
      </c>
      <c r="K529" s="6" t="s">
        <v>21</v>
      </c>
      <c r="L529" s="6">
        <v>10</v>
      </c>
      <c r="M529" s="15" t="s">
        <v>2280</v>
      </c>
      <c r="N529" s="15" t="s">
        <v>114</v>
      </c>
      <c r="O529" s="28" t="s">
        <v>2280</v>
      </c>
    </row>
    <row r="530" spans="1:15" ht="13.5" customHeight="1">
      <c r="A530" s="3" t="s">
        <v>252</v>
      </c>
      <c r="B530" s="3"/>
      <c r="C530" s="3"/>
      <c r="D530" s="5" t="s">
        <v>245</v>
      </c>
      <c r="E530" s="5" t="s">
        <v>124</v>
      </c>
      <c r="F530" s="3" t="s">
        <v>2281</v>
      </c>
      <c r="G530" s="6">
        <f t="shared" si="14"/>
        <v>37.415999999999997</v>
      </c>
      <c r="H530" s="7">
        <v>41667</v>
      </c>
      <c r="I530" s="6" t="s">
        <v>247</v>
      </c>
      <c r="J530" s="6" t="s">
        <v>2282</v>
      </c>
      <c r="K530" s="6" t="s">
        <v>21</v>
      </c>
      <c r="L530" s="6">
        <v>2</v>
      </c>
      <c r="M530" s="15" t="s">
        <v>2283</v>
      </c>
      <c r="N530" s="15" t="s">
        <v>836</v>
      </c>
      <c r="O530" s="28" t="s">
        <v>2283</v>
      </c>
    </row>
    <row r="531" spans="1:15" ht="13.5" customHeight="1">
      <c r="A531" s="3" t="s">
        <v>1562</v>
      </c>
      <c r="B531" s="3"/>
      <c r="C531" s="3"/>
      <c r="D531" s="5" t="s">
        <v>1563</v>
      </c>
      <c r="E531" s="5" t="s">
        <v>124</v>
      </c>
      <c r="F531" s="3" t="s">
        <v>2284</v>
      </c>
      <c r="G531" s="6">
        <f>17.498*L531</f>
        <v>34.996000000000002</v>
      </c>
      <c r="H531" s="7">
        <v>41667</v>
      </c>
      <c r="I531" s="6" t="s">
        <v>265</v>
      </c>
      <c r="J531" s="6" t="s">
        <v>2285</v>
      </c>
      <c r="K531" s="6" t="s">
        <v>21</v>
      </c>
      <c r="L531" s="6">
        <v>2</v>
      </c>
      <c r="M531" s="15" t="s">
        <v>2286</v>
      </c>
      <c r="N531" s="15" t="s">
        <v>607</v>
      </c>
      <c r="O531" s="28" t="s">
        <v>2286</v>
      </c>
    </row>
    <row r="532" spans="1:15" s="1" customFormat="1" ht="13.5" customHeight="1">
      <c r="A532" s="3" t="s">
        <v>1562</v>
      </c>
      <c r="B532" s="3"/>
      <c r="C532" s="3"/>
      <c r="D532" s="5" t="s">
        <v>1563</v>
      </c>
      <c r="E532" s="5" t="s">
        <v>124</v>
      </c>
      <c r="F532" s="3" t="s">
        <v>2287</v>
      </c>
      <c r="G532" s="6">
        <f>17.498*L532</f>
        <v>52.494</v>
      </c>
      <c r="H532" s="7">
        <v>41667</v>
      </c>
      <c r="I532" s="6" t="s">
        <v>265</v>
      </c>
      <c r="J532" s="6" t="s">
        <v>2288</v>
      </c>
      <c r="K532" s="6" t="s">
        <v>21</v>
      </c>
      <c r="L532" s="6">
        <v>3</v>
      </c>
      <c r="M532" s="15" t="s">
        <v>2289</v>
      </c>
      <c r="N532" s="15" t="s">
        <v>657</v>
      </c>
      <c r="O532" s="28" t="s">
        <v>2289</v>
      </c>
    </row>
    <row r="533" spans="1:15" s="1" customFormat="1" ht="13.5" customHeight="1">
      <c r="A533" s="3" t="s">
        <v>269</v>
      </c>
      <c r="B533" s="3"/>
      <c r="C533" s="3"/>
      <c r="D533" s="5" t="s">
        <v>270</v>
      </c>
      <c r="E533" s="5" t="s">
        <v>124</v>
      </c>
      <c r="F533" s="3" t="s">
        <v>2290</v>
      </c>
      <c r="G533" s="6">
        <f>17.498*L533</f>
        <v>157.482</v>
      </c>
      <c r="H533" s="7">
        <v>41667</v>
      </c>
      <c r="I533" s="6" t="s">
        <v>272</v>
      </c>
      <c r="J533" s="6" t="s">
        <v>2291</v>
      </c>
      <c r="K533" s="6" t="s">
        <v>21</v>
      </c>
      <c r="L533" s="6">
        <v>9</v>
      </c>
      <c r="M533" s="15" t="s">
        <v>2292</v>
      </c>
      <c r="N533" s="15" t="s">
        <v>798</v>
      </c>
      <c r="O533" s="28" t="s">
        <v>2292</v>
      </c>
    </row>
    <row r="534" spans="1:15" ht="13.5" customHeight="1">
      <c r="A534" s="3" t="s">
        <v>269</v>
      </c>
      <c r="B534" s="3"/>
      <c r="C534" s="3"/>
      <c r="D534" s="5" t="s">
        <v>270</v>
      </c>
      <c r="E534" s="5" t="s">
        <v>124</v>
      </c>
      <c r="F534" s="3" t="s">
        <v>2293</v>
      </c>
      <c r="G534" s="6">
        <f>17.498*L534</f>
        <v>174.98000000000002</v>
      </c>
      <c r="H534" s="7">
        <v>41667</v>
      </c>
      <c r="I534" s="6" t="s">
        <v>272</v>
      </c>
      <c r="J534" s="6" t="s">
        <v>2294</v>
      </c>
      <c r="K534" s="6" t="s">
        <v>21</v>
      </c>
      <c r="L534" s="6">
        <v>10</v>
      </c>
      <c r="M534" s="15" t="s">
        <v>2292</v>
      </c>
      <c r="N534" s="15" t="s">
        <v>114</v>
      </c>
      <c r="O534" s="28" t="s">
        <v>2295</v>
      </c>
    </row>
    <row r="535" spans="1:15" ht="13.5" customHeight="1">
      <c r="A535" s="3" t="s">
        <v>918</v>
      </c>
      <c r="B535" s="3"/>
      <c r="C535" s="3"/>
      <c r="D535" s="5" t="s">
        <v>919</v>
      </c>
      <c r="E535" s="5" t="s">
        <v>124</v>
      </c>
      <c r="F535" s="3" t="s">
        <v>2296</v>
      </c>
      <c r="G535" s="6">
        <f t="shared" ref="G535:G540" si="15">17.712*L535</f>
        <v>123.98399999999999</v>
      </c>
      <c r="H535" s="7">
        <v>41667</v>
      </c>
      <c r="I535" s="6" t="s">
        <v>265</v>
      </c>
      <c r="J535" s="6" t="s">
        <v>2297</v>
      </c>
      <c r="K535" s="6" t="s">
        <v>21</v>
      </c>
      <c r="L535" s="6">
        <v>7</v>
      </c>
      <c r="M535" s="15" t="s">
        <v>941</v>
      </c>
      <c r="N535" s="15" t="s">
        <v>1093</v>
      </c>
      <c r="O535" s="28" t="s">
        <v>2298</v>
      </c>
    </row>
    <row r="536" spans="1:15" ht="13.5" customHeight="1">
      <c r="A536" s="3" t="s">
        <v>918</v>
      </c>
      <c r="B536" s="3"/>
      <c r="C536" s="3"/>
      <c r="D536" s="5" t="s">
        <v>919</v>
      </c>
      <c r="E536" s="5" t="s">
        <v>124</v>
      </c>
      <c r="F536" s="3" t="s">
        <v>2299</v>
      </c>
      <c r="G536" s="6">
        <f t="shared" si="15"/>
        <v>141.696</v>
      </c>
      <c r="H536" s="7">
        <v>41667</v>
      </c>
      <c r="I536" s="6" t="s">
        <v>265</v>
      </c>
      <c r="J536" s="6" t="s">
        <v>2300</v>
      </c>
      <c r="K536" s="6" t="s">
        <v>21</v>
      </c>
      <c r="L536" s="6">
        <v>8</v>
      </c>
      <c r="M536" s="15" t="s">
        <v>941</v>
      </c>
      <c r="N536" s="15" t="s">
        <v>1096</v>
      </c>
      <c r="O536" s="28" t="s">
        <v>2301</v>
      </c>
    </row>
    <row r="537" spans="1:15" ht="13.5" customHeight="1">
      <c r="A537" s="3" t="s">
        <v>918</v>
      </c>
      <c r="B537" s="3"/>
      <c r="C537" s="3"/>
      <c r="D537" s="5" t="s">
        <v>919</v>
      </c>
      <c r="E537" s="5" t="s">
        <v>124</v>
      </c>
      <c r="F537" s="3" t="s">
        <v>2302</v>
      </c>
      <c r="G537" s="6">
        <f t="shared" si="15"/>
        <v>212.54399999999998</v>
      </c>
      <c r="H537" s="7">
        <v>41667</v>
      </c>
      <c r="I537" s="6" t="s">
        <v>265</v>
      </c>
      <c r="J537" s="6" t="s">
        <v>2303</v>
      </c>
      <c r="K537" s="6" t="s">
        <v>21</v>
      </c>
      <c r="L537" s="6">
        <v>12</v>
      </c>
      <c r="M537" s="15" t="s">
        <v>2304</v>
      </c>
      <c r="N537" s="15" t="s">
        <v>164</v>
      </c>
      <c r="O537" s="28" t="s">
        <v>2304</v>
      </c>
    </row>
    <row r="538" spans="1:15" ht="13.5" customHeight="1">
      <c r="A538" s="3" t="s">
        <v>918</v>
      </c>
      <c r="B538" s="3"/>
      <c r="C538" s="3"/>
      <c r="D538" s="5" t="s">
        <v>919</v>
      </c>
      <c r="E538" s="5" t="s">
        <v>124</v>
      </c>
      <c r="F538" s="3" t="s">
        <v>2305</v>
      </c>
      <c r="G538" s="6">
        <f t="shared" si="15"/>
        <v>230.256</v>
      </c>
      <c r="H538" s="7">
        <v>41667</v>
      </c>
      <c r="I538" s="6" t="s">
        <v>265</v>
      </c>
      <c r="J538" s="6" t="s">
        <v>2306</v>
      </c>
      <c r="K538" s="6" t="s">
        <v>21</v>
      </c>
      <c r="L538" s="6">
        <v>13</v>
      </c>
      <c r="M538" s="15" t="s">
        <v>2304</v>
      </c>
      <c r="N538" s="15" t="s">
        <v>167</v>
      </c>
      <c r="O538" s="28" t="s">
        <v>2307</v>
      </c>
    </row>
    <row r="539" spans="1:15" ht="13.5" customHeight="1">
      <c r="A539" s="3" t="s">
        <v>918</v>
      </c>
      <c r="B539" s="3"/>
      <c r="C539" s="3"/>
      <c r="D539" s="5" t="s">
        <v>919</v>
      </c>
      <c r="E539" s="5" t="s">
        <v>124</v>
      </c>
      <c r="F539" s="3" t="s">
        <v>2308</v>
      </c>
      <c r="G539" s="6">
        <f t="shared" si="15"/>
        <v>212.54399999999998</v>
      </c>
      <c r="H539" s="7">
        <v>41667</v>
      </c>
      <c r="I539" s="6" t="s">
        <v>265</v>
      </c>
      <c r="J539" s="6" t="s">
        <v>2309</v>
      </c>
      <c r="K539" s="6" t="s">
        <v>21</v>
      </c>
      <c r="L539" s="6">
        <v>12</v>
      </c>
      <c r="M539" s="15" t="s">
        <v>2310</v>
      </c>
      <c r="N539" s="15" t="s">
        <v>164</v>
      </c>
      <c r="O539" s="28" t="s">
        <v>2310</v>
      </c>
    </row>
    <row r="540" spans="1:15" ht="13.5" customHeight="1">
      <c r="A540" s="3" t="s">
        <v>918</v>
      </c>
      <c r="B540" s="3"/>
      <c r="C540" s="3"/>
      <c r="D540" s="5" t="s">
        <v>919</v>
      </c>
      <c r="E540" s="5" t="s">
        <v>124</v>
      </c>
      <c r="F540" s="3" t="s">
        <v>2311</v>
      </c>
      <c r="G540" s="6">
        <f t="shared" si="15"/>
        <v>230.256</v>
      </c>
      <c r="H540" s="7">
        <v>41667</v>
      </c>
      <c r="I540" s="6" t="s">
        <v>265</v>
      </c>
      <c r="J540" s="6" t="s">
        <v>2312</v>
      </c>
      <c r="K540" s="6" t="s">
        <v>21</v>
      </c>
      <c r="L540" s="6">
        <v>13</v>
      </c>
      <c r="M540" s="15" t="s">
        <v>2310</v>
      </c>
      <c r="N540" s="15" t="s">
        <v>167</v>
      </c>
      <c r="O540" s="28" t="s">
        <v>2313</v>
      </c>
    </row>
    <row r="541" spans="1:15" s="1" customFormat="1" ht="13.5" customHeight="1">
      <c r="A541" s="3" t="s">
        <v>275</v>
      </c>
      <c r="B541" s="3"/>
      <c r="C541" s="3"/>
      <c r="D541" s="5" t="s">
        <v>276</v>
      </c>
      <c r="E541" s="5" t="s">
        <v>124</v>
      </c>
      <c r="F541" s="3" t="s">
        <v>2314</v>
      </c>
      <c r="G541" s="6">
        <f>6.405*L541</f>
        <v>83.265000000000001</v>
      </c>
      <c r="H541" s="7">
        <v>41667</v>
      </c>
      <c r="I541" s="6" t="s">
        <v>471</v>
      </c>
      <c r="J541" s="6" t="s">
        <v>2315</v>
      </c>
      <c r="K541" s="6" t="s">
        <v>21</v>
      </c>
      <c r="L541" s="6">
        <v>13</v>
      </c>
      <c r="M541" s="15" t="s">
        <v>2316</v>
      </c>
      <c r="N541" s="15" t="s">
        <v>1215</v>
      </c>
      <c r="O541" s="28" t="s">
        <v>2316</v>
      </c>
    </row>
    <row r="542" spans="1:15" s="1" customFormat="1" ht="13.5" customHeight="1">
      <c r="A542" s="3" t="s">
        <v>1534</v>
      </c>
      <c r="B542" s="3"/>
      <c r="C542" s="3"/>
      <c r="D542" s="5" t="s">
        <v>2128</v>
      </c>
      <c r="E542" s="5" t="s">
        <v>124</v>
      </c>
      <c r="F542" s="3" t="s">
        <v>2317</v>
      </c>
      <c r="G542" s="6">
        <v>291.74</v>
      </c>
      <c r="H542" s="7">
        <v>41667</v>
      </c>
      <c r="I542" s="6" t="s">
        <v>209</v>
      </c>
      <c r="J542" s="6" t="s">
        <v>2318</v>
      </c>
      <c r="K542" s="6" t="s">
        <v>128</v>
      </c>
      <c r="L542" s="6" t="s">
        <v>2319</v>
      </c>
      <c r="M542" s="15" t="s">
        <v>2320</v>
      </c>
      <c r="N542" s="15" t="s">
        <v>2321</v>
      </c>
      <c r="O542" s="28" t="s">
        <v>2322</v>
      </c>
    </row>
    <row r="543" spans="1:15" ht="13.5" customHeight="1">
      <c r="A543" s="3" t="s">
        <v>1534</v>
      </c>
      <c r="B543" s="3"/>
      <c r="C543" s="3"/>
      <c r="D543" s="5" t="s">
        <v>2128</v>
      </c>
      <c r="E543" s="5" t="s">
        <v>124</v>
      </c>
      <c r="F543" s="3" t="s">
        <v>2323</v>
      </c>
      <c r="G543" s="6">
        <v>291.74</v>
      </c>
      <c r="H543" s="7">
        <v>41667</v>
      </c>
      <c r="I543" s="6" t="s">
        <v>209</v>
      </c>
      <c r="J543" s="6" t="s">
        <v>2324</v>
      </c>
      <c r="K543" s="6" t="s">
        <v>128</v>
      </c>
      <c r="L543" s="6" t="s">
        <v>2319</v>
      </c>
      <c r="M543" s="15" t="s">
        <v>2325</v>
      </c>
      <c r="N543" s="15" t="s">
        <v>2326</v>
      </c>
      <c r="O543" s="27" t="s">
        <v>2327</v>
      </c>
    </row>
    <row r="544" spans="1:15" ht="13.5" customHeight="1">
      <c r="A544" s="3" t="s">
        <v>1534</v>
      </c>
      <c r="B544" s="3"/>
      <c r="C544" s="3"/>
      <c r="D544" s="5" t="s">
        <v>2128</v>
      </c>
      <c r="E544" s="5" t="s">
        <v>124</v>
      </c>
      <c r="F544" s="3" t="s">
        <v>2328</v>
      </c>
      <c r="G544" s="6">
        <v>291.74</v>
      </c>
      <c r="H544" s="7">
        <v>41667</v>
      </c>
      <c r="I544" s="6" t="s">
        <v>209</v>
      </c>
      <c r="J544" s="6" t="s">
        <v>2329</v>
      </c>
      <c r="K544" s="6" t="s">
        <v>128</v>
      </c>
      <c r="L544" s="6" t="s">
        <v>2319</v>
      </c>
      <c r="M544" s="15" t="s">
        <v>2330</v>
      </c>
      <c r="N544" s="15" t="s">
        <v>2321</v>
      </c>
      <c r="O544" s="27" t="s">
        <v>2331</v>
      </c>
    </row>
    <row r="545" spans="1:15" ht="13.5" customHeight="1">
      <c r="A545" s="5" t="s">
        <v>1127</v>
      </c>
      <c r="B545" s="3"/>
      <c r="C545" s="3"/>
      <c r="D545" s="5" t="s">
        <v>1128</v>
      </c>
      <c r="E545" s="5" t="s">
        <v>7026</v>
      </c>
      <c r="F545" s="3" t="s">
        <v>7240</v>
      </c>
      <c r="G545" s="6">
        <f t="shared" ref="G545:G553" si="16">29.101*L545</f>
        <v>232.80799999999999</v>
      </c>
      <c r="H545" s="7">
        <v>41667</v>
      </c>
      <c r="I545" s="6" t="s">
        <v>178</v>
      </c>
      <c r="J545" s="6" t="s">
        <v>7241</v>
      </c>
      <c r="K545" s="6" t="s">
        <v>21</v>
      </c>
      <c r="L545" s="6">
        <v>8</v>
      </c>
      <c r="M545" s="15" t="s">
        <v>7242</v>
      </c>
      <c r="N545" s="15" t="s">
        <v>447</v>
      </c>
      <c r="O545" s="27" t="s">
        <v>7243</v>
      </c>
    </row>
    <row r="546" spans="1:15" ht="13.5" customHeight="1">
      <c r="A546" s="5" t="s">
        <v>1127</v>
      </c>
      <c r="B546" s="3"/>
      <c r="C546" s="3"/>
      <c r="D546" s="5" t="s">
        <v>1128</v>
      </c>
      <c r="E546" s="5" t="s">
        <v>7026</v>
      </c>
      <c r="F546" s="3" t="s">
        <v>7244</v>
      </c>
      <c r="G546" s="6">
        <f t="shared" si="16"/>
        <v>232.80799999999999</v>
      </c>
      <c r="H546" s="7">
        <v>41667</v>
      </c>
      <c r="I546" s="6" t="s">
        <v>178</v>
      </c>
      <c r="J546" s="6" t="s">
        <v>7245</v>
      </c>
      <c r="K546" s="6" t="s">
        <v>21</v>
      </c>
      <c r="L546" s="6">
        <v>8</v>
      </c>
      <c r="M546" s="15" t="s">
        <v>7242</v>
      </c>
      <c r="N546" s="15" t="s">
        <v>892</v>
      </c>
      <c r="O546" s="27" t="s">
        <v>7246</v>
      </c>
    </row>
    <row r="547" spans="1:15" ht="13.5" customHeight="1">
      <c r="A547" s="5" t="s">
        <v>1127</v>
      </c>
      <c r="B547" s="3"/>
      <c r="C547" s="3"/>
      <c r="D547" s="5" t="s">
        <v>1128</v>
      </c>
      <c r="E547" s="5" t="s">
        <v>7026</v>
      </c>
      <c r="F547" s="3" t="s">
        <v>7247</v>
      </c>
      <c r="G547" s="6">
        <f t="shared" si="16"/>
        <v>261.90899999999999</v>
      </c>
      <c r="H547" s="7">
        <v>41667</v>
      </c>
      <c r="I547" s="6" t="s">
        <v>178</v>
      </c>
      <c r="J547" s="6" t="s">
        <v>7248</v>
      </c>
      <c r="K547" s="6" t="s">
        <v>21</v>
      </c>
      <c r="L547" s="6">
        <v>9</v>
      </c>
      <c r="M547" s="15" t="s">
        <v>7242</v>
      </c>
      <c r="N547" s="15" t="s">
        <v>896</v>
      </c>
      <c r="O547" s="27" t="s">
        <v>7249</v>
      </c>
    </row>
    <row r="548" spans="1:15" s="1" customFormat="1" ht="13.5" customHeight="1">
      <c r="A548" s="5" t="s">
        <v>1127</v>
      </c>
      <c r="B548" s="3"/>
      <c r="C548" s="3"/>
      <c r="D548" s="5" t="s">
        <v>1128</v>
      </c>
      <c r="E548" s="5" t="s">
        <v>7026</v>
      </c>
      <c r="F548" s="3" t="s">
        <v>7250</v>
      </c>
      <c r="G548" s="6">
        <f t="shared" si="16"/>
        <v>232.80799999999999</v>
      </c>
      <c r="H548" s="7">
        <v>41667</v>
      </c>
      <c r="I548" s="6" t="s">
        <v>178</v>
      </c>
      <c r="J548" s="6" t="s">
        <v>7251</v>
      </c>
      <c r="K548" s="6" t="s">
        <v>21</v>
      </c>
      <c r="L548" s="6">
        <v>8</v>
      </c>
      <c r="M548" s="15" t="s">
        <v>7252</v>
      </c>
      <c r="N548" s="15" t="s">
        <v>447</v>
      </c>
      <c r="O548" s="27" t="s">
        <v>7253</v>
      </c>
    </row>
    <row r="549" spans="1:15" s="1" customFormat="1" ht="13.5" customHeight="1">
      <c r="A549" s="5" t="s">
        <v>1127</v>
      </c>
      <c r="B549" s="3"/>
      <c r="C549" s="3"/>
      <c r="D549" s="5" t="s">
        <v>1128</v>
      </c>
      <c r="E549" s="5" t="s">
        <v>7026</v>
      </c>
      <c r="F549" s="3" t="s">
        <v>7254</v>
      </c>
      <c r="G549" s="6">
        <f t="shared" si="16"/>
        <v>232.80799999999999</v>
      </c>
      <c r="H549" s="7">
        <v>41667</v>
      </c>
      <c r="I549" s="6" t="s">
        <v>178</v>
      </c>
      <c r="J549" s="6" t="s">
        <v>7255</v>
      </c>
      <c r="K549" s="6" t="s">
        <v>21</v>
      </c>
      <c r="L549" s="6">
        <v>8</v>
      </c>
      <c r="M549" s="15" t="s">
        <v>7252</v>
      </c>
      <c r="N549" s="15" t="s">
        <v>892</v>
      </c>
      <c r="O549" s="27" t="s">
        <v>7256</v>
      </c>
    </row>
    <row r="550" spans="1:15" ht="13.5" customHeight="1">
      <c r="A550" s="5" t="s">
        <v>1127</v>
      </c>
      <c r="B550" s="3"/>
      <c r="C550" s="3"/>
      <c r="D550" s="5" t="s">
        <v>1128</v>
      </c>
      <c r="E550" s="5" t="s">
        <v>7026</v>
      </c>
      <c r="F550" s="3" t="s">
        <v>7257</v>
      </c>
      <c r="G550" s="6">
        <f t="shared" si="16"/>
        <v>261.90899999999999</v>
      </c>
      <c r="H550" s="7">
        <v>41667</v>
      </c>
      <c r="I550" s="6" t="s">
        <v>178</v>
      </c>
      <c r="J550" s="6" t="s">
        <v>7258</v>
      </c>
      <c r="K550" s="6" t="s">
        <v>21</v>
      </c>
      <c r="L550" s="6">
        <v>9</v>
      </c>
      <c r="M550" s="15" t="s">
        <v>7252</v>
      </c>
      <c r="N550" s="15" t="s">
        <v>896</v>
      </c>
      <c r="O550" s="27" t="s">
        <v>7259</v>
      </c>
    </row>
    <row r="551" spans="1:15" s="1" customFormat="1" ht="13.5" customHeight="1">
      <c r="A551" s="5" t="s">
        <v>1127</v>
      </c>
      <c r="B551" s="3"/>
      <c r="C551" s="3"/>
      <c r="D551" s="5" t="s">
        <v>1128</v>
      </c>
      <c r="E551" s="5" t="s">
        <v>7026</v>
      </c>
      <c r="F551" s="3" t="s">
        <v>7260</v>
      </c>
      <c r="G551" s="6">
        <f t="shared" si="16"/>
        <v>232.80799999999999</v>
      </c>
      <c r="H551" s="7">
        <v>41667</v>
      </c>
      <c r="I551" s="6" t="s">
        <v>178</v>
      </c>
      <c r="J551" s="6" t="s">
        <v>7261</v>
      </c>
      <c r="K551" s="6" t="s">
        <v>21</v>
      </c>
      <c r="L551" s="6">
        <v>8</v>
      </c>
      <c r="M551" s="15" t="s">
        <v>7262</v>
      </c>
      <c r="N551" s="15" t="s">
        <v>447</v>
      </c>
      <c r="O551" s="27" t="s">
        <v>7263</v>
      </c>
    </row>
    <row r="552" spans="1:15" s="1" customFormat="1" ht="13.5" customHeight="1">
      <c r="A552" s="5" t="s">
        <v>1127</v>
      </c>
      <c r="B552" s="3"/>
      <c r="C552" s="3"/>
      <c r="D552" s="5" t="s">
        <v>1128</v>
      </c>
      <c r="E552" s="5" t="s">
        <v>7026</v>
      </c>
      <c r="F552" s="3" t="s">
        <v>7264</v>
      </c>
      <c r="G552" s="6">
        <f t="shared" si="16"/>
        <v>232.80799999999999</v>
      </c>
      <c r="H552" s="7">
        <v>41667</v>
      </c>
      <c r="I552" s="6" t="s">
        <v>178</v>
      </c>
      <c r="J552" s="6" t="s">
        <v>7265</v>
      </c>
      <c r="K552" s="6" t="s">
        <v>21</v>
      </c>
      <c r="L552" s="6">
        <v>8</v>
      </c>
      <c r="M552" s="15" t="s">
        <v>7262</v>
      </c>
      <c r="N552" s="15" t="s">
        <v>892</v>
      </c>
      <c r="O552" s="27" t="s">
        <v>7266</v>
      </c>
    </row>
    <row r="553" spans="1:15" s="1" customFormat="1" ht="13.5" customHeight="1">
      <c r="A553" s="5" t="s">
        <v>1127</v>
      </c>
      <c r="B553" s="3"/>
      <c r="C553" s="3"/>
      <c r="D553" s="5" t="s">
        <v>1128</v>
      </c>
      <c r="E553" s="5" t="s">
        <v>7026</v>
      </c>
      <c r="F553" s="3" t="s">
        <v>7267</v>
      </c>
      <c r="G553" s="6">
        <f t="shared" si="16"/>
        <v>261.90899999999999</v>
      </c>
      <c r="H553" s="7">
        <v>41667</v>
      </c>
      <c r="I553" s="6" t="s">
        <v>178</v>
      </c>
      <c r="J553" s="6" t="s">
        <v>7268</v>
      </c>
      <c r="K553" s="6" t="s">
        <v>21</v>
      </c>
      <c r="L553" s="6">
        <v>9</v>
      </c>
      <c r="M553" s="15" t="s">
        <v>7262</v>
      </c>
      <c r="N553" s="15" t="s">
        <v>896</v>
      </c>
      <c r="O553" s="27" t="s">
        <v>7269</v>
      </c>
    </row>
    <row r="554" spans="1:15" s="1" customFormat="1" ht="13.5" customHeight="1">
      <c r="A554" s="5" t="s">
        <v>1043</v>
      </c>
      <c r="B554" s="3"/>
      <c r="C554" s="3"/>
      <c r="D554" s="5" t="s">
        <v>443</v>
      </c>
      <c r="E554" s="5" t="s">
        <v>7026</v>
      </c>
      <c r="F554" s="3" t="s">
        <v>7270</v>
      </c>
      <c r="G554" s="6">
        <f t="shared" ref="G554:G561" si="17">18.708*L554</f>
        <v>224.49599999999998</v>
      </c>
      <c r="H554" s="7">
        <v>41667</v>
      </c>
      <c r="I554" s="6" t="s">
        <v>178</v>
      </c>
      <c r="J554" s="6" t="s">
        <v>7271</v>
      </c>
      <c r="K554" s="6" t="s">
        <v>21</v>
      </c>
      <c r="L554" s="6">
        <v>12</v>
      </c>
      <c r="M554" s="15" t="s">
        <v>7272</v>
      </c>
      <c r="N554" s="15" t="s">
        <v>164</v>
      </c>
      <c r="O554" s="27" t="s">
        <v>7273</v>
      </c>
    </row>
    <row r="555" spans="1:15" s="1" customFormat="1" ht="13.5" customHeight="1">
      <c r="A555" s="5" t="s">
        <v>1043</v>
      </c>
      <c r="B555" s="3"/>
      <c r="C555" s="3"/>
      <c r="D555" s="5" t="s">
        <v>443</v>
      </c>
      <c r="E555" s="5" t="s">
        <v>7026</v>
      </c>
      <c r="F555" s="3" t="s">
        <v>7274</v>
      </c>
      <c r="G555" s="6">
        <f t="shared" si="17"/>
        <v>243.20399999999998</v>
      </c>
      <c r="H555" s="7">
        <v>41667</v>
      </c>
      <c r="I555" s="6" t="s">
        <v>178</v>
      </c>
      <c r="J555" s="6" t="s">
        <v>7275</v>
      </c>
      <c r="K555" s="6" t="s">
        <v>21</v>
      </c>
      <c r="L555" s="6">
        <v>13</v>
      </c>
      <c r="M555" s="15" t="s">
        <v>7272</v>
      </c>
      <c r="N555" s="15" t="s">
        <v>167</v>
      </c>
      <c r="O555" s="27" t="s">
        <v>7276</v>
      </c>
    </row>
    <row r="556" spans="1:15" s="1" customFormat="1" ht="13.5" customHeight="1">
      <c r="A556" s="5" t="s">
        <v>1043</v>
      </c>
      <c r="B556" s="3"/>
      <c r="C556" s="3"/>
      <c r="D556" s="5" t="s">
        <v>443</v>
      </c>
      <c r="E556" s="5" t="s">
        <v>7026</v>
      </c>
      <c r="F556" s="3" t="s">
        <v>7277</v>
      </c>
      <c r="G556" s="6">
        <f t="shared" si="17"/>
        <v>224.49599999999998</v>
      </c>
      <c r="H556" s="7">
        <v>41667</v>
      </c>
      <c r="I556" s="6" t="s">
        <v>178</v>
      </c>
      <c r="J556" s="6" t="s">
        <v>7278</v>
      </c>
      <c r="K556" s="6" t="s">
        <v>21</v>
      </c>
      <c r="L556" s="6">
        <v>12</v>
      </c>
      <c r="M556" s="15" t="s">
        <v>7279</v>
      </c>
      <c r="N556" s="15" t="s">
        <v>164</v>
      </c>
      <c r="O556" s="27" t="s">
        <v>7280</v>
      </c>
    </row>
    <row r="557" spans="1:15" s="1" customFormat="1" ht="13.5" customHeight="1">
      <c r="A557" s="5" t="s">
        <v>1043</v>
      </c>
      <c r="B557" s="3"/>
      <c r="C557" s="3"/>
      <c r="D557" s="5" t="s">
        <v>443</v>
      </c>
      <c r="E557" s="5" t="s">
        <v>7026</v>
      </c>
      <c r="F557" s="3" t="s">
        <v>7281</v>
      </c>
      <c r="G557" s="6">
        <f t="shared" si="17"/>
        <v>243.20399999999998</v>
      </c>
      <c r="H557" s="7">
        <v>41667</v>
      </c>
      <c r="I557" s="6" t="s">
        <v>178</v>
      </c>
      <c r="J557" s="6" t="s">
        <v>7282</v>
      </c>
      <c r="K557" s="6" t="s">
        <v>21</v>
      </c>
      <c r="L557" s="6">
        <v>13</v>
      </c>
      <c r="M557" s="15" t="s">
        <v>7279</v>
      </c>
      <c r="N557" s="15" t="s">
        <v>167</v>
      </c>
      <c r="O557" s="27" t="s">
        <v>7283</v>
      </c>
    </row>
    <row r="558" spans="1:15" s="1" customFormat="1" ht="13.5" customHeight="1">
      <c r="A558" s="5" t="s">
        <v>1043</v>
      </c>
      <c r="B558" s="3"/>
      <c r="C558" s="3"/>
      <c r="D558" s="5" t="s">
        <v>443</v>
      </c>
      <c r="E558" s="5" t="s">
        <v>7026</v>
      </c>
      <c r="F558" s="3" t="s">
        <v>7284</v>
      </c>
      <c r="G558" s="6">
        <f t="shared" si="17"/>
        <v>224.49599999999998</v>
      </c>
      <c r="H558" s="7">
        <v>41667</v>
      </c>
      <c r="I558" s="6" t="s">
        <v>178</v>
      </c>
      <c r="J558" s="6" t="s">
        <v>7285</v>
      </c>
      <c r="K558" s="6" t="s">
        <v>21</v>
      </c>
      <c r="L558" s="6">
        <v>12</v>
      </c>
      <c r="M558" s="15" t="s">
        <v>7286</v>
      </c>
      <c r="N558" s="15" t="s">
        <v>164</v>
      </c>
      <c r="O558" s="27" t="s">
        <v>7287</v>
      </c>
    </row>
    <row r="559" spans="1:15" ht="13.5" customHeight="1">
      <c r="A559" s="5" t="s">
        <v>627</v>
      </c>
      <c r="B559" s="3"/>
      <c r="C559" s="3"/>
      <c r="D559" s="5" t="s">
        <v>443</v>
      </c>
      <c r="E559" s="5" t="s">
        <v>7026</v>
      </c>
      <c r="F559" s="3" t="s">
        <v>7288</v>
      </c>
      <c r="G559" s="6">
        <f t="shared" si="17"/>
        <v>243.20399999999998</v>
      </c>
      <c r="H559" s="7">
        <v>41667</v>
      </c>
      <c r="I559" s="6" t="s">
        <v>265</v>
      </c>
      <c r="J559" s="6" t="s">
        <v>7289</v>
      </c>
      <c r="K559" s="6" t="s">
        <v>21</v>
      </c>
      <c r="L559" s="6">
        <v>13</v>
      </c>
      <c r="M559" s="15" t="s">
        <v>7286</v>
      </c>
      <c r="N559" s="15" t="s">
        <v>167</v>
      </c>
      <c r="O559" s="27" t="s">
        <v>7290</v>
      </c>
    </row>
    <row r="560" spans="1:15" s="1" customFormat="1" ht="13.5" customHeight="1">
      <c r="A560" s="5" t="s">
        <v>627</v>
      </c>
      <c r="B560" s="3"/>
      <c r="C560" s="3"/>
      <c r="D560" s="5" t="s">
        <v>443</v>
      </c>
      <c r="E560" s="5" t="s">
        <v>7026</v>
      </c>
      <c r="F560" s="3" t="s">
        <v>7291</v>
      </c>
      <c r="G560" s="6">
        <f t="shared" si="17"/>
        <v>224.49599999999998</v>
      </c>
      <c r="H560" s="7">
        <v>41667</v>
      </c>
      <c r="I560" s="6" t="s">
        <v>265</v>
      </c>
      <c r="J560" s="6" t="s">
        <v>7292</v>
      </c>
      <c r="K560" s="6" t="s">
        <v>21</v>
      </c>
      <c r="L560" s="6">
        <v>12</v>
      </c>
      <c r="M560" s="15" t="s">
        <v>7293</v>
      </c>
      <c r="N560" s="15" t="s">
        <v>164</v>
      </c>
      <c r="O560" s="27" t="s">
        <v>7294</v>
      </c>
    </row>
    <row r="561" spans="1:15" s="1" customFormat="1" ht="13.5" customHeight="1">
      <c r="A561" s="5" t="s">
        <v>627</v>
      </c>
      <c r="B561" s="3"/>
      <c r="C561" s="3"/>
      <c r="D561" s="5" t="s">
        <v>443</v>
      </c>
      <c r="E561" s="5" t="s">
        <v>7026</v>
      </c>
      <c r="F561" s="3" t="s">
        <v>7295</v>
      </c>
      <c r="G561" s="6">
        <f t="shared" si="17"/>
        <v>243.20399999999998</v>
      </c>
      <c r="H561" s="7">
        <v>41667</v>
      </c>
      <c r="I561" s="6" t="s">
        <v>265</v>
      </c>
      <c r="J561" s="6" t="s">
        <v>7296</v>
      </c>
      <c r="K561" s="6" t="s">
        <v>21</v>
      </c>
      <c r="L561" s="6">
        <v>13</v>
      </c>
      <c r="M561" s="15" t="s">
        <v>7293</v>
      </c>
      <c r="N561" s="15" t="s">
        <v>167</v>
      </c>
      <c r="O561" s="27" t="s">
        <v>7297</v>
      </c>
    </row>
    <row r="562" spans="1:15" s="1" customFormat="1" ht="13.5" customHeight="1">
      <c r="A562" s="5" t="s">
        <v>1259</v>
      </c>
      <c r="B562" s="3"/>
      <c r="C562" s="3"/>
      <c r="D562" s="5" t="s">
        <v>170</v>
      </c>
      <c r="E562" s="5" t="s">
        <v>7026</v>
      </c>
      <c r="F562" s="3" t="s">
        <v>7298</v>
      </c>
      <c r="G562" s="6">
        <f>17.498*L562</f>
        <v>157.482</v>
      </c>
      <c r="H562" s="7">
        <v>41667</v>
      </c>
      <c r="I562" s="6" t="s">
        <v>265</v>
      </c>
      <c r="J562" s="6" t="s">
        <v>7299</v>
      </c>
      <c r="K562" s="6" t="s">
        <v>21</v>
      </c>
      <c r="L562" s="6">
        <v>9</v>
      </c>
      <c r="M562" s="15" t="s">
        <v>7194</v>
      </c>
      <c r="N562" s="15" t="s">
        <v>798</v>
      </c>
      <c r="O562" s="27" t="s">
        <v>7300</v>
      </c>
    </row>
    <row r="563" spans="1:15" s="1" customFormat="1" ht="13.5" customHeight="1">
      <c r="A563" s="5" t="s">
        <v>1259</v>
      </c>
      <c r="B563" s="3"/>
      <c r="C563" s="3"/>
      <c r="D563" s="5" t="s">
        <v>170</v>
      </c>
      <c r="E563" s="5" t="s">
        <v>7026</v>
      </c>
      <c r="F563" s="3" t="s">
        <v>7301</v>
      </c>
      <c r="G563" s="6">
        <f>17.498*L563</f>
        <v>174.98000000000002</v>
      </c>
      <c r="H563" s="7">
        <v>41667</v>
      </c>
      <c r="I563" s="6" t="s">
        <v>265</v>
      </c>
      <c r="J563" s="6" t="s">
        <v>7302</v>
      </c>
      <c r="K563" s="6" t="s">
        <v>21</v>
      </c>
      <c r="L563" s="6">
        <v>10</v>
      </c>
      <c r="M563" s="15" t="s">
        <v>7194</v>
      </c>
      <c r="N563" s="15" t="s">
        <v>114</v>
      </c>
      <c r="O563" s="27" t="s">
        <v>7303</v>
      </c>
    </row>
    <row r="564" spans="1:15" s="1" customFormat="1" ht="13.5" customHeight="1">
      <c r="A564" s="5" t="s">
        <v>7145</v>
      </c>
      <c r="B564" s="3"/>
      <c r="C564" s="3"/>
      <c r="D564" s="5" t="s">
        <v>170</v>
      </c>
      <c r="E564" s="5" t="s">
        <v>7026</v>
      </c>
      <c r="F564" s="3" t="s">
        <v>7304</v>
      </c>
      <c r="G564" s="6">
        <f>17.498*L564</f>
        <v>157.482</v>
      </c>
      <c r="H564" s="7">
        <v>41667</v>
      </c>
      <c r="I564" s="6" t="s">
        <v>265</v>
      </c>
      <c r="J564" s="6" t="s">
        <v>7305</v>
      </c>
      <c r="K564" s="6" t="s">
        <v>21</v>
      </c>
      <c r="L564" s="6">
        <v>9</v>
      </c>
      <c r="M564" s="15" t="s">
        <v>7306</v>
      </c>
      <c r="N564" s="15" t="s">
        <v>486</v>
      </c>
      <c r="O564" s="27" t="s">
        <v>7307</v>
      </c>
    </row>
    <row r="565" spans="1:15" s="1" customFormat="1" ht="13.5" customHeight="1">
      <c r="A565" s="3" t="s">
        <v>1534</v>
      </c>
      <c r="B565" s="3"/>
      <c r="C565" s="3"/>
      <c r="D565" s="5" t="s">
        <v>2128</v>
      </c>
      <c r="E565" s="5" t="s">
        <v>124</v>
      </c>
      <c r="F565" s="3" t="s">
        <v>2332</v>
      </c>
      <c r="G565" s="6">
        <v>142.60300000000001</v>
      </c>
      <c r="H565" s="7">
        <v>41678</v>
      </c>
      <c r="I565" s="6" t="s">
        <v>209</v>
      </c>
      <c r="J565" s="6" t="s">
        <v>2333</v>
      </c>
      <c r="K565" s="6" t="s">
        <v>128</v>
      </c>
      <c r="L565" s="6" t="s">
        <v>1641</v>
      </c>
      <c r="M565" s="15" t="s">
        <v>2334</v>
      </c>
      <c r="N565" s="15" t="s">
        <v>2335</v>
      </c>
      <c r="O565" s="28" t="s">
        <v>2336</v>
      </c>
    </row>
    <row r="566" spans="1:15" s="1" customFormat="1" ht="13.5" customHeight="1">
      <c r="A566" s="3" t="s">
        <v>1534</v>
      </c>
      <c r="B566" s="3"/>
      <c r="C566" s="3"/>
      <c r="D566" s="5" t="s">
        <v>2128</v>
      </c>
      <c r="E566" s="5" t="s">
        <v>124</v>
      </c>
      <c r="F566" s="3" t="s">
        <v>2337</v>
      </c>
      <c r="G566" s="6">
        <v>142.54400000000001</v>
      </c>
      <c r="H566" s="7">
        <v>41678</v>
      </c>
      <c r="I566" s="6" t="s">
        <v>209</v>
      </c>
      <c r="J566" s="6" t="s">
        <v>2338</v>
      </c>
      <c r="K566" s="6" t="s">
        <v>128</v>
      </c>
      <c r="L566" s="6" t="s">
        <v>1641</v>
      </c>
      <c r="M566" s="15" t="s">
        <v>2339</v>
      </c>
      <c r="N566" s="15" t="s">
        <v>2340</v>
      </c>
      <c r="O566" s="28" t="s">
        <v>2341</v>
      </c>
    </row>
    <row r="567" spans="1:15" s="1" customFormat="1" ht="13.5" customHeight="1">
      <c r="A567" s="3" t="s">
        <v>1534</v>
      </c>
      <c r="B567" s="3"/>
      <c r="C567" s="3"/>
      <c r="D567" s="5" t="s">
        <v>2128</v>
      </c>
      <c r="E567" s="5" t="s">
        <v>124</v>
      </c>
      <c r="F567" s="3" t="s">
        <v>2342</v>
      </c>
      <c r="G567" s="6">
        <v>259.43299999999999</v>
      </c>
      <c r="H567" s="7">
        <v>41678</v>
      </c>
      <c r="I567" s="6" t="s">
        <v>209</v>
      </c>
      <c r="J567" s="6" t="s">
        <v>2343</v>
      </c>
      <c r="K567" s="6" t="s">
        <v>128</v>
      </c>
      <c r="L567" s="6" t="s">
        <v>1885</v>
      </c>
      <c r="M567" s="15" t="s">
        <v>2344</v>
      </c>
      <c r="N567" s="15" t="s">
        <v>2345</v>
      </c>
      <c r="O567" s="28" t="s">
        <v>2346</v>
      </c>
    </row>
    <row r="568" spans="1:15" s="1" customFormat="1" ht="13.5" customHeight="1">
      <c r="A568" s="3" t="s">
        <v>1534</v>
      </c>
      <c r="B568" s="3"/>
      <c r="C568" s="3"/>
      <c r="D568" s="5" t="s">
        <v>2128</v>
      </c>
      <c r="E568" s="5" t="s">
        <v>124</v>
      </c>
      <c r="F568" s="3" t="s">
        <v>2347</v>
      </c>
      <c r="G568" s="6">
        <v>200.84399999999999</v>
      </c>
      <c r="H568" s="7">
        <v>41678</v>
      </c>
      <c r="I568" s="6" t="s">
        <v>209</v>
      </c>
      <c r="J568" s="6" t="s">
        <v>2348</v>
      </c>
      <c r="K568" s="6" t="s">
        <v>128</v>
      </c>
      <c r="L568" s="6" t="s">
        <v>1823</v>
      </c>
      <c r="M568" s="15" t="s">
        <v>2349</v>
      </c>
      <c r="N568" s="15" t="s">
        <v>2350</v>
      </c>
      <c r="O568" s="28" t="s">
        <v>2351</v>
      </c>
    </row>
    <row r="569" spans="1:15" s="1" customFormat="1" ht="13.5" customHeight="1">
      <c r="A569" s="3" t="s">
        <v>1534</v>
      </c>
      <c r="B569" s="3"/>
      <c r="C569" s="3"/>
      <c r="D569" s="5" t="s">
        <v>2128</v>
      </c>
      <c r="E569" s="5" t="s">
        <v>124</v>
      </c>
      <c r="F569" s="3" t="s">
        <v>2352</v>
      </c>
      <c r="G569" s="6">
        <v>291.74</v>
      </c>
      <c r="H569" s="7">
        <v>41678</v>
      </c>
      <c r="I569" s="6" t="s">
        <v>209</v>
      </c>
      <c r="J569" s="6" t="s">
        <v>2353</v>
      </c>
      <c r="K569" s="6" t="s">
        <v>128</v>
      </c>
      <c r="L569" s="6" t="s">
        <v>2319</v>
      </c>
      <c r="M569" s="15" t="s">
        <v>2354</v>
      </c>
      <c r="N569" s="15" t="s">
        <v>2321</v>
      </c>
      <c r="O569" s="28" t="s">
        <v>2355</v>
      </c>
    </row>
    <row r="570" spans="1:15" s="1" customFormat="1" ht="13.5" customHeight="1">
      <c r="A570" s="3" t="s">
        <v>1534</v>
      </c>
      <c r="B570" s="3"/>
      <c r="C570" s="3"/>
      <c r="D570" s="5" t="s">
        <v>2128</v>
      </c>
      <c r="E570" s="5" t="s">
        <v>124</v>
      </c>
      <c r="F570" s="3" t="s">
        <v>2356</v>
      </c>
      <c r="G570" s="6">
        <v>291.74</v>
      </c>
      <c r="H570" s="7">
        <v>41678</v>
      </c>
      <c r="I570" s="6" t="s">
        <v>209</v>
      </c>
      <c r="J570" s="6" t="s">
        <v>2357</v>
      </c>
      <c r="K570" s="6" t="s">
        <v>128</v>
      </c>
      <c r="L570" s="6" t="s">
        <v>2319</v>
      </c>
      <c r="M570" s="15" t="s">
        <v>2358</v>
      </c>
      <c r="N570" s="15" t="s">
        <v>2326</v>
      </c>
      <c r="O570" s="28" t="s">
        <v>2359</v>
      </c>
    </row>
    <row r="571" spans="1:15" s="1" customFormat="1" ht="13.5" customHeight="1">
      <c r="A571" s="3" t="s">
        <v>1534</v>
      </c>
      <c r="B571" s="3"/>
      <c r="C571" s="3"/>
      <c r="D571" s="5" t="s">
        <v>2128</v>
      </c>
      <c r="E571" s="5" t="s">
        <v>124</v>
      </c>
      <c r="F571" s="3" t="s">
        <v>2360</v>
      </c>
      <c r="G571" s="6">
        <v>141.82300000000001</v>
      </c>
      <c r="H571" s="7">
        <v>41678</v>
      </c>
      <c r="I571" s="6" t="s">
        <v>209</v>
      </c>
      <c r="J571" s="6" t="s">
        <v>2361</v>
      </c>
      <c r="K571" s="6" t="s">
        <v>128</v>
      </c>
      <c r="L571" s="6" t="s">
        <v>1641</v>
      </c>
      <c r="M571" s="15" t="s">
        <v>2362</v>
      </c>
      <c r="N571" s="15" t="s">
        <v>2363</v>
      </c>
      <c r="O571" s="28" t="s">
        <v>2364</v>
      </c>
    </row>
    <row r="572" spans="1:15" s="1" customFormat="1" ht="13.5" customHeight="1">
      <c r="A572" s="3" t="s">
        <v>1534</v>
      </c>
      <c r="B572" s="3"/>
      <c r="C572" s="3"/>
      <c r="D572" s="5" t="s">
        <v>2128</v>
      </c>
      <c r="E572" s="5" t="s">
        <v>124</v>
      </c>
      <c r="F572" s="3" t="s">
        <v>2365</v>
      </c>
      <c r="G572" s="6">
        <v>291.74</v>
      </c>
      <c r="H572" s="7">
        <v>41678</v>
      </c>
      <c r="I572" s="6" t="s">
        <v>209</v>
      </c>
      <c r="J572" s="6" t="s">
        <v>2366</v>
      </c>
      <c r="K572" s="6" t="s">
        <v>128</v>
      </c>
      <c r="L572" s="6" t="s">
        <v>2319</v>
      </c>
      <c r="M572" s="15" t="s">
        <v>2367</v>
      </c>
      <c r="N572" s="15" t="s">
        <v>2321</v>
      </c>
      <c r="O572" s="28" t="s">
        <v>2368</v>
      </c>
    </row>
    <row r="573" spans="1:15" s="1" customFormat="1" ht="13.5" customHeight="1">
      <c r="A573" s="3" t="s">
        <v>1534</v>
      </c>
      <c r="B573" s="3"/>
      <c r="C573" s="3"/>
      <c r="D573" s="5" t="s">
        <v>2128</v>
      </c>
      <c r="E573" s="5" t="s">
        <v>124</v>
      </c>
      <c r="F573" s="3" t="s">
        <v>2369</v>
      </c>
      <c r="G573" s="6">
        <v>291.74</v>
      </c>
      <c r="H573" s="7">
        <v>41678</v>
      </c>
      <c r="I573" s="6" t="s">
        <v>209</v>
      </c>
      <c r="J573" s="6" t="s">
        <v>2370</v>
      </c>
      <c r="K573" s="6" t="s">
        <v>128</v>
      </c>
      <c r="L573" s="6" t="s">
        <v>2319</v>
      </c>
      <c r="M573" s="15" t="s">
        <v>2371</v>
      </c>
      <c r="N573" s="15" t="s">
        <v>2326</v>
      </c>
      <c r="O573" s="28" t="s">
        <v>2372</v>
      </c>
    </row>
    <row r="574" spans="1:15" s="1" customFormat="1" ht="13.5" customHeight="1">
      <c r="A574" s="3" t="s">
        <v>1534</v>
      </c>
      <c r="B574" s="3"/>
      <c r="C574" s="3"/>
      <c r="D574" s="5" t="s">
        <v>2128</v>
      </c>
      <c r="E574" s="5" t="s">
        <v>124</v>
      </c>
      <c r="F574" s="3" t="s">
        <v>2373</v>
      </c>
      <c r="G574" s="6">
        <v>142.28299999999999</v>
      </c>
      <c r="H574" s="7">
        <v>41678</v>
      </c>
      <c r="I574" s="6" t="s">
        <v>209</v>
      </c>
      <c r="J574" s="6" t="s">
        <v>2374</v>
      </c>
      <c r="K574" s="6" t="s">
        <v>128</v>
      </c>
      <c r="L574" s="6" t="s">
        <v>1641</v>
      </c>
      <c r="M574" s="15" t="s">
        <v>2375</v>
      </c>
      <c r="N574" s="15" t="s">
        <v>2376</v>
      </c>
      <c r="O574" s="28" t="s">
        <v>2377</v>
      </c>
    </row>
    <row r="575" spans="1:15" ht="13.5" customHeight="1">
      <c r="A575" s="3" t="s">
        <v>846</v>
      </c>
      <c r="B575" s="3"/>
      <c r="C575" s="3"/>
      <c r="D575" s="5" t="s">
        <v>191</v>
      </c>
      <c r="E575" s="5" t="s">
        <v>124</v>
      </c>
      <c r="F575" s="3" t="s">
        <v>2378</v>
      </c>
      <c r="G575" s="6">
        <f>18.708*L575</f>
        <v>224.49599999999998</v>
      </c>
      <c r="H575" s="7">
        <v>41678</v>
      </c>
      <c r="I575" s="6" t="s">
        <v>247</v>
      </c>
      <c r="J575" s="6" t="s">
        <v>2379</v>
      </c>
      <c r="K575" s="6" t="s">
        <v>21</v>
      </c>
      <c r="L575" s="6">
        <v>12</v>
      </c>
      <c r="M575" s="15" t="s">
        <v>2380</v>
      </c>
      <c r="N575" s="15" t="s">
        <v>164</v>
      </c>
      <c r="O575" s="28" t="s">
        <v>2380</v>
      </c>
    </row>
    <row r="576" spans="1:15" ht="13.5" customHeight="1">
      <c r="A576" s="3" t="s">
        <v>846</v>
      </c>
      <c r="B576" s="3"/>
      <c r="C576" s="3"/>
      <c r="D576" s="5" t="s">
        <v>191</v>
      </c>
      <c r="E576" s="5" t="s">
        <v>124</v>
      </c>
      <c r="F576" s="3" t="s">
        <v>2381</v>
      </c>
      <c r="G576" s="6">
        <f>18.708*L576</f>
        <v>243.20399999999998</v>
      </c>
      <c r="H576" s="7">
        <v>41678</v>
      </c>
      <c r="I576" s="6" t="s">
        <v>247</v>
      </c>
      <c r="J576" s="6" t="s">
        <v>2382</v>
      </c>
      <c r="K576" s="6" t="s">
        <v>21</v>
      </c>
      <c r="L576" s="6">
        <v>13</v>
      </c>
      <c r="M576" s="15" t="s">
        <v>2380</v>
      </c>
      <c r="N576" s="15" t="s">
        <v>167</v>
      </c>
      <c r="O576" s="28" t="s">
        <v>2383</v>
      </c>
    </row>
    <row r="577" spans="1:15" ht="13.5" customHeight="1">
      <c r="A577" s="3" t="s">
        <v>1066</v>
      </c>
      <c r="B577" s="3"/>
      <c r="C577" s="3"/>
      <c r="D577" s="5" t="s">
        <v>391</v>
      </c>
      <c r="E577" s="5" t="s">
        <v>124</v>
      </c>
      <c r="F577" s="3" t="s">
        <v>2384</v>
      </c>
      <c r="G577" s="6">
        <f t="shared" ref="G577:G587" si="18">17.712*L577</f>
        <v>212.54399999999998</v>
      </c>
      <c r="H577" s="7">
        <v>41678</v>
      </c>
      <c r="I577" s="6" t="s">
        <v>265</v>
      </c>
      <c r="J577" s="6" t="s">
        <v>2385</v>
      </c>
      <c r="K577" s="6" t="s">
        <v>21</v>
      </c>
      <c r="L577" s="6">
        <v>12</v>
      </c>
      <c r="M577" s="15" t="s">
        <v>2386</v>
      </c>
      <c r="N577" s="15" t="s">
        <v>164</v>
      </c>
      <c r="O577" s="28" t="s">
        <v>2386</v>
      </c>
    </row>
    <row r="578" spans="1:15" ht="13.5" customHeight="1">
      <c r="A578" s="3" t="s">
        <v>1108</v>
      </c>
      <c r="B578" s="3"/>
      <c r="C578" s="3"/>
      <c r="D578" s="5" t="s">
        <v>391</v>
      </c>
      <c r="E578" s="5" t="s">
        <v>124</v>
      </c>
      <c r="F578" s="3" t="s">
        <v>2387</v>
      </c>
      <c r="G578" s="6">
        <f t="shared" si="18"/>
        <v>230.256</v>
      </c>
      <c r="H578" s="7">
        <v>41678</v>
      </c>
      <c r="I578" s="6" t="s">
        <v>265</v>
      </c>
      <c r="J578" s="6" t="s">
        <v>2388</v>
      </c>
      <c r="K578" s="6" t="s">
        <v>21</v>
      </c>
      <c r="L578" s="6">
        <v>13</v>
      </c>
      <c r="M578" s="15" t="s">
        <v>2386</v>
      </c>
      <c r="N578" s="15" t="s">
        <v>167</v>
      </c>
      <c r="O578" s="28" t="s">
        <v>2389</v>
      </c>
    </row>
    <row r="579" spans="1:15" ht="13.5" customHeight="1">
      <c r="A579" s="3" t="s">
        <v>1108</v>
      </c>
      <c r="B579" s="3"/>
      <c r="C579" s="3"/>
      <c r="D579" s="5" t="s">
        <v>391</v>
      </c>
      <c r="E579" s="5" t="s">
        <v>124</v>
      </c>
      <c r="F579" s="3" t="s">
        <v>2390</v>
      </c>
      <c r="G579" s="6">
        <f t="shared" si="18"/>
        <v>194.83199999999999</v>
      </c>
      <c r="H579" s="7">
        <v>41678</v>
      </c>
      <c r="I579" s="6" t="s">
        <v>265</v>
      </c>
      <c r="J579" s="6" t="s">
        <v>2391</v>
      </c>
      <c r="K579" s="6" t="s">
        <v>21</v>
      </c>
      <c r="L579" s="6">
        <v>11</v>
      </c>
      <c r="M579" s="15" t="s">
        <v>2392</v>
      </c>
      <c r="N579" s="15" t="s">
        <v>2393</v>
      </c>
      <c r="O579" s="28" t="s">
        <v>2392</v>
      </c>
    </row>
    <row r="580" spans="1:15" s="1" customFormat="1" ht="13.5" customHeight="1">
      <c r="A580" s="3" t="s">
        <v>1108</v>
      </c>
      <c r="B580" s="3"/>
      <c r="C580" s="3"/>
      <c r="D580" s="5" t="s">
        <v>391</v>
      </c>
      <c r="E580" s="5" t="s">
        <v>124</v>
      </c>
      <c r="F580" s="3" t="s">
        <v>2394</v>
      </c>
      <c r="G580" s="6">
        <f t="shared" si="18"/>
        <v>212.54399999999998</v>
      </c>
      <c r="H580" s="7">
        <v>41678</v>
      </c>
      <c r="I580" s="6" t="s">
        <v>265</v>
      </c>
      <c r="J580" s="6" t="s">
        <v>2395</v>
      </c>
      <c r="K580" s="6" t="s">
        <v>21</v>
      </c>
      <c r="L580" s="6">
        <v>12</v>
      </c>
      <c r="M580" s="15" t="s">
        <v>2392</v>
      </c>
      <c r="N580" s="15" t="s">
        <v>1211</v>
      </c>
      <c r="O580" s="28" t="s">
        <v>2396</v>
      </c>
    </row>
    <row r="581" spans="1:15" ht="13.5" customHeight="1">
      <c r="A581" s="3" t="s">
        <v>1072</v>
      </c>
      <c r="B581" s="3"/>
      <c r="C581" s="3"/>
      <c r="D581" s="5" t="s">
        <v>1963</v>
      </c>
      <c r="E581" s="5" t="s">
        <v>124</v>
      </c>
      <c r="F581" s="3" t="s">
        <v>2397</v>
      </c>
      <c r="G581" s="6">
        <f t="shared" si="18"/>
        <v>247.96799999999999</v>
      </c>
      <c r="H581" s="7">
        <v>41678</v>
      </c>
      <c r="I581" s="6" t="s">
        <v>265</v>
      </c>
      <c r="J581" s="6" t="s">
        <v>2398</v>
      </c>
      <c r="K581" s="6" t="s">
        <v>21</v>
      </c>
      <c r="L581" s="6">
        <v>14</v>
      </c>
      <c r="M581" s="15" t="s">
        <v>2399</v>
      </c>
      <c r="N581" s="15" t="s">
        <v>2196</v>
      </c>
      <c r="O581" s="28" t="s">
        <v>2399</v>
      </c>
    </row>
    <row r="582" spans="1:15" ht="13.5" customHeight="1">
      <c r="A582" s="3" t="s">
        <v>1072</v>
      </c>
      <c r="B582" s="3"/>
      <c r="C582" s="3"/>
      <c r="D582" s="5" t="s">
        <v>1963</v>
      </c>
      <c r="E582" s="5" t="s">
        <v>124</v>
      </c>
      <c r="F582" s="3" t="s">
        <v>2400</v>
      </c>
      <c r="G582" s="6">
        <f t="shared" si="18"/>
        <v>35.423999999999999</v>
      </c>
      <c r="H582" s="7">
        <v>41678</v>
      </c>
      <c r="I582" s="6" t="s">
        <v>265</v>
      </c>
      <c r="J582" s="6" t="s">
        <v>2401</v>
      </c>
      <c r="K582" s="6" t="s">
        <v>21</v>
      </c>
      <c r="L582" s="6">
        <v>2</v>
      </c>
      <c r="M582" s="15" t="s">
        <v>2402</v>
      </c>
      <c r="N582" s="15" t="s">
        <v>268</v>
      </c>
      <c r="O582" s="28" t="s">
        <v>2402</v>
      </c>
    </row>
    <row r="583" spans="1:15" s="1" customFormat="1" ht="13.5" customHeight="1">
      <c r="A583" s="3" t="s">
        <v>1593</v>
      </c>
      <c r="B583" s="3"/>
      <c r="C583" s="3"/>
      <c r="D583" s="5" t="s">
        <v>1151</v>
      </c>
      <c r="E583" s="5" t="s">
        <v>124</v>
      </c>
      <c r="F583" s="3" t="s">
        <v>2403</v>
      </c>
      <c r="G583" s="6">
        <f t="shared" si="18"/>
        <v>212.54399999999998</v>
      </c>
      <c r="H583" s="7">
        <v>41678</v>
      </c>
      <c r="I583" s="6" t="s">
        <v>265</v>
      </c>
      <c r="J583" s="6" t="s">
        <v>2404</v>
      </c>
      <c r="K583" s="6" t="s">
        <v>21</v>
      </c>
      <c r="L583" s="6">
        <v>12</v>
      </c>
      <c r="M583" s="15" t="s">
        <v>2405</v>
      </c>
      <c r="N583" s="15" t="s">
        <v>164</v>
      </c>
      <c r="O583" s="28" t="s">
        <v>2405</v>
      </c>
    </row>
    <row r="584" spans="1:15" s="1" customFormat="1" ht="13.5" customHeight="1">
      <c r="A584" s="3" t="s">
        <v>1593</v>
      </c>
      <c r="B584" s="3"/>
      <c r="C584" s="3"/>
      <c r="D584" s="5" t="s">
        <v>1151</v>
      </c>
      <c r="E584" s="5" t="s">
        <v>124</v>
      </c>
      <c r="F584" s="3" t="s">
        <v>2406</v>
      </c>
      <c r="G584" s="6">
        <f t="shared" si="18"/>
        <v>230.256</v>
      </c>
      <c r="H584" s="7">
        <v>41678</v>
      </c>
      <c r="I584" s="6" t="s">
        <v>265</v>
      </c>
      <c r="J584" s="6" t="s">
        <v>2407</v>
      </c>
      <c r="K584" s="6" t="s">
        <v>21</v>
      </c>
      <c r="L584" s="6">
        <v>13</v>
      </c>
      <c r="M584" s="15" t="s">
        <v>2405</v>
      </c>
      <c r="N584" s="15" t="s">
        <v>167</v>
      </c>
      <c r="O584" s="28" t="s">
        <v>2408</v>
      </c>
    </row>
    <row r="585" spans="1:15" s="1" customFormat="1" ht="13.5" customHeight="1">
      <c r="A585" s="3" t="s">
        <v>1593</v>
      </c>
      <c r="B585" s="3"/>
      <c r="C585" s="3"/>
      <c r="D585" s="5" t="s">
        <v>1151</v>
      </c>
      <c r="E585" s="5" t="s">
        <v>124</v>
      </c>
      <c r="F585" s="3" t="s">
        <v>2409</v>
      </c>
      <c r="G585" s="6">
        <f t="shared" si="18"/>
        <v>212.54399999999998</v>
      </c>
      <c r="H585" s="7">
        <v>41678</v>
      </c>
      <c r="I585" s="6" t="s">
        <v>265</v>
      </c>
      <c r="J585" s="6" t="s">
        <v>2410</v>
      </c>
      <c r="K585" s="6" t="s">
        <v>21</v>
      </c>
      <c r="L585" s="6">
        <v>12</v>
      </c>
      <c r="M585" s="15" t="s">
        <v>2411</v>
      </c>
      <c r="N585" s="15" t="s">
        <v>164</v>
      </c>
      <c r="O585" s="28" t="s">
        <v>2411</v>
      </c>
    </row>
    <row r="586" spans="1:15" s="1" customFormat="1" ht="13.5" customHeight="1">
      <c r="A586" s="3" t="s">
        <v>1593</v>
      </c>
      <c r="B586" s="3"/>
      <c r="C586" s="3"/>
      <c r="D586" s="5" t="s">
        <v>1151</v>
      </c>
      <c r="E586" s="5" t="s">
        <v>124</v>
      </c>
      <c r="F586" s="3" t="s">
        <v>2412</v>
      </c>
      <c r="G586" s="6">
        <f t="shared" si="18"/>
        <v>230.256</v>
      </c>
      <c r="H586" s="7">
        <v>41678</v>
      </c>
      <c r="I586" s="6" t="s">
        <v>265</v>
      </c>
      <c r="J586" s="6" t="s">
        <v>2413</v>
      </c>
      <c r="K586" s="6" t="s">
        <v>21</v>
      </c>
      <c r="L586" s="6">
        <v>13</v>
      </c>
      <c r="M586" s="15" t="s">
        <v>2411</v>
      </c>
      <c r="N586" s="15" t="s">
        <v>167</v>
      </c>
      <c r="O586" s="28" t="s">
        <v>2414</v>
      </c>
    </row>
    <row r="587" spans="1:15" ht="13.5" customHeight="1">
      <c r="A587" s="3" t="s">
        <v>1593</v>
      </c>
      <c r="B587" s="3"/>
      <c r="C587" s="3"/>
      <c r="D587" s="5" t="s">
        <v>1151</v>
      </c>
      <c r="E587" s="5" t="s">
        <v>124</v>
      </c>
      <c r="F587" s="3" t="s">
        <v>2415</v>
      </c>
      <c r="G587" s="6">
        <f t="shared" si="18"/>
        <v>194.83199999999999</v>
      </c>
      <c r="H587" s="7">
        <v>41678</v>
      </c>
      <c r="I587" s="6" t="s">
        <v>265</v>
      </c>
      <c r="J587" s="6" t="s">
        <v>2416</v>
      </c>
      <c r="K587" s="6" t="s">
        <v>21</v>
      </c>
      <c r="L587" s="6">
        <v>11</v>
      </c>
      <c r="M587" s="15" t="s">
        <v>2417</v>
      </c>
      <c r="N587" s="15" t="s">
        <v>2199</v>
      </c>
      <c r="O587" s="28" t="s">
        <v>2417</v>
      </c>
    </row>
    <row r="588" spans="1:15" ht="13.5" customHeight="1">
      <c r="A588" s="3" t="s">
        <v>1285</v>
      </c>
      <c r="B588" s="4" t="s">
        <v>283</v>
      </c>
      <c r="C588" s="3"/>
      <c r="D588" s="5" t="s">
        <v>1287</v>
      </c>
      <c r="E588" s="5" t="s">
        <v>124</v>
      </c>
      <c r="F588" s="3" t="s">
        <v>2418</v>
      </c>
      <c r="G588" s="6">
        <f>8.606*L588</f>
        <v>77.453999999999994</v>
      </c>
      <c r="H588" s="7">
        <v>41678</v>
      </c>
      <c r="I588" s="6" t="s">
        <v>272</v>
      </c>
      <c r="J588" s="6" t="s">
        <v>2419</v>
      </c>
      <c r="K588" s="6" t="s">
        <v>21</v>
      </c>
      <c r="L588" s="6">
        <v>9</v>
      </c>
      <c r="M588" s="15" t="s">
        <v>2420</v>
      </c>
      <c r="N588" s="15" t="s">
        <v>798</v>
      </c>
      <c r="O588" s="28" t="s">
        <v>2420</v>
      </c>
    </row>
    <row r="589" spans="1:15" s="1" customFormat="1" ht="13.5" customHeight="1">
      <c r="A589" s="3" t="s">
        <v>1285</v>
      </c>
      <c r="B589" s="4" t="s">
        <v>283</v>
      </c>
      <c r="C589" s="3"/>
      <c r="D589" s="5" t="s">
        <v>1287</v>
      </c>
      <c r="E589" s="5" t="s">
        <v>124</v>
      </c>
      <c r="F589" s="3" t="s">
        <v>2421</v>
      </c>
      <c r="G589" s="6">
        <f>8.606*L589</f>
        <v>86.06</v>
      </c>
      <c r="H589" s="7">
        <v>41678</v>
      </c>
      <c r="I589" s="6" t="s">
        <v>272</v>
      </c>
      <c r="J589" s="6" t="s">
        <v>2422</v>
      </c>
      <c r="K589" s="6" t="s">
        <v>21</v>
      </c>
      <c r="L589" s="6">
        <v>10</v>
      </c>
      <c r="M589" s="15" t="s">
        <v>2420</v>
      </c>
      <c r="N589" s="15" t="s">
        <v>114</v>
      </c>
      <c r="O589" s="28" t="s">
        <v>2423</v>
      </c>
    </row>
    <row r="590" spans="1:15" s="1" customFormat="1" ht="13.5" customHeight="1">
      <c r="A590" s="3" t="s">
        <v>788</v>
      </c>
      <c r="B590" s="4" t="s">
        <v>283</v>
      </c>
      <c r="C590" s="3"/>
      <c r="D590" s="5" t="s">
        <v>789</v>
      </c>
      <c r="E590" s="5" t="s">
        <v>124</v>
      </c>
      <c r="F590" s="3" t="s">
        <v>2424</v>
      </c>
      <c r="G590" s="6">
        <f>8.606*L590</f>
        <v>17.212</v>
      </c>
      <c r="H590" s="7">
        <v>41678</v>
      </c>
      <c r="I590" s="6" t="s">
        <v>272</v>
      </c>
      <c r="J590" s="6" t="s">
        <v>2425</v>
      </c>
      <c r="K590" s="6" t="s">
        <v>21</v>
      </c>
      <c r="L590" s="6">
        <v>2</v>
      </c>
      <c r="M590" s="15" t="s">
        <v>2426</v>
      </c>
      <c r="N590" s="15" t="s">
        <v>268</v>
      </c>
      <c r="O590" s="28" t="s">
        <v>2426</v>
      </c>
    </row>
    <row r="591" spans="1:15" s="1" customFormat="1" ht="13.5" customHeight="1">
      <c r="A591" s="3" t="s">
        <v>854</v>
      </c>
      <c r="B591" s="3"/>
      <c r="C591" s="3"/>
      <c r="D591" s="5" t="s">
        <v>855</v>
      </c>
      <c r="E591" s="5" t="s">
        <v>124</v>
      </c>
      <c r="F591" s="3" t="s">
        <v>2427</v>
      </c>
      <c r="G591" s="6">
        <f>17.52*L591</f>
        <v>105.12</v>
      </c>
      <c r="H591" s="7">
        <v>41678</v>
      </c>
      <c r="I591" s="6" t="s">
        <v>209</v>
      </c>
      <c r="J591" s="6" t="s">
        <v>2428</v>
      </c>
      <c r="K591" s="6" t="s">
        <v>21</v>
      </c>
      <c r="L591" s="6">
        <v>6</v>
      </c>
      <c r="M591" s="15" t="s">
        <v>2429</v>
      </c>
      <c r="N591" s="15" t="s">
        <v>787</v>
      </c>
      <c r="O591" s="28" t="s">
        <v>2429</v>
      </c>
    </row>
    <row r="592" spans="1:15" s="1" customFormat="1" ht="13.5" customHeight="1">
      <c r="A592" s="3" t="s">
        <v>777</v>
      </c>
      <c r="B592" s="3"/>
      <c r="C592" s="3"/>
      <c r="D592" s="5" t="s">
        <v>778</v>
      </c>
      <c r="E592" s="5" t="s">
        <v>124</v>
      </c>
      <c r="F592" s="3" t="s">
        <v>2430</v>
      </c>
      <c r="G592" s="6">
        <f>17.52*L592</f>
        <v>210.24</v>
      </c>
      <c r="H592" s="7">
        <v>41678</v>
      </c>
      <c r="I592" s="6" t="s">
        <v>265</v>
      </c>
      <c r="J592" s="6" t="s">
        <v>2431</v>
      </c>
      <c r="K592" s="6" t="s">
        <v>21</v>
      </c>
      <c r="L592" s="6">
        <v>12</v>
      </c>
      <c r="M592" s="15" t="s">
        <v>2432</v>
      </c>
      <c r="N592" s="15" t="s">
        <v>164</v>
      </c>
      <c r="O592" s="28" t="s">
        <v>2432</v>
      </c>
    </row>
    <row r="593" spans="1:15" s="1" customFormat="1" ht="13.5" customHeight="1">
      <c r="A593" s="3" t="s">
        <v>753</v>
      </c>
      <c r="B593" s="3"/>
      <c r="C593" s="3"/>
      <c r="D593" s="5" t="s">
        <v>754</v>
      </c>
      <c r="E593" s="5" t="s">
        <v>124</v>
      </c>
      <c r="F593" s="3" t="s">
        <v>2433</v>
      </c>
      <c r="G593" s="6">
        <f>17.52*L593</f>
        <v>175.2</v>
      </c>
      <c r="H593" s="7">
        <v>41678</v>
      </c>
      <c r="I593" s="6" t="s">
        <v>265</v>
      </c>
      <c r="J593" s="6" t="s">
        <v>2434</v>
      </c>
      <c r="K593" s="6" t="s">
        <v>21</v>
      </c>
      <c r="L593" s="6">
        <v>10</v>
      </c>
      <c r="M593" s="15" t="s">
        <v>2435</v>
      </c>
      <c r="N593" s="15" t="s">
        <v>114</v>
      </c>
      <c r="O593" s="28" t="s">
        <v>2435</v>
      </c>
    </row>
    <row r="594" spans="1:15" s="1" customFormat="1" ht="13.5" customHeight="1">
      <c r="A594" s="3" t="s">
        <v>1534</v>
      </c>
      <c r="B594" s="3"/>
      <c r="C594" s="3"/>
      <c r="D594" s="5" t="s">
        <v>2128</v>
      </c>
      <c r="E594" s="5" t="s">
        <v>124</v>
      </c>
      <c r="F594" s="3" t="s">
        <v>2436</v>
      </c>
      <c r="G594" s="6">
        <v>142.19800000000001</v>
      </c>
      <c r="H594" s="7">
        <v>41679</v>
      </c>
      <c r="I594" s="6" t="s">
        <v>209</v>
      </c>
      <c r="J594" s="6" t="s">
        <v>2437</v>
      </c>
      <c r="K594" s="6" t="s">
        <v>128</v>
      </c>
      <c r="L594" s="6" t="s">
        <v>1641</v>
      </c>
      <c r="M594" s="15" t="s">
        <v>2438</v>
      </c>
      <c r="N594" s="15" t="s">
        <v>2439</v>
      </c>
      <c r="O594" s="28" t="s">
        <v>2440</v>
      </c>
    </row>
    <row r="595" spans="1:15" s="1" customFormat="1" ht="13.5" customHeight="1">
      <c r="A595" s="3" t="s">
        <v>1534</v>
      </c>
      <c r="B595" s="3"/>
      <c r="C595" s="3"/>
      <c r="D595" s="5" t="s">
        <v>2128</v>
      </c>
      <c r="E595" s="5" t="s">
        <v>124</v>
      </c>
      <c r="F595" s="3" t="s">
        <v>2441</v>
      </c>
      <c r="G595" s="6">
        <v>291.74</v>
      </c>
      <c r="H595" s="7">
        <v>41679</v>
      </c>
      <c r="I595" s="6" t="s">
        <v>209</v>
      </c>
      <c r="J595" s="6" t="s">
        <v>2442</v>
      </c>
      <c r="K595" s="6" t="s">
        <v>128</v>
      </c>
      <c r="L595" s="6" t="s">
        <v>2319</v>
      </c>
      <c r="M595" s="15" t="s">
        <v>2443</v>
      </c>
      <c r="N595" s="15" t="s">
        <v>2444</v>
      </c>
      <c r="O595" s="28" t="s">
        <v>2445</v>
      </c>
    </row>
    <row r="596" spans="1:15" ht="13.5" customHeight="1">
      <c r="A596" s="3" t="s">
        <v>1534</v>
      </c>
      <c r="B596" s="3"/>
      <c r="C596" s="3"/>
      <c r="D596" s="5" t="s">
        <v>2128</v>
      </c>
      <c r="E596" s="5" t="s">
        <v>124</v>
      </c>
      <c r="F596" s="3" t="s">
        <v>2446</v>
      </c>
      <c r="G596" s="6">
        <v>291.74</v>
      </c>
      <c r="H596" s="7">
        <v>41679</v>
      </c>
      <c r="I596" s="6" t="s">
        <v>209</v>
      </c>
      <c r="J596" s="6" t="s">
        <v>2447</v>
      </c>
      <c r="K596" s="6" t="s">
        <v>128</v>
      </c>
      <c r="L596" s="6" t="s">
        <v>2319</v>
      </c>
      <c r="M596" s="15" t="s">
        <v>2448</v>
      </c>
      <c r="N596" s="15" t="s">
        <v>2449</v>
      </c>
      <c r="O596" s="28" t="s">
        <v>2450</v>
      </c>
    </row>
    <row r="597" spans="1:15" ht="13.5" customHeight="1">
      <c r="A597" s="3" t="s">
        <v>1534</v>
      </c>
      <c r="B597" s="3"/>
      <c r="C597" s="3"/>
      <c r="D597" s="5" t="s">
        <v>2128</v>
      </c>
      <c r="E597" s="5" t="s">
        <v>124</v>
      </c>
      <c r="F597" s="3" t="s">
        <v>2451</v>
      </c>
      <c r="G597" s="6">
        <v>291.74</v>
      </c>
      <c r="H597" s="7">
        <v>41679</v>
      </c>
      <c r="I597" s="6" t="s">
        <v>209</v>
      </c>
      <c r="J597" s="6" t="s">
        <v>2452</v>
      </c>
      <c r="K597" s="6" t="s">
        <v>128</v>
      </c>
      <c r="L597" s="6" t="s">
        <v>2319</v>
      </c>
      <c r="M597" s="15" t="s">
        <v>2453</v>
      </c>
      <c r="N597" s="15" t="s">
        <v>2321</v>
      </c>
      <c r="O597" s="28" t="s">
        <v>2454</v>
      </c>
    </row>
    <row r="598" spans="1:15" s="1" customFormat="1" ht="13.5" customHeight="1">
      <c r="A598" s="3" t="s">
        <v>2059</v>
      </c>
      <c r="B598" s="3"/>
      <c r="C598" s="3"/>
      <c r="D598" s="5" t="s">
        <v>2060</v>
      </c>
      <c r="E598" s="5" t="s">
        <v>124</v>
      </c>
      <c r="F598" s="3" t="s">
        <v>2455</v>
      </c>
      <c r="G598" s="6">
        <v>121.345</v>
      </c>
      <c r="H598" s="7">
        <v>41679</v>
      </c>
      <c r="I598" s="6" t="s">
        <v>209</v>
      </c>
      <c r="J598" s="6" t="s">
        <v>2456</v>
      </c>
      <c r="K598" s="6" t="s">
        <v>128</v>
      </c>
      <c r="L598" s="6" t="s">
        <v>2457</v>
      </c>
      <c r="M598" s="15" t="s">
        <v>2458</v>
      </c>
      <c r="N598" s="15" t="s">
        <v>2459</v>
      </c>
      <c r="O598" s="28" t="s">
        <v>2460</v>
      </c>
    </row>
    <row r="599" spans="1:15" s="1" customFormat="1" ht="13.5" customHeight="1">
      <c r="A599" s="3" t="s">
        <v>765</v>
      </c>
      <c r="B599" s="3"/>
      <c r="C599" s="3"/>
      <c r="D599" s="5" t="s">
        <v>207</v>
      </c>
      <c r="E599" s="5" t="s">
        <v>124</v>
      </c>
      <c r="F599" s="3" t="s">
        <v>2461</v>
      </c>
      <c r="G599" s="6">
        <v>103.92400000000001</v>
      </c>
      <c r="H599" s="7">
        <v>41679</v>
      </c>
      <c r="I599" s="6" t="s">
        <v>209</v>
      </c>
      <c r="J599" s="6" t="s">
        <v>2462</v>
      </c>
      <c r="K599" s="6" t="s">
        <v>128</v>
      </c>
      <c r="L599" s="6" t="s">
        <v>1307</v>
      </c>
      <c r="M599" s="15" t="s">
        <v>2463</v>
      </c>
      <c r="N599" s="15" t="s">
        <v>2464</v>
      </c>
      <c r="O599" s="28" t="s">
        <v>2465</v>
      </c>
    </row>
    <row r="600" spans="1:15" s="1" customFormat="1" ht="13.5" customHeight="1">
      <c r="A600" s="3" t="s">
        <v>1303</v>
      </c>
      <c r="B600" s="3"/>
      <c r="C600" s="3"/>
      <c r="D600" s="5" t="s">
        <v>1304</v>
      </c>
      <c r="E600" s="5" t="s">
        <v>124</v>
      </c>
      <c r="F600" s="3" t="s">
        <v>2466</v>
      </c>
      <c r="G600" s="6">
        <v>86.421000000000006</v>
      </c>
      <c r="H600" s="7">
        <v>41679</v>
      </c>
      <c r="I600" s="6" t="s">
        <v>209</v>
      </c>
      <c r="J600" s="6" t="s">
        <v>2467</v>
      </c>
      <c r="K600" s="6" t="s">
        <v>128</v>
      </c>
      <c r="L600" s="6" t="s">
        <v>768</v>
      </c>
      <c r="M600" s="15" t="s">
        <v>2468</v>
      </c>
      <c r="N600" s="15" t="s">
        <v>2469</v>
      </c>
      <c r="O600" s="28" t="s">
        <v>2470</v>
      </c>
    </row>
    <row r="601" spans="1:15" ht="13.5" customHeight="1">
      <c r="A601" s="3" t="s">
        <v>1303</v>
      </c>
      <c r="B601" s="3"/>
      <c r="C601" s="3"/>
      <c r="D601" s="5" t="s">
        <v>1304</v>
      </c>
      <c r="E601" s="5" t="s">
        <v>124</v>
      </c>
      <c r="F601" s="3" t="s">
        <v>2471</v>
      </c>
      <c r="G601" s="6">
        <v>205.58199999999999</v>
      </c>
      <c r="H601" s="7">
        <v>41679</v>
      </c>
      <c r="I601" s="6" t="s">
        <v>209</v>
      </c>
      <c r="J601" s="6" t="s">
        <v>2472</v>
      </c>
      <c r="K601" s="6" t="s">
        <v>128</v>
      </c>
      <c r="L601" s="36" t="s">
        <v>948</v>
      </c>
      <c r="M601" s="15" t="s">
        <v>2473</v>
      </c>
      <c r="N601" s="15" t="s">
        <v>2474</v>
      </c>
      <c r="O601" s="28" t="s">
        <v>2475</v>
      </c>
    </row>
    <row r="602" spans="1:15" ht="13.5" customHeight="1">
      <c r="A602" s="3" t="s">
        <v>1322</v>
      </c>
      <c r="B602" s="3"/>
      <c r="C602" s="3"/>
      <c r="D602" s="5" t="s">
        <v>672</v>
      </c>
      <c r="E602" s="5" t="s">
        <v>124</v>
      </c>
      <c r="F602" s="3" t="s">
        <v>2476</v>
      </c>
      <c r="G602" s="6">
        <v>66.216999999999999</v>
      </c>
      <c r="H602" s="7">
        <v>41679</v>
      </c>
      <c r="I602" s="6" t="s">
        <v>209</v>
      </c>
      <c r="J602" s="6" t="s">
        <v>2477</v>
      </c>
      <c r="K602" s="6" t="s">
        <v>128</v>
      </c>
      <c r="L602" s="6" t="s">
        <v>1335</v>
      </c>
      <c r="M602" s="15" t="s">
        <v>2478</v>
      </c>
      <c r="N602" s="15" t="s">
        <v>2479</v>
      </c>
      <c r="O602" s="28" t="s">
        <v>2480</v>
      </c>
    </row>
    <row r="603" spans="1:15" s="1" customFormat="1" ht="13.5" customHeight="1">
      <c r="A603" s="3" t="s">
        <v>1322</v>
      </c>
      <c r="B603" s="3"/>
      <c r="C603" s="3"/>
      <c r="D603" s="5" t="s">
        <v>672</v>
      </c>
      <c r="E603" s="5" t="s">
        <v>124</v>
      </c>
      <c r="F603" s="3" t="s">
        <v>2481</v>
      </c>
      <c r="G603" s="6">
        <v>122.19799999999999</v>
      </c>
      <c r="H603" s="7">
        <v>41679</v>
      </c>
      <c r="I603" s="6" t="s">
        <v>209</v>
      </c>
      <c r="J603" s="6" t="s">
        <v>2482</v>
      </c>
      <c r="K603" s="6" t="s">
        <v>128</v>
      </c>
      <c r="L603" s="6" t="s">
        <v>2483</v>
      </c>
      <c r="M603" s="15" t="s">
        <v>2484</v>
      </c>
      <c r="N603" s="15" t="s">
        <v>2485</v>
      </c>
      <c r="O603" s="28" t="s">
        <v>2486</v>
      </c>
    </row>
    <row r="604" spans="1:15" s="1" customFormat="1" ht="13.5" customHeight="1">
      <c r="A604" s="3" t="s">
        <v>1868</v>
      </c>
      <c r="B604" s="3"/>
      <c r="C604" s="3"/>
      <c r="D604" s="5" t="s">
        <v>536</v>
      </c>
      <c r="E604" s="5" t="s">
        <v>124</v>
      </c>
      <c r="F604" s="3" t="s">
        <v>2487</v>
      </c>
      <c r="G604" s="6">
        <v>85.677000000000007</v>
      </c>
      <c r="H604" s="7">
        <v>41679</v>
      </c>
      <c r="I604" s="6" t="s">
        <v>209</v>
      </c>
      <c r="J604" s="6" t="s">
        <v>2488</v>
      </c>
      <c r="K604" s="6" t="s">
        <v>128</v>
      </c>
      <c r="L604" s="6" t="s">
        <v>1329</v>
      </c>
      <c r="M604" s="15" t="s">
        <v>2489</v>
      </c>
      <c r="N604" s="15" t="s">
        <v>2490</v>
      </c>
      <c r="O604" s="28" t="s">
        <v>2491</v>
      </c>
    </row>
    <row r="605" spans="1:15" ht="13.5" customHeight="1">
      <c r="A605" s="3" t="s">
        <v>1854</v>
      </c>
      <c r="B605" s="3"/>
      <c r="C605" s="3"/>
      <c r="D605" s="5" t="s">
        <v>1855</v>
      </c>
      <c r="E605" s="5" t="s">
        <v>124</v>
      </c>
      <c r="F605" s="3" t="s">
        <v>2492</v>
      </c>
      <c r="G605" s="6">
        <v>49.104999999999997</v>
      </c>
      <c r="H605" s="7">
        <v>41679</v>
      </c>
      <c r="I605" s="6" t="s">
        <v>209</v>
      </c>
      <c r="J605" s="6" t="s">
        <v>2493</v>
      </c>
      <c r="K605" s="6" t="s">
        <v>128</v>
      </c>
      <c r="L605" s="6" t="s">
        <v>1864</v>
      </c>
      <c r="M605" s="15" t="s">
        <v>2494</v>
      </c>
      <c r="N605" s="15" t="s">
        <v>2495</v>
      </c>
      <c r="O605" s="28" t="s">
        <v>2496</v>
      </c>
    </row>
    <row r="606" spans="1:15" s="1" customFormat="1" ht="13.5" customHeight="1">
      <c r="A606" s="22" t="s">
        <v>1908</v>
      </c>
      <c r="B606" s="3" t="s">
        <v>15</v>
      </c>
      <c r="C606" s="3"/>
      <c r="D606" s="21" t="s">
        <v>2497</v>
      </c>
      <c r="E606" s="5" t="s">
        <v>124</v>
      </c>
      <c r="F606" s="3" t="s">
        <v>2498</v>
      </c>
      <c r="G606" s="6">
        <f>27.688*L606</f>
        <v>27.687999999999999</v>
      </c>
      <c r="H606" s="7">
        <v>41679</v>
      </c>
      <c r="I606" s="6" t="s">
        <v>907</v>
      </c>
      <c r="J606" s="6" t="s">
        <v>2499</v>
      </c>
      <c r="K606" s="6" t="s">
        <v>21</v>
      </c>
      <c r="L606" s="6">
        <v>1</v>
      </c>
      <c r="M606" s="15" t="s">
        <v>2500</v>
      </c>
      <c r="N606" s="15" t="s">
        <v>2501</v>
      </c>
      <c r="O606" s="28" t="s">
        <v>2502</v>
      </c>
    </row>
    <row r="607" spans="1:15" ht="13.5" customHeight="1">
      <c r="A607" s="22" t="s">
        <v>2503</v>
      </c>
      <c r="B607" s="3" t="s">
        <v>2504</v>
      </c>
      <c r="C607" s="3"/>
      <c r="D607" s="5" t="s">
        <v>1549</v>
      </c>
      <c r="E607" s="5" t="s">
        <v>124</v>
      </c>
      <c r="F607" s="3" t="s">
        <v>2505</v>
      </c>
      <c r="G607" s="6">
        <f>4.66*L607</f>
        <v>41.94</v>
      </c>
      <c r="H607" s="7">
        <v>41679</v>
      </c>
      <c r="I607" s="6" t="s">
        <v>372</v>
      </c>
      <c r="J607" s="6" t="s">
        <v>2506</v>
      </c>
      <c r="K607" s="6" t="s">
        <v>21</v>
      </c>
      <c r="L607" s="6">
        <v>9</v>
      </c>
      <c r="M607" s="15" t="s">
        <v>2507</v>
      </c>
      <c r="N607" s="15" t="s">
        <v>1882</v>
      </c>
      <c r="O607" s="28" t="s">
        <v>2507</v>
      </c>
    </row>
    <row r="608" spans="1:15" s="1" customFormat="1" ht="13.5" customHeight="1">
      <c r="A608" s="22" t="s">
        <v>1379</v>
      </c>
      <c r="B608" s="3" t="s">
        <v>2504</v>
      </c>
      <c r="C608" s="3"/>
      <c r="D608" s="5" t="s">
        <v>1381</v>
      </c>
      <c r="E608" s="5" t="s">
        <v>124</v>
      </c>
      <c r="F608" s="3" t="s">
        <v>2508</v>
      </c>
      <c r="G608" s="6">
        <f>4.66*L608</f>
        <v>27.96</v>
      </c>
      <c r="H608" s="7">
        <v>41679</v>
      </c>
      <c r="I608" s="6" t="s">
        <v>372</v>
      </c>
      <c r="J608" s="6" t="s">
        <v>2509</v>
      </c>
      <c r="K608" s="6" t="s">
        <v>21</v>
      </c>
      <c r="L608" s="6">
        <v>6</v>
      </c>
      <c r="M608" s="15" t="s">
        <v>2510</v>
      </c>
      <c r="N608" s="15" t="s">
        <v>1070</v>
      </c>
      <c r="O608" s="28" t="s">
        <v>2510</v>
      </c>
    </row>
    <row r="609" spans="1:15" s="1" customFormat="1" ht="13.5" customHeight="1">
      <c r="A609" s="22" t="s">
        <v>1429</v>
      </c>
      <c r="B609" s="3" t="s">
        <v>2511</v>
      </c>
      <c r="C609" s="3"/>
      <c r="D609" s="5" t="s">
        <v>1430</v>
      </c>
      <c r="E609" s="5" t="s">
        <v>124</v>
      </c>
      <c r="F609" s="3" t="s">
        <v>2512</v>
      </c>
      <c r="G609" s="6">
        <f>33.349*L609</f>
        <v>66.697999999999993</v>
      </c>
      <c r="H609" s="7">
        <v>41679</v>
      </c>
      <c r="I609" s="6" t="s">
        <v>1432</v>
      </c>
      <c r="J609" s="6" t="s">
        <v>2513</v>
      </c>
      <c r="K609" s="6" t="s">
        <v>21</v>
      </c>
      <c r="L609" s="6">
        <v>2</v>
      </c>
      <c r="M609" s="15" t="s">
        <v>2514</v>
      </c>
      <c r="N609" s="15" t="s">
        <v>883</v>
      </c>
      <c r="O609" s="28" t="s">
        <v>2514</v>
      </c>
    </row>
    <row r="610" spans="1:15" ht="13.5" customHeight="1">
      <c r="A610" s="22" t="s">
        <v>1436</v>
      </c>
      <c r="B610" s="15" t="s">
        <v>2515</v>
      </c>
      <c r="C610" s="3"/>
      <c r="D610" s="5" t="s">
        <v>1437</v>
      </c>
      <c r="E610" s="5" t="s">
        <v>124</v>
      </c>
      <c r="F610" s="3" t="s">
        <v>2516</v>
      </c>
      <c r="G610" s="6">
        <f>33.349*L610</f>
        <v>33.348999999999997</v>
      </c>
      <c r="H610" s="7">
        <v>41679</v>
      </c>
      <c r="I610" s="6" t="s">
        <v>1432</v>
      </c>
      <c r="J610" s="6" t="s">
        <v>2517</v>
      </c>
      <c r="K610" s="6" t="s">
        <v>21</v>
      </c>
      <c r="L610" s="6">
        <v>1</v>
      </c>
      <c r="M610" s="15" t="s">
        <v>1440</v>
      </c>
      <c r="N610" s="15" t="s">
        <v>349</v>
      </c>
      <c r="O610" s="28" t="s">
        <v>2518</v>
      </c>
    </row>
    <row r="611" spans="1:15" ht="13.5" customHeight="1">
      <c r="A611" s="22" t="s">
        <v>2519</v>
      </c>
      <c r="B611" s="31" t="s">
        <v>2520</v>
      </c>
      <c r="C611" s="3"/>
      <c r="D611" s="5" t="s">
        <v>840</v>
      </c>
      <c r="E611" s="5" t="s">
        <v>124</v>
      </c>
      <c r="F611" s="3" t="s">
        <v>2521</v>
      </c>
      <c r="G611" s="6">
        <f>14.864*L611</f>
        <v>29.728000000000002</v>
      </c>
      <c r="H611" s="7">
        <v>41679</v>
      </c>
      <c r="I611" s="6" t="s">
        <v>272</v>
      </c>
      <c r="J611" s="6" t="s">
        <v>2522</v>
      </c>
      <c r="K611" s="6" t="s">
        <v>21</v>
      </c>
      <c r="L611" s="6">
        <v>2</v>
      </c>
      <c r="M611" s="15" t="s">
        <v>2523</v>
      </c>
      <c r="N611" s="15" t="s">
        <v>268</v>
      </c>
      <c r="O611" s="28" t="s">
        <v>2523</v>
      </c>
    </row>
    <row r="612" spans="1:15" ht="13.5" customHeight="1">
      <c r="A612" s="22" t="s">
        <v>2519</v>
      </c>
      <c r="B612" s="31" t="s">
        <v>2520</v>
      </c>
      <c r="C612" s="3"/>
      <c r="D612" s="5" t="s">
        <v>840</v>
      </c>
      <c r="E612" s="5" t="s">
        <v>124</v>
      </c>
      <c r="F612" s="3" t="s">
        <v>2524</v>
      </c>
      <c r="G612" s="6">
        <f>14.864*L612</f>
        <v>29.728000000000002</v>
      </c>
      <c r="H612" s="7">
        <v>41679</v>
      </c>
      <c r="I612" s="6" t="s">
        <v>272</v>
      </c>
      <c r="J612" s="6" t="s">
        <v>2525</v>
      </c>
      <c r="K612" s="6" t="s">
        <v>21</v>
      </c>
      <c r="L612" s="6">
        <v>2</v>
      </c>
      <c r="M612" s="15" t="s">
        <v>2526</v>
      </c>
      <c r="N612" s="15" t="s">
        <v>189</v>
      </c>
      <c r="O612" s="28" t="s">
        <v>2526</v>
      </c>
    </row>
    <row r="613" spans="1:15" ht="13.5" customHeight="1">
      <c r="A613" s="5" t="s">
        <v>1127</v>
      </c>
      <c r="B613" s="3"/>
      <c r="C613" s="3"/>
      <c r="D613" s="5" t="s">
        <v>1128</v>
      </c>
      <c r="E613" s="5" t="s">
        <v>7026</v>
      </c>
      <c r="F613" s="3" t="s">
        <v>7308</v>
      </c>
      <c r="G613" s="6">
        <f t="shared" ref="G613:G626" si="19">29.101*L613</f>
        <v>232.80799999999999</v>
      </c>
      <c r="H613" s="7">
        <v>41679</v>
      </c>
      <c r="I613" s="6" t="s">
        <v>178</v>
      </c>
      <c r="J613" s="6" t="s">
        <v>7309</v>
      </c>
      <c r="K613" s="6" t="s">
        <v>21</v>
      </c>
      <c r="L613" s="6">
        <v>8</v>
      </c>
      <c r="M613" s="15" t="s">
        <v>7310</v>
      </c>
      <c r="N613" s="15" t="s">
        <v>447</v>
      </c>
      <c r="O613" s="27" t="s">
        <v>7311</v>
      </c>
    </row>
    <row r="614" spans="1:15" ht="13.5" customHeight="1">
      <c r="A614" s="5" t="s">
        <v>1127</v>
      </c>
      <c r="B614" s="3"/>
      <c r="C614" s="3"/>
      <c r="D614" s="5" t="s">
        <v>1128</v>
      </c>
      <c r="E614" s="5" t="s">
        <v>7026</v>
      </c>
      <c r="F614" s="3" t="s">
        <v>7312</v>
      </c>
      <c r="G614" s="6">
        <f t="shared" si="19"/>
        <v>232.80799999999999</v>
      </c>
      <c r="H614" s="7">
        <v>41679</v>
      </c>
      <c r="I614" s="6" t="s">
        <v>178</v>
      </c>
      <c r="J614" s="6" t="s">
        <v>7313</v>
      </c>
      <c r="K614" s="6" t="s">
        <v>21</v>
      </c>
      <c r="L614" s="6">
        <v>8</v>
      </c>
      <c r="M614" s="15" t="s">
        <v>7310</v>
      </c>
      <c r="N614" s="15" t="s">
        <v>892</v>
      </c>
      <c r="O614" s="27" t="s">
        <v>7314</v>
      </c>
    </row>
    <row r="615" spans="1:15" s="1" customFormat="1" ht="13.5" customHeight="1">
      <c r="A615" s="5" t="s">
        <v>1127</v>
      </c>
      <c r="B615" s="3"/>
      <c r="C615" s="3"/>
      <c r="D615" s="5" t="s">
        <v>1128</v>
      </c>
      <c r="E615" s="5" t="s">
        <v>7026</v>
      </c>
      <c r="F615" s="3" t="s">
        <v>7315</v>
      </c>
      <c r="G615" s="6">
        <f t="shared" si="19"/>
        <v>261.90899999999999</v>
      </c>
      <c r="H615" s="7">
        <v>41679</v>
      </c>
      <c r="I615" s="6" t="s">
        <v>178</v>
      </c>
      <c r="J615" s="6" t="s">
        <v>7316</v>
      </c>
      <c r="K615" s="6" t="s">
        <v>21</v>
      </c>
      <c r="L615" s="6">
        <v>9</v>
      </c>
      <c r="M615" s="15" t="s">
        <v>7310</v>
      </c>
      <c r="N615" s="15" t="s">
        <v>896</v>
      </c>
      <c r="O615" s="27" t="s">
        <v>7317</v>
      </c>
    </row>
    <row r="616" spans="1:15" ht="13.5" customHeight="1">
      <c r="A616" s="5" t="s">
        <v>1127</v>
      </c>
      <c r="B616" s="3"/>
      <c r="C616" s="3"/>
      <c r="D616" s="5" t="s">
        <v>1128</v>
      </c>
      <c r="E616" s="5" t="s">
        <v>7026</v>
      </c>
      <c r="F616" s="3" t="s">
        <v>7318</v>
      </c>
      <c r="G616" s="6">
        <f t="shared" si="19"/>
        <v>232.80799999999999</v>
      </c>
      <c r="H616" s="7">
        <v>41679</v>
      </c>
      <c r="I616" s="6" t="s">
        <v>178</v>
      </c>
      <c r="J616" s="6" t="s">
        <v>7319</v>
      </c>
      <c r="K616" s="6" t="s">
        <v>21</v>
      </c>
      <c r="L616" s="6">
        <v>8</v>
      </c>
      <c r="M616" s="15" t="s">
        <v>7320</v>
      </c>
      <c r="N616" s="15" t="s">
        <v>447</v>
      </c>
      <c r="O616" s="27" t="s">
        <v>7321</v>
      </c>
    </row>
    <row r="617" spans="1:15" s="1" customFormat="1" ht="13.5" customHeight="1">
      <c r="A617" s="5" t="s">
        <v>1127</v>
      </c>
      <c r="B617" s="3"/>
      <c r="C617" s="3"/>
      <c r="D617" s="5" t="s">
        <v>1128</v>
      </c>
      <c r="E617" s="5" t="s">
        <v>7026</v>
      </c>
      <c r="F617" s="3" t="s">
        <v>7322</v>
      </c>
      <c r="G617" s="6">
        <f t="shared" si="19"/>
        <v>232.80799999999999</v>
      </c>
      <c r="H617" s="7">
        <v>41679</v>
      </c>
      <c r="I617" s="6" t="s">
        <v>178</v>
      </c>
      <c r="J617" s="6" t="s">
        <v>7323</v>
      </c>
      <c r="K617" s="6" t="s">
        <v>21</v>
      </c>
      <c r="L617" s="6">
        <v>8</v>
      </c>
      <c r="M617" s="15" t="s">
        <v>7320</v>
      </c>
      <c r="N617" s="15" t="s">
        <v>892</v>
      </c>
      <c r="O617" s="27" t="s">
        <v>7324</v>
      </c>
    </row>
    <row r="618" spans="1:15" s="1" customFormat="1" ht="13.5" customHeight="1">
      <c r="A618" s="5" t="s">
        <v>1127</v>
      </c>
      <c r="B618" s="3"/>
      <c r="C618" s="3"/>
      <c r="D618" s="5" t="s">
        <v>1128</v>
      </c>
      <c r="E618" s="5" t="s">
        <v>7026</v>
      </c>
      <c r="F618" s="3" t="s">
        <v>7325</v>
      </c>
      <c r="G618" s="6">
        <f t="shared" si="19"/>
        <v>261.90899999999999</v>
      </c>
      <c r="H618" s="7">
        <v>41679</v>
      </c>
      <c r="I618" s="6" t="s">
        <v>178</v>
      </c>
      <c r="J618" s="6" t="s">
        <v>7326</v>
      </c>
      <c r="K618" s="6" t="s">
        <v>21</v>
      </c>
      <c r="L618" s="6">
        <v>9</v>
      </c>
      <c r="M618" s="15" t="s">
        <v>7320</v>
      </c>
      <c r="N618" s="15" t="s">
        <v>896</v>
      </c>
      <c r="O618" s="27" t="s">
        <v>7327</v>
      </c>
    </row>
    <row r="619" spans="1:15" ht="13.5" customHeight="1">
      <c r="A619" s="5" t="s">
        <v>1127</v>
      </c>
      <c r="B619" s="3"/>
      <c r="C619" s="3"/>
      <c r="D619" s="5" t="s">
        <v>1128</v>
      </c>
      <c r="E619" s="5" t="s">
        <v>7026</v>
      </c>
      <c r="F619" s="3" t="s">
        <v>7328</v>
      </c>
      <c r="G619" s="6">
        <f t="shared" si="19"/>
        <v>291.01</v>
      </c>
      <c r="H619" s="7">
        <v>41679</v>
      </c>
      <c r="I619" s="6" t="s">
        <v>178</v>
      </c>
      <c r="J619" s="6" t="s">
        <v>7329</v>
      </c>
      <c r="K619" s="6" t="s">
        <v>21</v>
      </c>
      <c r="L619" s="6">
        <v>10</v>
      </c>
      <c r="M619" s="15" t="s">
        <v>7330</v>
      </c>
      <c r="N619" s="15" t="s">
        <v>35</v>
      </c>
      <c r="O619" s="27" t="s">
        <v>7331</v>
      </c>
    </row>
    <row r="620" spans="1:15" ht="13.5" customHeight="1">
      <c r="A620" s="5" t="s">
        <v>1127</v>
      </c>
      <c r="B620" s="3"/>
      <c r="C620" s="3"/>
      <c r="D620" s="5" t="s">
        <v>1128</v>
      </c>
      <c r="E620" s="5" t="s">
        <v>7026</v>
      </c>
      <c r="F620" s="3" t="s">
        <v>7332</v>
      </c>
      <c r="G620" s="6">
        <f t="shared" si="19"/>
        <v>320.11099999999999</v>
      </c>
      <c r="H620" s="7">
        <v>41679</v>
      </c>
      <c r="I620" s="6" t="s">
        <v>178</v>
      </c>
      <c r="J620" s="6" t="s">
        <v>7333</v>
      </c>
      <c r="K620" s="6" t="s">
        <v>21</v>
      </c>
      <c r="L620" s="6">
        <v>11</v>
      </c>
      <c r="M620" s="15" t="s">
        <v>7330</v>
      </c>
      <c r="N620" s="15" t="s">
        <v>42</v>
      </c>
      <c r="O620" s="27" t="s">
        <v>7334</v>
      </c>
    </row>
    <row r="621" spans="1:15" ht="13.5" customHeight="1">
      <c r="A621" s="5" t="s">
        <v>1127</v>
      </c>
      <c r="B621" s="3"/>
      <c r="C621" s="3"/>
      <c r="D621" s="5" t="s">
        <v>1128</v>
      </c>
      <c r="E621" s="5" t="s">
        <v>7026</v>
      </c>
      <c r="F621" s="3" t="s">
        <v>7335</v>
      </c>
      <c r="G621" s="6">
        <f t="shared" si="19"/>
        <v>116.404</v>
      </c>
      <c r="H621" s="7">
        <v>41679</v>
      </c>
      <c r="I621" s="6" t="s">
        <v>178</v>
      </c>
      <c r="J621" s="6" t="s">
        <v>7336</v>
      </c>
      <c r="K621" s="6" t="s">
        <v>21</v>
      </c>
      <c r="L621" s="6">
        <v>4</v>
      </c>
      <c r="M621" s="15" t="s">
        <v>7337</v>
      </c>
      <c r="N621" s="15" t="s">
        <v>46</v>
      </c>
      <c r="O621" s="27" t="s">
        <v>7338</v>
      </c>
    </row>
    <row r="622" spans="1:15" ht="13.5" customHeight="1">
      <c r="A622" s="5" t="s">
        <v>1127</v>
      </c>
      <c r="B622" s="3"/>
      <c r="C622" s="3"/>
      <c r="D622" s="5" t="s">
        <v>1128</v>
      </c>
      <c r="E622" s="5" t="s">
        <v>7026</v>
      </c>
      <c r="F622" s="3" t="s">
        <v>7339</v>
      </c>
      <c r="G622" s="6">
        <f t="shared" si="19"/>
        <v>232.80799999999999</v>
      </c>
      <c r="H622" s="7">
        <v>41679</v>
      </c>
      <c r="I622" s="6" t="s">
        <v>178</v>
      </c>
      <c r="J622" s="6" t="s">
        <v>7340</v>
      </c>
      <c r="K622" s="6" t="s">
        <v>21</v>
      </c>
      <c r="L622" s="6">
        <v>8</v>
      </c>
      <c r="M622" s="15" t="s">
        <v>7341</v>
      </c>
      <c r="N622" s="15" t="s">
        <v>447</v>
      </c>
      <c r="O622" s="27" t="s">
        <v>7342</v>
      </c>
    </row>
    <row r="623" spans="1:15" ht="13.5" customHeight="1">
      <c r="A623" s="5" t="s">
        <v>1127</v>
      </c>
      <c r="B623" s="3"/>
      <c r="C623" s="3"/>
      <c r="D623" s="5" t="s">
        <v>1128</v>
      </c>
      <c r="E623" s="5" t="s">
        <v>7026</v>
      </c>
      <c r="F623" s="3" t="s">
        <v>7343</v>
      </c>
      <c r="G623" s="6">
        <f t="shared" si="19"/>
        <v>232.80799999999999</v>
      </c>
      <c r="H623" s="7">
        <v>41679</v>
      </c>
      <c r="I623" s="6" t="s">
        <v>178</v>
      </c>
      <c r="J623" s="6" t="s">
        <v>7344</v>
      </c>
      <c r="K623" s="6" t="s">
        <v>21</v>
      </c>
      <c r="L623" s="6">
        <v>8</v>
      </c>
      <c r="M623" s="15" t="s">
        <v>7341</v>
      </c>
      <c r="N623" s="15" t="s">
        <v>892</v>
      </c>
      <c r="O623" s="27" t="s">
        <v>7345</v>
      </c>
    </row>
    <row r="624" spans="1:15" s="1" customFormat="1" ht="13.5" customHeight="1">
      <c r="A624" s="5" t="s">
        <v>1127</v>
      </c>
      <c r="B624" s="3"/>
      <c r="C624" s="3"/>
      <c r="D624" s="5" t="s">
        <v>1128</v>
      </c>
      <c r="E624" s="5" t="s">
        <v>7026</v>
      </c>
      <c r="F624" s="3" t="s">
        <v>7346</v>
      </c>
      <c r="G624" s="6">
        <f t="shared" si="19"/>
        <v>261.90899999999999</v>
      </c>
      <c r="H624" s="7">
        <v>41679</v>
      </c>
      <c r="I624" s="6" t="s">
        <v>178</v>
      </c>
      <c r="J624" s="6" t="s">
        <v>7347</v>
      </c>
      <c r="K624" s="6" t="s">
        <v>21</v>
      </c>
      <c r="L624" s="6">
        <v>9</v>
      </c>
      <c r="M624" s="15" t="s">
        <v>7341</v>
      </c>
      <c r="N624" s="15" t="s">
        <v>896</v>
      </c>
      <c r="O624" s="27" t="s">
        <v>7348</v>
      </c>
    </row>
    <row r="625" spans="1:15" s="1" customFormat="1" ht="13.5" customHeight="1">
      <c r="A625" s="3" t="s">
        <v>1187</v>
      </c>
      <c r="B625" s="3"/>
      <c r="C625" s="3"/>
      <c r="D625" s="5" t="s">
        <v>1188</v>
      </c>
      <c r="E625" s="5" t="s">
        <v>124</v>
      </c>
      <c r="F625" s="3" t="s">
        <v>2527</v>
      </c>
      <c r="G625" s="6">
        <f t="shared" si="19"/>
        <v>87.302999999999997</v>
      </c>
      <c r="H625" s="7">
        <v>41681</v>
      </c>
      <c r="I625" s="6" t="s">
        <v>178</v>
      </c>
      <c r="J625" s="6" t="s">
        <v>2528</v>
      </c>
      <c r="K625" s="6" t="s">
        <v>21</v>
      </c>
      <c r="L625" s="6">
        <v>3</v>
      </c>
      <c r="M625" s="15" t="s">
        <v>2529</v>
      </c>
      <c r="N625" s="15" t="s">
        <v>1977</v>
      </c>
      <c r="O625" s="28" t="s">
        <v>2529</v>
      </c>
    </row>
    <row r="626" spans="1:15" ht="13.5" customHeight="1">
      <c r="A626" s="22" t="s">
        <v>2530</v>
      </c>
      <c r="B626" s="3"/>
      <c r="C626" s="3"/>
      <c r="D626" s="5" t="s">
        <v>1188</v>
      </c>
      <c r="E626" s="5" t="s">
        <v>124</v>
      </c>
      <c r="F626" s="3" t="s">
        <v>2531</v>
      </c>
      <c r="G626" s="6">
        <f t="shared" si="19"/>
        <v>87.302999999999997</v>
      </c>
      <c r="H626" s="7">
        <v>41681</v>
      </c>
      <c r="I626" s="6" t="s">
        <v>178</v>
      </c>
      <c r="J626" s="6" t="s">
        <v>2532</v>
      </c>
      <c r="K626" s="6" t="s">
        <v>21</v>
      </c>
      <c r="L626" s="6">
        <v>3</v>
      </c>
      <c r="M626" s="15" t="s">
        <v>2529</v>
      </c>
      <c r="N626" s="15" t="s">
        <v>66</v>
      </c>
      <c r="O626" s="28" t="s">
        <v>2533</v>
      </c>
    </row>
    <row r="627" spans="1:15" s="1" customFormat="1" ht="13.5" customHeight="1">
      <c r="A627" s="3" t="s">
        <v>423</v>
      </c>
      <c r="B627" s="3"/>
      <c r="C627" s="3"/>
      <c r="D627" s="5" t="s">
        <v>191</v>
      </c>
      <c r="E627" s="5" t="s">
        <v>124</v>
      </c>
      <c r="F627" s="3" t="s">
        <v>2534</v>
      </c>
      <c r="G627" s="6">
        <f>18.708*L627</f>
        <v>187.07999999999998</v>
      </c>
      <c r="H627" s="7">
        <v>41681</v>
      </c>
      <c r="I627" s="6" t="s">
        <v>247</v>
      </c>
      <c r="J627" s="6" t="s">
        <v>2535</v>
      </c>
      <c r="K627" s="6" t="s">
        <v>21</v>
      </c>
      <c r="L627" s="6">
        <v>10</v>
      </c>
      <c r="M627" s="15" t="s">
        <v>2536</v>
      </c>
      <c r="N627" s="15" t="s">
        <v>114</v>
      </c>
      <c r="O627" s="28" t="s">
        <v>2536</v>
      </c>
    </row>
    <row r="628" spans="1:15" s="1" customFormat="1" ht="13.5" customHeight="1">
      <c r="A628" s="3" t="s">
        <v>846</v>
      </c>
      <c r="B628" s="3"/>
      <c r="C628" s="3"/>
      <c r="D628" s="5" t="s">
        <v>191</v>
      </c>
      <c r="E628" s="5" t="s">
        <v>124</v>
      </c>
      <c r="F628" s="3" t="s">
        <v>2537</v>
      </c>
      <c r="G628" s="6">
        <f>18.708*L628</f>
        <v>224.49599999999998</v>
      </c>
      <c r="H628" s="7">
        <v>41681</v>
      </c>
      <c r="I628" s="6" t="s">
        <v>247</v>
      </c>
      <c r="J628" s="6" t="s">
        <v>2538</v>
      </c>
      <c r="K628" s="6" t="s">
        <v>21</v>
      </c>
      <c r="L628" s="6">
        <v>12</v>
      </c>
      <c r="M628" s="15" t="s">
        <v>2539</v>
      </c>
      <c r="N628" s="15" t="s">
        <v>164</v>
      </c>
      <c r="O628" s="28" t="s">
        <v>2539</v>
      </c>
    </row>
    <row r="629" spans="1:15" s="1" customFormat="1" ht="13.5" customHeight="1">
      <c r="A629" s="3" t="s">
        <v>846</v>
      </c>
      <c r="B629" s="3"/>
      <c r="C629" s="3"/>
      <c r="D629" s="5" t="s">
        <v>191</v>
      </c>
      <c r="E629" s="5" t="s">
        <v>124</v>
      </c>
      <c r="F629" s="3" t="s">
        <v>2540</v>
      </c>
      <c r="G629" s="6">
        <f>18.708*L629</f>
        <v>243.20399999999998</v>
      </c>
      <c r="H629" s="7">
        <v>41681</v>
      </c>
      <c r="I629" s="6" t="s">
        <v>247</v>
      </c>
      <c r="J629" s="6" t="s">
        <v>2541</v>
      </c>
      <c r="K629" s="6" t="s">
        <v>21</v>
      </c>
      <c r="L629" s="6">
        <v>13</v>
      </c>
      <c r="M629" s="15" t="s">
        <v>2539</v>
      </c>
      <c r="N629" s="15" t="s">
        <v>167</v>
      </c>
      <c r="O629" s="28" t="s">
        <v>2542</v>
      </c>
    </row>
    <row r="630" spans="1:15" s="1" customFormat="1" ht="13.5" customHeight="1">
      <c r="A630" s="3" t="s">
        <v>442</v>
      </c>
      <c r="B630" s="3"/>
      <c r="C630" s="3"/>
      <c r="D630" s="5" t="s">
        <v>443</v>
      </c>
      <c r="E630" s="5" t="s">
        <v>124</v>
      </c>
      <c r="F630" s="3" t="s">
        <v>2543</v>
      </c>
      <c r="G630" s="6">
        <f>18.708*L630</f>
        <v>187.07999999999998</v>
      </c>
      <c r="H630" s="7">
        <v>41681</v>
      </c>
      <c r="I630" s="6" t="s">
        <v>247</v>
      </c>
      <c r="J630" s="6" t="s">
        <v>2544</v>
      </c>
      <c r="K630" s="6" t="s">
        <v>21</v>
      </c>
      <c r="L630" s="6">
        <v>10</v>
      </c>
      <c r="M630" s="15" t="s">
        <v>2545</v>
      </c>
      <c r="N630" s="15" t="s">
        <v>35</v>
      </c>
      <c r="O630" s="28" t="s">
        <v>2545</v>
      </c>
    </row>
    <row r="631" spans="1:15" s="1" customFormat="1" ht="13.5" customHeight="1">
      <c r="A631" s="3" t="s">
        <v>2546</v>
      </c>
      <c r="B631" s="3"/>
      <c r="C631" s="3"/>
      <c r="D631" s="5" t="s">
        <v>482</v>
      </c>
      <c r="E631" s="5" t="s">
        <v>124</v>
      </c>
      <c r="F631" s="3" t="s">
        <v>2547</v>
      </c>
      <c r="G631" s="6">
        <f>17.498*L631</f>
        <v>157.482</v>
      </c>
      <c r="H631" s="7">
        <v>41681</v>
      </c>
      <c r="I631" s="6" t="s">
        <v>265</v>
      </c>
      <c r="J631" s="6" t="s">
        <v>2548</v>
      </c>
      <c r="K631" s="6" t="s">
        <v>21</v>
      </c>
      <c r="L631" s="6">
        <v>9</v>
      </c>
      <c r="M631" s="15" t="s">
        <v>652</v>
      </c>
      <c r="N631" s="15" t="s">
        <v>798</v>
      </c>
      <c r="O631" s="28" t="s">
        <v>2549</v>
      </c>
    </row>
    <row r="632" spans="1:15" s="1" customFormat="1" ht="13.5" customHeight="1">
      <c r="A632" s="3" t="s">
        <v>2546</v>
      </c>
      <c r="B632" s="3"/>
      <c r="C632" s="3"/>
      <c r="D632" s="5" t="s">
        <v>482</v>
      </c>
      <c r="E632" s="5" t="s">
        <v>124</v>
      </c>
      <c r="F632" s="3" t="s">
        <v>2550</v>
      </c>
      <c r="G632" s="6">
        <f>17.498*L632</f>
        <v>174.98000000000002</v>
      </c>
      <c r="H632" s="7">
        <v>41681</v>
      </c>
      <c r="I632" s="6" t="s">
        <v>265</v>
      </c>
      <c r="J632" s="6" t="s">
        <v>2551</v>
      </c>
      <c r="K632" s="6" t="s">
        <v>21</v>
      </c>
      <c r="L632" s="6">
        <v>10</v>
      </c>
      <c r="M632" s="15" t="s">
        <v>652</v>
      </c>
      <c r="N632" s="15" t="s">
        <v>114</v>
      </c>
      <c r="O632" s="28" t="s">
        <v>2552</v>
      </c>
    </row>
    <row r="633" spans="1:15" s="1" customFormat="1" ht="13.5" customHeight="1">
      <c r="A633" s="3" t="s">
        <v>2546</v>
      </c>
      <c r="B633" s="3"/>
      <c r="C633" s="3"/>
      <c r="D633" s="5" t="s">
        <v>482</v>
      </c>
      <c r="E633" s="5" t="s">
        <v>124</v>
      </c>
      <c r="F633" s="3" t="s">
        <v>2553</v>
      </c>
      <c r="G633" s="6">
        <f>17.498*L633</f>
        <v>104.988</v>
      </c>
      <c r="H633" s="7">
        <v>41681</v>
      </c>
      <c r="I633" s="6" t="s">
        <v>265</v>
      </c>
      <c r="J633" s="6" t="s">
        <v>2554</v>
      </c>
      <c r="K633" s="6" t="s">
        <v>21</v>
      </c>
      <c r="L633" s="6">
        <v>6</v>
      </c>
      <c r="M633" s="15" t="s">
        <v>2555</v>
      </c>
      <c r="N633" s="15" t="s">
        <v>2556</v>
      </c>
      <c r="O633" s="28" t="s">
        <v>2555</v>
      </c>
    </row>
    <row r="634" spans="1:15" s="1" customFormat="1" ht="13.5" customHeight="1">
      <c r="A634" s="22" t="s">
        <v>520</v>
      </c>
      <c r="B634" s="3"/>
      <c r="C634" s="3"/>
      <c r="D634" s="21" t="s">
        <v>2030</v>
      </c>
      <c r="E634" s="5" t="s">
        <v>124</v>
      </c>
      <c r="F634" s="3" t="s">
        <v>2557</v>
      </c>
      <c r="G634" s="6">
        <f>14.405*L634</f>
        <v>28.81</v>
      </c>
      <c r="H634" s="7">
        <v>41681</v>
      </c>
      <c r="I634" s="6" t="s">
        <v>265</v>
      </c>
      <c r="J634" s="6" t="s">
        <v>2558</v>
      </c>
      <c r="K634" s="6" t="s">
        <v>21</v>
      </c>
      <c r="L634" s="6">
        <v>2</v>
      </c>
      <c r="M634" s="15" t="s">
        <v>2559</v>
      </c>
      <c r="N634" s="15" t="s">
        <v>268</v>
      </c>
      <c r="O634" s="28" t="s">
        <v>2560</v>
      </c>
    </row>
    <row r="635" spans="1:15" s="1" customFormat="1" ht="13.5" customHeight="1">
      <c r="A635" s="3" t="s">
        <v>460</v>
      </c>
      <c r="B635" s="3"/>
      <c r="C635" s="3"/>
      <c r="D635" s="5" t="s">
        <v>2030</v>
      </c>
      <c r="E635" s="5" t="s">
        <v>124</v>
      </c>
      <c r="F635" s="3" t="s">
        <v>2561</v>
      </c>
      <c r="G635" s="6">
        <f>14.405*L635</f>
        <v>144.04999999999998</v>
      </c>
      <c r="H635" s="7">
        <v>41681</v>
      </c>
      <c r="I635" s="6" t="s">
        <v>265</v>
      </c>
      <c r="J635" s="6" t="s">
        <v>2562</v>
      </c>
      <c r="K635" s="6" t="s">
        <v>21</v>
      </c>
      <c r="L635" s="6">
        <v>10</v>
      </c>
      <c r="M635" s="15" t="s">
        <v>2559</v>
      </c>
      <c r="N635" s="15" t="s">
        <v>2563</v>
      </c>
      <c r="O635" s="28" t="s">
        <v>2559</v>
      </c>
    </row>
    <row r="636" spans="1:15" s="1" customFormat="1" ht="13.5" customHeight="1">
      <c r="A636" s="3" t="s">
        <v>460</v>
      </c>
      <c r="B636" s="3"/>
      <c r="C636" s="3"/>
      <c r="D636" s="5" t="s">
        <v>2030</v>
      </c>
      <c r="E636" s="5" t="s">
        <v>124</v>
      </c>
      <c r="F636" s="3" t="s">
        <v>2564</v>
      </c>
      <c r="G636" s="6">
        <f>14.405*L636</f>
        <v>187.26499999999999</v>
      </c>
      <c r="H636" s="7">
        <v>41681</v>
      </c>
      <c r="I636" s="6" t="s">
        <v>265</v>
      </c>
      <c r="J636" s="6" t="s">
        <v>2565</v>
      </c>
      <c r="K636" s="6" t="s">
        <v>21</v>
      </c>
      <c r="L636" s="6">
        <v>13</v>
      </c>
      <c r="M636" s="15" t="s">
        <v>2559</v>
      </c>
      <c r="N636" s="15" t="s">
        <v>167</v>
      </c>
      <c r="O636" s="28" t="s">
        <v>2566</v>
      </c>
    </row>
    <row r="637" spans="1:15" s="1" customFormat="1" ht="13.5" customHeight="1">
      <c r="A637" s="3" t="s">
        <v>402</v>
      </c>
      <c r="B637" s="3"/>
      <c r="C637" s="3"/>
      <c r="D637" s="5" t="s">
        <v>403</v>
      </c>
      <c r="E637" s="5" t="s">
        <v>124</v>
      </c>
      <c r="F637" s="3" t="s">
        <v>2567</v>
      </c>
      <c r="G637" s="6">
        <f>17.498*L637</f>
        <v>69.992000000000004</v>
      </c>
      <c r="H637" s="7">
        <v>41681</v>
      </c>
      <c r="I637" s="6" t="s">
        <v>471</v>
      </c>
      <c r="J637" s="6" t="s">
        <v>2568</v>
      </c>
      <c r="K637" s="6" t="s">
        <v>21</v>
      </c>
      <c r="L637" s="6">
        <v>4</v>
      </c>
      <c r="M637" s="15" t="s">
        <v>2569</v>
      </c>
      <c r="N637" s="15" t="s">
        <v>46</v>
      </c>
      <c r="O637" s="28" t="s">
        <v>2569</v>
      </c>
    </row>
    <row r="638" spans="1:15" s="1" customFormat="1" ht="13.5" customHeight="1">
      <c r="A638" s="22" t="s">
        <v>2570</v>
      </c>
      <c r="B638" s="3"/>
      <c r="C638" s="3"/>
      <c r="D638" s="5" t="s">
        <v>2571</v>
      </c>
      <c r="E638" s="5" t="s">
        <v>124</v>
      </c>
      <c r="F638" s="3" t="s">
        <v>2572</v>
      </c>
      <c r="G638" s="6">
        <f>17.498*L638</f>
        <v>34.996000000000002</v>
      </c>
      <c r="H638" s="7">
        <v>41681</v>
      </c>
      <c r="I638" s="6" t="s">
        <v>12002</v>
      </c>
      <c r="J638" s="6" t="s">
        <v>2573</v>
      </c>
      <c r="K638" s="6" t="s">
        <v>21</v>
      </c>
      <c r="L638" s="6">
        <v>2</v>
      </c>
      <c r="M638" s="15" t="s">
        <v>2574</v>
      </c>
      <c r="N638" s="15" t="s">
        <v>2575</v>
      </c>
      <c r="O638" s="28" t="s">
        <v>2574</v>
      </c>
    </row>
    <row r="639" spans="1:15" s="1" customFormat="1" ht="13.5" customHeight="1">
      <c r="A639" s="3" t="s">
        <v>1150</v>
      </c>
      <c r="B639" s="3"/>
      <c r="C639" s="3"/>
      <c r="D639" s="5" t="s">
        <v>1151</v>
      </c>
      <c r="E639" s="5" t="s">
        <v>124</v>
      </c>
      <c r="F639" s="3" t="s">
        <v>2576</v>
      </c>
      <c r="G639" s="6">
        <f>17.712*L639</f>
        <v>106.27199999999999</v>
      </c>
      <c r="H639" s="7">
        <v>41681</v>
      </c>
      <c r="I639" s="6" t="s">
        <v>265</v>
      </c>
      <c r="J639" s="6" t="s">
        <v>2577</v>
      </c>
      <c r="K639" s="6" t="s">
        <v>21</v>
      </c>
      <c r="L639" s="6">
        <v>6</v>
      </c>
      <c r="M639" s="15" t="s">
        <v>2578</v>
      </c>
      <c r="N639" s="15" t="s">
        <v>787</v>
      </c>
      <c r="O639" s="28" t="s">
        <v>2578</v>
      </c>
    </row>
    <row r="640" spans="1:15" s="1" customFormat="1" ht="13.5" customHeight="1">
      <c r="A640" s="3" t="s">
        <v>1593</v>
      </c>
      <c r="B640" s="3"/>
      <c r="C640" s="3"/>
      <c r="D640" s="5" t="s">
        <v>1151</v>
      </c>
      <c r="E640" s="5" t="s">
        <v>124</v>
      </c>
      <c r="F640" s="3" t="s">
        <v>2579</v>
      </c>
      <c r="G640" s="6">
        <f>17.712*L640</f>
        <v>230.256</v>
      </c>
      <c r="H640" s="7">
        <v>41681</v>
      </c>
      <c r="I640" s="6" t="s">
        <v>265</v>
      </c>
      <c r="J640" s="6" t="s">
        <v>2580</v>
      </c>
      <c r="K640" s="6" t="s">
        <v>21</v>
      </c>
      <c r="L640" s="6">
        <v>13</v>
      </c>
      <c r="M640" s="15" t="s">
        <v>2578</v>
      </c>
      <c r="N640" s="15" t="s">
        <v>2581</v>
      </c>
      <c r="O640" s="28" t="s">
        <v>2582</v>
      </c>
    </row>
    <row r="641" spans="1:15" s="1" customFormat="1" ht="13.5" customHeight="1">
      <c r="A641" s="3" t="s">
        <v>918</v>
      </c>
      <c r="B641" s="3"/>
      <c r="C641" s="3"/>
      <c r="D641" s="5" t="s">
        <v>919</v>
      </c>
      <c r="E641" s="5" t="s">
        <v>124</v>
      </c>
      <c r="F641" s="3" t="s">
        <v>2583</v>
      </c>
      <c r="G641" s="6">
        <f>17.712*L641</f>
        <v>212.54399999999998</v>
      </c>
      <c r="H641" s="7">
        <v>41681</v>
      </c>
      <c r="I641" s="6" t="s">
        <v>265</v>
      </c>
      <c r="J641" s="6" t="s">
        <v>2584</v>
      </c>
      <c r="K641" s="6" t="s">
        <v>21</v>
      </c>
      <c r="L641" s="6">
        <v>12</v>
      </c>
      <c r="M641" s="15" t="s">
        <v>2585</v>
      </c>
      <c r="N641" s="15" t="s">
        <v>2586</v>
      </c>
      <c r="O641" s="28" t="s">
        <v>2585</v>
      </c>
    </row>
    <row r="642" spans="1:15" s="1" customFormat="1" ht="13.5" customHeight="1">
      <c r="A642" s="3" t="s">
        <v>747</v>
      </c>
      <c r="B642" s="3"/>
      <c r="C642" s="3"/>
      <c r="D642" s="5" t="s">
        <v>748</v>
      </c>
      <c r="E642" s="5" t="s">
        <v>124</v>
      </c>
      <c r="F642" s="3" t="s">
        <v>2587</v>
      </c>
      <c r="G642" s="6">
        <v>19.507999999999999</v>
      </c>
      <c r="H642" s="7">
        <v>41681</v>
      </c>
      <c r="I642" s="6" t="s">
        <v>265</v>
      </c>
      <c r="J642" s="6" t="s">
        <v>2588</v>
      </c>
      <c r="K642" s="6" t="s">
        <v>21</v>
      </c>
      <c r="L642" s="6">
        <v>1</v>
      </c>
      <c r="M642" s="15" t="s">
        <v>751</v>
      </c>
      <c r="N642" s="15" t="s">
        <v>39</v>
      </c>
      <c r="O642" s="28" t="s">
        <v>2589</v>
      </c>
    </row>
    <row r="643" spans="1:15" s="1" customFormat="1" ht="13.5" customHeight="1">
      <c r="A643" s="3" t="s">
        <v>825</v>
      </c>
      <c r="B643" s="3"/>
      <c r="C643" s="3"/>
      <c r="D643" s="5" t="s">
        <v>826</v>
      </c>
      <c r="E643" s="5" t="s">
        <v>124</v>
      </c>
      <c r="F643" s="3" t="s">
        <v>2590</v>
      </c>
      <c r="G643" s="6">
        <v>138.988</v>
      </c>
      <c r="H643" s="7">
        <v>41681</v>
      </c>
      <c r="I643" s="6" t="s">
        <v>209</v>
      </c>
      <c r="J643" s="6" t="s">
        <v>2591</v>
      </c>
      <c r="K643" s="6" t="s">
        <v>128</v>
      </c>
      <c r="L643" s="6" t="s">
        <v>386</v>
      </c>
      <c r="M643" s="15" t="s">
        <v>2592</v>
      </c>
      <c r="N643" s="15" t="s">
        <v>2593</v>
      </c>
      <c r="O643" s="28" t="s">
        <v>2594</v>
      </c>
    </row>
    <row r="644" spans="1:15" s="1" customFormat="1" ht="13.5" customHeight="1">
      <c r="A644" s="3" t="s">
        <v>825</v>
      </c>
      <c r="B644" s="3"/>
      <c r="C644" s="3"/>
      <c r="D644" s="5" t="s">
        <v>826</v>
      </c>
      <c r="E644" s="5" t="s">
        <v>124</v>
      </c>
      <c r="F644" s="3" t="s">
        <v>2595</v>
      </c>
      <c r="G644" s="6">
        <v>184.06399999999999</v>
      </c>
      <c r="H644" s="7">
        <v>41681</v>
      </c>
      <c r="I644" s="6" t="s">
        <v>209</v>
      </c>
      <c r="J644" s="6" t="s">
        <v>2596</v>
      </c>
      <c r="K644" s="6" t="s">
        <v>128</v>
      </c>
      <c r="L644" s="6" t="s">
        <v>2597</v>
      </c>
      <c r="M644" s="15" t="s">
        <v>2598</v>
      </c>
      <c r="N644" s="15" t="s">
        <v>2599</v>
      </c>
      <c r="O644" s="28" t="s">
        <v>2600</v>
      </c>
    </row>
    <row r="645" spans="1:15" s="1" customFormat="1" ht="13.5" customHeight="1">
      <c r="A645" s="3" t="s">
        <v>1626</v>
      </c>
      <c r="B645" s="3"/>
      <c r="C645" s="3"/>
      <c r="D645" s="5" t="s">
        <v>1627</v>
      </c>
      <c r="E645" s="5" t="s">
        <v>124</v>
      </c>
      <c r="F645" s="3" t="s">
        <v>2601</v>
      </c>
      <c r="G645" s="6">
        <v>51.195</v>
      </c>
      <c r="H645" s="7">
        <v>41681</v>
      </c>
      <c r="I645" s="6" t="s">
        <v>209</v>
      </c>
      <c r="J645" s="6" t="s">
        <v>2602</v>
      </c>
      <c r="K645" s="6" t="s">
        <v>128</v>
      </c>
      <c r="L645" s="6" t="s">
        <v>2068</v>
      </c>
      <c r="M645" s="15" t="s">
        <v>2603</v>
      </c>
      <c r="N645" s="15" t="s">
        <v>2604</v>
      </c>
      <c r="O645" s="28" t="s">
        <v>2605</v>
      </c>
    </row>
    <row r="646" spans="1:15" s="1" customFormat="1" ht="13.5" customHeight="1">
      <c r="A646" s="3" t="s">
        <v>1534</v>
      </c>
      <c r="B646" s="3"/>
      <c r="C646" s="3"/>
      <c r="D646" s="5" t="s">
        <v>2128</v>
      </c>
      <c r="E646" s="5" t="s">
        <v>124</v>
      </c>
      <c r="F646" s="3" t="s">
        <v>2606</v>
      </c>
      <c r="G646" s="6">
        <v>291.74</v>
      </c>
      <c r="H646" s="7">
        <v>41681</v>
      </c>
      <c r="I646" s="6" t="s">
        <v>209</v>
      </c>
      <c r="J646" s="6" t="s">
        <v>2607</v>
      </c>
      <c r="K646" s="6" t="s">
        <v>128</v>
      </c>
      <c r="L646" s="6" t="s">
        <v>2319</v>
      </c>
      <c r="M646" s="15" t="s">
        <v>2608</v>
      </c>
      <c r="N646" s="15" t="s">
        <v>2326</v>
      </c>
      <c r="O646" s="28" t="s">
        <v>2609</v>
      </c>
    </row>
    <row r="647" spans="1:15" ht="13.5" customHeight="1">
      <c r="A647" s="3" t="s">
        <v>1349</v>
      </c>
      <c r="B647" s="3"/>
      <c r="C647" s="3"/>
      <c r="D647" s="5" t="s">
        <v>2117</v>
      </c>
      <c r="E647" s="5" t="s">
        <v>124</v>
      </c>
      <c r="F647" s="3" t="s">
        <v>2610</v>
      </c>
      <c r="G647" s="6">
        <v>139.714</v>
      </c>
      <c r="H647" s="7">
        <v>41681</v>
      </c>
      <c r="I647" s="6" t="s">
        <v>178</v>
      </c>
      <c r="J647" s="6" t="s">
        <v>2611</v>
      </c>
      <c r="K647" s="6" t="s">
        <v>128</v>
      </c>
      <c r="L647" s="6" t="s">
        <v>2183</v>
      </c>
      <c r="M647" s="15" t="s">
        <v>2612</v>
      </c>
      <c r="N647" s="15" t="s">
        <v>2613</v>
      </c>
      <c r="O647" s="28" t="s">
        <v>2614</v>
      </c>
    </row>
    <row r="648" spans="1:15" ht="13.5" customHeight="1">
      <c r="A648" s="3" t="s">
        <v>1349</v>
      </c>
      <c r="B648" s="3"/>
      <c r="C648" s="3"/>
      <c r="D648" s="5" t="s">
        <v>2117</v>
      </c>
      <c r="E648" s="5" t="s">
        <v>124</v>
      </c>
      <c r="F648" s="3" t="s">
        <v>2615</v>
      </c>
      <c r="G648" s="6">
        <v>232.923</v>
      </c>
      <c r="H648" s="7">
        <v>41681</v>
      </c>
      <c r="I648" s="6" t="s">
        <v>178</v>
      </c>
      <c r="J648" s="6" t="s">
        <v>2616</v>
      </c>
      <c r="K648" s="6" t="s">
        <v>128</v>
      </c>
      <c r="L648" s="6" t="s">
        <v>1226</v>
      </c>
      <c r="M648" s="15" t="s">
        <v>2617</v>
      </c>
      <c r="N648" s="15" t="s">
        <v>2618</v>
      </c>
      <c r="O648" s="28" t="s">
        <v>2619</v>
      </c>
    </row>
    <row r="649" spans="1:15" s="1" customFormat="1" ht="13.5" customHeight="1">
      <c r="A649" s="3" t="s">
        <v>1349</v>
      </c>
      <c r="B649" s="3"/>
      <c r="C649" s="3"/>
      <c r="D649" s="5" t="s">
        <v>2117</v>
      </c>
      <c r="E649" s="5" t="s">
        <v>124</v>
      </c>
      <c r="F649" s="3" t="s">
        <v>2620</v>
      </c>
      <c r="G649" s="6">
        <v>232.643</v>
      </c>
      <c r="H649" s="7">
        <v>41681</v>
      </c>
      <c r="I649" s="6" t="s">
        <v>178</v>
      </c>
      <c r="J649" s="6" t="s">
        <v>2621</v>
      </c>
      <c r="K649" s="6" t="s">
        <v>128</v>
      </c>
      <c r="L649" s="6" t="s">
        <v>1226</v>
      </c>
      <c r="M649" s="15" t="s">
        <v>2622</v>
      </c>
      <c r="N649" s="15" t="s">
        <v>2623</v>
      </c>
      <c r="O649" s="28" t="s">
        <v>2624</v>
      </c>
    </row>
    <row r="650" spans="1:15" ht="13.5" customHeight="1">
      <c r="A650" s="3" t="s">
        <v>1216</v>
      </c>
      <c r="B650" s="3"/>
      <c r="C650" s="3"/>
      <c r="D650" s="5" t="s">
        <v>2117</v>
      </c>
      <c r="E650" s="5" t="s">
        <v>124</v>
      </c>
      <c r="F650" s="3" t="s">
        <v>2625</v>
      </c>
      <c r="G650" s="6">
        <v>262.56599999999997</v>
      </c>
      <c r="H650" s="7">
        <v>41681</v>
      </c>
      <c r="I650" s="6" t="s">
        <v>209</v>
      </c>
      <c r="J650" s="6" t="s">
        <v>2626</v>
      </c>
      <c r="K650" s="6" t="s">
        <v>128</v>
      </c>
      <c r="L650" s="6" t="s">
        <v>1891</v>
      </c>
      <c r="M650" s="15" t="s">
        <v>2627</v>
      </c>
      <c r="N650" s="15" t="s">
        <v>2628</v>
      </c>
      <c r="O650" s="28" t="s">
        <v>2629</v>
      </c>
    </row>
    <row r="651" spans="1:15" ht="13.5" customHeight="1">
      <c r="A651" s="3" t="s">
        <v>1216</v>
      </c>
      <c r="B651" s="3"/>
      <c r="C651" s="3"/>
      <c r="D651" s="5" t="s">
        <v>2117</v>
      </c>
      <c r="E651" s="5" t="s">
        <v>124</v>
      </c>
      <c r="F651" s="3" t="s">
        <v>2630</v>
      </c>
      <c r="G651" s="6">
        <v>232.22800000000001</v>
      </c>
      <c r="H651" s="7">
        <v>41681</v>
      </c>
      <c r="I651" s="6" t="s">
        <v>209</v>
      </c>
      <c r="J651" s="6" t="s">
        <v>2631</v>
      </c>
      <c r="K651" s="6" t="s">
        <v>128</v>
      </c>
      <c r="L651" s="6" t="s">
        <v>1226</v>
      </c>
      <c r="M651" s="15" t="s">
        <v>2632</v>
      </c>
      <c r="N651" s="15" t="s">
        <v>2633</v>
      </c>
      <c r="O651" s="28" t="s">
        <v>2634</v>
      </c>
    </row>
    <row r="652" spans="1:15" s="1" customFormat="1" ht="13.5" customHeight="1">
      <c r="A652" s="5" t="s">
        <v>14</v>
      </c>
      <c r="B652" s="3"/>
      <c r="C652" s="3"/>
      <c r="D652" s="5" t="s">
        <v>16</v>
      </c>
      <c r="E652" s="5" t="s">
        <v>17</v>
      </c>
      <c r="F652" s="3" t="s">
        <v>32</v>
      </c>
      <c r="G652" s="6">
        <f>7.451*L652</f>
        <v>74.509999999999991</v>
      </c>
      <c r="H652" s="7">
        <v>41682</v>
      </c>
      <c r="I652" s="6" t="s">
        <v>19</v>
      </c>
      <c r="J652" s="6" t="s">
        <v>33</v>
      </c>
      <c r="K652" s="6" t="s">
        <v>21</v>
      </c>
      <c r="L652" s="6">
        <v>10</v>
      </c>
      <c r="M652" s="15" t="s">
        <v>34</v>
      </c>
      <c r="N652" s="15" t="s">
        <v>35</v>
      </c>
      <c r="O652" s="27"/>
    </row>
    <row r="653" spans="1:15" s="1" customFormat="1" ht="13.5" customHeight="1">
      <c r="A653" s="5" t="s">
        <v>25</v>
      </c>
      <c r="B653" s="3"/>
      <c r="C653" s="3"/>
      <c r="D653" s="5" t="s">
        <v>26</v>
      </c>
      <c r="E653" s="5" t="s">
        <v>17</v>
      </c>
      <c r="F653" s="3" t="s">
        <v>36</v>
      </c>
      <c r="G653" s="6">
        <f>8.063*L653</f>
        <v>8.0630000000000006</v>
      </c>
      <c r="H653" s="7">
        <v>41682</v>
      </c>
      <c r="I653" s="6" t="s">
        <v>28</v>
      </c>
      <c r="J653" s="6" t="s">
        <v>37</v>
      </c>
      <c r="K653" s="6" t="s">
        <v>21</v>
      </c>
      <c r="L653" s="6">
        <v>1</v>
      </c>
      <c r="M653" s="15" t="s">
        <v>38</v>
      </c>
      <c r="N653" s="15" t="s">
        <v>39</v>
      </c>
      <c r="O653" s="27"/>
    </row>
    <row r="654" spans="1:15" ht="13.5" customHeight="1">
      <c r="A654" s="3" t="s">
        <v>282</v>
      </c>
      <c r="B654" s="4" t="s">
        <v>283</v>
      </c>
      <c r="C654" s="3"/>
      <c r="D654" s="5" t="s">
        <v>284</v>
      </c>
      <c r="E654" s="5" t="s">
        <v>124</v>
      </c>
      <c r="F654" s="3" t="s">
        <v>2635</v>
      </c>
      <c r="G654" s="6">
        <f>14.924*L654</f>
        <v>179.08799999999999</v>
      </c>
      <c r="H654" s="7">
        <v>41682</v>
      </c>
      <c r="I654" s="6" t="s">
        <v>286</v>
      </c>
      <c r="J654" s="6" t="s">
        <v>2636</v>
      </c>
      <c r="K654" s="6" t="s">
        <v>21</v>
      </c>
      <c r="L654" s="6">
        <v>12</v>
      </c>
      <c r="M654" s="15" t="s">
        <v>2637</v>
      </c>
      <c r="N654" s="15" t="s">
        <v>164</v>
      </c>
      <c r="O654" s="28" t="s">
        <v>2637</v>
      </c>
    </row>
    <row r="655" spans="1:15" ht="13.5" customHeight="1">
      <c r="A655" s="3" t="s">
        <v>282</v>
      </c>
      <c r="B655" s="4" t="s">
        <v>283</v>
      </c>
      <c r="C655" s="3"/>
      <c r="D655" s="5" t="s">
        <v>284</v>
      </c>
      <c r="E655" s="5" t="s">
        <v>124</v>
      </c>
      <c r="F655" s="3" t="s">
        <v>2638</v>
      </c>
      <c r="G655" s="6">
        <f>14.924*L655</f>
        <v>194.012</v>
      </c>
      <c r="H655" s="7">
        <v>41682</v>
      </c>
      <c r="I655" s="6" t="s">
        <v>286</v>
      </c>
      <c r="J655" s="6" t="s">
        <v>2639</v>
      </c>
      <c r="K655" s="6" t="s">
        <v>21</v>
      </c>
      <c r="L655" s="6">
        <v>13</v>
      </c>
      <c r="M655" s="15" t="s">
        <v>2637</v>
      </c>
      <c r="N655" s="15" t="s">
        <v>167</v>
      </c>
      <c r="O655" s="28" t="s">
        <v>2640</v>
      </c>
    </row>
    <row r="656" spans="1:15" s="1" customFormat="1" ht="13.5" customHeight="1">
      <c r="A656" s="3" t="s">
        <v>1285</v>
      </c>
      <c r="B656" s="4" t="s">
        <v>283</v>
      </c>
      <c r="C656" s="3"/>
      <c r="D656" s="5" t="s">
        <v>1287</v>
      </c>
      <c r="E656" s="5" t="s">
        <v>124</v>
      </c>
      <c r="F656" s="3" t="s">
        <v>2641</v>
      </c>
      <c r="G656" s="6">
        <f>8.606*L656</f>
        <v>103.27199999999999</v>
      </c>
      <c r="H656" s="7">
        <v>41682</v>
      </c>
      <c r="I656" s="6" t="s">
        <v>272</v>
      </c>
      <c r="J656" s="6" t="s">
        <v>2642</v>
      </c>
      <c r="K656" s="6" t="s">
        <v>21</v>
      </c>
      <c r="L656" s="6">
        <v>12</v>
      </c>
      <c r="M656" s="15" t="s">
        <v>2643</v>
      </c>
      <c r="N656" s="15" t="s">
        <v>164</v>
      </c>
      <c r="O656" s="27" t="s">
        <v>2643</v>
      </c>
    </row>
    <row r="657" spans="1:15" s="1" customFormat="1" ht="13.5" customHeight="1">
      <c r="A657" s="3" t="s">
        <v>1285</v>
      </c>
      <c r="B657" s="4" t="s">
        <v>283</v>
      </c>
      <c r="C657" s="3"/>
      <c r="D657" s="5" t="s">
        <v>1287</v>
      </c>
      <c r="E657" s="5" t="s">
        <v>124</v>
      </c>
      <c r="F657" s="3" t="s">
        <v>2644</v>
      </c>
      <c r="G657" s="6">
        <f>8.606*L657</f>
        <v>111.878</v>
      </c>
      <c r="H657" s="7">
        <v>41682</v>
      </c>
      <c r="I657" s="6" t="s">
        <v>272</v>
      </c>
      <c r="J657" s="6" t="s">
        <v>2645</v>
      </c>
      <c r="K657" s="6" t="s">
        <v>21</v>
      </c>
      <c r="L657" s="6">
        <v>13</v>
      </c>
      <c r="M657" s="15" t="s">
        <v>2643</v>
      </c>
      <c r="N657" s="15" t="s">
        <v>167</v>
      </c>
      <c r="O657" s="27" t="s">
        <v>2646</v>
      </c>
    </row>
    <row r="658" spans="1:15" s="1" customFormat="1" ht="13.5" customHeight="1">
      <c r="A658" s="3" t="s">
        <v>416</v>
      </c>
      <c r="B658" s="3"/>
      <c r="C658" s="3"/>
      <c r="D658" s="5" t="s">
        <v>417</v>
      </c>
      <c r="E658" s="5" t="s">
        <v>124</v>
      </c>
      <c r="F658" s="3" t="s">
        <v>2647</v>
      </c>
      <c r="G658" s="6">
        <f>29.101*L658</f>
        <v>58.201999999999998</v>
      </c>
      <c r="H658" s="7">
        <v>41682</v>
      </c>
      <c r="I658" s="6" t="s">
        <v>419</v>
      </c>
      <c r="J658" s="6" t="s">
        <v>2648</v>
      </c>
      <c r="K658" s="6" t="s">
        <v>21</v>
      </c>
      <c r="L658" s="6">
        <v>2</v>
      </c>
      <c r="M658" s="15" t="s">
        <v>2649</v>
      </c>
      <c r="N658" s="15" t="s">
        <v>534</v>
      </c>
      <c r="O658" s="28" t="s">
        <v>2649</v>
      </c>
    </row>
    <row r="659" spans="1:15" s="1" customFormat="1" ht="13.5" customHeight="1">
      <c r="A659" s="3" t="s">
        <v>494</v>
      </c>
      <c r="B659" s="3"/>
      <c r="C659" s="3"/>
      <c r="D659" s="5" t="s">
        <v>495</v>
      </c>
      <c r="E659" s="5" t="s">
        <v>124</v>
      </c>
      <c r="F659" s="3" t="s">
        <v>2650</v>
      </c>
      <c r="G659" s="6">
        <f>12.838*L659</f>
        <v>64.19</v>
      </c>
      <c r="H659" s="7">
        <v>41682</v>
      </c>
      <c r="I659" s="6" t="s">
        <v>471</v>
      </c>
      <c r="J659" s="6" t="s">
        <v>2651</v>
      </c>
      <c r="K659" s="6" t="s">
        <v>21</v>
      </c>
      <c r="L659" s="6">
        <v>5</v>
      </c>
      <c r="M659" s="15" t="s">
        <v>498</v>
      </c>
      <c r="N659" s="15" t="s">
        <v>1284</v>
      </c>
      <c r="O659" s="28" t="s">
        <v>2652</v>
      </c>
    </row>
    <row r="660" spans="1:15" s="1" customFormat="1" ht="13.5" customHeight="1">
      <c r="A660" s="3" t="s">
        <v>1349</v>
      </c>
      <c r="B660" s="3"/>
      <c r="C660" s="3"/>
      <c r="D660" s="5" t="s">
        <v>2117</v>
      </c>
      <c r="E660" s="5" t="s">
        <v>124</v>
      </c>
      <c r="F660" s="3" t="s">
        <v>2653</v>
      </c>
      <c r="G660" s="6">
        <v>231.57400000000001</v>
      </c>
      <c r="H660" s="7">
        <v>41682</v>
      </c>
      <c r="I660" s="6" t="s">
        <v>178</v>
      </c>
      <c r="J660" s="6" t="s">
        <v>2654</v>
      </c>
      <c r="K660" s="6" t="s">
        <v>128</v>
      </c>
      <c r="L660" s="6" t="s">
        <v>1226</v>
      </c>
      <c r="M660" s="15" t="s">
        <v>2655</v>
      </c>
      <c r="N660" s="15" t="s">
        <v>2656</v>
      </c>
      <c r="O660" s="28" t="s">
        <v>2657</v>
      </c>
    </row>
    <row r="661" spans="1:15" ht="13.5" customHeight="1">
      <c r="A661" s="3" t="s">
        <v>1349</v>
      </c>
      <c r="B661" s="3"/>
      <c r="C661" s="3"/>
      <c r="D661" s="5" t="s">
        <v>2117</v>
      </c>
      <c r="E661" s="5" t="s">
        <v>124</v>
      </c>
      <c r="F661" s="3" t="s">
        <v>2658</v>
      </c>
      <c r="G661" s="6">
        <v>138.96100000000001</v>
      </c>
      <c r="H661" s="7">
        <v>41682</v>
      </c>
      <c r="I661" s="6" t="s">
        <v>178</v>
      </c>
      <c r="J661" s="6" t="s">
        <v>2659</v>
      </c>
      <c r="K661" s="6" t="s">
        <v>128</v>
      </c>
      <c r="L661" s="6" t="s">
        <v>2183</v>
      </c>
      <c r="M661" s="15" t="s">
        <v>2660</v>
      </c>
      <c r="N661" s="15" t="s">
        <v>2661</v>
      </c>
      <c r="O661" s="28" t="s">
        <v>2662</v>
      </c>
    </row>
    <row r="662" spans="1:15" s="1" customFormat="1" ht="13.5" customHeight="1">
      <c r="A662" s="3" t="s">
        <v>1534</v>
      </c>
      <c r="B662" s="3"/>
      <c r="C662" s="3"/>
      <c r="D662" s="5" t="s">
        <v>2128</v>
      </c>
      <c r="E662" s="5" t="s">
        <v>124</v>
      </c>
      <c r="F662" s="3" t="s">
        <v>2663</v>
      </c>
      <c r="G662" s="6">
        <v>288.03699999999998</v>
      </c>
      <c r="H662" s="7">
        <v>41682</v>
      </c>
      <c r="I662" s="6" t="s">
        <v>209</v>
      </c>
      <c r="J662" s="6" t="s">
        <v>2664</v>
      </c>
      <c r="K662" s="6" t="s">
        <v>128</v>
      </c>
      <c r="L662" s="6" t="s">
        <v>2319</v>
      </c>
      <c r="M662" s="15" t="s">
        <v>2665</v>
      </c>
      <c r="N662" s="15" t="s">
        <v>2321</v>
      </c>
      <c r="O662" s="28" t="s">
        <v>2666</v>
      </c>
    </row>
    <row r="663" spans="1:15" s="1" customFormat="1" ht="13.5" customHeight="1">
      <c r="A663" s="3" t="s">
        <v>1072</v>
      </c>
      <c r="B663" s="4" t="s">
        <v>2667</v>
      </c>
      <c r="C663" s="3"/>
      <c r="D663" s="5"/>
      <c r="E663" s="5" t="s">
        <v>124</v>
      </c>
      <c r="F663" s="3" t="s">
        <v>2668</v>
      </c>
      <c r="G663" s="6">
        <v>39</v>
      </c>
      <c r="H663" s="7">
        <v>41682</v>
      </c>
      <c r="I663" s="6"/>
      <c r="J663" s="6"/>
      <c r="K663" s="6"/>
      <c r="L663" s="6"/>
      <c r="M663" s="15"/>
      <c r="N663" s="15"/>
      <c r="O663" s="27" t="s">
        <v>2669</v>
      </c>
    </row>
    <row r="664" spans="1:15" ht="13.5" customHeight="1">
      <c r="A664" s="3" t="s">
        <v>716</v>
      </c>
      <c r="B664" s="3" t="s">
        <v>2670</v>
      </c>
      <c r="C664" s="3"/>
      <c r="D664" s="5"/>
      <c r="E664" s="5" t="s">
        <v>124</v>
      </c>
      <c r="F664" s="3" t="s">
        <v>2671</v>
      </c>
      <c r="G664" s="6">
        <v>75</v>
      </c>
      <c r="H664" s="7">
        <v>41682</v>
      </c>
      <c r="I664" s="6"/>
      <c r="J664" s="6"/>
      <c r="K664" s="6"/>
      <c r="L664" s="6"/>
      <c r="M664" s="15"/>
      <c r="N664" s="15"/>
      <c r="O664" s="27" t="s">
        <v>1620</v>
      </c>
    </row>
    <row r="665" spans="1:15" s="1" customFormat="1" ht="13.5" customHeight="1">
      <c r="A665" s="5" t="s">
        <v>1259</v>
      </c>
      <c r="B665" s="3"/>
      <c r="C665" s="3"/>
      <c r="D665" s="5" t="s">
        <v>170</v>
      </c>
      <c r="E665" s="5" t="s">
        <v>7026</v>
      </c>
      <c r="F665" s="3" t="s">
        <v>7349</v>
      </c>
      <c r="G665" s="6">
        <f>17.498*L665</f>
        <v>69.992000000000004</v>
      </c>
      <c r="H665" s="7">
        <v>41682</v>
      </c>
      <c r="I665" s="6" t="s">
        <v>265</v>
      </c>
      <c r="J665" s="6" t="s">
        <v>7350</v>
      </c>
      <c r="K665" s="6" t="s">
        <v>21</v>
      </c>
      <c r="L665" s="6">
        <v>4</v>
      </c>
      <c r="M665" s="15" t="s">
        <v>7306</v>
      </c>
      <c r="N665" s="15" t="s">
        <v>7351</v>
      </c>
      <c r="O665" s="28" t="s">
        <v>7352</v>
      </c>
    </row>
    <row r="666" spans="1:15" ht="13.5" customHeight="1">
      <c r="A666" s="5" t="s">
        <v>169</v>
      </c>
      <c r="B666" s="3"/>
      <c r="C666" s="3"/>
      <c r="D666" s="5" t="s">
        <v>170</v>
      </c>
      <c r="E666" s="5" t="s">
        <v>7026</v>
      </c>
      <c r="F666" s="3" t="s">
        <v>7353</v>
      </c>
      <c r="G666" s="6">
        <f>17.498*L666</f>
        <v>209.976</v>
      </c>
      <c r="H666" s="7">
        <v>41682</v>
      </c>
      <c r="I666" s="6" t="s">
        <v>265</v>
      </c>
      <c r="J666" s="6" t="s">
        <v>7354</v>
      </c>
      <c r="K666" s="6" t="s">
        <v>21</v>
      </c>
      <c r="L666" s="6">
        <v>12</v>
      </c>
      <c r="M666" s="15" t="s">
        <v>7306</v>
      </c>
      <c r="N666" s="15" t="s">
        <v>1211</v>
      </c>
      <c r="O666" s="28" t="s">
        <v>7355</v>
      </c>
    </row>
    <row r="667" spans="1:15" ht="13.5" customHeight="1">
      <c r="A667" s="5" t="s">
        <v>7064</v>
      </c>
      <c r="B667" s="3"/>
      <c r="C667" s="3"/>
      <c r="D667" s="5" t="s">
        <v>7025</v>
      </c>
      <c r="E667" s="5" t="s">
        <v>7026</v>
      </c>
      <c r="F667" s="3" t="s">
        <v>7356</v>
      </c>
      <c r="G667" s="6">
        <f>17.498*L667</f>
        <v>104.988</v>
      </c>
      <c r="H667" s="7">
        <v>41682</v>
      </c>
      <c r="I667" s="6" t="s">
        <v>265</v>
      </c>
      <c r="J667" s="6" t="s">
        <v>7357</v>
      </c>
      <c r="K667" s="6" t="s">
        <v>21</v>
      </c>
      <c r="L667" s="6">
        <v>6</v>
      </c>
      <c r="M667" s="15" t="s">
        <v>7358</v>
      </c>
      <c r="N667" s="15" t="s">
        <v>787</v>
      </c>
      <c r="O667" s="28" t="s">
        <v>7359</v>
      </c>
    </row>
    <row r="668" spans="1:15" s="1" customFormat="1" ht="13.5" customHeight="1">
      <c r="A668" s="5" t="s">
        <v>1127</v>
      </c>
      <c r="B668" s="3"/>
      <c r="C668" s="3"/>
      <c r="D668" s="5" t="s">
        <v>1128</v>
      </c>
      <c r="E668" s="5" t="s">
        <v>7026</v>
      </c>
      <c r="F668" s="3" t="s">
        <v>7360</v>
      </c>
      <c r="G668" s="6">
        <f>29.101*L668</f>
        <v>232.80799999999999</v>
      </c>
      <c r="H668" s="7">
        <v>41682</v>
      </c>
      <c r="I668" s="6" t="s">
        <v>178</v>
      </c>
      <c r="J668" s="6" t="s">
        <v>7361</v>
      </c>
      <c r="K668" s="6" t="s">
        <v>21</v>
      </c>
      <c r="L668" s="6">
        <v>8</v>
      </c>
      <c r="M668" s="15" t="s">
        <v>7362</v>
      </c>
      <c r="N668" s="15" t="s">
        <v>447</v>
      </c>
      <c r="O668" s="28" t="s">
        <v>7363</v>
      </c>
    </row>
    <row r="669" spans="1:15" ht="13.5" customHeight="1">
      <c r="A669" s="5" t="s">
        <v>1127</v>
      </c>
      <c r="B669" s="3"/>
      <c r="C669" s="3"/>
      <c r="D669" s="5" t="s">
        <v>1128</v>
      </c>
      <c r="E669" s="5" t="s">
        <v>7026</v>
      </c>
      <c r="F669" s="3" t="s">
        <v>7364</v>
      </c>
      <c r="G669" s="6">
        <f>29.101*L669</f>
        <v>232.80799999999999</v>
      </c>
      <c r="H669" s="7">
        <v>41682</v>
      </c>
      <c r="I669" s="6" t="s">
        <v>178</v>
      </c>
      <c r="J669" s="6" t="s">
        <v>7365</v>
      </c>
      <c r="K669" s="6" t="s">
        <v>21</v>
      </c>
      <c r="L669" s="6">
        <v>8</v>
      </c>
      <c r="M669" s="15" t="s">
        <v>7362</v>
      </c>
      <c r="N669" s="15" t="s">
        <v>892</v>
      </c>
      <c r="O669" s="28" t="s">
        <v>7366</v>
      </c>
    </row>
    <row r="670" spans="1:15" ht="13.5" customHeight="1">
      <c r="A670" s="5" t="s">
        <v>1127</v>
      </c>
      <c r="B670" s="3"/>
      <c r="C670" s="3"/>
      <c r="D670" s="5" t="s">
        <v>1128</v>
      </c>
      <c r="E670" s="5" t="s">
        <v>7026</v>
      </c>
      <c r="F670" s="3" t="s">
        <v>7367</v>
      </c>
      <c r="G670" s="6">
        <f>29.101*L670</f>
        <v>261.90899999999999</v>
      </c>
      <c r="H670" s="7">
        <v>41682</v>
      </c>
      <c r="I670" s="6" t="s">
        <v>178</v>
      </c>
      <c r="J670" s="6" t="s">
        <v>7368</v>
      </c>
      <c r="K670" s="6" t="s">
        <v>21</v>
      </c>
      <c r="L670" s="6">
        <v>9</v>
      </c>
      <c r="M670" s="15" t="s">
        <v>7362</v>
      </c>
      <c r="N670" s="15" t="s">
        <v>896</v>
      </c>
      <c r="O670" s="28" t="s">
        <v>7369</v>
      </c>
    </row>
    <row r="671" spans="1:15" s="1" customFormat="1" ht="13.5" customHeight="1">
      <c r="A671" s="3" t="s">
        <v>1108</v>
      </c>
      <c r="B671" s="3"/>
      <c r="C671" s="3"/>
      <c r="D671" s="5" t="s">
        <v>391</v>
      </c>
      <c r="E671" s="5" t="s">
        <v>124</v>
      </c>
      <c r="F671" s="3" t="s">
        <v>2672</v>
      </c>
      <c r="G671" s="6">
        <f>17.712*L671</f>
        <v>212.54399999999998</v>
      </c>
      <c r="H671" s="7">
        <v>41683</v>
      </c>
      <c r="I671" s="6" t="s">
        <v>265</v>
      </c>
      <c r="J671" s="6" t="s">
        <v>2673</v>
      </c>
      <c r="K671" s="6" t="s">
        <v>21</v>
      </c>
      <c r="L671" s="6">
        <v>12</v>
      </c>
      <c r="M671" s="15" t="s">
        <v>2674</v>
      </c>
      <c r="N671" s="15" t="s">
        <v>164</v>
      </c>
      <c r="O671" s="28" t="s">
        <v>2674</v>
      </c>
    </row>
    <row r="672" spans="1:15" s="1" customFormat="1" ht="13.5" customHeight="1">
      <c r="A672" s="3" t="s">
        <v>1108</v>
      </c>
      <c r="B672" s="3"/>
      <c r="C672" s="3"/>
      <c r="D672" s="5" t="s">
        <v>391</v>
      </c>
      <c r="E672" s="5" t="s">
        <v>124</v>
      </c>
      <c r="F672" s="3" t="s">
        <v>2675</v>
      </c>
      <c r="G672" s="6">
        <f>17.712*L672</f>
        <v>230.256</v>
      </c>
      <c r="H672" s="7">
        <v>41683</v>
      </c>
      <c r="I672" s="6" t="s">
        <v>265</v>
      </c>
      <c r="J672" s="6" t="s">
        <v>2676</v>
      </c>
      <c r="K672" s="6" t="s">
        <v>21</v>
      </c>
      <c r="L672" s="6">
        <v>13</v>
      </c>
      <c r="M672" s="15" t="s">
        <v>2674</v>
      </c>
      <c r="N672" s="15" t="s">
        <v>167</v>
      </c>
      <c r="O672" s="28" t="s">
        <v>2677</v>
      </c>
    </row>
    <row r="673" spans="1:15" s="1" customFormat="1" ht="13.5" customHeight="1">
      <c r="A673" s="3" t="s">
        <v>1534</v>
      </c>
      <c r="B673" s="3"/>
      <c r="C673" s="3"/>
      <c r="D673" s="5" t="s">
        <v>2128</v>
      </c>
      <c r="E673" s="5" t="s">
        <v>124</v>
      </c>
      <c r="F673" s="3" t="s">
        <v>2678</v>
      </c>
      <c r="G673" s="6">
        <v>259.83499999999998</v>
      </c>
      <c r="H673" s="7">
        <v>41683</v>
      </c>
      <c r="I673" s="6" t="s">
        <v>209</v>
      </c>
      <c r="J673" s="6" t="s">
        <v>2679</v>
      </c>
      <c r="K673" s="6" t="s">
        <v>128</v>
      </c>
      <c r="L673" s="6" t="s">
        <v>1885</v>
      </c>
      <c r="M673" s="15" t="s">
        <v>2680</v>
      </c>
      <c r="N673" s="15" t="s">
        <v>2681</v>
      </c>
      <c r="O673" s="28" t="s">
        <v>2682</v>
      </c>
    </row>
    <row r="674" spans="1:15" s="1" customFormat="1" ht="13.5" customHeight="1">
      <c r="A674" s="3" t="s">
        <v>1534</v>
      </c>
      <c r="B674" s="3"/>
      <c r="C674" s="3"/>
      <c r="D674" s="5" t="s">
        <v>2128</v>
      </c>
      <c r="E674" s="5" t="s">
        <v>124</v>
      </c>
      <c r="F674" s="3" t="s">
        <v>2683</v>
      </c>
      <c r="G674" s="6">
        <v>291.74</v>
      </c>
      <c r="H674" s="7">
        <v>41683</v>
      </c>
      <c r="I674" s="6" t="s">
        <v>209</v>
      </c>
      <c r="J674" s="6" t="s">
        <v>2684</v>
      </c>
      <c r="K674" s="6" t="s">
        <v>128</v>
      </c>
      <c r="L674" s="6" t="s">
        <v>2319</v>
      </c>
      <c r="M674" s="15" t="s">
        <v>2685</v>
      </c>
      <c r="N674" s="15" t="s">
        <v>2686</v>
      </c>
      <c r="O674" s="28" t="s">
        <v>2687</v>
      </c>
    </row>
    <row r="675" spans="1:15" s="1" customFormat="1" ht="13.5" customHeight="1">
      <c r="A675" s="3" t="s">
        <v>1534</v>
      </c>
      <c r="B675" s="3"/>
      <c r="C675" s="3"/>
      <c r="D675" s="5" t="s">
        <v>2128</v>
      </c>
      <c r="E675" s="5" t="s">
        <v>124</v>
      </c>
      <c r="F675" s="3" t="s">
        <v>2688</v>
      </c>
      <c r="G675" s="6">
        <v>291.74</v>
      </c>
      <c r="H675" s="7">
        <v>41683</v>
      </c>
      <c r="I675" s="6" t="s">
        <v>209</v>
      </c>
      <c r="J675" s="6" t="s">
        <v>2689</v>
      </c>
      <c r="K675" s="6" t="s">
        <v>128</v>
      </c>
      <c r="L675" s="6" t="s">
        <v>2319</v>
      </c>
      <c r="M675" s="15" t="s">
        <v>2690</v>
      </c>
      <c r="N675" s="15" t="s">
        <v>2321</v>
      </c>
      <c r="O675" s="28" t="s">
        <v>2691</v>
      </c>
    </row>
    <row r="676" spans="1:15" ht="13.5" customHeight="1">
      <c r="A676" s="3" t="s">
        <v>1534</v>
      </c>
      <c r="B676" s="3"/>
      <c r="C676" s="3"/>
      <c r="D676" s="5" t="s">
        <v>2128</v>
      </c>
      <c r="E676" s="5" t="s">
        <v>124</v>
      </c>
      <c r="F676" s="3" t="s">
        <v>2692</v>
      </c>
      <c r="G676" s="6">
        <v>291.74</v>
      </c>
      <c r="H676" s="7">
        <v>41683</v>
      </c>
      <c r="I676" s="6" t="s">
        <v>209</v>
      </c>
      <c r="J676" s="6" t="s">
        <v>2693</v>
      </c>
      <c r="K676" s="6" t="s">
        <v>128</v>
      </c>
      <c r="L676" s="6" t="s">
        <v>2319</v>
      </c>
      <c r="M676" s="15" t="s">
        <v>2694</v>
      </c>
      <c r="N676" s="15" t="s">
        <v>2326</v>
      </c>
      <c r="O676" s="28" t="s">
        <v>2695</v>
      </c>
    </row>
    <row r="677" spans="1:15" s="1" customFormat="1" ht="13.5" customHeight="1">
      <c r="A677" s="3" t="s">
        <v>1349</v>
      </c>
      <c r="B677" s="3"/>
      <c r="C677" s="3"/>
      <c r="D677" s="5" t="s">
        <v>2117</v>
      </c>
      <c r="E677" s="5" t="s">
        <v>124</v>
      </c>
      <c r="F677" s="3" t="s">
        <v>2696</v>
      </c>
      <c r="G677" s="6">
        <v>139.41399999999999</v>
      </c>
      <c r="H677" s="7">
        <v>41683</v>
      </c>
      <c r="I677" s="6" t="s">
        <v>178</v>
      </c>
      <c r="J677" s="6" t="s">
        <v>2697</v>
      </c>
      <c r="K677" s="6" t="s">
        <v>128</v>
      </c>
      <c r="L677" s="6" t="s">
        <v>2183</v>
      </c>
      <c r="M677" s="15" t="s">
        <v>2698</v>
      </c>
      <c r="N677" s="15" t="s">
        <v>2699</v>
      </c>
      <c r="O677" s="28" t="s">
        <v>2700</v>
      </c>
    </row>
    <row r="678" spans="1:15" ht="13.5" customHeight="1">
      <c r="A678" s="3" t="s">
        <v>1349</v>
      </c>
      <c r="B678" s="3"/>
      <c r="C678" s="3"/>
      <c r="D678" s="5" t="s">
        <v>2117</v>
      </c>
      <c r="E678" s="5" t="s">
        <v>124</v>
      </c>
      <c r="F678" s="3" t="s">
        <v>2701</v>
      </c>
      <c r="G678" s="6">
        <v>232.55</v>
      </c>
      <c r="H678" s="7">
        <v>41683</v>
      </c>
      <c r="I678" s="6" t="s">
        <v>178</v>
      </c>
      <c r="J678" s="6" t="s">
        <v>2702</v>
      </c>
      <c r="K678" s="6" t="s">
        <v>128</v>
      </c>
      <c r="L678" s="6" t="s">
        <v>1226</v>
      </c>
      <c r="M678" s="15" t="s">
        <v>2703</v>
      </c>
      <c r="N678" s="15" t="s">
        <v>2618</v>
      </c>
      <c r="O678" s="28" t="s">
        <v>2704</v>
      </c>
    </row>
    <row r="679" spans="1:15" ht="13.5" customHeight="1">
      <c r="A679" s="3" t="s">
        <v>1216</v>
      </c>
      <c r="B679" s="3"/>
      <c r="C679" s="3"/>
      <c r="D679" s="5" t="s">
        <v>2117</v>
      </c>
      <c r="E679" s="5" t="s">
        <v>124</v>
      </c>
      <c r="F679" s="3" t="s">
        <v>2705</v>
      </c>
      <c r="G679" s="6">
        <v>170.59800000000001</v>
      </c>
      <c r="H679" s="7">
        <v>41683</v>
      </c>
      <c r="I679" s="6" t="s">
        <v>209</v>
      </c>
      <c r="J679" s="6" t="s">
        <v>2706</v>
      </c>
      <c r="K679" s="6" t="s">
        <v>128</v>
      </c>
      <c r="L679" s="6" t="s">
        <v>2707</v>
      </c>
      <c r="M679" s="15" t="s">
        <v>2708</v>
      </c>
      <c r="N679" s="15" t="s">
        <v>2709</v>
      </c>
      <c r="O679" s="28" t="s">
        <v>2710</v>
      </c>
    </row>
    <row r="680" spans="1:15" s="1" customFormat="1" ht="13.5" customHeight="1">
      <c r="A680" s="3" t="s">
        <v>1216</v>
      </c>
      <c r="B680" s="3"/>
      <c r="C680" s="3"/>
      <c r="D680" s="5" t="s">
        <v>2117</v>
      </c>
      <c r="E680" s="5" t="s">
        <v>124</v>
      </c>
      <c r="F680" s="3" t="s">
        <v>2711</v>
      </c>
      <c r="G680" s="6">
        <v>201.523</v>
      </c>
      <c r="H680" s="7">
        <v>41683</v>
      </c>
      <c r="I680" s="6" t="s">
        <v>209</v>
      </c>
      <c r="J680" s="6" t="s">
        <v>2712</v>
      </c>
      <c r="K680" s="6" t="s">
        <v>128</v>
      </c>
      <c r="L680" s="6" t="s">
        <v>1996</v>
      </c>
      <c r="M680" s="15" t="s">
        <v>2708</v>
      </c>
      <c r="N680" s="15" t="s">
        <v>2713</v>
      </c>
      <c r="O680" s="28" t="s">
        <v>2714</v>
      </c>
    </row>
    <row r="681" spans="1:15" ht="13.5" customHeight="1">
      <c r="A681" s="3" t="s">
        <v>1018</v>
      </c>
      <c r="B681" s="3"/>
      <c r="C681" s="3"/>
      <c r="D681" s="5" t="s">
        <v>1019</v>
      </c>
      <c r="E681" s="5" t="s">
        <v>124</v>
      </c>
      <c r="F681" s="3" t="s">
        <v>2715</v>
      </c>
      <c r="G681" s="6">
        <v>69.290999999999997</v>
      </c>
      <c r="H681" s="7">
        <v>41683</v>
      </c>
      <c r="I681" s="6" t="s">
        <v>209</v>
      </c>
      <c r="J681" s="6" t="s">
        <v>2716</v>
      </c>
      <c r="K681" s="6" t="s">
        <v>128</v>
      </c>
      <c r="L681" s="6" t="s">
        <v>1299</v>
      </c>
      <c r="M681" s="15" t="s">
        <v>2717</v>
      </c>
      <c r="N681" s="15" t="s">
        <v>2718</v>
      </c>
      <c r="O681" s="28" t="s">
        <v>2719</v>
      </c>
    </row>
    <row r="682" spans="1:15" s="1" customFormat="1" ht="13.5" customHeight="1">
      <c r="A682" s="3" t="s">
        <v>1018</v>
      </c>
      <c r="B682" s="3"/>
      <c r="C682" s="3"/>
      <c r="D682" s="5" t="s">
        <v>1019</v>
      </c>
      <c r="E682" s="5" t="s">
        <v>124</v>
      </c>
      <c r="F682" s="3" t="s">
        <v>2720</v>
      </c>
      <c r="G682" s="6">
        <v>52.112000000000002</v>
      </c>
      <c r="H682" s="7">
        <v>41683</v>
      </c>
      <c r="I682" s="6" t="s">
        <v>209</v>
      </c>
      <c r="J682" s="6" t="s">
        <v>2721</v>
      </c>
      <c r="K682" s="6" t="s">
        <v>128</v>
      </c>
      <c r="L682" s="6" t="s">
        <v>2068</v>
      </c>
      <c r="M682" s="15" t="s">
        <v>2722</v>
      </c>
      <c r="N682" s="15" t="s">
        <v>2723</v>
      </c>
      <c r="O682" s="28" t="s">
        <v>2724</v>
      </c>
    </row>
    <row r="683" spans="1:15" ht="13.5" customHeight="1">
      <c r="A683" s="3" t="s">
        <v>1018</v>
      </c>
      <c r="B683" s="3"/>
      <c r="C683" s="3"/>
      <c r="D683" s="5" t="s">
        <v>1019</v>
      </c>
      <c r="E683" s="5" t="s">
        <v>124</v>
      </c>
      <c r="F683" s="3" t="s">
        <v>2725</v>
      </c>
      <c r="G683" s="6">
        <v>104.35</v>
      </c>
      <c r="H683" s="7">
        <v>41683</v>
      </c>
      <c r="I683" s="6" t="s">
        <v>209</v>
      </c>
      <c r="J683" s="6" t="s">
        <v>2726</v>
      </c>
      <c r="K683" s="6" t="s">
        <v>128</v>
      </c>
      <c r="L683" s="6" t="s">
        <v>1307</v>
      </c>
      <c r="M683" s="15" t="s">
        <v>2727</v>
      </c>
      <c r="N683" s="15" t="s">
        <v>2728</v>
      </c>
      <c r="O683" s="28" t="s">
        <v>2729</v>
      </c>
    </row>
    <row r="684" spans="1:15" s="1" customFormat="1" ht="13.5" customHeight="1">
      <c r="A684" s="3" t="s">
        <v>825</v>
      </c>
      <c r="B684" s="3"/>
      <c r="C684" s="3"/>
      <c r="D684" s="5" t="s">
        <v>826</v>
      </c>
      <c r="E684" s="5" t="s">
        <v>124</v>
      </c>
      <c r="F684" s="3" t="s">
        <v>2730</v>
      </c>
      <c r="G684" s="6">
        <v>200.547</v>
      </c>
      <c r="H684" s="7">
        <v>41684</v>
      </c>
      <c r="I684" s="6" t="s">
        <v>209</v>
      </c>
      <c r="J684" s="6" t="s">
        <v>2731</v>
      </c>
      <c r="K684" s="6" t="s">
        <v>128</v>
      </c>
      <c r="L684" s="6" t="s">
        <v>2732</v>
      </c>
      <c r="M684" s="15" t="s">
        <v>2733</v>
      </c>
      <c r="N684" s="15" t="s">
        <v>2734</v>
      </c>
      <c r="O684" s="28" t="s">
        <v>2735</v>
      </c>
    </row>
    <row r="685" spans="1:15" ht="13.5" customHeight="1">
      <c r="A685" s="3" t="s">
        <v>825</v>
      </c>
      <c r="B685" s="3"/>
      <c r="C685" s="3"/>
      <c r="D685" s="5" t="s">
        <v>826</v>
      </c>
      <c r="E685" s="5" t="s">
        <v>124</v>
      </c>
      <c r="F685" s="3" t="s">
        <v>2736</v>
      </c>
      <c r="G685" s="6">
        <v>185.084</v>
      </c>
      <c r="H685" s="7">
        <v>41684</v>
      </c>
      <c r="I685" s="6" t="s">
        <v>209</v>
      </c>
      <c r="J685" s="6" t="s">
        <v>2737</v>
      </c>
      <c r="K685" s="6" t="s">
        <v>128</v>
      </c>
      <c r="L685" s="6" t="s">
        <v>2597</v>
      </c>
      <c r="M685" s="15" t="s">
        <v>2738</v>
      </c>
      <c r="N685" s="15" t="s">
        <v>2739</v>
      </c>
      <c r="O685" s="28" t="s">
        <v>2740</v>
      </c>
    </row>
    <row r="686" spans="1:15" s="1" customFormat="1" ht="13.5" customHeight="1">
      <c r="A686" s="3" t="s">
        <v>1534</v>
      </c>
      <c r="B686" s="3"/>
      <c r="C686" s="3"/>
      <c r="D686" s="5" t="s">
        <v>2128</v>
      </c>
      <c r="E686" s="5" t="s">
        <v>124</v>
      </c>
      <c r="F686" s="3" t="s">
        <v>2741</v>
      </c>
      <c r="G686" s="6">
        <v>260.08199999999999</v>
      </c>
      <c r="H686" s="7">
        <v>41684</v>
      </c>
      <c r="I686" s="6" t="s">
        <v>209</v>
      </c>
      <c r="J686" s="6" t="s">
        <v>2742</v>
      </c>
      <c r="K686" s="6" t="s">
        <v>128</v>
      </c>
      <c r="L686" s="6" t="s">
        <v>1885</v>
      </c>
      <c r="M686" s="15" t="s">
        <v>2743</v>
      </c>
      <c r="N686" s="15" t="s">
        <v>2744</v>
      </c>
      <c r="O686" s="28" t="s">
        <v>2745</v>
      </c>
    </row>
    <row r="687" spans="1:15" s="1" customFormat="1" ht="13.5" customHeight="1">
      <c r="A687" s="3" t="s">
        <v>1534</v>
      </c>
      <c r="B687" s="3"/>
      <c r="C687" s="3"/>
      <c r="D687" s="5" t="s">
        <v>2128</v>
      </c>
      <c r="E687" s="5" t="s">
        <v>124</v>
      </c>
      <c r="F687" s="3" t="s">
        <v>2746</v>
      </c>
      <c r="G687" s="6">
        <v>291.74</v>
      </c>
      <c r="H687" s="7">
        <v>41684</v>
      </c>
      <c r="I687" s="6" t="s">
        <v>209</v>
      </c>
      <c r="J687" s="6" t="s">
        <v>2747</v>
      </c>
      <c r="K687" s="6" t="s">
        <v>128</v>
      </c>
      <c r="L687" s="6" t="s">
        <v>2319</v>
      </c>
      <c r="M687" s="15" t="s">
        <v>2748</v>
      </c>
      <c r="N687" s="15" t="s">
        <v>2749</v>
      </c>
      <c r="O687" s="28" t="s">
        <v>2750</v>
      </c>
    </row>
    <row r="688" spans="1:15" s="1" customFormat="1" ht="13.5" customHeight="1">
      <c r="A688" s="3" t="s">
        <v>1349</v>
      </c>
      <c r="B688" s="3"/>
      <c r="C688" s="3"/>
      <c r="D688" s="5" t="s">
        <v>2117</v>
      </c>
      <c r="E688" s="5" t="s">
        <v>124</v>
      </c>
      <c r="F688" s="3" t="s">
        <v>2751</v>
      </c>
      <c r="G688" s="6">
        <v>291.74</v>
      </c>
      <c r="H688" s="7">
        <v>41684</v>
      </c>
      <c r="I688" s="6" t="s">
        <v>178</v>
      </c>
      <c r="J688" s="6" t="s">
        <v>2752</v>
      </c>
      <c r="K688" s="6" t="s">
        <v>128</v>
      </c>
      <c r="L688" s="6" t="s">
        <v>2753</v>
      </c>
      <c r="M688" s="15" t="s">
        <v>2754</v>
      </c>
      <c r="N688" s="15" t="s">
        <v>2755</v>
      </c>
      <c r="O688" s="28" t="s">
        <v>2756</v>
      </c>
    </row>
    <row r="689" spans="1:15" s="1" customFormat="1" ht="13.5" customHeight="1">
      <c r="A689" s="3" t="s">
        <v>1349</v>
      </c>
      <c r="B689" s="3"/>
      <c r="C689" s="3"/>
      <c r="D689" s="5" t="s">
        <v>2117</v>
      </c>
      <c r="E689" s="5" t="s">
        <v>124</v>
      </c>
      <c r="F689" s="3" t="s">
        <v>2757</v>
      </c>
      <c r="G689" s="6">
        <v>87.522000000000006</v>
      </c>
      <c r="H689" s="7">
        <v>41684</v>
      </c>
      <c r="I689" s="6" t="s">
        <v>178</v>
      </c>
      <c r="J689" s="6" t="s">
        <v>2758</v>
      </c>
      <c r="K689" s="6" t="s">
        <v>128</v>
      </c>
      <c r="L689" s="6" t="s">
        <v>2068</v>
      </c>
      <c r="M689" s="15" t="s">
        <v>2759</v>
      </c>
      <c r="N689" s="15" t="s">
        <v>2760</v>
      </c>
      <c r="O689" s="28" t="s">
        <v>2761</v>
      </c>
    </row>
    <row r="690" spans="1:15" ht="13.5" customHeight="1">
      <c r="A690" s="3" t="s">
        <v>282</v>
      </c>
      <c r="B690" s="3" t="s">
        <v>283</v>
      </c>
      <c r="C690" s="3"/>
      <c r="D690" s="5" t="s">
        <v>284</v>
      </c>
      <c r="E690" s="5" t="s">
        <v>124</v>
      </c>
      <c r="F690" s="3" t="s">
        <v>2762</v>
      </c>
      <c r="G690" s="6">
        <f>14.924*L690</f>
        <v>179.08799999999999</v>
      </c>
      <c r="H690" s="7">
        <v>41684</v>
      </c>
      <c r="I690" s="6" t="s">
        <v>286</v>
      </c>
      <c r="J690" s="6" t="s">
        <v>2763</v>
      </c>
      <c r="K690" s="6" t="s">
        <v>21</v>
      </c>
      <c r="L690" s="6">
        <v>12</v>
      </c>
      <c r="M690" s="15" t="s">
        <v>2764</v>
      </c>
      <c r="N690" s="15" t="s">
        <v>164</v>
      </c>
      <c r="O690" s="28" t="s">
        <v>2764</v>
      </c>
    </row>
    <row r="691" spans="1:15" ht="13.5" customHeight="1">
      <c r="A691" s="3" t="s">
        <v>282</v>
      </c>
      <c r="B691" s="3" t="s">
        <v>283</v>
      </c>
      <c r="C691" s="3"/>
      <c r="D691" s="5" t="s">
        <v>284</v>
      </c>
      <c r="E691" s="5" t="s">
        <v>124</v>
      </c>
      <c r="F691" s="3" t="s">
        <v>2765</v>
      </c>
      <c r="G691" s="6">
        <f>14.924*L691</f>
        <v>194.012</v>
      </c>
      <c r="H691" s="7">
        <v>41684</v>
      </c>
      <c r="I691" s="6" t="s">
        <v>286</v>
      </c>
      <c r="J691" s="6" t="s">
        <v>2766</v>
      </c>
      <c r="K691" s="6" t="s">
        <v>21</v>
      </c>
      <c r="L691" s="6">
        <v>13</v>
      </c>
      <c r="M691" s="15" t="s">
        <v>2764</v>
      </c>
      <c r="N691" s="15" t="s">
        <v>167</v>
      </c>
      <c r="O691" s="28" t="s">
        <v>2767</v>
      </c>
    </row>
    <row r="692" spans="1:15" ht="13.5" customHeight="1">
      <c r="A692" s="3" t="s">
        <v>460</v>
      </c>
      <c r="B692" s="3"/>
      <c r="C692" s="3"/>
      <c r="D692" s="5" t="s">
        <v>2030</v>
      </c>
      <c r="E692" s="5" t="s">
        <v>124</v>
      </c>
      <c r="F692" s="3" t="s">
        <v>2768</v>
      </c>
      <c r="G692" s="6">
        <f>14.405*L692</f>
        <v>216.07499999999999</v>
      </c>
      <c r="H692" s="7">
        <v>41684</v>
      </c>
      <c r="I692" s="6" t="s">
        <v>265</v>
      </c>
      <c r="J692" s="6" t="s">
        <v>2769</v>
      </c>
      <c r="K692" s="6" t="s">
        <v>21</v>
      </c>
      <c r="L692" s="6">
        <v>15</v>
      </c>
      <c r="M692" s="15" t="s">
        <v>2770</v>
      </c>
      <c r="N692" s="15" t="s">
        <v>2771</v>
      </c>
      <c r="O692" s="28" t="s">
        <v>2770</v>
      </c>
    </row>
    <row r="693" spans="1:15" s="1" customFormat="1" ht="13.5" customHeight="1">
      <c r="A693" s="3" t="s">
        <v>1108</v>
      </c>
      <c r="B693" s="3"/>
      <c r="C693" s="3"/>
      <c r="D693" s="5" t="s">
        <v>391</v>
      </c>
      <c r="E693" s="5" t="s">
        <v>124</v>
      </c>
      <c r="F693" s="3" t="s">
        <v>2772</v>
      </c>
      <c r="G693" s="6">
        <f>17.712*L693</f>
        <v>230.256</v>
      </c>
      <c r="H693" s="7">
        <v>41684</v>
      </c>
      <c r="I693" s="6" t="s">
        <v>265</v>
      </c>
      <c r="J693" s="6" t="s">
        <v>2773</v>
      </c>
      <c r="K693" s="6" t="s">
        <v>21</v>
      </c>
      <c r="L693" s="6">
        <v>13</v>
      </c>
      <c r="M693" s="15" t="s">
        <v>2774</v>
      </c>
      <c r="N693" s="15" t="s">
        <v>1215</v>
      </c>
      <c r="O693" s="28" t="s">
        <v>2774</v>
      </c>
    </row>
    <row r="694" spans="1:15" s="1" customFormat="1" ht="13.5" customHeight="1">
      <c r="A694" s="3" t="s">
        <v>1349</v>
      </c>
      <c r="B694" s="3"/>
      <c r="C694" s="3"/>
      <c r="D694" s="5" t="s">
        <v>2117</v>
      </c>
      <c r="E694" s="5" t="s">
        <v>124</v>
      </c>
      <c r="F694" s="3" t="s">
        <v>2775</v>
      </c>
      <c r="G694" s="6">
        <v>231.98699999999999</v>
      </c>
      <c r="H694" s="7">
        <v>41687</v>
      </c>
      <c r="I694" s="6" t="s">
        <v>178</v>
      </c>
      <c r="J694" s="6" t="s">
        <v>2776</v>
      </c>
      <c r="K694" s="6" t="s">
        <v>128</v>
      </c>
      <c r="L694" s="6" t="s">
        <v>1226</v>
      </c>
      <c r="M694" s="15" t="s">
        <v>2777</v>
      </c>
      <c r="N694" s="15" t="s">
        <v>2778</v>
      </c>
      <c r="O694" s="28" t="s">
        <v>2779</v>
      </c>
    </row>
    <row r="695" spans="1:15" s="1" customFormat="1" ht="13.5" customHeight="1">
      <c r="A695" s="3" t="s">
        <v>1739</v>
      </c>
      <c r="B695" s="3"/>
      <c r="C695" s="3"/>
      <c r="D695" s="5" t="s">
        <v>383</v>
      </c>
      <c r="E695" s="5" t="s">
        <v>124</v>
      </c>
      <c r="F695" s="3" t="s">
        <v>2780</v>
      </c>
      <c r="G695" s="6">
        <v>154.94399999999999</v>
      </c>
      <c r="H695" s="7">
        <v>41687</v>
      </c>
      <c r="I695" s="6" t="s">
        <v>209</v>
      </c>
      <c r="J695" s="6" t="s">
        <v>2781</v>
      </c>
      <c r="K695" s="6" t="s">
        <v>128</v>
      </c>
      <c r="L695" s="6" t="s">
        <v>2782</v>
      </c>
      <c r="M695" s="15" t="s">
        <v>2783</v>
      </c>
      <c r="N695" s="15" t="s">
        <v>2784</v>
      </c>
      <c r="O695" s="28" t="s">
        <v>2785</v>
      </c>
    </row>
    <row r="696" spans="1:15" s="1" customFormat="1" ht="13.5" customHeight="1">
      <c r="A696" s="3" t="s">
        <v>724</v>
      </c>
      <c r="B696" s="3"/>
      <c r="C696" s="3"/>
      <c r="D696" s="5" t="s">
        <v>725</v>
      </c>
      <c r="E696" s="5" t="s">
        <v>124</v>
      </c>
      <c r="F696" s="3" t="s">
        <v>2786</v>
      </c>
      <c r="G696" s="6">
        <v>84.542000000000002</v>
      </c>
      <c r="H696" s="7">
        <v>41687</v>
      </c>
      <c r="I696" s="6" t="s">
        <v>209</v>
      </c>
      <c r="J696" s="6" t="s">
        <v>2787</v>
      </c>
      <c r="K696" s="6" t="s">
        <v>128</v>
      </c>
      <c r="L696" s="6" t="s">
        <v>2788</v>
      </c>
      <c r="M696" s="15" t="s">
        <v>2789</v>
      </c>
      <c r="N696" s="15" t="s">
        <v>2790</v>
      </c>
      <c r="O696" s="28" t="s">
        <v>2791</v>
      </c>
    </row>
    <row r="697" spans="1:15" s="1" customFormat="1" ht="13.5" customHeight="1">
      <c r="A697" s="3" t="s">
        <v>1311</v>
      </c>
      <c r="B697" s="3"/>
      <c r="C697" s="3"/>
      <c r="D697" s="5" t="s">
        <v>1312</v>
      </c>
      <c r="E697" s="5" t="s">
        <v>124</v>
      </c>
      <c r="F697" s="3" t="s">
        <v>2792</v>
      </c>
      <c r="G697" s="6">
        <v>84.370999999999995</v>
      </c>
      <c r="H697" s="7">
        <v>41687</v>
      </c>
      <c r="I697" s="6" t="s">
        <v>209</v>
      </c>
      <c r="J697" s="6" t="s">
        <v>2793</v>
      </c>
      <c r="K697" s="6" t="s">
        <v>128</v>
      </c>
      <c r="L697" s="6" t="s">
        <v>2788</v>
      </c>
      <c r="M697" s="15" t="s">
        <v>2794</v>
      </c>
      <c r="N697" s="15" t="s">
        <v>2795</v>
      </c>
      <c r="O697" s="28" t="s">
        <v>2796</v>
      </c>
    </row>
    <row r="698" spans="1:15" s="1" customFormat="1" ht="13.5" customHeight="1">
      <c r="A698" s="3" t="s">
        <v>1311</v>
      </c>
      <c r="B698" s="3"/>
      <c r="C698" s="3"/>
      <c r="D698" s="5" t="s">
        <v>1312</v>
      </c>
      <c r="E698" s="5" t="s">
        <v>124</v>
      </c>
      <c r="F698" s="3" t="s">
        <v>2797</v>
      </c>
      <c r="G698" s="6">
        <v>83.994</v>
      </c>
      <c r="H698" s="7">
        <v>41687</v>
      </c>
      <c r="I698" s="6" t="s">
        <v>209</v>
      </c>
      <c r="J698" s="6" t="s">
        <v>2798</v>
      </c>
      <c r="K698" s="6" t="s">
        <v>128</v>
      </c>
      <c r="L698" s="6" t="s">
        <v>2788</v>
      </c>
      <c r="M698" s="15" t="s">
        <v>2799</v>
      </c>
      <c r="N698" s="15" t="s">
        <v>2800</v>
      </c>
      <c r="O698" s="28" t="s">
        <v>2801</v>
      </c>
    </row>
    <row r="699" spans="1:15" s="1" customFormat="1" ht="13.5" customHeight="1">
      <c r="A699" s="3" t="s">
        <v>1311</v>
      </c>
      <c r="B699" s="3"/>
      <c r="C699" s="3"/>
      <c r="D699" s="5" t="s">
        <v>1312</v>
      </c>
      <c r="E699" s="5" t="s">
        <v>124</v>
      </c>
      <c r="F699" s="3" t="s">
        <v>2802</v>
      </c>
      <c r="G699" s="6">
        <v>83.031999999999996</v>
      </c>
      <c r="H699" s="7">
        <v>41687</v>
      </c>
      <c r="I699" s="6" t="s">
        <v>209</v>
      </c>
      <c r="J699" s="6" t="s">
        <v>2803</v>
      </c>
      <c r="K699" s="6" t="s">
        <v>128</v>
      </c>
      <c r="L699" s="6" t="s">
        <v>2788</v>
      </c>
      <c r="M699" s="15" t="s">
        <v>2804</v>
      </c>
      <c r="N699" s="15" t="s">
        <v>2805</v>
      </c>
      <c r="O699" s="28" t="s">
        <v>2806</v>
      </c>
    </row>
    <row r="700" spans="1:15" s="1" customFormat="1" ht="13.5" customHeight="1">
      <c r="A700" s="3" t="s">
        <v>543</v>
      </c>
      <c r="B700" s="3"/>
      <c r="C700" s="3"/>
      <c r="D700" s="5" t="s">
        <v>544</v>
      </c>
      <c r="E700" s="5" t="s">
        <v>124</v>
      </c>
      <c r="F700" s="3" t="s">
        <v>2807</v>
      </c>
      <c r="G700" s="6">
        <v>86.777000000000001</v>
      </c>
      <c r="H700" s="7">
        <v>41687</v>
      </c>
      <c r="I700" s="6" t="s">
        <v>209</v>
      </c>
      <c r="J700" s="6" t="s">
        <v>2808</v>
      </c>
      <c r="K700" s="6" t="s">
        <v>128</v>
      </c>
      <c r="L700" s="6" t="s">
        <v>1850</v>
      </c>
      <c r="M700" s="15" t="s">
        <v>2809</v>
      </c>
      <c r="N700" s="15" t="s">
        <v>2810</v>
      </c>
      <c r="O700" s="28" t="s">
        <v>2811</v>
      </c>
    </row>
    <row r="701" spans="1:15" s="1" customFormat="1" ht="13.5" customHeight="1">
      <c r="A701" s="3" t="s">
        <v>1285</v>
      </c>
      <c r="B701" s="4" t="s">
        <v>283</v>
      </c>
      <c r="C701" s="3"/>
      <c r="D701" s="5" t="s">
        <v>1287</v>
      </c>
      <c r="E701" s="5" t="s">
        <v>124</v>
      </c>
      <c r="F701" s="3" t="s">
        <v>2812</v>
      </c>
      <c r="G701" s="6">
        <f>8.606*L701</f>
        <v>103.27199999999999</v>
      </c>
      <c r="H701" s="7">
        <v>41687</v>
      </c>
      <c r="I701" s="6" t="s">
        <v>272</v>
      </c>
      <c r="J701" s="6" t="s">
        <v>2813</v>
      </c>
      <c r="K701" s="6" t="s">
        <v>21</v>
      </c>
      <c r="L701" s="6">
        <v>12</v>
      </c>
      <c r="M701" s="15" t="s">
        <v>2814</v>
      </c>
      <c r="N701" s="15" t="s">
        <v>164</v>
      </c>
      <c r="O701" s="28" t="s">
        <v>2814</v>
      </c>
    </row>
    <row r="702" spans="1:15" s="1" customFormat="1" ht="13.5" customHeight="1">
      <c r="A702" s="3" t="s">
        <v>1285</v>
      </c>
      <c r="B702" s="4" t="s">
        <v>283</v>
      </c>
      <c r="C702" s="3"/>
      <c r="D702" s="5" t="s">
        <v>1287</v>
      </c>
      <c r="E702" s="5" t="s">
        <v>124</v>
      </c>
      <c r="F702" s="3" t="s">
        <v>2815</v>
      </c>
      <c r="G702" s="6">
        <f>8.606*L702</f>
        <v>111.878</v>
      </c>
      <c r="H702" s="7">
        <v>41687</v>
      </c>
      <c r="I702" s="6" t="s">
        <v>272</v>
      </c>
      <c r="J702" s="6" t="s">
        <v>2816</v>
      </c>
      <c r="K702" s="6" t="s">
        <v>21</v>
      </c>
      <c r="L702" s="6">
        <v>13</v>
      </c>
      <c r="M702" s="15" t="s">
        <v>2814</v>
      </c>
      <c r="N702" s="15" t="s">
        <v>167</v>
      </c>
      <c r="O702" s="28" t="s">
        <v>2817</v>
      </c>
    </row>
    <row r="703" spans="1:15" s="1" customFormat="1" ht="13.5" customHeight="1">
      <c r="A703" s="3" t="s">
        <v>1534</v>
      </c>
      <c r="B703" s="3"/>
      <c r="C703" s="3"/>
      <c r="D703" s="5" t="s">
        <v>2128</v>
      </c>
      <c r="E703" s="5" t="s">
        <v>124</v>
      </c>
      <c r="F703" s="3" t="s">
        <v>2818</v>
      </c>
      <c r="G703" s="6">
        <v>291.74</v>
      </c>
      <c r="H703" s="7">
        <v>41688</v>
      </c>
      <c r="I703" s="6" t="s">
        <v>209</v>
      </c>
      <c r="J703" s="6" t="s">
        <v>2819</v>
      </c>
      <c r="K703" s="6" t="s">
        <v>128</v>
      </c>
      <c r="L703" s="6" t="s">
        <v>2319</v>
      </c>
      <c r="M703" s="15" t="s">
        <v>2820</v>
      </c>
      <c r="N703" s="15" t="s">
        <v>2321</v>
      </c>
      <c r="O703" s="28" t="s">
        <v>2821</v>
      </c>
    </row>
    <row r="704" spans="1:15" s="1" customFormat="1" ht="13.5" customHeight="1">
      <c r="A704" s="3" t="s">
        <v>1534</v>
      </c>
      <c r="B704" s="3"/>
      <c r="C704" s="3"/>
      <c r="D704" s="5" t="s">
        <v>2128</v>
      </c>
      <c r="E704" s="5" t="s">
        <v>124</v>
      </c>
      <c r="F704" s="3" t="s">
        <v>2822</v>
      </c>
      <c r="G704" s="6">
        <v>291.74</v>
      </c>
      <c r="H704" s="7">
        <v>41688</v>
      </c>
      <c r="I704" s="6" t="s">
        <v>209</v>
      </c>
      <c r="J704" s="6" t="s">
        <v>2823</v>
      </c>
      <c r="K704" s="6" t="s">
        <v>128</v>
      </c>
      <c r="L704" s="6" t="s">
        <v>2319</v>
      </c>
      <c r="M704" s="15" t="s">
        <v>2824</v>
      </c>
      <c r="N704" s="15" t="s">
        <v>2326</v>
      </c>
      <c r="O704" s="28" t="s">
        <v>2825</v>
      </c>
    </row>
    <row r="705" spans="1:15" s="1" customFormat="1" ht="13.5" customHeight="1">
      <c r="A705" s="3" t="s">
        <v>1534</v>
      </c>
      <c r="B705" s="3"/>
      <c r="C705" s="3"/>
      <c r="D705" s="5" t="s">
        <v>2128</v>
      </c>
      <c r="E705" s="5" t="s">
        <v>124</v>
      </c>
      <c r="F705" s="3" t="s">
        <v>2826</v>
      </c>
      <c r="G705" s="6">
        <v>291.74</v>
      </c>
      <c r="H705" s="7">
        <v>41688</v>
      </c>
      <c r="I705" s="6" t="s">
        <v>209</v>
      </c>
      <c r="J705" s="6" t="s">
        <v>2827</v>
      </c>
      <c r="K705" s="6" t="s">
        <v>128</v>
      </c>
      <c r="L705" s="6" t="s">
        <v>2319</v>
      </c>
      <c r="M705" s="15" t="s">
        <v>2828</v>
      </c>
      <c r="N705" s="15" t="s">
        <v>2321</v>
      </c>
      <c r="O705" s="28" t="s">
        <v>2829</v>
      </c>
    </row>
    <row r="706" spans="1:15" s="1" customFormat="1" ht="13.5" customHeight="1">
      <c r="A706" s="3" t="s">
        <v>1534</v>
      </c>
      <c r="B706" s="3"/>
      <c r="C706" s="3"/>
      <c r="D706" s="5" t="s">
        <v>2128</v>
      </c>
      <c r="E706" s="5" t="s">
        <v>124</v>
      </c>
      <c r="F706" s="3" t="s">
        <v>2830</v>
      </c>
      <c r="G706" s="6">
        <v>291.74</v>
      </c>
      <c r="H706" s="7">
        <v>41688</v>
      </c>
      <c r="I706" s="6" t="s">
        <v>209</v>
      </c>
      <c r="J706" s="6" t="s">
        <v>2831</v>
      </c>
      <c r="K706" s="6" t="s">
        <v>128</v>
      </c>
      <c r="L706" s="6" t="s">
        <v>2319</v>
      </c>
      <c r="M706" s="15" t="s">
        <v>2832</v>
      </c>
      <c r="N706" s="15" t="s">
        <v>2326</v>
      </c>
      <c r="O706" s="28" t="s">
        <v>2833</v>
      </c>
    </row>
    <row r="707" spans="1:15" s="1" customFormat="1" ht="13.5" customHeight="1">
      <c r="A707" s="3" t="s">
        <v>1534</v>
      </c>
      <c r="B707" s="3"/>
      <c r="C707" s="3"/>
      <c r="D707" s="5" t="s">
        <v>2128</v>
      </c>
      <c r="E707" s="5" t="s">
        <v>124</v>
      </c>
      <c r="F707" s="3" t="s">
        <v>2834</v>
      </c>
      <c r="G707" s="6">
        <v>291.74</v>
      </c>
      <c r="H707" s="7">
        <v>41688</v>
      </c>
      <c r="I707" s="6" t="s">
        <v>209</v>
      </c>
      <c r="J707" s="6" t="s">
        <v>2835</v>
      </c>
      <c r="K707" s="6" t="s">
        <v>128</v>
      </c>
      <c r="L707" s="6" t="s">
        <v>2319</v>
      </c>
      <c r="M707" s="15" t="s">
        <v>2836</v>
      </c>
      <c r="N707" s="15" t="s">
        <v>2837</v>
      </c>
      <c r="O707" s="28" t="s">
        <v>2838</v>
      </c>
    </row>
    <row r="708" spans="1:15" s="1" customFormat="1" ht="13.5" customHeight="1">
      <c r="A708" s="3" t="s">
        <v>460</v>
      </c>
      <c r="B708" s="3"/>
      <c r="C708" s="3"/>
      <c r="D708" s="5" t="s">
        <v>2030</v>
      </c>
      <c r="E708" s="5" t="s">
        <v>124</v>
      </c>
      <c r="F708" s="3" t="s">
        <v>2839</v>
      </c>
      <c r="G708" s="6">
        <f>14.405*L708</f>
        <v>172.85999999999999</v>
      </c>
      <c r="H708" s="7">
        <v>41688</v>
      </c>
      <c r="I708" s="6" t="s">
        <v>265</v>
      </c>
      <c r="J708" s="6" t="s">
        <v>2840</v>
      </c>
      <c r="K708" s="6" t="s">
        <v>21</v>
      </c>
      <c r="L708" s="6">
        <v>12</v>
      </c>
      <c r="M708" s="15" t="s">
        <v>2841</v>
      </c>
      <c r="N708" s="15" t="s">
        <v>164</v>
      </c>
      <c r="O708" s="27" t="s">
        <v>2841</v>
      </c>
    </row>
    <row r="709" spans="1:15" s="1" customFormat="1" ht="13.5" customHeight="1">
      <c r="A709" s="3" t="s">
        <v>854</v>
      </c>
      <c r="B709" s="4" t="s">
        <v>1735</v>
      </c>
      <c r="C709" s="3"/>
      <c r="D709" s="5"/>
      <c r="E709" s="5" t="s">
        <v>124</v>
      </c>
      <c r="F709" s="3" t="s">
        <v>2842</v>
      </c>
      <c r="G709" s="6">
        <v>10.329000000000001</v>
      </c>
      <c r="H709" s="7">
        <v>41689</v>
      </c>
      <c r="I709" s="6"/>
      <c r="J709" s="6"/>
      <c r="K709" s="6"/>
      <c r="L709" s="6"/>
      <c r="M709" s="15"/>
      <c r="N709" s="15"/>
      <c r="O709" s="27" t="s">
        <v>2843</v>
      </c>
    </row>
    <row r="710" spans="1:15" s="1" customFormat="1" ht="13.5" customHeight="1">
      <c r="A710" s="3" t="s">
        <v>122</v>
      </c>
      <c r="B710" s="4" t="s">
        <v>1735</v>
      </c>
      <c r="C710" s="3"/>
      <c r="D710" s="5"/>
      <c r="E710" s="5" t="s">
        <v>124</v>
      </c>
      <c r="F710" s="3" t="s">
        <v>2844</v>
      </c>
      <c r="G710" s="6">
        <v>27.5</v>
      </c>
      <c r="H710" s="7">
        <v>41689</v>
      </c>
      <c r="I710" s="6"/>
      <c r="J710" s="6"/>
      <c r="K710" s="6"/>
      <c r="L710" s="6"/>
      <c r="M710" s="15"/>
      <c r="N710" s="15"/>
      <c r="O710" s="27" t="s">
        <v>2845</v>
      </c>
    </row>
    <row r="711" spans="1:15" s="1" customFormat="1" ht="13.5" customHeight="1">
      <c r="A711" s="3" t="s">
        <v>1072</v>
      </c>
      <c r="B711" s="4"/>
      <c r="C711" s="3"/>
      <c r="D711" s="5" t="s">
        <v>1963</v>
      </c>
      <c r="E711" s="5" t="s">
        <v>124</v>
      </c>
      <c r="F711" s="3" t="s">
        <v>2846</v>
      </c>
      <c r="G711" s="6">
        <f>17.712*L711</f>
        <v>88.56</v>
      </c>
      <c r="H711" s="7">
        <v>41691</v>
      </c>
      <c r="I711" s="6" t="s">
        <v>265</v>
      </c>
      <c r="J711" s="6" t="s">
        <v>2847</v>
      </c>
      <c r="K711" s="6" t="s">
        <v>21</v>
      </c>
      <c r="L711" s="6">
        <v>5</v>
      </c>
      <c r="M711" s="15" t="s">
        <v>2848</v>
      </c>
      <c r="N711" s="15" t="s">
        <v>59</v>
      </c>
      <c r="O711" s="28" t="s">
        <v>2848</v>
      </c>
    </row>
    <row r="712" spans="1:15" s="1" customFormat="1" ht="13.5" customHeight="1">
      <c r="A712" s="3" t="s">
        <v>1285</v>
      </c>
      <c r="B712" s="4" t="s">
        <v>283</v>
      </c>
      <c r="C712" s="3"/>
      <c r="D712" s="5" t="s">
        <v>1287</v>
      </c>
      <c r="E712" s="5" t="s">
        <v>124</v>
      </c>
      <c r="F712" s="3" t="s">
        <v>2849</v>
      </c>
      <c r="G712" s="6">
        <f>8.606*L712</f>
        <v>94.665999999999997</v>
      </c>
      <c r="H712" s="7">
        <v>41691</v>
      </c>
      <c r="I712" s="6" t="s">
        <v>272</v>
      </c>
      <c r="J712" s="6" t="s">
        <v>2850</v>
      </c>
      <c r="K712" s="6" t="s">
        <v>21</v>
      </c>
      <c r="L712" s="6">
        <v>11</v>
      </c>
      <c r="M712" s="15" t="s">
        <v>2851</v>
      </c>
      <c r="N712" s="15" t="s">
        <v>2852</v>
      </c>
      <c r="O712" s="28" t="s">
        <v>2851</v>
      </c>
    </row>
    <row r="713" spans="1:15" s="1" customFormat="1" ht="13.5" customHeight="1">
      <c r="A713" s="3" t="s">
        <v>1285</v>
      </c>
      <c r="B713" s="4" t="s">
        <v>283</v>
      </c>
      <c r="C713" s="3"/>
      <c r="D713" s="5" t="s">
        <v>1287</v>
      </c>
      <c r="E713" s="5" t="s">
        <v>124</v>
      </c>
      <c r="F713" s="3" t="s">
        <v>2853</v>
      </c>
      <c r="G713" s="6">
        <f>8.606*L713</f>
        <v>94.665999999999997</v>
      </c>
      <c r="H713" s="7">
        <v>41691</v>
      </c>
      <c r="I713" s="6" t="s">
        <v>272</v>
      </c>
      <c r="J713" s="6" t="s">
        <v>2854</v>
      </c>
      <c r="K713" s="6" t="s">
        <v>21</v>
      </c>
      <c r="L713" s="6">
        <v>11</v>
      </c>
      <c r="M713" s="15" t="s">
        <v>2851</v>
      </c>
      <c r="N713" s="15" t="s">
        <v>2199</v>
      </c>
      <c r="O713" s="28" t="s">
        <v>2855</v>
      </c>
    </row>
    <row r="714" spans="1:15" s="1" customFormat="1" ht="13.5" customHeight="1">
      <c r="A714" s="3" t="s">
        <v>1285</v>
      </c>
      <c r="B714" s="4" t="s">
        <v>283</v>
      </c>
      <c r="C714" s="3"/>
      <c r="D714" s="5" t="s">
        <v>1287</v>
      </c>
      <c r="E714" s="5" t="s">
        <v>124</v>
      </c>
      <c r="F714" s="3" t="s">
        <v>2856</v>
      </c>
      <c r="G714" s="6">
        <f>8.606*L714</f>
        <v>103.27199999999999</v>
      </c>
      <c r="H714" s="7">
        <v>41691</v>
      </c>
      <c r="I714" s="6" t="s">
        <v>272</v>
      </c>
      <c r="J714" s="6" t="s">
        <v>2857</v>
      </c>
      <c r="K714" s="6" t="s">
        <v>21</v>
      </c>
      <c r="L714" s="6">
        <v>12</v>
      </c>
      <c r="M714" s="15" t="s">
        <v>2858</v>
      </c>
      <c r="N714" s="15" t="s">
        <v>164</v>
      </c>
      <c r="O714" s="28" t="s">
        <v>2858</v>
      </c>
    </row>
    <row r="715" spans="1:15" ht="13.5" customHeight="1">
      <c r="A715" s="3" t="s">
        <v>1285</v>
      </c>
      <c r="B715" s="4" t="s">
        <v>283</v>
      </c>
      <c r="C715" s="3"/>
      <c r="D715" s="5" t="s">
        <v>1287</v>
      </c>
      <c r="E715" s="5" t="s">
        <v>124</v>
      </c>
      <c r="F715" s="3" t="s">
        <v>2859</v>
      </c>
      <c r="G715" s="6">
        <f>8.606*L715</f>
        <v>111.878</v>
      </c>
      <c r="H715" s="7">
        <v>41691</v>
      </c>
      <c r="I715" s="6" t="s">
        <v>272</v>
      </c>
      <c r="J715" s="6" t="s">
        <v>2860</v>
      </c>
      <c r="K715" s="6" t="s">
        <v>21</v>
      </c>
      <c r="L715" s="6">
        <v>13</v>
      </c>
      <c r="M715" s="15" t="s">
        <v>2858</v>
      </c>
      <c r="N715" s="15" t="s">
        <v>167</v>
      </c>
      <c r="O715" s="28" t="s">
        <v>2861</v>
      </c>
    </row>
    <row r="716" spans="1:15" s="1" customFormat="1" ht="13.5" customHeight="1">
      <c r="A716" s="3" t="s">
        <v>788</v>
      </c>
      <c r="B716" s="4" t="s">
        <v>283</v>
      </c>
      <c r="C716" s="3"/>
      <c r="D716" s="5" t="s">
        <v>789</v>
      </c>
      <c r="E716" s="5" t="s">
        <v>124</v>
      </c>
      <c r="F716" s="3" t="s">
        <v>2862</v>
      </c>
      <c r="G716" s="6">
        <f>8.606*L716</f>
        <v>25.817999999999998</v>
      </c>
      <c r="H716" s="7">
        <v>41691</v>
      </c>
      <c r="I716" s="6" t="s">
        <v>272</v>
      </c>
      <c r="J716" s="6" t="s">
        <v>2863</v>
      </c>
      <c r="K716" s="6" t="s">
        <v>21</v>
      </c>
      <c r="L716" s="6">
        <v>3</v>
      </c>
      <c r="M716" s="15" t="s">
        <v>2864</v>
      </c>
      <c r="N716" s="15" t="s">
        <v>31</v>
      </c>
      <c r="O716" s="28" t="s">
        <v>2864</v>
      </c>
    </row>
    <row r="717" spans="1:15" s="1" customFormat="1" ht="13.5" customHeight="1">
      <c r="A717" s="3" t="s">
        <v>1087</v>
      </c>
      <c r="B717" s="4" t="s">
        <v>283</v>
      </c>
      <c r="C717" s="3"/>
      <c r="D717" s="5" t="s">
        <v>1088</v>
      </c>
      <c r="E717" s="5" t="s">
        <v>124</v>
      </c>
      <c r="F717" s="3" t="s">
        <v>2865</v>
      </c>
      <c r="G717" s="6">
        <f>9.804*L717</f>
        <v>117.648</v>
      </c>
      <c r="H717" s="7">
        <v>41691</v>
      </c>
      <c r="I717" s="6" t="s">
        <v>1090</v>
      </c>
      <c r="J717" s="6" t="s">
        <v>2866</v>
      </c>
      <c r="K717" s="6" t="s">
        <v>21</v>
      </c>
      <c r="L717" s="6">
        <v>12</v>
      </c>
      <c r="M717" s="15" t="s">
        <v>2867</v>
      </c>
      <c r="N717" s="15" t="s">
        <v>164</v>
      </c>
      <c r="O717" s="27" t="s">
        <v>2867</v>
      </c>
    </row>
    <row r="718" spans="1:15" s="1" customFormat="1" ht="13.5" customHeight="1">
      <c r="A718" s="3" t="s">
        <v>1087</v>
      </c>
      <c r="B718" s="4" t="s">
        <v>283</v>
      </c>
      <c r="C718" s="3"/>
      <c r="D718" s="5" t="s">
        <v>1088</v>
      </c>
      <c r="E718" s="5" t="s">
        <v>124</v>
      </c>
      <c r="F718" s="3" t="s">
        <v>2868</v>
      </c>
      <c r="G718" s="6">
        <f>9.804*L718</f>
        <v>127.452</v>
      </c>
      <c r="H718" s="7">
        <v>41691</v>
      </c>
      <c r="I718" s="6" t="s">
        <v>1090</v>
      </c>
      <c r="J718" s="6" t="s">
        <v>2869</v>
      </c>
      <c r="K718" s="6" t="s">
        <v>21</v>
      </c>
      <c r="L718" s="6">
        <v>13</v>
      </c>
      <c r="M718" s="15" t="s">
        <v>2867</v>
      </c>
      <c r="N718" s="15" t="s">
        <v>167</v>
      </c>
      <c r="O718" s="27" t="s">
        <v>2870</v>
      </c>
    </row>
    <row r="719" spans="1:15" s="1" customFormat="1" ht="13.5" customHeight="1">
      <c r="A719" s="3" t="s">
        <v>1087</v>
      </c>
      <c r="B719" s="4" t="s">
        <v>283</v>
      </c>
      <c r="C719" s="3"/>
      <c r="D719" s="5" t="s">
        <v>1088</v>
      </c>
      <c r="E719" s="5" t="s">
        <v>124</v>
      </c>
      <c r="F719" s="3" t="s">
        <v>2871</v>
      </c>
      <c r="G719" s="6">
        <f>9.804*L719</f>
        <v>117.648</v>
      </c>
      <c r="H719" s="7">
        <v>41691</v>
      </c>
      <c r="I719" s="6" t="s">
        <v>1090</v>
      </c>
      <c r="J719" s="6" t="s">
        <v>2872</v>
      </c>
      <c r="K719" s="6" t="s">
        <v>21</v>
      </c>
      <c r="L719" s="6">
        <v>12</v>
      </c>
      <c r="M719" s="15" t="s">
        <v>2873</v>
      </c>
      <c r="N719" s="15" t="s">
        <v>164</v>
      </c>
      <c r="O719" s="27" t="s">
        <v>2873</v>
      </c>
    </row>
    <row r="720" spans="1:15" s="1" customFormat="1" ht="13.5" customHeight="1">
      <c r="A720" s="3" t="s">
        <v>2240</v>
      </c>
      <c r="B720" s="4" t="s">
        <v>283</v>
      </c>
      <c r="C720" s="3"/>
      <c r="D720" s="5" t="s">
        <v>2241</v>
      </c>
      <c r="E720" s="5" t="s">
        <v>124</v>
      </c>
      <c r="F720" s="3" t="s">
        <v>2874</v>
      </c>
      <c r="G720" s="6">
        <f>29.101*L720</f>
        <v>58.201999999999998</v>
      </c>
      <c r="H720" s="7">
        <v>41691</v>
      </c>
      <c r="I720" s="6" t="s">
        <v>331</v>
      </c>
      <c r="J720" s="6" t="s">
        <v>2875</v>
      </c>
      <c r="K720" s="6" t="s">
        <v>21</v>
      </c>
      <c r="L720" s="6">
        <v>2</v>
      </c>
      <c r="M720" s="15" t="s">
        <v>2876</v>
      </c>
      <c r="N720" s="15" t="s">
        <v>595</v>
      </c>
      <c r="O720" s="27" t="s">
        <v>2876</v>
      </c>
    </row>
    <row r="721" spans="1:15" ht="13.5" customHeight="1">
      <c r="A721" s="3" t="s">
        <v>579</v>
      </c>
      <c r="B721" s="4" t="s">
        <v>283</v>
      </c>
      <c r="C721" s="3"/>
      <c r="D721" s="5" t="s">
        <v>580</v>
      </c>
      <c r="E721" s="5" t="s">
        <v>124</v>
      </c>
      <c r="F721" s="3" t="s">
        <v>2877</v>
      </c>
      <c r="G721" s="6">
        <f t="shared" ref="G721:G731" si="20">9.871*L721</f>
        <v>118.452</v>
      </c>
      <c r="H721" s="7">
        <v>41691</v>
      </c>
      <c r="I721" s="6" t="s">
        <v>161</v>
      </c>
      <c r="J721" s="6" t="s">
        <v>2878</v>
      </c>
      <c r="K721" s="6" t="s">
        <v>21</v>
      </c>
      <c r="L721" s="6">
        <v>12</v>
      </c>
      <c r="M721" s="15" t="s">
        <v>2879</v>
      </c>
      <c r="N721" s="15" t="s">
        <v>164</v>
      </c>
      <c r="O721" s="27" t="s">
        <v>2880</v>
      </c>
    </row>
    <row r="722" spans="1:15" s="1" customFormat="1" ht="13.5" customHeight="1">
      <c r="A722" s="3" t="s">
        <v>579</v>
      </c>
      <c r="B722" s="4" t="s">
        <v>283</v>
      </c>
      <c r="C722" s="3"/>
      <c r="D722" s="5" t="s">
        <v>580</v>
      </c>
      <c r="E722" s="5" t="s">
        <v>124</v>
      </c>
      <c r="F722" s="3" t="s">
        <v>2881</v>
      </c>
      <c r="G722" s="6">
        <f t="shared" si="20"/>
        <v>128.32300000000001</v>
      </c>
      <c r="H722" s="7">
        <v>41691</v>
      </c>
      <c r="I722" s="6" t="s">
        <v>161</v>
      </c>
      <c r="J722" s="6" t="s">
        <v>2882</v>
      </c>
      <c r="K722" s="6" t="s">
        <v>21</v>
      </c>
      <c r="L722" s="6">
        <v>13</v>
      </c>
      <c r="M722" s="15" t="s">
        <v>2879</v>
      </c>
      <c r="N722" s="15" t="s">
        <v>167</v>
      </c>
      <c r="O722" s="27" t="s">
        <v>2879</v>
      </c>
    </row>
    <row r="723" spans="1:15" s="1" customFormat="1" ht="13.5" customHeight="1">
      <c r="A723" s="3" t="s">
        <v>579</v>
      </c>
      <c r="B723" s="4" t="s">
        <v>283</v>
      </c>
      <c r="C723" s="3"/>
      <c r="D723" s="5" t="s">
        <v>580</v>
      </c>
      <c r="E723" s="5" t="s">
        <v>124</v>
      </c>
      <c r="F723" s="3" t="s">
        <v>2883</v>
      </c>
      <c r="G723" s="6">
        <f t="shared" si="20"/>
        <v>118.452</v>
      </c>
      <c r="H723" s="7">
        <v>41691</v>
      </c>
      <c r="I723" s="6" t="s">
        <v>161</v>
      </c>
      <c r="J723" s="6" t="s">
        <v>2884</v>
      </c>
      <c r="K723" s="6" t="s">
        <v>21</v>
      </c>
      <c r="L723" s="6">
        <v>12</v>
      </c>
      <c r="M723" s="15" t="s">
        <v>2885</v>
      </c>
      <c r="N723" s="15" t="s">
        <v>164</v>
      </c>
      <c r="O723" s="27" t="s">
        <v>2885</v>
      </c>
    </row>
    <row r="724" spans="1:15" ht="13.5" customHeight="1">
      <c r="A724" s="3" t="s">
        <v>579</v>
      </c>
      <c r="B724" s="4" t="s">
        <v>283</v>
      </c>
      <c r="C724" s="3"/>
      <c r="D724" s="5" t="s">
        <v>580</v>
      </c>
      <c r="E724" s="5" t="s">
        <v>124</v>
      </c>
      <c r="F724" s="3" t="s">
        <v>2886</v>
      </c>
      <c r="G724" s="6">
        <f t="shared" si="20"/>
        <v>128.32300000000001</v>
      </c>
      <c r="H724" s="7">
        <v>41691</v>
      </c>
      <c r="I724" s="6" t="s">
        <v>161</v>
      </c>
      <c r="J724" s="6" t="s">
        <v>2887</v>
      </c>
      <c r="K724" s="6" t="s">
        <v>21</v>
      </c>
      <c r="L724" s="6">
        <v>13</v>
      </c>
      <c r="M724" s="15" t="s">
        <v>2885</v>
      </c>
      <c r="N724" s="15" t="s">
        <v>167</v>
      </c>
      <c r="O724" s="27" t="s">
        <v>2888</v>
      </c>
    </row>
    <row r="725" spans="1:15" s="1" customFormat="1" ht="13.5" customHeight="1">
      <c r="A725" s="3" t="s">
        <v>579</v>
      </c>
      <c r="B725" s="4" t="s">
        <v>283</v>
      </c>
      <c r="C725" s="3"/>
      <c r="D725" s="5" t="s">
        <v>580</v>
      </c>
      <c r="E725" s="5" t="s">
        <v>124</v>
      </c>
      <c r="F725" s="3" t="s">
        <v>2889</v>
      </c>
      <c r="G725" s="6">
        <f t="shared" si="20"/>
        <v>118.452</v>
      </c>
      <c r="H725" s="7">
        <v>41691</v>
      </c>
      <c r="I725" s="6" t="s">
        <v>161</v>
      </c>
      <c r="J725" s="6" t="s">
        <v>2890</v>
      </c>
      <c r="K725" s="6" t="s">
        <v>21</v>
      </c>
      <c r="L725" s="6">
        <v>12</v>
      </c>
      <c r="M725" s="15" t="s">
        <v>2891</v>
      </c>
      <c r="N725" s="15" t="s">
        <v>164</v>
      </c>
      <c r="O725" s="28" t="s">
        <v>12827</v>
      </c>
    </row>
    <row r="726" spans="1:15" s="1" customFormat="1" ht="13.5" customHeight="1">
      <c r="A726" s="3" t="s">
        <v>579</v>
      </c>
      <c r="B726" s="4" t="s">
        <v>283</v>
      </c>
      <c r="C726" s="3"/>
      <c r="D726" s="5" t="s">
        <v>580</v>
      </c>
      <c r="E726" s="5" t="s">
        <v>124</v>
      </c>
      <c r="F726" s="3" t="s">
        <v>2892</v>
      </c>
      <c r="G726" s="6">
        <f t="shared" si="20"/>
        <v>128.32300000000001</v>
      </c>
      <c r="H726" s="7">
        <v>41691</v>
      </c>
      <c r="I726" s="6" t="s">
        <v>161</v>
      </c>
      <c r="J726" s="6" t="s">
        <v>2893</v>
      </c>
      <c r="K726" s="6" t="s">
        <v>21</v>
      </c>
      <c r="L726" s="6">
        <v>13</v>
      </c>
      <c r="M726" s="15" t="s">
        <v>2891</v>
      </c>
      <c r="N726" s="15" t="s">
        <v>167</v>
      </c>
      <c r="O726" s="28" t="s">
        <v>2894</v>
      </c>
    </row>
    <row r="727" spans="1:15" s="1" customFormat="1" ht="13.5" customHeight="1">
      <c r="A727" s="3" t="s">
        <v>579</v>
      </c>
      <c r="B727" s="4" t="s">
        <v>283</v>
      </c>
      <c r="C727" s="3"/>
      <c r="D727" s="5" t="s">
        <v>580</v>
      </c>
      <c r="E727" s="5" t="s">
        <v>124</v>
      </c>
      <c r="F727" s="3" t="s">
        <v>2895</v>
      </c>
      <c r="G727" s="6">
        <f t="shared" si="20"/>
        <v>118.452</v>
      </c>
      <c r="H727" s="7">
        <v>41691</v>
      </c>
      <c r="I727" s="6" t="s">
        <v>161</v>
      </c>
      <c r="J727" s="6" t="s">
        <v>2896</v>
      </c>
      <c r="K727" s="6" t="s">
        <v>21</v>
      </c>
      <c r="L727" s="6">
        <v>12</v>
      </c>
      <c r="M727" s="15" t="s">
        <v>2897</v>
      </c>
      <c r="N727" s="15" t="s">
        <v>164</v>
      </c>
      <c r="O727" s="28" t="s">
        <v>2897</v>
      </c>
    </row>
    <row r="728" spans="1:15" s="1" customFormat="1" ht="13.5" customHeight="1">
      <c r="A728" s="3" t="s">
        <v>579</v>
      </c>
      <c r="B728" s="4" t="s">
        <v>283</v>
      </c>
      <c r="C728" s="3"/>
      <c r="D728" s="5" t="s">
        <v>580</v>
      </c>
      <c r="E728" s="5" t="s">
        <v>124</v>
      </c>
      <c r="F728" s="3" t="s">
        <v>2898</v>
      </c>
      <c r="G728" s="6">
        <f t="shared" si="20"/>
        <v>128.32300000000001</v>
      </c>
      <c r="H728" s="7">
        <v>41691</v>
      </c>
      <c r="I728" s="6" t="s">
        <v>161</v>
      </c>
      <c r="J728" s="6" t="s">
        <v>2899</v>
      </c>
      <c r="K728" s="6" t="s">
        <v>21</v>
      </c>
      <c r="L728" s="6">
        <v>13</v>
      </c>
      <c r="M728" s="15" t="s">
        <v>2897</v>
      </c>
      <c r="N728" s="15" t="s">
        <v>167</v>
      </c>
      <c r="O728" s="28" t="s">
        <v>2900</v>
      </c>
    </row>
    <row r="729" spans="1:15" s="1" customFormat="1" ht="13.5" customHeight="1">
      <c r="A729" s="3" t="s">
        <v>1082</v>
      </c>
      <c r="B729" s="4" t="s">
        <v>283</v>
      </c>
      <c r="C729" s="3"/>
      <c r="D729" s="5" t="s">
        <v>1083</v>
      </c>
      <c r="E729" s="5" t="s">
        <v>124</v>
      </c>
      <c r="F729" s="3" t="s">
        <v>2901</v>
      </c>
      <c r="G729" s="6">
        <f t="shared" si="20"/>
        <v>98.710000000000008</v>
      </c>
      <c r="H729" s="7">
        <v>41691</v>
      </c>
      <c r="I729" s="6" t="s">
        <v>161</v>
      </c>
      <c r="J729" s="6" t="s">
        <v>2902</v>
      </c>
      <c r="K729" s="6" t="s">
        <v>21</v>
      </c>
      <c r="L729" s="6">
        <v>10</v>
      </c>
      <c r="M729" s="15" t="s">
        <v>2903</v>
      </c>
      <c r="N729" s="15" t="s">
        <v>2904</v>
      </c>
      <c r="O729" s="27" t="s">
        <v>2903</v>
      </c>
    </row>
    <row r="730" spans="1:15" s="1" customFormat="1" ht="13.5" customHeight="1">
      <c r="A730" s="3" t="s">
        <v>1082</v>
      </c>
      <c r="B730" s="4" t="s">
        <v>283</v>
      </c>
      <c r="C730" s="3"/>
      <c r="D730" s="5" t="s">
        <v>1083</v>
      </c>
      <c r="E730" s="5" t="s">
        <v>124</v>
      </c>
      <c r="F730" s="3" t="s">
        <v>2905</v>
      </c>
      <c r="G730" s="6">
        <f t="shared" si="20"/>
        <v>98.710000000000008</v>
      </c>
      <c r="H730" s="7">
        <v>41691</v>
      </c>
      <c r="I730" s="6" t="s">
        <v>161</v>
      </c>
      <c r="J730" s="6" t="s">
        <v>2906</v>
      </c>
      <c r="K730" s="6" t="s">
        <v>21</v>
      </c>
      <c r="L730" s="6">
        <v>10</v>
      </c>
      <c r="M730" s="15" t="s">
        <v>2903</v>
      </c>
      <c r="N730" s="15" t="s">
        <v>2907</v>
      </c>
      <c r="O730" s="27" t="s">
        <v>2908</v>
      </c>
    </row>
    <row r="731" spans="1:15" s="1" customFormat="1" ht="13.5" customHeight="1">
      <c r="A731" s="3" t="s">
        <v>1082</v>
      </c>
      <c r="B731" s="4" t="s">
        <v>283</v>
      </c>
      <c r="C731" s="3"/>
      <c r="D731" s="5" t="s">
        <v>1083</v>
      </c>
      <c r="E731" s="5" t="s">
        <v>124</v>
      </c>
      <c r="F731" s="3" t="s">
        <v>2909</v>
      </c>
      <c r="G731" s="6">
        <f t="shared" si="20"/>
        <v>49.355000000000004</v>
      </c>
      <c r="H731" s="7">
        <v>41691</v>
      </c>
      <c r="I731" s="6" t="s">
        <v>161</v>
      </c>
      <c r="J731" s="6" t="s">
        <v>2910</v>
      </c>
      <c r="K731" s="6" t="s">
        <v>21</v>
      </c>
      <c r="L731" s="6">
        <v>5</v>
      </c>
      <c r="M731" s="15" t="s">
        <v>2911</v>
      </c>
      <c r="N731" s="15" t="s">
        <v>2912</v>
      </c>
      <c r="O731" s="27" t="s">
        <v>2911</v>
      </c>
    </row>
    <row r="732" spans="1:15" s="1" customFormat="1" ht="13.5" customHeight="1">
      <c r="A732" s="3" t="s">
        <v>1429</v>
      </c>
      <c r="B732" s="4" t="s">
        <v>283</v>
      </c>
      <c r="C732" s="3"/>
      <c r="D732" s="5" t="s">
        <v>1430</v>
      </c>
      <c r="E732" s="5" t="s">
        <v>124</v>
      </c>
      <c r="F732" s="3" t="s">
        <v>2913</v>
      </c>
      <c r="G732" s="6">
        <f>33.349*L732</f>
        <v>166.74499999999998</v>
      </c>
      <c r="H732" s="7">
        <v>41691</v>
      </c>
      <c r="I732" s="6" t="s">
        <v>1432</v>
      </c>
      <c r="J732" s="6" t="s">
        <v>2914</v>
      </c>
      <c r="K732" s="6" t="s">
        <v>21</v>
      </c>
      <c r="L732" s="6">
        <v>5</v>
      </c>
      <c r="M732" s="15" t="s">
        <v>2915</v>
      </c>
      <c r="N732" s="15" t="s">
        <v>2916</v>
      </c>
      <c r="O732" s="27" t="s">
        <v>2915</v>
      </c>
    </row>
    <row r="733" spans="1:15" s="1" customFormat="1" ht="13.5" customHeight="1">
      <c r="A733" s="3" t="s">
        <v>1534</v>
      </c>
      <c r="B733" s="3"/>
      <c r="C733" s="3"/>
      <c r="D733" s="5" t="s">
        <v>2128</v>
      </c>
      <c r="E733" s="5" t="s">
        <v>124</v>
      </c>
      <c r="F733" s="3" t="s">
        <v>2917</v>
      </c>
      <c r="G733" s="6">
        <v>291.74</v>
      </c>
      <c r="H733" s="7">
        <v>41691</v>
      </c>
      <c r="I733" s="6" t="s">
        <v>209</v>
      </c>
      <c r="J733" s="6" t="s">
        <v>2918</v>
      </c>
      <c r="K733" s="6" t="s">
        <v>128</v>
      </c>
      <c r="L733" s="6" t="s">
        <v>2319</v>
      </c>
      <c r="M733" s="15" t="s">
        <v>2919</v>
      </c>
      <c r="N733" s="15" t="s">
        <v>2321</v>
      </c>
      <c r="O733" s="28" t="s">
        <v>2920</v>
      </c>
    </row>
    <row r="734" spans="1:15" s="1" customFormat="1" ht="13.5" customHeight="1">
      <c r="A734" s="3" t="s">
        <v>1534</v>
      </c>
      <c r="B734" s="3"/>
      <c r="C734" s="3"/>
      <c r="D734" s="5" t="s">
        <v>2128</v>
      </c>
      <c r="E734" s="5" t="s">
        <v>124</v>
      </c>
      <c r="F734" s="3" t="s">
        <v>2921</v>
      </c>
      <c r="G734" s="6">
        <v>291.74</v>
      </c>
      <c r="H734" s="7">
        <v>41691</v>
      </c>
      <c r="I734" s="6" t="s">
        <v>209</v>
      </c>
      <c r="J734" s="6" t="s">
        <v>2922</v>
      </c>
      <c r="K734" s="6" t="s">
        <v>128</v>
      </c>
      <c r="L734" s="6" t="s">
        <v>2319</v>
      </c>
      <c r="M734" s="15" t="s">
        <v>2923</v>
      </c>
      <c r="N734" s="15" t="s">
        <v>2326</v>
      </c>
      <c r="O734" s="28" t="s">
        <v>2924</v>
      </c>
    </row>
    <row r="735" spans="1:15" s="1" customFormat="1" ht="13.5" customHeight="1">
      <c r="A735" s="3" t="s">
        <v>1349</v>
      </c>
      <c r="B735" s="3"/>
      <c r="C735" s="3"/>
      <c r="D735" s="5" t="s">
        <v>2117</v>
      </c>
      <c r="E735" s="5" t="s">
        <v>124</v>
      </c>
      <c r="F735" s="3" t="s">
        <v>2925</v>
      </c>
      <c r="G735" s="6">
        <v>262.56599999999997</v>
      </c>
      <c r="H735" s="7">
        <v>41691</v>
      </c>
      <c r="I735" s="6" t="s">
        <v>178</v>
      </c>
      <c r="J735" s="6" t="s">
        <v>2926</v>
      </c>
      <c r="K735" s="6" t="s">
        <v>128</v>
      </c>
      <c r="L735" s="6" t="s">
        <v>1891</v>
      </c>
      <c r="M735" s="15" t="s">
        <v>2927</v>
      </c>
      <c r="N735" s="15" t="s">
        <v>2928</v>
      </c>
      <c r="O735" s="28" t="s">
        <v>2929</v>
      </c>
    </row>
    <row r="736" spans="1:15" s="1" customFormat="1" ht="13.5" customHeight="1">
      <c r="A736" s="3" t="s">
        <v>1349</v>
      </c>
      <c r="B736" s="3"/>
      <c r="C736" s="3"/>
      <c r="D736" s="5" t="s">
        <v>2117</v>
      </c>
      <c r="E736" s="5" t="s">
        <v>124</v>
      </c>
      <c r="F736" s="3" t="s">
        <v>2930</v>
      </c>
      <c r="G736" s="6">
        <v>139.22900000000001</v>
      </c>
      <c r="H736" s="7">
        <v>41691</v>
      </c>
      <c r="I736" s="6" t="s">
        <v>178</v>
      </c>
      <c r="J736" s="6" t="s">
        <v>2931</v>
      </c>
      <c r="K736" s="6" t="s">
        <v>128</v>
      </c>
      <c r="L736" s="6" t="s">
        <v>2183</v>
      </c>
      <c r="M736" s="15" t="s">
        <v>2932</v>
      </c>
      <c r="N736" s="15" t="s">
        <v>2699</v>
      </c>
      <c r="O736" s="28" t="s">
        <v>2933</v>
      </c>
    </row>
    <row r="737" spans="1:15" s="1" customFormat="1" ht="13.5" customHeight="1">
      <c r="A737" s="3" t="s">
        <v>1349</v>
      </c>
      <c r="B737" s="3"/>
      <c r="C737" s="3"/>
      <c r="D737" s="5" t="s">
        <v>2117</v>
      </c>
      <c r="E737" s="5" t="s">
        <v>124</v>
      </c>
      <c r="F737" s="3" t="s">
        <v>2934</v>
      </c>
      <c r="G737" s="6">
        <v>231.84800000000001</v>
      </c>
      <c r="H737" s="7">
        <v>41691</v>
      </c>
      <c r="I737" s="6" t="s">
        <v>178</v>
      </c>
      <c r="J737" s="6" t="s">
        <v>2935</v>
      </c>
      <c r="K737" s="6" t="s">
        <v>128</v>
      </c>
      <c r="L737" s="6" t="s">
        <v>1226</v>
      </c>
      <c r="M737" s="15" t="s">
        <v>2936</v>
      </c>
      <c r="N737" s="15" t="s">
        <v>2937</v>
      </c>
      <c r="O737" s="28" t="s">
        <v>2938</v>
      </c>
    </row>
    <row r="738" spans="1:15" s="1" customFormat="1" ht="13.5" customHeight="1">
      <c r="A738" s="3" t="s">
        <v>1349</v>
      </c>
      <c r="B738" s="3"/>
      <c r="C738" s="3"/>
      <c r="D738" s="5" t="s">
        <v>2117</v>
      </c>
      <c r="E738" s="5" t="s">
        <v>124</v>
      </c>
      <c r="F738" s="3" t="s">
        <v>2939</v>
      </c>
      <c r="G738" s="6">
        <v>139.46100000000001</v>
      </c>
      <c r="H738" s="7">
        <v>41691</v>
      </c>
      <c r="I738" s="6" t="s">
        <v>178</v>
      </c>
      <c r="J738" s="6" t="s">
        <v>2940</v>
      </c>
      <c r="K738" s="6" t="s">
        <v>128</v>
      </c>
      <c r="L738" s="6" t="s">
        <v>2183</v>
      </c>
      <c r="M738" s="15" t="s">
        <v>2941</v>
      </c>
      <c r="N738" s="15" t="s">
        <v>2942</v>
      </c>
      <c r="O738" s="28" t="s">
        <v>2943</v>
      </c>
    </row>
    <row r="739" spans="1:15" s="1" customFormat="1" ht="13.5" customHeight="1">
      <c r="A739" s="22" t="s">
        <v>2944</v>
      </c>
      <c r="B739" s="3"/>
      <c r="C739" s="3"/>
      <c r="D739" s="5" t="s">
        <v>544</v>
      </c>
      <c r="E739" s="5" t="s">
        <v>124</v>
      </c>
      <c r="F739" s="3" t="s">
        <v>2945</v>
      </c>
      <c r="G739" s="6">
        <v>83.808000000000007</v>
      </c>
      <c r="H739" s="7">
        <v>41691</v>
      </c>
      <c r="I739" s="6" t="s">
        <v>209</v>
      </c>
      <c r="J739" s="6" t="s">
        <v>2946</v>
      </c>
      <c r="K739" s="6" t="s">
        <v>128</v>
      </c>
      <c r="L739" s="6" t="s">
        <v>2788</v>
      </c>
      <c r="M739" s="15" t="s">
        <v>2947</v>
      </c>
      <c r="N739" s="15" t="s">
        <v>2790</v>
      </c>
      <c r="O739" s="28" t="s">
        <v>2948</v>
      </c>
    </row>
    <row r="740" spans="1:15" s="1" customFormat="1" ht="13.5" customHeight="1">
      <c r="A740" s="22" t="s">
        <v>2944</v>
      </c>
      <c r="B740" s="3"/>
      <c r="C740" s="3"/>
      <c r="D740" s="5" t="s">
        <v>544</v>
      </c>
      <c r="E740" s="5" t="s">
        <v>124</v>
      </c>
      <c r="F740" s="3" t="s">
        <v>2949</v>
      </c>
      <c r="G740" s="6">
        <v>50.369</v>
      </c>
      <c r="H740" s="7">
        <v>41691</v>
      </c>
      <c r="I740" s="6" t="s">
        <v>209</v>
      </c>
      <c r="J740" s="6" t="s">
        <v>2950</v>
      </c>
      <c r="K740" s="6" t="s">
        <v>128</v>
      </c>
      <c r="L740" s="6" t="s">
        <v>1652</v>
      </c>
      <c r="M740" s="15" t="s">
        <v>2951</v>
      </c>
      <c r="N740" s="15" t="s">
        <v>2952</v>
      </c>
      <c r="O740" s="28" t="s">
        <v>2953</v>
      </c>
    </row>
    <row r="741" spans="1:15" s="1" customFormat="1" ht="13.5" customHeight="1">
      <c r="A741" s="3" t="s">
        <v>678</v>
      </c>
      <c r="B741" s="3"/>
      <c r="C741" s="3"/>
      <c r="D741" s="5" t="s">
        <v>679</v>
      </c>
      <c r="E741" s="5" t="s">
        <v>124</v>
      </c>
      <c r="F741" s="3" t="s">
        <v>2954</v>
      </c>
      <c r="G741" s="6">
        <v>70.08</v>
      </c>
      <c r="H741" s="7">
        <v>41691</v>
      </c>
      <c r="I741" s="6" t="s">
        <v>209</v>
      </c>
      <c r="J741" s="6" t="s">
        <v>2955</v>
      </c>
      <c r="K741" s="6" t="s">
        <v>128</v>
      </c>
      <c r="L741" s="6" t="s">
        <v>2956</v>
      </c>
      <c r="M741" s="15" t="s">
        <v>2957</v>
      </c>
      <c r="N741" s="15" t="s">
        <v>2958</v>
      </c>
      <c r="O741" s="27" t="s">
        <v>2959</v>
      </c>
    </row>
    <row r="742" spans="1:15" s="1" customFormat="1" ht="13.5" customHeight="1">
      <c r="A742" s="3" t="s">
        <v>694</v>
      </c>
      <c r="B742" s="3"/>
      <c r="C742" s="3"/>
      <c r="D742" s="5" t="s">
        <v>695</v>
      </c>
      <c r="E742" s="5" t="s">
        <v>124</v>
      </c>
      <c r="F742" s="3" t="s">
        <v>2960</v>
      </c>
      <c r="G742" s="6">
        <v>97.641999999999996</v>
      </c>
      <c r="H742" s="7">
        <v>41691</v>
      </c>
      <c r="I742" s="6" t="s">
        <v>209</v>
      </c>
      <c r="J742" s="6" t="s">
        <v>2961</v>
      </c>
      <c r="K742" s="6" t="s">
        <v>128</v>
      </c>
      <c r="L742" s="6" t="s">
        <v>829</v>
      </c>
      <c r="M742" s="15" t="s">
        <v>2962</v>
      </c>
      <c r="N742" s="15" t="s">
        <v>2963</v>
      </c>
      <c r="O742" s="28" t="s">
        <v>2964</v>
      </c>
    </row>
    <row r="743" spans="1:15" s="1" customFormat="1" ht="13.5" customHeight="1">
      <c r="A743" s="22" t="s">
        <v>2965</v>
      </c>
      <c r="B743" s="3"/>
      <c r="C743" s="3"/>
      <c r="D743" s="5" t="s">
        <v>544</v>
      </c>
      <c r="E743" s="5" t="s">
        <v>124</v>
      </c>
      <c r="F743" s="3" t="s">
        <v>2966</v>
      </c>
      <c r="G743" s="6">
        <v>33.344000000000001</v>
      </c>
      <c r="H743" s="7">
        <v>41691</v>
      </c>
      <c r="I743" s="6" t="s">
        <v>209</v>
      </c>
      <c r="J743" s="6" t="s">
        <v>2967</v>
      </c>
      <c r="K743" s="6" t="s">
        <v>128</v>
      </c>
      <c r="L743" s="6" t="s">
        <v>2968</v>
      </c>
      <c r="M743" s="15" t="s">
        <v>2951</v>
      </c>
      <c r="N743" s="15" t="s">
        <v>2969</v>
      </c>
      <c r="O743" s="28" t="s">
        <v>2970</v>
      </c>
    </row>
    <row r="744" spans="1:15" s="1" customFormat="1" ht="13.5" customHeight="1">
      <c r="A744" s="3" t="s">
        <v>1534</v>
      </c>
      <c r="B744" s="3"/>
      <c r="C744" s="3"/>
      <c r="D744" s="5" t="s">
        <v>2128</v>
      </c>
      <c r="E744" s="5" t="s">
        <v>124</v>
      </c>
      <c r="F744" s="3" t="s">
        <v>2971</v>
      </c>
      <c r="G744" s="6">
        <v>260.59500000000003</v>
      </c>
      <c r="H744" s="7">
        <v>41695</v>
      </c>
      <c r="I744" s="6" t="s">
        <v>209</v>
      </c>
      <c r="J744" s="6" t="s">
        <v>2972</v>
      </c>
      <c r="K744" s="6" t="s">
        <v>128</v>
      </c>
      <c r="L744" s="6" t="s">
        <v>1885</v>
      </c>
      <c r="M744" s="15" t="s">
        <v>2973</v>
      </c>
      <c r="N744" s="15" t="s">
        <v>2974</v>
      </c>
      <c r="O744" s="28" t="s">
        <v>2975</v>
      </c>
    </row>
    <row r="745" spans="1:15" ht="13.5" customHeight="1">
      <c r="A745" s="3" t="s">
        <v>1534</v>
      </c>
      <c r="B745" s="3"/>
      <c r="C745" s="3"/>
      <c r="D745" s="5" t="s">
        <v>2128</v>
      </c>
      <c r="E745" s="5" t="s">
        <v>124</v>
      </c>
      <c r="F745" s="3" t="s">
        <v>2976</v>
      </c>
      <c r="G745" s="6">
        <v>291.74</v>
      </c>
      <c r="H745" s="7">
        <v>41695</v>
      </c>
      <c r="I745" s="6" t="s">
        <v>209</v>
      </c>
      <c r="J745" s="6" t="s">
        <v>2977</v>
      </c>
      <c r="K745" s="6" t="s">
        <v>128</v>
      </c>
      <c r="L745" s="6" t="s">
        <v>2319</v>
      </c>
      <c r="M745" s="15" t="s">
        <v>2978</v>
      </c>
      <c r="N745" s="15" t="s">
        <v>2979</v>
      </c>
      <c r="O745" s="28" t="s">
        <v>2980</v>
      </c>
    </row>
    <row r="746" spans="1:15" s="1" customFormat="1" ht="13.5" customHeight="1">
      <c r="A746" s="3" t="s">
        <v>1534</v>
      </c>
      <c r="B746" s="3"/>
      <c r="C746" s="3"/>
      <c r="D746" s="5" t="s">
        <v>2128</v>
      </c>
      <c r="E746" s="5" t="s">
        <v>124</v>
      </c>
      <c r="F746" s="3" t="s">
        <v>2981</v>
      </c>
      <c r="G746" s="6">
        <v>291.74</v>
      </c>
      <c r="H746" s="7">
        <v>41695</v>
      </c>
      <c r="I746" s="6" t="s">
        <v>209</v>
      </c>
      <c r="J746" s="6" t="s">
        <v>2982</v>
      </c>
      <c r="K746" s="6" t="s">
        <v>128</v>
      </c>
      <c r="L746" s="6" t="s">
        <v>2319</v>
      </c>
      <c r="M746" s="15" t="s">
        <v>2983</v>
      </c>
      <c r="N746" s="15" t="s">
        <v>2326</v>
      </c>
      <c r="O746" s="28" t="s">
        <v>2984</v>
      </c>
    </row>
    <row r="747" spans="1:15" s="1" customFormat="1" ht="13.5" customHeight="1">
      <c r="A747" s="3" t="s">
        <v>1534</v>
      </c>
      <c r="B747" s="3"/>
      <c r="C747" s="3"/>
      <c r="D747" s="5" t="s">
        <v>2128</v>
      </c>
      <c r="E747" s="5" t="s">
        <v>124</v>
      </c>
      <c r="F747" s="3" t="s">
        <v>2985</v>
      </c>
      <c r="G747" s="6">
        <v>291.74</v>
      </c>
      <c r="H747" s="7">
        <v>41695</v>
      </c>
      <c r="I747" s="6" t="s">
        <v>209</v>
      </c>
      <c r="J747" s="6" t="s">
        <v>2986</v>
      </c>
      <c r="K747" s="6" t="s">
        <v>128</v>
      </c>
      <c r="L747" s="6" t="s">
        <v>2319</v>
      </c>
      <c r="M747" s="15" t="s">
        <v>2987</v>
      </c>
      <c r="N747" s="15" t="s">
        <v>2988</v>
      </c>
      <c r="O747" s="28" t="s">
        <v>2989</v>
      </c>
    </row>
    <row r="748" spans="1:15" ht="13.5" customHeight="1">
      <c r="A748" s="3" t="s">
        <v>1534</v>
      </c>
      <c r="B748" s="3"/>
      <c r="C748" s="3"/>
      <c r="D748" s="5" t="s">
        <v>2128</v>
      </c>
      <c r="E748" s="5" t="s">
        <v>124</v>
      </c>
      <c r="F748" s="3" t="s">
        <v>2990</v>
      </c>
      <c r="G748" s="6">
        <v>291.74</v>
      </c>
      <c r="H748" s="7">
        <v>41695</v>
      </c>
      <c r="I748" s="6" t="s">
        <v>209</v>
      </c>
      <c r="J748" s="6" t="s">
        <v>2991</v>
      </c>
      <c r="K748" s="6" t="s">
        <v>128</v>
      </c>
      <c r="L748" s="6" t="s">
        <v>2319</v>
      </c>
      <c r="M748" s="15" t="s">
        <v>2992</v>
      </c>
      <c r="N748" s="15" t="s">
        <v>2444</v>
      </c>
      <c r="O748" s="28" t="s">
        <v>2993</v>
      </c>
    </row>
    <row r="749" spans="1:15" s="1" customFormat="1" ht="13.5" customHeight="1">
      <c r="A749" s="3" t="s">
        <v>1739</v>
      </c>
      <c r="B749" s="3"/>
      <c r="C749" s="3"/>
      <c r="D749" s="5" t="s">
        <v>383</v>
      </c>
      <c r="E749" s="5" t="s">
        <v>124</v>
      </c>
      <c r="F749" s="3" t="s">
        <v>2994</v>
      </c>
      <c r="G749" s="6">
        <v>154.822</v>
      </c>
      <c r="H749" s="7">
        <v>41695</v>
      </c>
      <c r="I749" s="6" t="s">
        <v>209</v>
      </c>
      <c r="J749" s="6" t="s">
        <v>2995</v>
      </c>
      <c r="K749" s="6" t="s">
        <v>128</v>
      </c>
      <c r="L749" s="6" t="s">
        <v>2782</v>
      </c>
      <c r="M749" s="15" t="s">
        <v>2996</v>
      </c>
      <c r="N749" s="15" t="s">
        <v>2997</v>
      </c>
      <c r="O749" s="28" t="s">
        <v>2998</v>
      </c>
    </row>
    <row r="750" spans="1:15" ht="13.5" customHeight="1">
      <c r="A750" s="3" t="s">
        <v>1216</v>
      </c>
      <c r="B750" s="3"/>
      <c r="C750" s="3"/>
      <c r="D750" s="5" t="s">
        <v>2117</v>
      </c>
      <c r="E750" s="5" t="s">
        <v>124</v>
      </c>
      <c r="F750" s="3" t="s">
        <v>2999</v>
      </c>
      <c r="G750" s="6">
        <v>201.65</v>
      </c>
      <c r="H750" s="7">
        <v>41695</v>
      </c>
      <c r="I750" s="6" t="s">
        <v>209</v>
      </c>
      <c r="J750" s="6" t="s">
        <v>3000</v>
      </c>
      <c r="K750" s="6" t="s">
        <v>128</v>
      </c>
      <c r="L750" s="6" t="s">
        <v>1996</v>
      </c>
      <c r="M750" s="15" t="s">
        <v>3001</v>
      </c>
      <c r="N750" s="15" t="s">
        <v>3002</v>
      </c>
      <c r="O750" s="28" t="s">
        <v>3003</v>
      </c>
    </row>
    <row r="751" spans="1:15" ht="13.5" customHeight="1">
      <c r="A751" s="3" t="s">
        <v>1854</v>
      </c>
      <c r="B751" s="3"/>
      <c r="C751" s="3"/>
      <c r="D751" s="5" t="s">
        <v>1855</v>
      </c>
      <c r="E751" s="5" t="s">
        <v>124</v>
      </c>
      <c r="F751" s="3" t="s">
        <v>3004</v>
      </c>
      <c r="G751" s="6">
        <v>102.098</v>
      </c>
      <c r="H751" s="7">
        <v>41695</v>
      </c>
      <c r="I751" s="6" t="s">
        <v>209</v>
      </c>
      <c r="J751" s="6" t="s">
        <v>3005</v>
      </c>
      <c r="K751" s="6" t="s">
        <v>128</v>
      </c>
      <c r="L751" s="6" t="s">
        <v>1844</v>
      </c>
      <c r="M751" s="15" t="s">
        <v>3006</v>
      </c>
      <c r="N751" s="15" t="s">
        <v>3007</v>
      </c>
      <c r="O751" s="28" t="s">
        <v>3008</v>
      </c>
    </row>
    <row r="752" spans="1:15" s="1" customFormat="1" ht="13.5" customHeight="1">
      <c r="A752" s="3" t="s">
        <v>252</v>
      </c>
      <c r="B752" s="3"/>
      <c r="C752" s="3"/>
      <c r="D752" s="5" t="s">
        <v>245</v>
      </c>
      <c r="E752" s="5" t="s">
        <v>124</v>
      </c>
      <c r="F752" s="3" t="s">
        <v>3009</v>
      </c>
      <c r="G752" s="6">
        <f>18.708*L752</f>
        <v>187.07999999999998</v>
      </c>
      <c r="H752" s="7">
        <v>41695</v>
      </c>
      <c r="I752" s="6" t="s">
        <v>247</v>
      </c>
      <c r="J752" s="6" t="s">
        <v>3010</v>
      </c>
      <c r="K752" s="6" t="s">
        <v>21</v>
      </c>
      <c r="L752" s="6">
        <v>10</v>
      </c>
      <c r="M752" s="15" t="s">
        <v>3011</v>
      </c>
      <c r="N752" s="15" t="s">
        <v>35</v>
      </c>
      <c r="O752" s="28" t="s">
        <v>3011</v>
      </c>
    </row>
    <row r="753" spans="1:15" s="1" customFormat="1" ht="13.5" customHeight="1">
      <c r="A753" s="3" t="s">
        <v>1108</v>
      </c>
      <c r="B753" s="3"/>
      <c r="C753" s="3"/>
      <c r="D753" s="5" t="s">
        <v>391</v>
      </c>
      <c r="E753" s="5" t="s">
        <v>124</v>
      </c>
      <c r="F753" s="3" t="s">
        <v>3012</v>
      </c>
      <c r="G753" s="6">
        <f>17.712*L753</f>
        <v>212.54399999999998</v>
      </c>
      <c r="H753" s="7">
        <v>41695</v>
      </c>
      <c r="I753" s="6" t="s">
        <v>265</v>
      </c>
      <c r="J753" s="6" t="s">
        <v>3013</v>
      </c>
      <c r="K753" s="6" t="s">
        <v>21</v>
      </c>
      <c r="L753" s="6">
        <v>12</v>
      </c>
      <c r="M753" s="15" t="s">
        <v>2774</v>
      </c>
      <c r="N753" s="15" t="s">
        <v>1211</v>
      </c>
      <c r="O753" s="28" t="s">
        <v>3014</v>
      </c>
    </row>
    <row r="754" spans="1:15" ht="13.5" customHeight="1">
      <c r="A754" s="3" t="s">
        <v>1108</v>
      </c>
      <c r="B754" s="3"/>
      <c r="C754" s="3"/>
      <c r="D754" s="5" t="s">
        <v>391</v>
      </c>
      <c r="E754" s="5" t="s">
        <v>124</v>
      </c>
      <c r="F754" s="3" t="s">
        <v>3015</v>
      </c>
      <c r="G754" s="6">
        <f>17.712*L754</f>
        <v>177.12</v>
      </c>
      <c r="H754" s="7">
        <v>41695</v>
      </c>
      <c r="I754" s="6" t="s">
        <v>265</v>
      </c>
      <c r="J754" s="6" t="s">
        <v>3016</v>
      </c>
      <c r="K754" s="6" t="s">
        <v>21</v>
      </c>
      <c r="L754" s="6">
        <v>10</v>
      </c>
      <c r="M754" s="15" t="s">
        <v>3017</v>
      </c>
      <c r="N754" s="15" t="s">
        <v>114</v>
      </c>
      <c r="O754" s="28" t="s">
        <v>3017</v>
      </c>
    </row>
    <row r="755" spans="1:15" s="1" customFormat="1" ht="13.5" customHeight="1">
      <c r="A755" s="3" t="s">
        <v>1150</v>
      </c>
      <c r="B755" s="3"/>
      <c r="C755" s="3"/>
      <c r="D755" s="5" t="s">
        <v>1151</v>
      </c>
      <c r="E755" s="5" t="s">
        <v>124</v>
      </c>
      <c r="F755" s="3" t="s">
        <v>3018</v>
      </c>
      <c r="G755" s="6">
        <f>17.712*L755</f>
        <v>177.12</v>
      </c>
      <c r="H755" s="7">
        <v>41695</v>
      </c>
      <c r="I755" s="6" t="s">
        <v>265</v>
      </c>
      <c r="J755" s="6" t="s">
        <v>3019</v>
      </c>
      <c r="K755" s="6" t="s">
        <v>21</v>
      </c>
      <c r="L755" s="6">
        <v>10</v>
      </c>
      <c r="M755" s="15" t="s">
        <v>3020</v>
      </c>
      <c r="N755" s="15" t="s">
        <v>859</v>
      </c>
      <c r="O755" s="28" t="s">
        <v>3020</v>
      </c>
    </row>
    <row r="756" spans="1:15" s="1" customFormat="1" ht="13.5" customHeight="1">
      <c r="A756" s="5" t="s">
        <v>1127</v>
      </c>
      <c r="B756" s="3"/>
      <c r="C756" s="3"/>
      <c r="D756" s="5" t="s">
        <v>1128</v>
      </c>
      <c r="E756" s="5" t="s">
        <v>7026</v>
      </c>
      <c r="F756" s="3" t="s">
        <v>7370</v>
      </c>
      <c r="G756" s="6">
        <f t="shared" ref="G756:G773" si="21">29.101*L756</f>
        <v>232.80799999999999</v>
      </c>
      <c r="H756" s="7">
        <v>41696</v>
      </c>
      <c r="I756" s="6" t="s">
        <v>178</v>
      </c>
      <c r="J756" s="6" t="s">
        <v>7371</v>
      </c>
      <c r="K756" s="6" t="s">
        <v>21</v>
      </c>
      <c r="L756" s="6">
        <v>8</v>
      </c>
      <c r="M756" s="15" t="s">
        <v>7372</v>
      </c>
      <c r="N756" s="15" t="s">
        <v>447</v>
      </c>
      <c r="O756" s="28" t="s">
        <v>7373</v>
      </c>
    </row>
    <row r="757" spans="1:15" ht="13.5" customHeight="1">
      <c r="A757" s="5" t="s">
        <v>1127</v>
      </c>
      <c r="B757" s="3"/>
      <c r="C757" s="3"/>
      <c r="D757" s="5" t="s">
        <v>1128</v>
      </c>
      <c r="E757" s="5" t="s">
        <v>7026</v>
      </c>
      <c r="F757" s="3" t="s">
        <v>12183</v>
      </c>
      <c r="G757" s="6">
        <f t="shared" si="21"/>
        <v>232.80799999999999</v>
      </c>
      <c r="H757" s="7">
        <v>41696</v>
      </c>
      <c r="I757" s="6" t="s">
        <v>178</v>
      </c>
      <c r="J757" s="6" t="s">
        <v>7374</v>
      </c>
      <c r="K757" s="6" t="s">
        <v>21</v>
      </c>
      <c r="L757" s="6">
        <v>8</v>
      </c>
      <c r="M757" s="15" t="s">
        <v>7372</v>
      </c>
      <c r="N757" s="15" t="s">
        <v>892</v>
      </c>
      <c r="O757" s="28" t="s">
        <v>7375</v>
      </c>
    </row>
    <row r="758" spans="1:15" s="1" customFormat="1" ht="13.5" customHeight="1">
      <c r="A758" s="5" t="s">
        <v>1127</v>
      </c>
      <c r="B758" s="3"/>
      <c r="C758" s="3"/>
      <c r="D758" s="5" t="s">
        <v>1128</v>
      </c>
      <c r="E758" s="5" t="s">
        <v>7026</v>
      </c>
      <c r="F758" s="3" t="s">
        <v>7376</v>
      </c>
      <c r="G758" s="6">
        <f t="shared" si="21"/>
        <v>261.90899999999999</v>
      </c>
      <c r="H758" s="7">
        <v>41696</v>
      </c>
      <c r="I758" s="6" t="s">
        <v>178</v>
      </c>
      <c r="J758" s="6" t="s">
        <v>7377</v>
      </c>
      <c r="K758" s="6" t="s">
        <v>21</v>
      </c>
      <c r="L758" s="6">
        <v>9</v>
      </c>
      <c r="M758" s="15" t="s">
        <v>7372</v>
      </c>
      <c r="N758" s="15" t="s">
        <v>896</v>
      </c>
      <c r="O758" s="28" t="s">
        <v>7378</v>
      </c>
    </row>
    <row r="759" spans="1:15" s="1" customFormat="1" ht="13.5" customHeight="1">
      <c r="A759" s="5" t="s">
        <v>1127</v>
      </c>
      <c r="B759" s="3"/>
      <c r="C759" s="3"/>
      <c r="D759" s="5" t="s">
        <v>1128</v>
      </c>
      <c r="E759" s="5" t="s">
        <v>7026</v>
      </c>
      <c r="F759" s="3" t="s">
        <v>7379</v>
      </c>
      <c r="G759" s="6">
        <f t="shared" si="21"/>
        <v>232.80799999999999</v>
      </c>
      <c r="H759" s="7">
        <v>41696</v>
      </c>
      <c r="I759" s="6" t="s">
        <v>178</v>
      </c>
      <c r="J759" s="6" t="s">
        <v>7380</v>
      </c>
      <c r="K759" s="6" t="s">
        <v>21</v>
      </c>
      <c r="L759" s="6">
        <v>8</v>
      </c>
      <c r="M759" s="15" t="s">
        <v>7381</v>
      </c>
      <c r="N759" s="15" t="s">
        <v>447</v>
      </c>
      <c r="O759" s="28" t="s">
        <v>7382</v>
      </c>
    </row>
    <row r="760" spans="1:15" s="1" customFormat="1" ht="13.5" customHeight="1">
      <c r="A760" s="5" t="s">
        <v>1127</v>
      </c>
      <c r="B760" s="3"/>
      <c r="C760" s="3"/>
      <c r="D760" s="5" t="s">
        <v>1128</v>
      </c>
      <c r="E760" s="5" t="s">
        <v>7026</v>
      </c>
      <c r="F760" s="3" t="s">
        <v>7383</v>
      </c>
      <c r="G760" s="6">
        <f t="shared" si="21"/>
        <v>232.80799999999999</v>
      </c>
      <c r="H760" s="7">
        <v>41696</v>
      </c>
      <c r="I760" s="6" t="s">
        <v>178</v>
      </c>
      <c r="J760" s="6" t="s">
        <v>7384</v>
      </c>
      <c r="K760" s="6" t="s">
        <v>21</v>
      </c>
      <c r="L760" s="6">
        <v>8</v>
      </c>
      <c r="M760" s="15" t="s">
        <v>7381</v>
      </c>
      <c r="N760" s="15" t="s">
        <v>892</v>
      </c>
      <c r="O760" s="28" t="s">
        <v>7385</v>
      </c>
    </row>
    <row r="761" spans="1:15" s="1" customFormat="1" ht="13.5" customHeight="1">
      <c r="A761" s="5" t="s">
        <v>1127</v>
      </c>
      <c r="B761" s="3"/>
      <c r="C761" s="3"/>
      <c r="D761" s="5" t="s">
        <v>1128</v>
      </c>
      <c r="E761" s="5" t="s">
        <v>7026</v>
      </c>
      <c r="F761" s="3" t="s">
        <v>7386</v>
      </c>
      <c r="G761" s="6">
        <f t="shared" si="21"/>
        <v>261.90899999999999</v>
      </c>
      <c r="H761" s="7">
        <v>41696</v>
      </c>
      <c r="I761" s="6" t="s">
        <v>178</v>
      </c>
      <c r="J761" s="6" t="s">
        <v>7387</v>
      </c>
      <c r="K761" s="6" t="s">
        <v>21</v>
      </c>
      <c r="L761" s="6">
        <v>9</v>
      </c>
      <c r="M761" s="15" t="s">
        <v>7381</v>
      </c>
      <c r="N761" s="15" t="s">
        <v>896</v>
      </c>
      <c r="O761" s="27" t="s">
        <v>7388</v>
      </c>
    </row>
    <row r="762" spans="1:15" s="1" customFormat="1" ht="13.5" customHeight="1">
      <c r="A762" s="5" t="s">
        <v>1127</v>
      </c>
      <c r="B762" s="3"/>
      <c r="C762" s="3"/>
      <c r="D762" s="5" t="s">
        <v>1128</v>
      </c>
      <c r="E762" s="5" t="s">
        <v>7026</v>
      </c>
      <c r="F762" s="3" t="s">
        <v>7389</v>
      </c>
      <c r="G762" s="6">
        <f t="shared" si="21"/>
        <v>232.80799999999999</v>
      </c>
      <c r="H762" s="7">
        <v>41696</v>
      </c>
      <c r="I762" s="6" t="s">
        <v>178</v>
      </c>
      <c r="J762" s="6" t="s">
        <v>7390</v>
      </c>
      <c r="K762" s="6" t="s">
        <v>21</v>
      </c>
      <c r="L762" s="6">
        <v>8</v>
      </c>
      <c r="M762" s="15" t="s">
        <v>7391</v>
      </c>
      <c r="N762" s="15" t="s">
        <v>447</v>
      </c>
      <c r="O762" s="28" t="s">
        <v>7392</v>
      </c>
    </row>
    <row r="763" spans="1:15" s="1" customFormat="1" ht="13.5" customHeight="1">
      <c r="A763" s="5" t="s">
        <v>1127</v>
      </c>
      <c r="B763" s="3"/>
      <c r="C763" s="3"/>
      <c r="D763" s="5" t="s">
        <v>1128</v>
      </c>
      <c r="E763" s="5" t="s">
        <v>7026</v>
      </c>
      <c r="F763" s="3" t="s">
        <v>7393</v>
      </c>
      <c r="G763" s="6">
        <f t="shared" si="21"/>
        <v>232.80799999999999</v>
      </c>
      <c r="H763" s="7">
        <v>41696</v>
      </c>
      <c r="I763" s="6" t="s">
        <v>178</v>
      </c>
      <c r="J763" s="6" t="s">
        <v>7394</v>
      </c>
      <c r="K763" s="6" t="s">
        <v>21</v>
      </c>
      <c r="L763" s="6">
        <v>8</v>
      </c>
      <c r="M763" s="15" t="s">
        <v>7391</v>
      </c>
      <c r="N763" s="15" t="s">
        <v>892</v>
      </c>
      <c r="O763" s="28" t="s">
        <v>7395</v>
      </c>
    </row>
    <row r="764" spans="1:15" s="1" customFormat="1" ht="13.5" customHeight="1">
      <c r="A764" s="5" t="s">
        <v>1127</v>
      </c>
      <c r="B764" s="3"/>
      <c r="C764" s="3"/>
      <c r="D764" s="5" t="s">
        <v>1128</v>
      </c>
      <c r="E764" s="5" t="s">
        <v>7026</v>
      </c>
      <c r="F764" s="3" t="s">
        <v>7396</v>
      </c>
      <c r="G764" s="6">
        <f t="shared" si="21"/>
        <v>261.90899999999999</v>
      </c>
      <c r="H764" s="7">
        <v>41696</v>
      </c>
      <c r="I764" s="6" t="s">
        <v>178</v>
      </c>
      <c r="J764" s="6" t="s">
        <v>7397</v>
      </c>
      <c r="K764" s="6" t="s">
        <v>21</v>
      </c>
      <c r="L764" s="6">
        <v>9</v>
      </c>
      <c r="M764" s="15" t="s">
        <v>7391</v>
      </c>
      <c r="N764" s="15" t="s">
        <v>896</v>
      </c>
      <c r="O764" s="27" t="s">
        <v>7398</v>
      </c>
    </row>
    <row r="765" spans="1:15" s="1" customFormat="1" ht="13.5" customHeight="1">
      <c r="A765" s="5" t="s">
        <v>1127</v>
      </c>
      <c r="B765" s="3"/>
      <c r="C765" s="3"/>
      <c r="D765" s="5" t="s">
        <v>1128</v>
      </c>
      <c r="E765" s="5" t="s">
        <v>7026</v>
      </c>
      <c r="F765" s="3" t="s">
        <v>7399</v>
      </c>
      <c r="G765" s="6">
        <f t="shared" si="21"/>
        <v>232.80799999999999</v>
      </c>
      <c r="H765" s="7">
        <v>41696</v>
      </c>
      <c r="I765" s="6" t="s">
        <v>178</v>
      </c>
      <c r="J765" s="6" t="s">
        <v>7400</v>
      </c>
      <c r="K765" s="6" t="s">
        <v>21</v>
      </c>
      <c r="L765" s="6">
        <v>8</v>
      </c>
      <c r="M765" s="15" t="s">
        <v>7401</v>
      </c>
      <c r="N765" s="15" t="s">
        <v>447</v>
      </c>
      <c r="O765" s="27" t="s">
        <v>7402</v>
      </c>
    </row>
    <row r="766" spans="1:15" s="1" customFormat="1" ht="13.5" customHeight="1">
      <c r="A766" s="5" t="s">
        <v>1127</v>
      </c>
      <c r="B766" s="3"/>
      <c r="C766" s="3"/>
      <c r="D766" s="5" t="s">
        <v>1128</v>
      </c>
      <c r="E766" s="5" t="s">
        <v>7026</v>
      </c>
      <c r="F766" s="3" t="s">
        <v>7403</v>
      </c>
      <c r="G766" s="6">
        <f t="shared" si="21"/>
        <v>232.80799999999999</v>
      </c>
      <c r="H766" s="7">
        <v>41696</v>
      </c>
      <c r="I766" s="6" t="s">
        <v>178</v>
      </c>
      <c r="J766" s="6" t="s">
        <v>7404</v>
      </c>
      <c r="K766" s="6" t="s">
        <v>21</v>
      </c>
      <c r="L766" s="6">
        <v>8</v>
      </c>
      <c r="M766" s="15" t="s">
        <v>7401</v>
      </c>
      <c r="N766" s="15" t="s">
        <v>892</v>
      </c>
      <c r="O766" s="27" t="s">
        <v>7405</v>
      </c>
    </row>
    <row r="767" spans="1:15" s="1" customFormat="1" ht="13.5" customHeight="1">
      <c r="A767" s="5" t="s">
        <v>1127</v>
      </c>
      <c r="B767" s="3"/>
      <c r="C767" s="3"/>
      <c r="D767" s="5" t="s">
        <v>1128</v>
      </c>
      <c r="E767" s="5" t="s">
        <v>7026</v>
      </c>
      <c r="F767" s="3" t="s">
        <v>7406</v>
      </c>
      <c r="G767" s="6">
        <f t="shared" si="21"/>
        <v>261.90899999999999</v>
      </c>
      <c r="H767" s="7">
        <v>41696</v>
      </c>
      <c r="I767" s="6" t="s">
        <v>178</v>
      </c>
      <c r="J767" s="6" t="s">
        <v>7407</v>
      </c>
      <c r="K767" s="6" t="s">
        <v>21</v>
      </c>
      <c r="L767" s="6">
        <v>9</v>
      </c>
      <c r="M767" s="15" t="s">
        <v>7401</v>
      </c>
      <c r="N767" s="15" t="s">
        <v>896</v>
      </c>
      <c r="O767" s="27" t="s">
        <v>7408</v>
      </c>
    </row>
    <row r="768" spans="1:15" s="1" customFormat="1" ht="13.5" customHeight="1">
      <c r="A768" s="5" t="s">
        <v>1127</v>
      </c>
      <c r="B768" s="3"/>
      <c r="C768" s="3"/>
      <c r="D768" s="5" t="s">
        <v>1128</v>
      </c>
      <c r="E768" s="5" t="s">
        <v>7026</v>
      </c>
      <c r="F768" s="3" t="s">
        <v>7409</v>
      </c>
      <c r="G768" s="6">
        <f t="shared" si="21"/>
        <v>232.80799999999999</v>
      </c>
      <c r="H768" s="7">
        <v>41696</v>
      </c>
      <c r="I768" s="6" t="s">
        <v>178</v>
      </c>
      <c r="J768" s="6" t="s">
        <v>7410</v>
      </c>
      <c r="K768" s="6" t="s">
        <v>21</v>
      </c>
      <c r="L768" s="6">
        <v>8</v>
      </c>
      <c r="M768" s="15" t="s">
        <v>7411</v>
      </c>
      <c r="N768" s="15" t="s">
        <v>447</v>
      </c>
      <c r="O768" s="28" t="s">
        <v>7412</v>
      </c>
    </row>
    <row r="769" spans="1:15" s="1" customFormat="1" ht="13.5" customHeight="1">
      <c r="A769" s="5" t="s">
        <v>1127</v>
      </c>
      <c r="B769" s="3"/>
      <c r="C769" s="3"/>
      <c r="D769" s="5" t="s">
        <v>1128</v>
      </c>
      <c r="E769" s="5" t="s">
        <v>7026</v>
      </c>
      <c r="F769" s="3" t="s">
        <v>7413</v>
      </c>
      <c r="G769" s="6">
        <f t="shared" si="21"/>
        <v>232.80799999999999</v>
      </c>
      <c r="H769" s="7">
        <v>41696</v>
      </c>
      <c r="I769" s="6" t="s">
        <v>178</v>
      </c>
      <c r="J769" s="6" t="s">
        <v>7414</v>
      </c>
      <c r="K769" s="6" t="s">
        <v>21</v>
      </c>
      <c r="L769" s="6">
        <v>8</v>
      </c>
      <c r="M769" s="15" t="s">
        <v>7411</v>
      </c>
      <c r="N769" s="15" t="s">
        <v>892</v>
      </c>
      <c r="O769" s="28" t="s">
        <v>7415</v>
      </c>
    </row>
    <row r="770" spans="1:15" s="1" customFormat="1" ht="13.5" customHeight="1">
      <c r="A770" s="5" t="s">
        <v>1127</v>
      </c>
      <c r="B770" s="3"/>
      <c r="C770" s="3"/>
      <c r="D770" s="5" t="s">
        <v>1128</v>
      </c>
      <c r="E770" s="5" t="s">
        <v>7026</v>
      </c>
      <c r="F770" s="3" t="s">
        <v>7416</v>
      </c>
      <c r="G770" s="6">
        <f t="shared" si="21"/>
        <v>261.90899999999999</v>
      </c>
      <c r="H770" s="7">
        <v>41696</v>
      </c>
      <c r="I770" s="6" t="s">
        <v>178</v>
      </c>
      <c r="J770" s="6" t="s">
        <v>7417</v>
      </c>
      <c r="K770" s="6" t="s">
        <v>21</v>
      </c>
      <c r="L770" s="6">
        <v>9</v>
      </c>
      <c r="M770" s="15" t="s">
        <v>7411</v>
      </c>
      <c r="N770" s="15" t="s">
        <v>896</v>
      </c>
      <c r="O770" s="28" t="s">
        <v>7418</v>
      </c>
    </row>
    <row r="771" spans="1:15" s="1" customFormat="1" ht="13.5" customHeight="1">
      <c r="A771" s="5" t="s">
        <v>1127</v>
      </c>
      <c r="B771" s="3"/>
      <c r="C771" s="3"/>
      <c r="D771" s="5" t="s">
        <v>1128</v>
      </c>
      <c r="E771" s="5" t="s">
        <v>7026</v>
      </c>
      <c r="F771" s="3" t="s">
        <v>7419</v>
      </c>
      <c r="G771" s="6">
        <f t="shared" si="21"/>
        <v>232.80799999999999</v>
      </c>
      <c r="H771" s="7">
        <v>41696</v>
      </c>
      <c r="I771" s="6" t="s">
        <v>178</v>
      </c>
      <c r="J771" s="6" t="s">
        <v>7420</v>
      </c>
      <c r="K771" s="6" t="s">
        <v>21</v>
      </c>
      <c r="L771" s="6">
        <v>8</v>
      </c>
      <c r="M771" s="15" t="s">
        <v>7421</v>
      </c>
      <c r="N771" s="15" t="s">
        <v>447</v>
      </c>
      <c r="O771" s="27" t="s">
        <v>7422</v>
      </c>
    </row>
    <row r="772" spans="1:15" s="1" customFormat="1" ht="13.5" customHeight="1">
      <c r="A772" s="5" t="s">
        <v>1127</v>
      </c>
      <c r="B772" s="3"/>
      <c r="C772" s="3"/>
      <c r="D772" s="5" t="s">
        <v>1128</v>
      </c>
      <c r="E772" s="5" t="s">
        <v>7026</v>
      </c>
      <c r="F772" s="3" t="s">
        <v>7423</v>
      </c>
      <c r="G772" s="6">
        <f t="shared" si="21"/>
        <v>232.80799999999999</v>
      </c>
      <c r="H772" s="7">
        <v>41696</v>
      </c>
      <c r="I772" s="6" t="s">
        <v>178</v>
      </c>
      <c r="J772" s="6" t="s">
        <v>7424</v>
      </c>
      <c r="K772" s="6" t="s">
        <v>21</v>
      </c>
      <c r="L772" s="6">
        <v>8</v>
      </c>
      <c r="M772" s="15" t="s">
        <v>7421</v>
      </c>
      <c r="N772" s="15" t="s">
        <v>892</v>
      </c>
      <c r="O772" s="28" t="s">
        <v>7425</v>
      </c>
    </row>
    <row r="773" spans="1:15" s="1" customFormat="1" ht="13.5" customHeight="1">
      <c r="A773" s="5" t="s">
        <v>1127</v>
      </c>
      <c r="B773" s="3"/>
      <c r="C773" s="3"/>
      <c r="D773" s="5" t="s">
        <v>1128</v>
      </c>
      <c r="E773" s="5" t="s">
        <v>7026</v>
      </c>
      <c r="F773" s="3" t="s">
        <v>7426</v>
      </c>
      <c r="G773" s="6">
        <f t="shared" si="21"/>
        <v>261.90899999999999</v>
      </c>
      <c r="H773" s="7">
        <v>41696</v>
      </c>
      <c r="I773" s="6" t="s">
        <v>178</v>
      </c>
      <c r="J773" s="6" t="s">
        <v>7427</v>
      </c>
      <c r="K773" s="6" t="s">
        <v>21</v>
      </c>
      <c r="L773" s="6">
        <v>9</v>
      </c>
      <c r="M773" s="15" t="s">
        <v>7421</v>
      </c>
      <c r="N773" s="15" t="s">
        <v>896</v>
      </c>
      <c r="O773" s="28" t="s">
        <v>7428</v>
      </c>
    </row>
    <row r="774" spans="1:15" s="1" customFormat="1" ht="13.5" customHeight="1">
      <c r="A774" s="3" t="s">
        <v>1534</v>
      </c>
      <c r="B774" s="3"/>
      <c r="C774" s="3"/>
      <c r="D774" s="5" t="s">
        <v>2128</v>
      </c>
      <c r="E774" s="5" t="s">
        <v>124</v>
      </c>
      <c r="F774" s="3" t="s">
        <v>3021</v>
      </c>
      <c r="G774" s="6">
        <v>291.74</v>
      </c>
      <c r="H774" s="7">
        <v>41697</v>
      </c>
      <c r="I774" s="6" t="s">
        <v>209</v>
      </c>
      <c r="J774" s="6" t="s">
        <v>3022</v>
      </c>
      <c r="K774" s="6" t="s">
        <v>128</v>
      </c>
      <c r="L774" s="6" t="s">
        <v>2319</v>
      </c>
      <c r="M774" s="15" t="s">
        <v>3023</v>
      </c>
      <c r="N774" s="15" t="s">
        <v>2449</v>
      </c>
      <c r="O774" s="28" t="s">
        <v>3024</v>
      </c>
    </row>
    <row r="775" spans="1:15" s="1" customFormat="1" ht="13.5" customHeight="1">
      <c r="A775" s="3" t="s">
        <v>1534</v>
      </c>
      <c r="B775" s="3"/>
      <c r="C775" s="3"/>
      <c r="D775" s="5" t="s">
        <v>2128</v>
      </c>
      <c r="E775" s="5" t="s">
        <v>124</v>
      </c>
      <c r="F775" s="3" t="s">
        <v>3025</v>
      </c>
      <c r="G775" s="6">
        <v>291.74</v>
      </c>
      <c r="H775" s="7">
        <v>41697</v>
      </c>
      <c r="I775" s="6" t="s">
        <v>209</v>
      </c>
      <c r="J775" s="6" t="s">
        <v>3026</v>
      </c>
      <c r="K775" s="6" t="s">
        <v>128</v>
      </c>
      <c r="L775" s="6" t="s">
        <v>2319</v>
      </c>
      <c r="M775" s="15" t="s">
        <v>3027</v>
      </c>
      <c r="N775" s="15" t="s">
        <v>2321</v>
      </c>
      <c r="O775" s="28" t="s">
        <v>3028</v>
      </c>
    </row>
    <row r="776" spans="1:15" s="1" customFormat="1" ht="13.5" customHeight="1">
      <c r="A776" s="3" t="s">
        <v>1534</v>
      </c>
      <c r="B776" s="3"/>
      <c r="C776" s="3"/>
      <c r="D776" s="5" t="s">
        <v>2128</v>
      </c>
      <c r="E776" s="5" t="s">
        <v>124</v>
      </c>
      <c r="F776" s="3" t="s">
        <v>3029</v>
      </c>
      <c r="G776" s="6">
        <v>291.74</v>
      </c>
      <c r="H776" s="7">
        <v>41697</v>
      </c>
      <c r="I776" s="6" t="s">
        <v>209</v>
      </c>
      <c r="J776" s="6" t="s">
        <v>3030</v>
      </c>
      <c r="K776" s="6" t="s">
        <v>128</v>
      </c>
      <c r="L776" s="6" t="s">
        <v>2319</v>
      </c>
      <c r="M776" s="15" t="s">
        <v>3031</v>
      </c>
      <c r="N776" s="15" t="s">
        <v>2326</v>
      </c>
      <c r="O776" s="28" t="s">
        <v>3032</v>
      </c>
    </row>
    <row r="777" spans="1:15" s="1" customFormat="1" ht="13.5" customHeight="1">
      <c r="A777" s="3" t="s">
        <v>514</v>
      </c>
      <c r="B777" s="3"/>
      <c r="C777" s="3"/>
      <c r="D777" s="5" t="s">
        <v>2030</v>
      </c>
      <c r="E777" s="5" t="s">
        <v>124</v>
      </c>
      <c r="F777" s="3" t="s">
        <v>3033</v>
      </c>
      <c r="G777" s="6">
        <f t="shared" ref="G777:G782" si="22">14.405*L777</f>
        <v>187.26499999999999</v>
      </c>
      <c r="H777" s="7">
        <v>41697</v>
      </c>
      <c r="I777" s="6" t="s">
        <v>265</v>
      </c>
      <c r="J777" s="6" t="s">
        <v>3034</v>
      </c>
      <c r="K777" s="6" t="s">
        <v>21</v>
      </c>
      <c r="L777" s="6">
        <v>13</v>
      </c>
      <c r="M777" s="15" t="s">
        <v>2841</v>
      </c>
      <c r="N777" s="15" t="s">
        <v>167</v>
      </c>
      <c r="O777" s="28" t="s">
        <v>3035</v>
      </c>
    </row>
    <row r="778" spans="1:15" s="1" customFormat="1" ht="13.5" customHeight="1">
      <c r="A778" s="3" t="s">
        <v>514</v>
      </c>
      <c r="B778" s="3"/>
      <c r="C778" s="3"/>
      <c r="D778" s="5" t="s">
        <v>2030</v>
      </c>
      <c r="E778" s="5" t="s">
        <v>124</v>
      </c>
      <c r="F778" s="3" t="s">
        <v>3036</v>
      </c>
      <c r="G778" s="6">
        <f t="shared" si="22"/>
        <v>172.85999999999999</v>
      </c>
      <c r="H778" s="7">
        <v>41697</v>
      </c>
      <c r="I778" s="6" t="s">
        <v>265</v>
      </c>
      <c r="J778" s="6" t="s">
        <v>3037</v>
      </c>
      <c r="K778" s="6" t="s">
        <v>21</v>
      </c>
      <c r="L778" s="6">
        <v>12</v>
      </c>
      <c r="M778" s="15" t="s">
        <v>3038</v>
      </c>
      <c r="N778" s="15" t="s">
        <v>164</v>
      </c>
      <c r="O778" s="28" t="s">
        <v>3038</v>
      </c>
    </row>
    <row r="779" spans="1:15" s="1" customFormat="1" ht="13.5" customHeight="1">
      <c r="A779" s="3" t="s">
        <v>514</v>
      </c>
      <c r="B779" s="3"/>
      <c r="C779" s="3"/>
      <c r="D779" s="5" t="s">
        <v>2030</v>
      </c>
      <c r="E779" s="5" t="s">
        <v>124</v>
      </c>
      <c r="F779" s="3" t="s">
        <v>3039</v>
      </c>
      <c r="G779" s="6">
        <f t="shared" si="22"/>
        <v>187.26499999999999</v>
      </c>
      <c r="H779" s="7">
        <v>41697</v>
      </c>
      <c r="I779" s="6" t="s">
        <v>265</v>
      </c>
      <c r="J779" s="6" t="s">
        <v>3040</v>
      </c>
      <c r="K779" s="6" t="s">
        <v>21</v>
      </c>
      <c r="L779" s="6">
        <v>13</v>
      </c>
      <c r="M779" s="15" t="s">
        <v>3038</v>
      </c>
      <c r="N779" s="15" t="s">
        <v>167</v>
      </c>
      <c r="O779" s="28" t="s">
        <v>3041</v>
      </c>
    </row>
    <row r="780" spans="1:15" s="1" customFormat="1" ht="13.5" customHeight="1">
      <c r="A780" s="3" t="s">
        <v>514</v>
      </c>
      <c r="B780" s="3"/>
      <c r="C780" s="3"/>
      <c r="D780" s="5" t="s">
        <v>2030</v>
      </c>
      <c r="E780" s="5" t="s">
        <v>124</v>
      </c>
      <c r="F780" s="3" t="s">
        <v>3042</v>
      </c>
      <c r="G780" s="6">
        <f t="shared" si="22"/>
        <v>144.04999999999998</v>
      </c>
      <c r="H780" s="7">
        <v>41697</v>
      </c>
      <c r="I780" s="6" t="s">
        <v>265</v>
      </c>
      <c r="J780" s="6" t="s">
        <v>3043</v>
      </c>
      <c r="K780" s="6" t="s">
        <v>21</v>
      </c>
      <c r="L780" s="6">
        <v>10</v>
      </c>
      <c r="M780" s="15" t="s">
        <v>3044</v>
      </c>
      <c r="N780" s="15" t="s">
        <v>35</v>
      </c>
      <c r="O780" s="28" t="s">
        <v>3044</v>
      </c>
    </row>
    <row r="781" spans="1:15" ht="13.5" customHeight="1">
      <c r="A781" s="3" t="s">
        <v>514</v>
      </c>
      <c r="B781" s="3"/>
      <c r="C781" s="3"/>
      <c r="D781" s="5" t="s">
        <v>2030</v>
      </c>
      <c r="E781" s="5" t="s">
        <v>124</v>
      </c>
      <c r="F781" s="3" t="s">
        <v>3045</v>
      </c>
      <c r="G781" s="6">
        <f t="shared" si="22"/>
        <v>172.85999999999999</v>
      </c>
      <c r="H781" s="7">
        <v>41697</v>
      </c>
      <c r="I781" s="6" t="s">
        <v>265</v>
      </c>
      <c r="J781" s="6" t="s">
        <v>3046</v>
      </c>
      <c r="K781" s="6" t="s">
        <v>21</v>
      </c>
      <c r="L781" s="6">
        <v>12</v>
      </c>
      <c r="M781" s="15" t="s">
        <v>3047</v>
      </c>
      <c r="N781" s="15" t="s">
        <v>164</v>
      </c>
      <c r="O781" s="28" t="s">
        <v>3047</v>
      </c>
    </row>
    <row r="782" spans="1:15" ht="13.5" customHeight="1">
      <c r="A782" s="3" t="s">
        <v>514</v>
      </c>
      <c r="B782" s="3"/>
      <c r="C782" s="3"/>
      <c r="D782" s="5" t="s">
        <v>2030</v>
      </c>
      <c r="E782" s="5" t="s">
        <v>124</v>
      </c>
      <c r="F782" s="3" t="s">
        <v>3048</v>
      </c>
      <c r="G782" s="6">
        <f t="shared" si="22"/>
        <v>187.26499999999999</v>
      </c>
      <c r="H782" s="7">
        <v>41697</v>
      </c>
      <c r="I782" s="6" t="s">
        <v>265</v>
      </c>
      <c r="J782" s="6" t="s">
        <v>3049</v>
      </c>
      <c r="K782" s="6" t="s">
        <v>21</v>
      </c>
      <c r="L782" s="6">
        <v>13</v>
      </c>
      <c r="M782" s="15" t="s">
        <v>3047</v>
      </c>
      <c r="N782" s="15" t="s">
        <v>167</v>
      </c>
      <c r="O782" s="28" t="s">
        <v>3050</v>
      </c>
    </row>
    <row r="783" spans="1:15" s="1" customFormat="1" ht="13.5" customHeight="1">
      <c r="A783" s="3" t="s">
        <v>654</v>
      </c>
      <c r="B783" s="3"/>
      <c r="C783" s="3"/>
      <c r="D783" s="5" t="s">
        <v>410</v>
      </c>
      <c r="E783" s="5" t="s">
        <v>124</v>
      </c>
      <c r="F783" s="3" t="s">
        <v>3051</v>
      </c>
      <c r="G783" s="6">
        <f t="shared" ref="G783:G791" si="23">17.52*L783</f>
        <v>210.24</v>
      </c>
      <c r="H783" s="7">
        <v>41701</v>
      </c>
      <c r="I783" s="6" t="s">
        <v>209</v>
      </c>
      <c r="J783" s="6" t="s">
        <v>3052</v>
      </c>
      <c r="K783" s="6" t="s">
        <v>21</v>
      </c>
      <c r="L783" s="6">
        <v>12</v>
      </c>
      <c r="M783" s="15" t="s">
        <v>3053</v>
      </c>
      <c r="N783" s="15" t="s">
        <v>164</v>
      </c>
      <c r="O783" s="28" t="s">
        <v>3053</v>
      </c>
    </row>
    <row r="784" spans="1:15" s="1" customFormat="1" ht="13.5" customHeight="1">
      <c r="A784" s="22" t="s">
        <v>3054</v>
      </c>
      <c r="B784" s="3"/>
      <c r="C784" s="3"/>
      <c r="D784" s="5" t="s">
        <v>410</v>
      </c>
      <c r="E784" s="5" t="s">
        <v>124</v>
      </c>
      <c r="F784" s="3" t="s">
        <v>3055</v>
      </c>
      <c r="G784" s="6">
        <f t="shared" si="23"/>
        <v>52.56</v>
      </c>
      <c r="H784" s="7">
        <v>41701</v>
      </c>
      <c r="I784" s="6" t="s">
        <v>209</v>
      </c>
      <c r="J784" s="6" t="s">
        <v>3056</v>
      </c>
      <c r="K784" s="6" t="s">
        <v>21</v>
      </c>
      <c r="L784" s="6">
        <v>3</v>
      </c>
      <c r="M784" s="15" t="s">
        <v>3053</v>
      </c>
      <c r="N784" s="15" t="s">
        <v>407</v>
      </c>
      <c r="O784" s="28" t="s">
        <v>3057</v>
      </c>
    </row>
    <row r="785" spans="1:15" s="1" customFormat="1" ht="13.5" customHeight="1">
      <c r="A785" s="3" t="s">
        <v>854</v>
      </c>
      <c r="B785" s="3"/>
      <c r="C785" s="3"/>
      <c r="D785" s="5" t="s">
        <v>855</v>
      </c>
      <c r="E785" s="5" t="s">
        <v>124</v>
      </c>
      <c r="F785" s="3" t="s">
        <v>3058</v>
      </c>
      <c r="G785" s="6">
        <f t="shared" si="23"/>
        <v>157.68</v>
      </c>
      <c r="H785" s="7">
        <v>41701</v>
      </c>
      <c r="I785" s="6" t="s">
        <v>209</v>
      </c>
      <c r="J785" s="6" t="s">
        <v>3059</v>
      </c>
      <c r="K785" s="6" t="s">
        <v>21</v>
      </c>
      <c r="L785" s="6">
        <v>9</v>
      </c>
      <c r="M785" s="15" t="s">
        <v>2429</v>
      </c>
      <c r="N785" s="15" t="s">
        <v>798</v>
      </c>
      <c r="O785" s="28" t="s">
        <v>3060</v>
      </c>
    </row>
    <row r="786" spans="1:15" s="1" customFormat="1" ht="13.5" customHeight="1">
      <c r="A786" s="3" t="s">
        <v>854</v>
      </c>
      <c r="B786" s="3"/>
      <c r="C786" s="3"/>
      <c r="D786" s="5" t="s">
        <v>855</v>
      </c>
      <c r="E786" s="5" t="s">
        <v>124</v>
      </c>
      <c r="F786" s="3" t="s">
        <v>3061</v>
      </c>
      <c r="G786" s="6">
        <f t="shared" si="23"/>
        <v>175.2</v>
      </c>
      <c r="H786" s="7">
        <v>41701</v>
      </c>
      <c r="I786" s="6" t="s">
        <v>209</v>
      </c>
      <c r="J786" s="6" t="s">
        <v>3062</v>
      </c>
      <c r="K786" s="6" t="s">
        <v>21</v>
      </c>
      <c r="L786" s="6">
        <v>10</v>
      </c>
      <c r="M786" s="15" t="s">
        <v>2429</v>
      </c>
      <c r="N786" s="15" t="s">
        <v>114</v>
      </c>
      <c r="O786" s="28" t="s">
        <v>3063</v>
      </c>
    </row>
    <row r="787" spans="1:15" s="1" customFormat="1" ht="13.5" customHeight="1">
      <c r="A787" s="3" t="s">
        <v>854</v>
      </c>
      <c r="B787" s="3"/>
      <c r="C787" s="3"/>
      <c r="D787" s="5" t="s">
        <v>855</v>
      </c>
      <c r="E787" s="5" t="s">
        <v>124</v>
      </c>
      <c r="F787" s="3" t="s">
        <v>3064</v>
      </c>
      <c r="G787" s="6">
        <f t="shared" si="23"/>
        <v>175.2</v>
      </c>
      <c r="H787" s="7">
        <v>41701</v>
      </c>
      <c r="I787" s="6" t="s">
        <v>209</v>
      </c>
      <c r="J787" s="6" t="s">
        <v>3065</v>
      </c>
      <c r="K787" s="6" t="s">
        <v>21</v>
      </c>
      <c r="L787" s="6">
        <v>10</v>
      </c>
      <c r="M787" s="15" t="s">
        <v>3066</v>
      </c>
      <c r="N787" s="15" t="s">
        <v>35</v>
      </c>
      <c r="O787" s="28" t="s">
        <v>3066</v>
      </c>
    </row>
    <row r="788" spans="1:15" s="1" customFormat="1" ht="13.5" customHeight="1">
      <c r="A788" s="3" t="s">
        <v>1498</v>
      </c>
      <c r="B788" s="3"/>
      <c r="C788" s="3"/>
      <c r="D788" s="5" t="s">
        <v>1499</v>
      </c>
      <c r="E788" s="5" t="s">
        <v>124</v>
      </c>
      <c r="F788" s="3" t="s">
        <v>3067</v>
      </c>
      <c r="G788" s="6">
        <f t="shared" si="23"/>
        <v>157.68</v>
      </c>
      <c r="H788" s="7">
        <v>41701</v>
      </c>
      <c r="I788" s="6" t="s">
        <v>265</v>
      </c>
      <c r="J788" s="6" t="s">
        <v>3068</v>
      </c>
      <c r="K788" s="6" t="s">
        <v>21</v>
      </c>
      <c r="L788" s="6">
        <v>9</v>
      </c>
      <c r="M788" s="15" t="s">
        <v>3069</v>
      </c>
      <c r="N788" s="15" t="s">
        <v>3070</v>
      </c>
      <c r="O788" s="28" t="s">
        <v>3069</v>
      </c>
    </row>
    <row r="789" spans="1:15" s="1" customFormat="1" ht="13.5" customHeight="1">
      <c r="A789" s="3" t="s">
        <v>596</v>
      </c>
      <c r="B789" s="4"/>
      <c r="C789" s="3"/>
      <c r="D789" s="5" t="s">
        <v>598</v>
      </c>
      <c r="E789" s="5" t="s">
        <v>124</v>
      </c>
      <c r="F789" s="3" t="s">
        <v>3071</v>
      </c>
      <c r="G789" s="6">
        <f t="shared" si="23"/>
        <v>245.28</v>
      </c>
      <c r="H789" s="7">
        <v>41701</v>
      </c>
      <c r="I789" s="6" t="s">
        <v>265</v>
      </c>
      <c r="J789" s="6" t="s">
        <v>3072</v>
      </c>
      <c r="K789" s="6" t="s">
        <v>21</v>
      </c>
      <c r="L789" s="6">
        <v>14</v>
      </c>
      <c r="M789" s="15" t="s">
        <v>2236</v>
      </c>
      <c r="N789" s="15" t="s">
        <v>3073</v>
      </c>
      <c r="O789" s="28" t="s">
        <v>3074</v>
      </c>
    </row>
    <row r="790" spans="1:15" s="1" customFormat="1" ht="13.5" customHeight="1">
      <c r="A790" s="3" t="s">
        <v>777</v>
      </c>
      <c r="B790" s="3"/>
      <c r="C790" s="3"/>
      <c r="D790" s="5" t="s">
        <v>778</v>
      </c>
      <c r="E790" s="5" t="s">
        <v>124</v>
      </c>
      <c r="F790" s="3" t="s">
        <v>3075</v>
      </c>
      <c r="G790" s="6">
        <f t="shared" si="23"/>
        <v>140.16</v>
      </c>
      <c r="H790" s="7">
        <v>41701</v>
      </c>
      <c r="I790" s="6" t="s">
        <v>265</v>
      </c>
      <c r="J790" s="6" t="s">
        <v>3076</v>
      </c>
      <c r="K790" s="6" t="s">
        <v>21</v>
      </c>
      <c r="L790" s="6">
        <v>8</v>
      </c>
      <c r="M790" s="15" t="s">
        <v>2432</v>
      </c>
      <c r="N790" s="15" t="s">
        <v>499</v>
      </c>
      <c r="O790" s="28" t="s">
        <v>3077</v>
      </c>
    </row>
    <row r="791" spans="1:15" s="1" customFormat="1" ht="13.5" customHeight="1">
      <c r="A791" s="3" t="s">
        <v>1773</v>
      </c>
      <c r="B791" s="3"/>
      <c r="C791" s="3"/>
      <c r="D791" s="5" t="s">
        <v>552</v>
      </c>
      <c r="E791" s="5" t="s">
        <v>124</v>
      </c>
      <c r="F791" s="3" t="s">
        <v>3078</v>
      </c>
      <c r="G791" s="6">
        <f t="shared" si="23"/>
        <v>140.16</v>
      </c>
      <c r="H791" s="7">
        <v>41701</v>
      </c>
      <c r="I791" s="6" t="s">
        <v>265</v>
      </c>
      <c r="J791" s="6" t="s">
        <v>3079</v>
      </c>
      <c r="K791" s="6" t="s">
        <v>21</v>
      </c>
      <c r="L791" s="6">
        <v>8</v>
      </c>
      <c r="M791" s="15" t="s">
        <v>3080</v>
      </c>
      <c r="N791" s="15" t="s">
        <v>3081</v>
      </c>
      <c r="O791" s="28" t="s">
        <v>3080</v>
      </c>
    </row>
    <row r="792" spans="1:15" ht="13.5" customHeight="1">
      <c r="A792" s="3" t="s">
        <v>819</v>
      </c>
      <c r="B792" s="3"/>
      <c r="C792" s="3"/>
      <c r="D792" s="5" t="s">
        <v>820</v>
      </c>
      <c r="E792" s="5" t="s">
        <v>124</v>
      </c>
      <c r="F792" s="3" t="s">
        <v>3082</v>
      </c>
      <c r="G792" s="6">
        <f>29.101*L792</f>
        <v>145.505</v>
      </c>
      <c r="H792" s="7">
        <v>41701</v>
      </c>
      <c r="I792" s="6" t="s">
        <v>178</v>
      </c>
      <c r="J792" s="6" t="s">
        <v>3083</v>
      </c>
      <c r="K792" s="6" t="s">
        <v>21</v>
      </c>
      <c r="L792" s="6">
        <v>5</v>
      </c>
      <c r="M792" s="15" t="s">
        <v>3084</v>
      </c>
      <c r="N792" s="15" t="s">
        <v>3085</v>
      </c>
      <c r="O792" s="28" t="s">
        <v>3084</v>
      </c>
    </row>
    <row r="793" spans="1:15" s="1" customFormat="1" ht="13.5" customHeight="1">
      <c r="A793" s="3" t="s">
        <v>290</v>
      </c>
      <c r="B793" s="3"/>
      <c r="C793" s="3"/>
      <c r="D793" s="5" t="s">
        <v>291</v>
      </c>
      <c r="E793" s="5" t="s">
        <v>124</v>
      </c>
      <c r="F793" s="3" t="s">
        <v>3086</v>
      </c>
      <c r="G793" s="6">
        <f t="shared" ref="G793:G799" si="24">17.498*L793</f>
        <v>52.494</v>
      </c>
      <c r="H793" s="7">
        <v>41701</v>
      </c>
      <c r="I793" s="6" t="s">
        <v>265</v>
      </c>
      <c r="J793" s="6" t="s">
        <v>3087</v>
      </c>
      <c r="K793" s="6" t="s">
        <v>21</v>
      </c>
      <c r="L793" s="6">
        <v>3</v>
      </c>
      <c r="M793" s="15" t="s">
        <v>3088</v>
      </c>
      <c r="N793" s="15" t="s">
        <v>375</v>
      </c>
      <c r="O793" s="27" t="s">
        <v>3088</v>
      </c>
    </row>
    <row r="794" spans="1:15" s="1" customFormat="1" ht="13.5" customHeight="1">
      <c r="A794" s="3" t="s">
        <v>1562</v>
      </c>
      <c r="B794" s="3"/>
      <c r="C794" s="3"/>
      <c r="D794" s="5" t="s">
        <v>1563</v>
      </c>
      <c r="E794" s="5" t="s">
        <v>124</v>
      </c>
      <c r="F794" s="3" t="s">
        <v>3089</v>
      </c>
      <c r="G794" s="6">
        <f t="shared" si="24"/>
        <v>52.494</v>
      </c>
      <c r="H794" s="7">
        <v>41701</v>
      </c>
      <c r="I794" s="6" t="s">
        <v>265</v>
      </c>
      <c r="J794" s="6" t="s">
        <v>3090</v>
      </c>
      <c r="K794" s="6" t="s">
        <v>21</v>
      </c>
      <c r="L794" s="6">
        <v>3</v>
      </c>
      <c r="M794" s="15" t="s">
        <v>1566</v>
      </c>
      <c r="N794" s="15" t="s">
        <v>1512</v>
      </c>
      <c r="O794" s="28" t="s">
        <v>3091</v>
      </c>
    </row>
    <row r="795" spans="1:15" s="1" customFormat="1" ht="13.5" customHeight="1">
      <c r="A795" s="3" t="s">
        <v>904</v>
      </c>
      <c r="B795" s="3"/>
      <c r="C795" s="3"/>
      <c r="D795" s="5" t="s">
        <v>905</v>
      </c>
      <c r="E795" s="5" t="s">
        <v>124</v>
      </c>
      <c r="F795" s="3" t="s">
        <v>3092</v>
      </c>
      <c r="G795" s="6">
        <f t="shared" si="24"/>
        <v>122.486</v>
      </c>
      <c r="H795" s="7">
        <v>41701</v>
      </c>
      <c r="I795" s="6" t="s">
        <v>907</v>
      </c>
      <c r="J795" s="6" t="s">
        <v>3093</v>
      </c>
      <c r="K795" s="6" t="s">
        <v>21</v>
      </c>
      <c r="L795" s="6">
        <v>7</v>
      </c>
      <c r="M795" s="15" t="s">
        <v>3094</v>
      </c>
      <c r="N795" s="15" t="s">
        <v>1093</v>
      </c>
      <c r="O795" s="28" t="s">
        <v>3094</v>
      </c>
    </row>
    <row r="796" spans="1:15" s="1" customFormat="1" ht="13.5" customHeight="1">
      <c r="A796" s="3" t="s">
        <v>904</v>
      </c>
      <c r="B796" s="3"/>
      <c r="C796" s="3"/>
      <c r="D796" s="5" t="s">
        <v>905</v>
      </c>
      <c r="E796" s="5" t="s">
        <v>124</v>
      </c>
      <c r="F796" s="3" t="s">
        <v>3095</v>
      </c>
      <c r="G796" s="6">
        <f t="shared" si="24"/>
        <v>139.98400000000001</v>
      </c>
      <c r="H796" s="7">
        <v>41701</v>
      </c>
      <c r="I796" s="6" t="s">
        <v>907</v>
      </c>
      <c r="J796" s="6" t="s">
        <v>3096</v>
      </c>
      <c r="K796" s="6" t="s">
        <v>21</v>
      </c>
      <c r="L796" s="6">
        <v>8</v>
      </c>
      <c r="M796" s="15" t="s">
        <v>3094</v>
      </c>
      <c r="N796" s="15" t="s">
        <v>1096</v>
      </c>
      <c r="O796" s="28" t="s">
        <v>3097</v>
      </c>
    </row>
    <row r="797" spans="1:15" s="1" customFormat="1" ht="13.5" customHeight="1">
      <c r="A797" s="3" t="s">
        <v>904</v>
      </c>
      <c r="B797" s="3"/>
      <c r="C797" s="3"/>
      <c r="D797" s="5" t="s">
        <v>905</v>
      </c>
      <c r="E797" s="5" t="s">
        <v>124</v>
      </c>
      <c r="F797" s="3" t="s">
        <v>3098</v>
      </c>
      <c r="G797" s="6">
        <f t="shared" si="24"/>
        <v>69.992000000000004</v>
      </c>
      <c r="H797" s="7">
        <v>41701</v>
      </c>
      <c r="I797" s="6" t="s">
        <v>907</v>
      </c>
      <c r="J797" s="6" t="s">
        <v>3099</v>
      </c>
      <c r="K797" s="6" t="s">
        <v>21</v>
      </c>
      <c r="L797" s="6">
        <v>4</v>
      </c>
      <c r="M797" s="15" t="s">
        <v>3100</v>
      </c>
      <c r="N797" s="15" t="s">
        <v>3101</v>
      </c>
      <c r="O797" s="28" t="s">
        <v>3100</v>
      </c>
    </row>
    <row r="798" spans="1:15" s="1" customFormat="1" ht="13.5" customHeight="1">
      <c r="A798" s="3" t="s">
        <v>2546</v>
      </c>
      <c r="B798" s="3"/>
      <c r="C798" s="3"/>
      <c r="D798" s="5" t="s">
        <v>482</v>
      </c>
      <c r="E798" s="5" t="s">
        <v>124</v>
      </c>
      <c r="F798" s="3" t="s">
        <v>3102</v>
      </c>
      <c r="G798" s="6">
        <f t="shared" si="24"/>
        <v>227.47400000000002</v>
      </c>
      <c r="H798" s="7">
        <v>41701</v>
      </c>
      <c r="I798" s="6" t="s">
        <v>265</v>
      </c>
      <c r="J798" s="6" t="s">
        <v>3103</v>
      </c>
      <c r="K798" s="6" t="s">
        <v>21</v>
      </c>
      <c r="L798" s="6">
        <v>13</v>
      </c>
      <c r="M798" s="15" t="s">
        <v>2555</v>
      </c>
      <c r="N798" s="15" t="s">
        <v>3104</v>
      </c>
      <c r="O798" s="28" t="s">
        <v>3105</v>
      </c>
    </row>
    <row r="799" spans="1:15" s="1" customFormat="1" ht="13.5" customHeight="1">
      <c r="A799" s="22" t="s">
        <v>2546</v>
      </c>
      <c r="B799" s="3"/>
      <c r="C799" s="3"/>
      <c r="D799" s="21" t="s">
        <v>3106</v>
      </c>
      <c r="E799" s="5" t="s">
        <v>124</v>
      </c>
      <c r="F799" s="3" t="s">
        <v>3107</v>
      </c>
      <c r="G799" s="6">
        <f t="shared" si="24"/>
        <v>174.98000000000002</v>
      </c>
      <c r="H799" s="7">
        <v>41701</v>
      </c>
      <c r="I799" s="6" t="s">
        <v>265</v>
      </c>
      <c r="J799" s="6" t="s">
        <v>3108</v>
      </c>
      <c r="K799" s="6" t="s">
        <v>21</v>
      </c>
      <c r="L799" s="6">
        <v>10</v>
      </c>
      <c r="M799" s="15" t="s">
        <v>3109</v>
      </c>
      <c r="N799" s="15" t="s">
        <v>35</v>
      </c>
      <c r="O799" s="27" t="s">
        <v>3109</v>
      </c>
    </row>
    <row r="800" spans="1:15" s="1" customFormat="1" ht="13.5" customHeight="1">
      <c r="A800" s="3" t="s">
        <v>569</v>
      </c>
      <c r="B800" s="4" t="s">
        <v>283</v>
      </c>
      <c r="C800" s="3"/>
      <c r="D800" s="5" t="s">
        <v>570</v>
      </c>
      <c r="E800" s="5" t="s">
        <v>124</v>
      </c>
      <c r="F800" s="3" t="s">
        <v>3110</v>
      </c>
      <c r="G800" s="6">
        <f>9.871*L800</f>
        <v>98.710000000000008</v>
      </c>
      <c r="H800" s="7">
        <v>41701</v>
      </c>
      <c r="I800" s="6" t="s">
        <v>161</v>
      </c>
      <c r="J800" s="6" t="s">
        <v>3111</v>
      </c>
      <c r="K800" s="6" t="s">
        <v>21</v>
      </c>
      <c r="L800" s="6">
        <v>10</v>
      </c>
      <c r="M800" s="15" t="s">
        <v>3112</v>
      </c>
      <c r="N800" s="15" t="s">
        <v>2904</v>
      </c>
      <c r="O800" s="27" t="s">
        <v>3112</v>
      </c>
    </row>
    <row r="801" spans="1:15" s="1" customFormat="1" ht="13.5" customHeight="1">
      <c r="A801" s="3" t="s">
        <v>569</v>
      </c>
      <c r="B801" s="4" t="s">
        <v>283</v>
      </c>
      <c r="C801" s="3"/>
      <c r="D801" s="5" t="s">
        <v>570</v>
      </c>
      <c r="E801" s="5" t="s">
        <v>124</v>
      </c>
      <c r="F801" s="3" t="s">
        <v>3113</v>
      </c>
      <c r="G801" s="6">
        <f>9.871*L801</f>
        <v>98.710000000000008</v>
      </c>
      <c r="H801" s="7">
        <v>41701</v>
      </c>
      <c r="I801" s="6" t="s">
        <v>161</v>
      </c>
      <c r="J801" s="6" t="s">
        <v>3114</v>
      </c>
      <c r="K801" s="6" t="s">
        <v>21</v>
      </c>
      <c r="L801" s="6">
        <v>10</v>
      </c>
      <c r="M801" s="15" t="s">
        <v>3112</v>
      </c>
      <c r="N801" s="15" t="s">
        <v>2907</v>
      </c>
      <c r="O801" s="27" t="s">
        <v>12191</v>
      </c>
    </row>
    <row r="802" spans="1:15" s="1" customFormat="1" ht="13.5" customHeight="1">
      <c r="A802" s="3" t="s">
        <v>1108</v>
      </c>
      <c r="B802" s="3"/>
      <c r="C802" s="3"/>
      <c r="D802" s="5" t="s">
        <v>391</v>
      </c>
      <c r="E802" s="5" t="s">
        <v>124</v>
      </c>
      <c r="F802" s="3" t="s">
        <v>3115</v>
      </c>
      <c r="G802" s="6">
        <f t="shared" ref="G802:G812" si="25">17.712*L802</f>
        <v>212.54399999999998</v>
      </c>
      <c r="H802" s="7">
        <v>41701</v>
      </c>
      <c r="I802" s="6" t="s">
        <v>265</v>
      </c>
      <c r="J802" s="6" t="s">
        <v>3116</v>
      </c>
      <c r="K802" s="6" t="s">
        <v>21</v>
      </c>
      <c r="L802" s="6">
        <v>12</v>
      </c>
      <c r="M802" s="15" t="s">
        <v>3117</v>
      </c>
      <c r="N802" s="15" t="s">
        <v>164</v>
      </c>
      <c r="O802" s="28" t="s">
        <v>3117</v>
      </c>
    </row>
    <row r="803" spans="1:15" s="1" customFormat="1" ht="13.5" customHeight="1">
      <c r="A803" s="3" t="s">
        <v>1108</v>
      </c>
      <c r="B803" s="3"/>
      <c r="C803" s="3"/>
      <c r="D803" s="5" t="s">
        <v>391</v>
      </c>
      <c r="E803" s="5" t="s">
        <v>124</v>
      </c>
      <c r="F803" s="3" t="s">
        <v>3118</v>
      </c>
      <c r="G803" s="6">
        <f t="shared" si="25"/>
        <v>230.256</v>
      </c>
      <c r="H803" s="7">
        <v>41701</v>
      </c>
      <c r="I803" s="6" t="s">
        <v>265</v>
      </c>
      <c r="J803" s="6" t="s">
        <v>3119</v>
      </c>
      <c r="K803" s="6" t="s">
        <v>21</v>
      </c>
      <c r="L803" s="6">
        <v>13</v>
      </c>
      <c r="M803" s="15" t="s">
        <v>3117</v>
      </c>
      <c r="N803" s="15" t="s">
        <v>499</v>
      </c>
      <c r="O803" s="28" t="s">
        <v>3120</v>
      </c>
    </row>
    <row r="804" spans="1:15" s="1" customFormat="1" ht="13.5" customHeight="1">
      <c r="A804" s="3" t="s">
        <v>1072</v>
      </c>
      <c r="B804" s="3"/>
      <c r="C804" s="3"/>
      <c r="D804" s="5" t="s">
        <v>1963</v>
      </c>
      <c r="E804" s="5" t="s">
        <v>124</v>
      </c>
      <c r="F804" s="3" t="s">
        <v>3121</v>
      </c>
      <c r="G804" s="6">
        <f t="shared" si="25"/>
        <v>70.847999999999999</v>
      </c>
      <c r="H804" s="7">
        <v>41701</v>
      </c>
      <c r="I804" s="6" t="s">
        <v>265</v>
      </c>
      <c r="J804" s="6" t="s">
        <v>3122</v>
      </c>
      <c r="K804" s="6" t="s">
        <v>21</v>
      </c>
      <c r="L804" s="6">
        <v>4</v>
      </c>
      <c r="M804" s="15" t="s">
        <v>3123</v>
      </c>
      <c r="N804" s="15" t="s">
        <v>653</v>
      </c>
      <c r="O804" s="28" t="s">
        <v>3123</v>
      </c>
    </row>
    <row r="805" spans="1:15" s="1" customFormat="1" ht="13.5" customHeight="1">
      <c r="A805" s="3" t="s">
        <v>1593</v>
      </c>
      <c r="B805" s="3"/>
      <c r="C805" s="3"/>
      <c r="D805" s="5" t="s">
        <v>1151</v>
      </c>
      <c r="E805" s="5" t="s">
        <v>124</v>
      </c>
      <c r="F805" s="3" t="s">
        <v>3124</v>
      </c>
      <c r="G805" s="6">
        <f t="shared" si="25"/>
        <v>106.27199999999999</v>
      </c>
      <c r="H805" s="7">
        <v>41701</v>
      </c>
      <c r="I805" s="6" t="s">
        <v>265</v>
      </c>
      <c r="J805" s="6" t="s">
        <v>3125</v>
      </c>
      <c r="K805" s="6" t="s">
        <v>21</v>
      </c>
      <c r="L805" s="6">
        <v>6</v>
      </c>
      <c r="M805" s="15" t="s">
        <v>2578</v>
      </c>
      <c r="N805" s="15" t="s">
        <v>1070</v>
      </c>
      <c r="O805" s="28" t="s">
        <v>3126</v>
      </c>
    </row>
    <row r="806" spans="1:15" s="18" customFormat="1" ht="13.5" customHeight="1">
      <c r="A806" s="3" t="s">
        <v>918</v>
      </c>
      <c r="B806" s="3"/>
      <c r="C806" s="3"/>
      <c r="D806" s="5" t="s">
        <v>919</v>
      </c>
      <c r="E806" s="5" t="s">
        <v>124</v>
      </c>
      <c r="F806" s="3" t="s">
        <v>3127</v>
      </c>
      <c r="G806" s="6">
        <f t="shared" si="25"/>
        <v>212.54399999999998</v>
      </c>
      <c r="H806" s="7">
        <v>41701</v>
      </c>
      <c r="I806" s="6" t="s">
        <v>265</v>
      </c>
      <c r="J806" s="6" t="s">
        <v>3128</v>
      </c>
      <c r="K806" s="6" t="s">
        <v>21</v>
      </c>
      <c r="L806" s="6">
        <v>12</v>
      </c>
      <c r="M806" s="15" t="s">
        <v>2585</v>
      </c>
      <c r="N806" s="15" t="s">
        <v>1211</v>
      </c>
      <c r="O806" s="28" t="s">
        <v>3129</v>
      </c>
    </row>
    <row r="807" spans="1:15" s="1" customFormat="1" ht="13.5" customHeight="1">
      <c r="A807" s="3" t="s">
        <v>918</v>
      </c>
      <c r="B807" s="3"/>
      <c r="C807" s="3"/>
      <c r="D807" s="5" t="s">
        <v>919</v>
      </c>
      <c r="E807" s="5" t="s">
        <v>124</v>
      </c>
      <c r="F807" s="3" t="s">
        <v>3130</v>
      </c>
      <c r="G807" s="6">
        <f t="shared" si="25"/>
        <v>212.54399999999998</v>
      </c>
      <c r="H807" s="7">
        <v>41701</v>
      </c>
      <c r="I807" s="6" t="s">
        <v>265</v>
      </c>
      <c r="J807" s="6" t="s">
        <v>3131</v>
      </c>
      <c r="K807" s="6" t="s">
        <v>21</v>
      </c>
      <c r="L807" s="6">
        <v>12</v>
      </c>
      <c r="M807" s="15" t="s">
        <v>3132</v>
      </c>
      <c r="N807" s="15" t="s">
        <v>164</v>
      </c>
      <c r="O807" s="28" t="s">
        <v>3132</v>
      </c>
    </row>
    <row r="808" spans="1:15" s="1" customFormat="1" ht="13.5" customHeight="1">
      <c r="A808" s="3" t="s">
        <v>918</v>
      </c>
      <c r="B808" s="3"/>
      <c r="C808" s="3"/>
      <c r="D808" s="5" t="s">
        <v>919</v>
      </c>
      <c r="E808" s="5" t="s">
        <v>124</v>
      </c>
      <c r="F808" s="3" t="s">
        <v>3133</v>
      </c>
      <c r="G808" s="6">
        <f t="shared" si="25"/>
        <v>230.256</v>
      </c>
      <c r="H808" s="7">
        <v>41701</v>
      </c>
      <c r="I808" s="6" t="s">
        <v>265</v>
      </c>
      <c r="J808" s="6" t="s">
        <v>3134</v>
      </c>
      <c r="K808" s="6" t="s">
        <v>21</v>
      </c>
      <c r="L808" s="6">
        <v>13</v>
      </c>
      <c r="M808" s="15" t="s">
        <v>3132</v>
      </c>
      <c r="N808" s="15" t="s">
        <v>167</v>
      </c>
      <c r="O808" s="28" t="s">
        <v>3135</v>
      </c>
    </row>
    <row r="809" spans="1:15" s="1" customFormat="1" ht="13.5" customHeight="1">
      <c r="A809" s="3" t="s">
        <v>918</v>
      </c>
      <c r="B809" s="3"/>
      <c r="C809" s="3"/>
      <c r="D809" s="5" t="s">
        <v>919</v>
      </c>
      <c r="E809" s="5" t="s">
        <v>124</v>
      </c>
      <c r="F809" s="3" t="s">
        <v>3136</v>
      </c>
      <c r="G809" s="6">
        <f t="shared" si="25"/>
        <v>177.12</v>
      </c>
      <c r="H809" s="7">
        <v>41701</v>
      </c>
      <c r="I809" s="6" t="s">
        <v>265</v>
      </c>
      <c r="J809" s="6" t="s">
        <v>3137</v>
      </c>
      <c r="K809" s="6" t="s">
        <v>21</v>
      </c>
      <c r="L809" s="6">
        <v>10</v>
      </c>
      <c r="M809" s="15" t="s">
        <v>3138</v>
      </c>
      <c r="N809" s="15" t="s">
        <v>1236</v>
      </c>
      <c r="O809" s="28" t="s">
        <v>3138</v>
      </c>
    </row>
    <row r="810" spans="1:15" ht="13.5" customHeight="1">
      <c r="A810" s="3" t="s">
        <v>918</v>
      </c>
      <c r="B810" s="3"/>
      <c r="C810" s="3"/>
      <c r="D810" s="5" t="s">
        <v>919</v>
      </c>
      <c r="E810" s="5" t="s">
        <v>124</v>
      </c>
      <c r="F810" s="3" t="s">
        <v>3139</v>
      </c>
      <c r="G810" s="6">
        <f t="shared" si="25"/>
        <v>194.83199999999999</v>
      </c>
      <c r="H810" s="7">
        <v>41701</v>
      </c>
      <c r="I810" s="6" t="s">
        <v>265</v>
      </c>
      <c r="J810" s="6" t="s">
        <v>3140</v>
      </c>
      <c r="K810" s="6" t="s">
        <v>21</v>
      </c>
      <c r="L810" s="6">
        <v>11</v>
      </c>
      <c r="M810" s="15" t="s">
        <v>3138</v>
      </c>
      <c r="N810" s="15" t="s">
        <v>2199</v>
      </c>
      <c r="O810" s="28" t="s">
        <v>3141</v>
      </c>
    </row>
    <row r="811" spans="1:15" s="1" customFormat="1" ht="13.5" customHeight="1">
      <c r="A811" s="3" t="s">
        <v>918</v>
      </c>
      <c r="B811" s="3"/>
      <c r="C811" s="3"/>
      <c r="D811" s="5" t="s">
        <v>919</v>
      </c>
      <c r="E811" s="5" t="s">
        <v>124</v>
      </c>
      <c r="F811" s="3" t="s">
        <v>3142</v>
      </c>
      <c r="G811" s="6">
        <f t="shared" si="25"/>
        <v>212.54399999999998</v>
      </c>
      <c r="H811" s="7">
        <v>41701</v>
      </c>
      <c r="I811" s="6" t="s">
        <v>265</v>
      </c>
      <c r="J811" s="6" t="s">
        <v>3143</v>
      </c>
      <c r="K811" s="6" t="s">
        <v>21</v>
      </c>
      <c r="L811" s="6">
        <v>12</v>
      </c>
      <c r="M811" s="15" t="s">
        <v>3144</v>
      </c>
      <c r="N811" s="15" t="s">
        <v>164</v>
      </c>
      <c r="O811" s="28" t="s">
        <v>3144</v>
      </c>
    </row>
    <row r="812" spans="1:15" s="1" customFormat="1" ht="13.5" customHeight="1">
      <c r="A812" s="3" t="s">
        <v>918</v>
      </c>
      <c r="B812" s="3"/>
      <c r="C812" s="3"/>
      <c r="D812" s="5" t="s">
        <v>919</v>
      </c>
      <c r="E812" s="5" t="s">
        <v>124</v>
      </c>
      <c r="F812" s="3" t="s">
        <v>3145</v>
      </c>
      <c r="G812" s="6">
        <f t="shared" si="25"/>
        <v>230.256</v>
      </c>
      <c r="H812" s="7">
        <v>41701</v>
      </c>
      <c r="I812" s="6" t="s">
        <v>265</v>
      </c>
      <c r="J812" s="6" t="s">
        <v>3146</v>
      </c>
      <c r="K812" s="6" t="s">
        <v>21</v>
      </c>
      <c r="L812" s="6">
        <v>13</v>
      </c>
      <c r="M812" s="15" t="s">
        <v>3144</v>
      </c>
      <c r="N812" s="15" t="s">
        <v>167</v>
      </c>
      <c r="O812" s="28" t="s">
        <v>3147</v>
      </c>
    </row>
    <row r="813" spans="1:15" s="1" customFormat="1" ht="13.5" customHeight="1">
      <c r="A813" s="3" t="s">
        <v>494</v>
      </c>
      <c r="B813" s="3"/>
      <c r="C813" s="3"/>
      <c r="D813" s="5" t="s">
        <v>495</v>
      </c>
      <c r="E813" s="5" t="s">
        <v>124</v>
      </c>
      <c r="F813" s="3" t="s">
        <v>3148</v>
      </c>
      <c r="G813" s="6">
        <f>12.838*L813</f>
        <v>64.19</v>
      </c>
      <c r="H813" s="7">
        <v>41701</v>
      </c>
      <c r="I813" s="6" t="s">
        <v>471</v>
      </c>
      <c r="J813" s="6" t="s">
        <v>3149</v>
      </c>
      <c r="K813" s="6" t="s">
        <v>21</v>
      </c>
      <c r="L813" s="6">
        <v>5</v>
      </c>
      <c r="M813" s="15" t="s">
        <v>3150</v>
      </c>
      <c r="N813" s="15" t="s">
        <v>2916</v>
      </c>
      <c r="O813" s="28" t="s">
        <v>3150</v>
      </c>
    </row>
    <row r="814" spans="1:15" ht="13.5" customHeight="1">
      <c r="A814" s="3" t="s">
        <v>275</v>
      </c>
      <c r="B814" s="3"/>
      <c r="C814" s="3"/>
      <c r="D814" s="5" t="s">
        <v>276</v>
      </c>
      <c r="E814" s="5" t="s">
        <v>124</v>
      </c>
      <c r="F814" s="3" t="s">
        <v>3151</v>
      </c>
      <c r="G814" s="6">
        <f>6.405*L814</f>
        <v>76.86</v>
      </c>
      <c r="H814" s="7">
        <v>41701</v>
      </c>
      <c r="I814" s="6" t="s">
        <v>471</v>
      </c>
      <c r="J814" s="6" t="s">
        <v>3152</v>
      </c>
      <c r="K814" s="6" t="s">
        <v>21</v>
      </c>
      <c r="L814" s="6">
        <v>12</v>
      </c>
      <c r="M814" s="15" t="s">
        <v>2316</v>
      </c>
      <c r="N814" s="15" t="s">
        <v>1211</v>
      </c>
      <c r="O814" s="28" t="s">
        <v>3153</v>
      </c>
    </row>
    <row r="815" spans="1:15" ht="13.5" customHeight="1">
      <c r="A815" s="3" t="s">
        <v>1379</v>
      </c>
      <c r="B815" s="31" t="s">
        <v>2504</v>
      </c>
      <c r="C815" s="3"/>
      <c r="D815" s="5" t="s">
        <v>1381</v>
      </c>
      <c r="E815" s="5" t="s">
        <v>124</v>
      </c>
      <c r="F815" s="3" t="s">
        <v>3154</v>
      </c>
      <c r="G815" s="6">
        <f>4.66*L815</f>
        <v>23.3</v>
      </c>
      <c r="H815" s="7">
        <v>41701</v>
      </c>
      <c r="I815" s="6" t="s">
        <v>372</v>
      </c>
      <c r="J815" s="6" t="s">
        <v>3155</v>
      </c>
      <c r="K815" s="6" t="s">
        <v>21</v>
      </c>
      <c r="L815" s="6">
        <v>5</v>
      </c>
      <c r="M815" s="15" t="s">
        <v>3156</v>
      </c>
      <c r="N815" s="15" t="s">
        <v>59</v>
      </c>
      <c r="O815" s="27" t="s">
        <v>3156</v>
      </c>
    </row>
    <row r="816" spans="1:15" ht="13.5" customHeight="1">
      <c r="A816" s="22" t="s">
        <v>3157</v>
      </c>
      <c r="B816" s="4" t="s">
        <v>283</v>
      </c>
      <c r="C816" s="3"/>
      <c r="D816" s="5" t="s">
        <v>1083</v>
      </c>
      <c r="E816" s="5" t="s">
        <v>124</v>
      </c>
      <c r="F816" s="3" t="s">
        <v>3158</v>
      </c>
      <c r="G816" s="6">
        <f>9.871*L816</f>
        <v>118.452</v>
      </c>
      <c r="H816" s="7">
        <v>41701</v>
      </c>
      <c r="I816" s="6" t="s">
        <v>161</v>
      </c>
      <c r="J816" s="6" t="s">
        <v>3159</v>
      </c>
      <c r="K816" s="6" t="s">
        <v>21</v>
      </c>
      <c r="L816" s="6">
        <v>12</v>
      </c>
      <c r="M816" s="15" t="s">
        <v>3160</v>
      </c>
      <c r="N816" s="15" t="s">
        <v>164</v>
      </c>
      <c r="O816" s="27" t="s">
        <v>3161</v>
      </c>
    </row>
    <row r="817" spans="1:15" s="1" customFormat="1" ht="13.5" customHeight="1">
      <c r="A817" s="22" t="s">
        <v>3157</v>
      </c>
      <c r="B817" s="4" t="s">
        <v>283</v>
      </c>
      <c r="C817" s="3"/>
      <c r="D817" s="5" t="s">
        <v>1083</v>
      </c>
      <c r="E817" s="5" t="s">
        <v>124</v>
      </c>
      <c r="F817" s="3" t="s">
        <v>3162</v>
      </c>
      <c r="G817" s="6">
        <f>9.871*L817</f>
        <v>128.32300000000001</v>
      </c>
      <c r="H817" s="7">
        <v>41701</v>
      </c>
      <c r="I817" s="6" t="s">
        <v>161</v>
      </c>
      <c r="J817" s="6" t="s">
        <v>3163</v>
      </c>
      <c r="K817" s="6" t="s">
        <v>21</v>
      </c>
      <c r="L817" s="6">
        <v>13</v>
      </c>
      <c r="M817" s="15" t="s">
        <v>3160</v>
      </c>
      <c r="N817" s="15" t="s">
        <v>167</v>
      </c>
      <c r="O817" s="27" t="s">
        <v>3160</v>
      </c>
    </row>
    <row r="818" spans="1:15" s="1" customFormat="1" ht="13.5" customHeight="1">
      <c r="A818" s="3" t="s">
        <v>846</v>
      </c>
      <c r="B818" s="3"/>
      <c r="C818" s="3"/>
      <c r="D818" s="5" t="s">
        <v>191</v>
      </c>
      <c r="E818" s="5" t="s">
        <v>124</v>
      </c>
      <c r="F818" s="3" t="s">
        <v>3164</v>
      </c>
      <c r="G818" s="6">
        <f>18.708*L818</f>
        <v>224.49599999999998</v>
      </c>
      <c r="H818" s="7">
        <v>41701</v>
      </c>
      <c r="I818" s="6" t="s">
        <v>247</v>
      </c>
      <c r="J818" s="6" t="s">
        <v>3165</v>
      </c>
      <c r="K818" s="6" t="s">
        <v>21</v>
      </c>
      <c r="L818" s="6">
        <v>12</v>
      </c>
      <c r="M818" s="15" t="s">
        <v>3166</v>
      </c>
      <c r="N818" s="15" t="s">
        <v>164</v>
      </c>
      <c r="O818" s="28" t="s">
        <v>3166</v>
      </c>
    </row>
    <row r="819" spans="1:15" s="1" customFormat="1" ht="13.5" customHeight="1">
      <c r="A819" s="3" t="s">
        <v>846</v>
      </c>
      <c r="B819" s="3"/>
      <c r="C819" s="3"/>
      <c r="D819" s="5" t="s">
        <v>191</v>
      </c>
      <c r="E819" s="5" t="s">
        <v>124</v>
      </c>
      <c r="F819" s="3" t="s">
        <v>3167</v>
      </c>
      <c r="G819" s="6">
        <f>18.708*L819</f>
        <v>243.20399999999998</v>
      </c>
      <c r="H819" s="7">
        <v>41701</v>
      </c>
      <c r="I819" s="6" t="s">
        <v>247</v>
      </c>
      <c r="J819" s="6" t="s">
        <v>3168</v>
      </c>
      <c r="K819" s="6" t="s">
        <v>21</v>
      </c>
      <c r="L819" s="6">
        <v>13</v>
      </c>
      <c r="M819" s="15" t="s">
        <v>3166</v>
      </c>
      <c r="N819" s="15" t="s">
        <v>167</v>
      </c>
      <c r="O819" s="28" t="s">
        <v>3169</v>
      </c>
    </row>
    <row r="820" spans="1:15" s="1" customFormat="1" ht="13.5" customHeight="1">
      <c r="A820" s="3" t="s">
        <v>1187</v>
      </c>
      <c r="B820" s="3"/>
      <c r="C820" s="3"/>
      <c r="D820" s="5" t="s">
        <v>1188</v>
      </c>
      <c r="E820" s="5" t="s">
        <v>124</v>
      </c>
      <c r="F820" s="3" t="s">
        <v>3170</v>
      </c>
      <c r="G820" s="6">
        <f>29.101*L820</f>
        <v>58.201999999999998</v>
      </c>
      <c r="H820" s="7">
        <v>41701</v>
      </c>
      <c r="I820" s="6" t="s">
        <v>178</v>
      </c>
      <c r="J820" s="6" t="s">
        <v>3171</v>
      </c>
      <c r="K820" s="6" t="s">
        <v>21</v>
      </c>
      <c r="L820" s="6">
        <v>2</v>
      </c>
      <c r="M820" s="15" t="s">
        <v>3172</v>
      </c>
      <c r="N820" s="15" t="s">
        <v>3173</v>
      </c>
      <c r="O820" s="28" t="s">
        <v>3172</v>
      </c>
    </row>
    <row r="821" spans="1:15" s="1" customFormat="1" ht="13.5" customHeight="1">
      <c r="A821" s="3" t="s">
        <v>753</v>
      </c>
      <c r="B821" s="3"/>
      <c r="C821" s="3"/>
      <c r="D821" s="5" t="s">
        <v>754</v>
      </c>
      <c r="E821" s="5" t="s">
        <v>124</v>
      </c>
      <c r="F821" s="3" t="s">
        <v>3174</v>
      </c>
      <c r="G821" s="6">
        <f>17.52*L821</f>
        <v>105.12</v>
      </c>
      <c r="H821" s="7">
        <v>41701</v>
      </c>
      <c r="I821" s="6" t="s">
        <v>265</v>
      </c>
      <c r="J821" s="6" t="s">
        <v>3175</v>
      </c>
      <c r="K821" s="6" t="s">
        <v>21</v>
      </c>
      <c r="L821" s="6">
        <v>6</v>
      </c>
      <c r="M821" s="15" t="s">
        <v>3176</v>
      </c>
      <c r="N821" s="15" t="s">
        <v>2556</v>
      </c>
      <c r="O821" s="28" t="s">
        <v>3176</v>
      </c>
    </row>
    <row r="822" spans="1:15" s="1" customFormat="1" ht="13.5" customHeight="1">
      <c r="A822" s="3" t="s">
        <v>1810</v>
      </c>
      <c r="B822" s="3"/>
      <c r="C822" s="3"/>
      <c r="D822" s="5" t="s">
        <v>717</v>
      </c>
      <c r="E822" s="5" t="s">
        <v>124</v>
      </c>
      <c r="F822" s="3" t="s">
        <v>3177</v>
      </c>
      <c r="G822" s="6">
        <v>171.095</v>
      </c>
      <c r="H822" s="7">
        <v>41701</v>
      </c>
      <c r="I822" s="6" t="s">
        <v>209</v>
      </c>
      <c r="J822" s="6" t="s">
        <v>3178</v>
      </c>
      <c r="K822" s="6" t="s">
        <v>128</v>
      </c>
      <c r="L822" s="6" t="s">
        <v>1009</v>
      </c>
      <c r="M822" s="15" t="s">
        <v>3179</v>
      </c>
      <c r="N822" s="15" t="s">
        <v>3180</v>
      </c>
      <c r="O822" s="28" t="s">
        <v>3181</v>
      </c>
    </row>
    <row r="823" spans="1:15" ht="13.5" customHeight="1">
      <c r="A823" s="3" t="s">
        <v>3182</v>
      </c>
      <c r="B823" s="3"/>
      <c r="C823" s="3"/>
      <c r="D823" s="5" t="s">
        <v>3183</v>
      </c>
      <c r="E823" s="5" t="s">
        <v>124</v>
      </c>
      <c r="F823" s="3" t="s">
        <v>3184</v>
      </c>
      <c r="G823" s="6">
        <v>49.026000000000003</v>
      </c>
      <c r="H823" s="7">
        <v>41702</v>
      </c>
      <c r="I823" s="6" t="s">
        <v>209</v>
      </c>
      <c r="J823" s="6" t="s">
        <v>3185</v>
      </c>
      <c r="K823" s="6" t="s">
        <v>128</v>
      </c>
      <c r="L823" s="6" t="s">
        <v>1990</v>
      </c>
      <c r="M823" s="15" t="s">
        <v>3186</v>
      </c>
      <c r="N823" s="15" t="s">
        <v>3187</v>
      </c>
      <c r="O823" s="27" t="s">
        <v>3188</v>
      </c>
    </row>
    <row r="824" spans="1:15" s="1" customFormat="1" ht="13.5" customHeight="1">
      <c r="A824" s="3" t="s">
        <v>1349</v>
      </c>
      <c r="B824" s="3"/>
      <c r="C824" s="3"/>
      <c r="D824" s="5" t="s">
        <v>2117</v>
      </c>
      <c r="E824" s="5" t="s">
        <v>124</v>
      </c>
      <c r="F824" s="3" t="s">
        <v>3189</v>
      </c>
      <c r="G824" s="6">
        <v>262.56599999999997</v>
      </c>
      <c r="H824" s="7">
        <v>41702</v>
      </c>
      <c r="I824" s="6" t="s">
        <v>178</v>
      </c>
      <c r="J824" s="6" t="s">
        <v>3190</v>
      </c>
      <c r="K824" s="6" t="s">
        <v>128</v>
      </c>
      <c r="L824" s="6" t="s">
        <v>1891</v>
      </c>
      <c r="M824" s="15" t="s">
        <v>3191</v>
      </c>
      <c r="N824" s="15" t="s">
        <v>3192</v>
      </c>
      <c r="O824" s="28" t="s">
        <v>3193</v>
      </c>
    </row>
    <row r="825" spans="1:15" s="1" customFormat="1" ht="13.5" customHeight="1">
      <c r="A825" s="3" t="s">
        <v>1216</v>
      </c>
      <c r="B825" s="3"/>
      <c r="C825" s="3"/>
      <c r="D825" s="5" t="s">
        <v>2117</v>
      </c>
      <c r="E825" s="5" t="s">
        <v>124</v>
      </c>
      <c r="F825" s="3" t="s">
        <v>3194</v>
      </c>
      <c r="G825" s="6">
        <v>291.74</v>
      </c>
      <c r="H825" s="7">
        <v>41702</v>
      </c>
      <c r="I825" s="6" t="s">
        <v>209</v>
      </c>
      <c r="J825" s="6" t="s">
        <v>3195</v>
      </c>
      <c r="K825" s="6" t="s">
        <v>128</v>
      </c>
      <c r="L825" s="6" t="s">
        <v>2753</v>
      </c>
      <c r="M825" s="15" t="s">
        <v>3196</v>
      </c>
      <c r="N825" s="15" t="s">
        <v>3197</v>
      </c>
      <c r="O825" s="28" t="s">
        <v>3198</v>
      </c>
    </row>
    <row r="826" spans="1:15" ht="13.5" customHeight="1">
      <c r="A826" s="3" t="s">
        <v>1534</v>
      </c>
      <c r="B826" s="3"/>
      <c r="C826" s="3"/>
      <c r="D826" s="5" t="s">
        <v>2128</v>
      </c>
      <c r="E826" s="5" t="s">
        <v>124</v>
      </c>
      <c r="F826" s="3" t="s">
        <v>3199</v>
      </c>
      <c r="G826" s="6">
        <v>291.74</v>
      </c>
      <c r="H826" s="7">
        <v>41702</v>
      </c>
      <c r="I826" s="6" t="s">
        <v>209</v>
      </c>
      <c r="J826" s="6" t="s">
        <v>3200</v>
      </c>
      <c r="K826" s="6" t="s">
        <v>128</v>
      </c>
      <c r="L826" s="6" t="s">
        <v>2319</v>
      </c>
      <c r="M826" s="15" t="s">
        <v>3201</v>
      </c>
      <c r="N826" s="15" t="s">
        <v>2321</v>
      </c>
      <c r="O826" s="28" t="s">
        <v>3202</v>
      </c>
    </row>
    <row r="827" spans="1:15" s="1" customFormat="1" ht="13.5" customHeight="1">
      <c r="A827" s="3" t="s">
        <v>1534</v>
      </c>
      <c r="B827" s="3"/>
      <c r="C827" s="3"/>
      <c r="D827" s="5" t="s">
        <v>2128</v>
      </c>
      <c r="E827" s="5" t="s">
        <v>124</v>
      </c>
      <c r="F827" s="3" t="s">
        <v>3203</v>
      </c>
      <c r="G827" s="6">
        <v>291.74</v>
      </c>
      <c r="H827" s="7">
        <v>41702</v>
      </c>
      <c r="I827" s="6" t="s">
        <v>209</v>
      </c>
      <c r="J827" s="6" t="s">
        <v>3204</v>
      </c>
      <c r="K827" s="6" t="s">
        <v>128</v>
      </c>
      <c r="L827" s="6" t="s">
        <v>2319</v>
      </c>
      <c r="M827" s="15" t="s">
        <v>3205</v>
      </c>
      <c r="N827" s="15" t="s">
        <v>2326</v>
      </c>
      <c r="O827" s="28" t="s">
        <v>3206</v>
      </c>
    </row>
    <row r="828" spans="1:15" s="1" customFormat="1" ht="13.5" customHeight="1">
      <c r="A828" s="3" t="s">
        <v>1534</v>
      </c>
      <c r="B828" s="3"/>
      <c r="C828" s="3"/>
      <c r="D828" s="5" t="s">
        <v>2128</v>
      </c>
      <c r="E828" s="5" t="s">
        <v>124</v>
      </c>
      <c r="F828" s="3" t="s">
        <v>3207</v>
      </c>
      <c r="G828" s="6">
        <v>142.41900000000001</v>
      </c>
      <c r="H828" s="7">
        <v>41702</v>
      </c>
      <c r="I828" s="6" t="s">
        <v>209</v>
      </c>
      <c r="J828" s="6" t="s">
        <v>3208</v>
      </c>
      <c r="K828" s="6" t="s">
        <v>128</v>
      </c>
      <c r="L828" s="6" t="s">
        <v>1641</v>
      </c>
      <c r="M828" s="15" t="s">
        <v>3209</v>
      </c>
      <c r="N828" s="15" t="s">
        <v>3210</v>
      </c>
      <c r="O828" s="28" t="s">
        <v>3211</v>
      </c>
    </row>
    <row r="829" spans="1:15" s="1" customFormat="1" ht="13.5" customHeight="1">
      <c r="A829" s="3" t="s">
        <v>1534</v>
      </c>
      <c r="B829" s="3"/>
      <c r="C829" s="3"/>
      <c r="D829" s="5" t="s">
        <v>2128</v>
      </c>
      <c r="E829" s="5" t="s">
        <v>124</v>
      </c>
      <c r="F829" s="3" t="s">
        <v>3212</v>
      </c>
      <c r="G829" s="6">
        <v>142.21700000000001</v>
      </c>
      <c r="H829" s="7">
        <v>41702</v>
      </c>
      <c r="I829" s="6" t="s">
        <v>209</v>
      </c>
      <c r="J829" s="6" t="s">
        <v>3213</v>
      </c>
      <c r="K829" s="6" t="s">
        <v>128</v>
      </c>
      <c r="L829" s="6" t="s">
        <v>1641</v>
      </c>
      <c r="M829" s="15" t="s">
        <v>3214</v>
      </c>
      <c r="N829" s="15" t="s">
        <v>3215</v>
      </c>
      <c r="O829" s="28" t="s">
        <v>3216</v>
      </c>
    </row>
    <row r="830" spans="1:15" ht="13.5" customHeight="1">
      <c r="A830" s="3" t="s">
        <v>739</v>
      </c>
      <c r="B830" s="3"/>
      <c r="C830" s="3"/>
      <c r="D830" s="5" t="s">
        <v>740</v>
      </c>
      <c r="E830" s="5" t="s">
        <v>124</v>
      </c>
      <c r="F830" s="3" t="s">
        <v>3217</v>
      </c>
      <c r="G830" s="6">
        <v>49.273000000000003</v>
      </c>
      <c r="H830" s="7">
        <v>41702</v>
      </c>
      <c r="I830" s="6" t="s">
        <v>209</v>
      </c>
      <c r="J830" s="6" t="s">
        <v>3218</v>
      </c>
      <c r="K830" s="6" t="s">
        <v>128</v>
      </c>
      <c r="L830" s="6" t="s">
        <v>1864</v>
      </c>
      <c r="M830" s="15" t="s">
        <v>3219</v>
      </c>
      <c r="N830" s="15" t="s">
        <v>3220</v>
      </c>
      <c r="O830" s="28" t="s">
        <v>3221</v>
      </c>
    </row>
    <row r="831" spans="1:15" s="1" customFormat="1" ht="13.5" customHeight="1">
      <c r="A831" s="3" t="s">
        <v>1311</v>
      </c>
      <c r="B831" s="3"/>
      <c r="C831" s="3"/>
      <c r="D831" s="5" t="s">
        <v>1312</v>
      </c>
      <c r="E831" s="5" t="s">
        <v>124</v>
      </c>
      <c r="F831" s="3" t="s">
        <v>3222</v>
      </c>
      <c r="G831" s="6">
        <v>84.063000000000002</v>
      </c>
      <c r="H831" s="7">
        <v>41702</v>
      </c>
      <c r="I831" s="6" t="s">
        <v>209</v>
      </c>
      <c r="J831" s="6" t="s">
        <v>3223</v>
      </c>
      <c r="K831" s="6" t="s">
        <v>128</v>
      </c>
      <c r="L831" s="6" t="s">
        <v>2788</v>
      </c>
      <c r="M831" s="15" t="s">
        <v>3224</v>
      </c>
      <c r="N831" s="15" t="s">
        <v>3225</v>
      </c>
      <c r="O831" s="28" t="s">
        <v>3226</v>
      </c>
    </row>
    <row r="832" spans="1:15" s="1" customFormat="1" ht="13.5" customHeight="1">
      <c r="A832" s="3" t="s">
        <v>2965</v>
      </c>
      <c r="B832" s="3"/>
      <c r="C832" s="3"/>
      <c r="D832" s="5" t="s">
        <v>544</v>
      </c>
      <c r="E832" s="5" t="s">
        <v>124</v>
      </c>
      <c r="F832" s="3" t="s">
        <v>3227</v>
      </c>
      <c r="G832" s="6">
        <v>16.745999999999999</v>
      </c>
      <c r="H832" s="7">
        <v>41702</v>
      </c>
      <c r="I832" s="6" t="s">
        <v>209</v>
      </c>
      <c r="J832" s="6" t="s">
        <v>3228</v>
      </c>
      <c r="K832" s="6" t="s">
        <v>128</v>
      </c>
      <c r="L832" s="6" t="s">
        <v>547</v>
      </c>
      <c r="M832" s="15" t="s">
        <v>3229</v>
      </c>
      <c r="N832" s="15" t="s">
        <v>3230</v>
      </c>
      <c r="O832" s="28" t="s">
        <v>3231</v>
      </c>
    </row>
    <row r="833" spans="1:15" ht="13.5" customHeight="1">
      <c r="A833" s="3" t="s">
        <v>1534</v>
      </c>
      <c r="B833" s="3"/>
      <c r="C833" s="3"/>
      <c r="D833" s="5" t="s">
        <v>2128</v>
      </c>
      <c r="E833" s="5" t="s">
        <v>124</v>
      </c>
      <c r="F833" s="3" t="s">
        <v>3232</v>
      </c>
      <c r="G833" s="6">
        <v>291.74</v>
      </c>
      <c r="H833" s="7">
        <v>41702</v>
      </c>
      <c r="I833" s="6" t="s">
        <v>209</v>
      </c>
      <c r="J833" s="6" t="s">
        <v>3233</v>
      </c>
      <c r="K833" s="6" t="s">
        <v>128</v>
      </c>
      <c r="L833" s="6" t="s">
        <v>2319</v>
      </c>
      <c r="M833" s="15" t="s">
        <v>3234</v>
      </c>
      <c r="N833" s="15" t="s">
        <v>2321</v>
      </c>
      <c r="O833" s="28" t="s">
        <v>3235</v>
      </c>
    </row>
    <row r="834" spans="1:15" s="1" customFormat="1" ht="13.5" customHeight="1">
      <c r="A834" s="3" t="s">
        <v>1534</v>
      </c>
      <c r="B834" s="3"/>
      <c r="C834" s="3"/>
      <c r="D834" s="5" t="s">
        <v>2128</v>
      </c>
      <c r="E834" s="5" t="s">
        <v>124</v>
      </c>
      <c r="F834" s="3" t="s">
        <v>3236</v>
      </c>
      <c r="G834" s="6">
        <v>291.74</v>
      </c>
      <c r="H834" s="7">
        <v>41702</v>
      </c>
      <c r="I834" s="6" t="s">
        <v>209</v>
      </c>
      <c r="J834" s="6" t="s">
        <v>3237</v>
      </c>
      <c r="K834" s="6" t="s">
        <v>128</v>
      </c>
      <c r="L834" s="6" t="s">
        <v>2319</v>
      </c>
      <c r="M834" s="15" t="s">
        <v>3238</v>
      </c>
      <c r="N834" s="15" t="s">
        <v>2321</v>
      </c>
      <c r="O834" s="28" t="s">
        <v>3239</v>
      </c>
    </row>
    <row r="835" spans="1:15" s="1" customFormat="1" ht="13.5" customHeight="1">
      <c r="A835" s="3" t="s">
        <v>846</v>
      </c>
      <c r="B835" s="3"/>
      <c r="C835" s="3"/>
      <c r="D835" s="5" t="s">
        <v>191</v>
      </c>
      <c r="E835" s="5" t="s">
        <v>124</v>
      </c>
      <c r="F835" s="3" t="s">
        <v>3240</v>
      </c>
      <c r="G835" s="6">
        <f>18.708*L835</f>
        <v>224.49599999999998</v>
      </c>
      <c r="H835" s="7">
        <v>41702</v>
      </c>
      <c r="I835" s="6" t="s">
        <v>247</v>
      </c>
      <c r="J835" s="6" t="s">
        <v>3241</v>
      </c>
      <c r="K835" s="6" t="s">
        <v>21</v>
      </c>
      <c r="L835" s="6">
        <v>12</v>
      </c>
      <c r="M835" s="15" t="s">
        <v>3242</v>
      </c>
      <c r="N835" s="15" t="s">
        <v>164</v>
      </c>
      <c r="O835" s="28" t="s">
        <v>3242</v>
      </c>
    </row>
    <row r="836" spans="1:15" s="1" customFormat="1" ht="13.5" customHeight="1">
      <c r="A836" s="3" t="s">
        <v>846</v>
      </c>
      <c r="B836" s="3"/>
      <c r="C836" s="3"/>
      <c r="D836" s="5" t="s">
        <v>191</v>
      </c>
      <c r="E836" s="5" t="s">
        <v>124</v>
      </c>
      <c r="F836" s="3" t="s">
        <v>3243</v>
      </c>
      <c r="G836" s="6">
        <f>18.708*L836</f>
        <v>243.20399999999998</v>
      </c>
      <c r="H836" s="7">
        <v>41702</v>
      </c>
      <c r="I836" s="6" t="s">
        <v>247</v>
      </c>
      <c r="J836" s="6" t="s">
        <v>3244</v>
      </c>
      <c r="K836" s="6" t="s">
        <v>21</v>
      </c>
      <c r="L836" s="6">
        <v>13</v>
      </c>
      <c r="M836" s="15" t="s">
        <v>3242</v>
      </c>
      <c r="N836" s="15" t="s">
        <v>167</v>
      </c>
      <c r="O836" s="28" t="s">
        <v>3245</v>
      </c>
    </row>
    <row r="837" spans="1:15" s="1" customFormat="1" ht="13.5" customHeight="1">
      <c r="A837" s="3" t="s">
        <v>2519</v>
      </c>
      <c r="B837" s="3" t="s">
        <v>283</v>
      </c>
      <c r="C837" s="3"/>
      <c r="D837" s="21" t="s">
        <v>2088</v>
      </c>
      <c r="E837" s="5" t="s">
        <v>124</v>
      </c>
      <c r="F837" s="3" t="s">
        <v>3246</v>
      </c>
      <c r="G837" s="6">
        <f>14.864*L837</f>
        <v>104.048</v>
      </c>
      <c r="H837" s="7">
        <v>41702</v>
      </c>
      <c r="I837" s="6" t="s">
        <v>272</v>
      </c>
      <c r="J837" s="6" t="s">
        <v>3247</v>
      </c>
      <c r="K837" s="6" t="s">
        <v>21</v>
      </c>
      <c r="L837" s="6">
        <v>7</v>
      </c>
      <c r="M837" s="15" t="s">
        <v>3248</v>
      </c>
      <c r="N837" s="15" t="s">
        <v>1460</v>
      </c>
      <c r="O837" s="28" t="s">
        <v>3248</v>
      </c>
    </row>
    <row r="838" spans="1:15" s="1" customFormat="1" ht="13.5" customHeight="1">
      <c r="A838" s="3" t="s">
        <v>2519</v>
      </c>
      <c r="B838" s="3" t="s">
        <v>283</v>
      </c>
      <c r="C838" s="3"/>
      <c r="D838" s="21" t="s">
        <v>2088</v>
      </c>
      <c r="E838" s="5" t="s">
        <v>124</v>
      </c>
      <c r="F838" s="3" t="s">
        <v>3249</v>
      </c>
      <c r="G838" s="6">
        <f>14.864*L838</f>
        <v>118.91200000000001</v>
      </c>
      <c r="H838" s="7">
        <v>41702</v>
      </c>
      <c r="I838" s="6" t="s">
        <v>272</v>
      </c>
      <c r="J838" s="6" t="s">
        <v>3250</v>
      </c>
      <c r="K838" s="6" t="s">
        <v>21</v>
      </c>
      <c r="L838" s="6">
        <v>8</v>
      </c>
      <c r="M838" s="15" t="s">
        <v>3248</v>
      </c>
      <c r="N838" s="15" t="s">
        <v>1463</v>
      </c>
      <c r="O838" s="28" t="s">
        <v>3251</v>
      </c>
    </row>
    <row r="839" spans="1:15" s="1" customFormat="1" ht="13.5" customHeight="1">
      <c r="A839" s="3" t="s">
        <v>1077</v>
      </c>
      <c r="B839" s="4" t="s">
        <v>283</v>
      </c>
      <c r="C839" s="3"/>
      <c r="D839" s="21" t="s">
        <v>3252</v>
      </c>
      <c r="E839" s="5" t="s">
        <v>124</v>
      </c>
      <c r="F839" s="3" t="s">
        <v>3253</v>
      </c>
      <c r="G839" s="6">
        <f>14.864*L839</f>
        <v>148.64000000000001</v>
      </c>
      <c r="H839" s="7">
        <v>41702</v>
      </c>
      <c r="I839" s="6" t="s">
        <v>272</v>
      </c>
      <c r="J839" s="6" t="s">
        <v>3254</v>
      </c>
      <c r="K839" s="6" t="s">
        <v>21</v>
      </c>
      <c r="L839" s="6">
        <v>10</v>
      </c>
      <c r="M839" s="15" t="s">
        <v>3255</v>
      </c>
      <c r="N839" s="15" t="s">
        <v>114</v>
      </c>
      <c r="O839" s="27" t="s">
        <v>3255</v>
      </c>
    </row>
    <row r="840" spans="1:15" s="1" customFormat="1" ht="13.5" customHeight="1">
      <c r="A840" s="5" t="s">
        <v>1127</v>
      </c>
      <c r="B840" s="3"/>
      <c r="C840" s="3"/>
      <c r="D840" s="5" t="s">
        <v>1128</v>
      </c>
      <c r="E840" s="5" t="s">
        <v>7026</v>
      </c>
      <c r="F840" s="3" t="s">
        <v>7429</v>
      </c>
      <c r="G840" s="6">
        <f>29.101*L840</f>
        <v>291.01</v>
      </c>
      <c r="H840" s="7">
        <v>41702</v>
      </c>
      <c r="I840" s="6" t="s">
        <v>178</v>
      </c>
      <c r="J840" s="6" t="s">
        <v>7430</v>
      </c>
      <c r="K840" s="6" t="s">
        <v>21</v>
      </c>
      <c r="L840" s="6">
        <v>10</v>
      </c>
      <c r="M840" s="15" t="s">
        <v>7431</v>
      </c>
      <c r="N840" s="15" t="s">
        <v>35</v>
      </c>
      <c r="O840" s="28" t="s">
        <v>7432</v>
      </c>
    </row>
    <row r="841" spans="1:15" ht="13.5" customHeight="1">
      <c r="A841" s="5" t="s">
        <v>1259</v>
      </c>
      <c r="B841" s="3"/>
      <c r="C841" s="3"/>
      <c r="D841" s="5" t="s">
        <v>170</v>
      </c>
      <c r="E841" s="5" t="s">
        <v>7026</v>
      </c>
      <c r="F841" s="3" t="s">
        <v>7433</v>
      </c>
      <c r="G841" s="6">
        <f t="shared" ref="G841:G846" si="26">17.498*L841</f>
        <v>209.976</v>
      </c>
      <c r="H841" s="7">
        <v>41702</v>
      </c>
      <c r="I841" s="6" t="s">
        <v>265</v>
      </c>
      <c r="J841" s="6" t="s">
        <v>7434</v>
      </c>
      <c r="K841" s="6" t="s">
        <v>21</v>
      </c>
      <c r="L841" s="6">
        <v>12</v>
      </c>
      <c r="M841" s="15" t="s">
        <v>7435</v>
      </c>
      <c r="N841" s="15" t="s">
        <v>164</v>
      </c>
      <c r="O841" s="28" t="s">
        <v>7436</v>
      </c>
    </row>
    <row r="842" spans="1:15" ht="13.5" customHeight="1">
      <c r="A842" s="5" t="s">
        <v>169</v>
      </c>
      <c r="B842" s="3"/>
      <c r="C842" s="3"/>
      <c r="D842" s="5" t="s">
        <v>170</v>
      </c>
      <c r="E842" s="5" t="s">
        <v>7026</v>
      </c>
      <c r="F842" s="3" t="s">
        <v>7437</v>
      </c>
      <c r="G842" s="6">
        <f t="shared" si="26"/>
        <v>227.47400000000002</v>
      </c>
      <c r="H842" s="7">
        <v>41702</v>
      </c>
      <c r="I842" s="6" t="s">
        <v>265</v>
      </c>
      <c r="J842" s="6" t="s">
        <v>7438</v>
      </c>
      <c r="K842" s="6" t="s">
        <v>21</v>
      </c>
      <c r="L842" s="6">
        <v>13</v>
      </c>
      <c r="M842" s="15" t="s">
        <v>7435</v>
      </c>
      <c r="N842" s="15" t="s">
        <v>167</v>
      </c>
      <c r="O842" s="28" t="s">
        <v>7439</v>
      </c>
    </row>
    <row r="843" spans="1:15" s="1" customFormat="1" ht="13.5" customHeight="1">
      <c r="A843" s="5" t="s">
        <v>7064</v>
      </c>
      <c r="B843" s="3"/>
      <c r="C843" s="3"/>
      <c r="D843" s="5" t="s">
        <v>7025</v>
      </c>
      <c r="E843" s="5" t="s">
        <v>7026</v>
      </c>
      <c r="F843" s="3" t="s">
        <v>7440</v>
      </c>
      <c r="G843" s="6">
        <f t="shared" si="26"/>
        <v>157.482</v>
      </c>
      <c r="H843" s="7">
        <v>41702</v>
      </c>
      <c r="I843" s="6" t="s">
        <v>265</v>
      </c>
      <c r="J843" s="6" t="s">
        <v>7441</v>
      </c>
      <c r="K843" s="6" t="s">
        <v>21</v>
      </c>
      <c r="L843" s="6">
        <v>9</v>
      </c>
      <c r="M843" s="15" t="s">
        <v>7358</v>
      </c>
      <c r="N843" s="15" t="s">
        <v>798</v>
      </c>
      <c r="O843" s="28" t="s">
        <v>7442</v>
      </c>
    </row>
    <row r="844" spans="1:15" ht="13.5" customHeight="1">
      <c r="A844" s="5" t="s">
        <v>7064</v>
      </c>
      <c r="B844" s="3"/>
      <c r="C844" s="3"/>
      <c r="D844" s="5" t="s">
        <v>7025</v>
      </c>
      <c r="E844" s="5" t="s">
        <v>7026</v>
      </c>
      <c r="F844" s="3" t="s">
        <v>7443</v>
      </c>
      <c r="G844" s="6">
        <f t="shared" si="26"/>
        <v>174.98000000000002</v>
      </c>
      <c r="H844" s="7">
        <v>41702</v>
      </c>
      <c r="I844" s="6" t="s">
        <v>265</v>
      </c>
      <c r="J844" s="6" t="s">
        <v>7444</v>
      </c>
      <c r="K844" s="6" t="s">
        <v>21</v>
      </c>
      <c r="L844" s="6">
        <v>10</v>
      </c>
      <c r="M844" s="15" t="s">
        <v>7358</v>
      </c>
      <c r="N844" s="15" t="s">
        <v>114</v>
      </c>
      <c r="O844" s="28" t="s">
        <v>7445</v>
      </c>
    </row>
    <row r="845" spans="1:15" s="1" customFormat="1" ht="13.5" customHeight="1">
      <c r="A845" s="3" t="s">
        <v>2546</v>
      </c>
      <c r="B845" s="3"/>
      <c r="C845" s="3"/>
      <c r="D845" s="5" t="s">
        <v>3106</v>
      </c>
      <c r="E845" s="5" t="s">
        <v>124</v>
      </c>
      <c r="F845" s="3" t="s">
        <v>3256</v>
      </c>
      <c r="G845" s="6">
        <f t="shared" si="26"/>
        <v>174.98000000000002</v>
      </c>
      <c r="H845" s="7">
        <v>41703</v>
      </c>
      <c r="I845" s="6" t="s">
        <v>265</v>
      </c>
      <c r="J845" s="6" t="s">
        <v>3257</v>
      </c>
      <c r="K845" s="6" t="s">
        <v>21</v>
      </c>
      <c r="L845" s="6">
        <v>10</v>
      </c>
      <c r="M845" s="15" t="s">
        <v>3258</v>
      </c>
      <c r="N845" s="15" t="s">
        <v>1236</v>
      </c>
      <c r="O845" s="28" t="s">
        <v>3258</v>
      </c>
    </row>
    <row r="846" spans="1:15" s="1" customFormat="1" ht="13.5" customHeight="1">
      <c r="A846" s="3" t="s">
        <v>2546</v>
      </c>
      <c r="B846" s="3"/>
      <c r="C846" s="3"/>
      <c r="D846" s="5" t="s">
        <v>3106</v>
      </c>
      <c r="E846" s="5" t="s">
        <v>124</v>
      </c>
      <c r="F846" s="3" t="s">
        <v>3259</v>
      </c>
      <c r="G846" s="6">
        <f t="shared" si="26"/>
        <v>192.47800000000001</v>
      </c>
      <c r="H846" s="7">
        <v>41703</v>
      </c>
      <c r="I846" s="6" t="s">
        <v>265</v>
      </c>
      <c r="J846" s="6" t="s">
        <v>3260</v>
      </c>
      <c r="K846" s="6" t="s">
        <v>21</v>
      </c>
      <c r="L846" s="6">
        <v>11</v>
      </c>
      <c r="M846" s="15" t="s">
        <v>3258</v>
      </c>
      <c r="N846" s="15" t="s">
        <v>2199</v>
      </c>
      <c r="O846" s="28" t="s">
        <v>3261</v>
      </c>
    </row>
    <row r="847" spans="1:15" s="1" customFormat="1" ht="13.5" customHeight="1">
      <c r="A847" s="3" t="s">
        <v>1018</v>
      </c>
      <c r="B847" s="3"/>
      <c r="C847" s="3"/>
      <c r="D847" s="5" t="s">
        <v>1019</v>
      </c>
      <c r="E847" s="5" t="s">
        <v>124</v>
      </c>
      <c r="F847" s="3" t="s">
        <v>3262</v>
      </c>
      <c r="G847" s="6">
        <v>208.273</v>
      </c>
      <c r="H847" s="7">
        <v>41703</v>
      </c>
      <c r="I847" s="6" t="s">
        <v>209</v>
      </c>
      <c r="J847" s="6" t="s">
        <v>3263</v>
      </c>
      <c r="K847" s="6" t="s">
        <v>128</v>
      </c>
      <c r="L847" s="6" t="s">
        <v>948</v>
      </c>
      <c r="M847" s="15" t="s">
        <v>3264</v>
      </c>
      <c r="N847" s="15" t="s">
        <v>3265</v>
      </c>
      <c r="O847" s="28" t="s">
        <v>3266</v>
      </c>
    </row>
    <row r="848" spans="1:15" s="1" customFormat="1" ht="13.5" customHeight="1">
      <c r="A848" s="3" t="s">
        <v>1018</v>
      </c>
      <c r="B848" s="3"/>
      <c r="C848" s="3"/>
      <c r="D848" s="5" t="s">
        <v>1019</v>
      </c>
      <c r="E848" s="5" t="s">
        <v>124</v>
      </c>
      <c r="F848" s="3" t="s">
        <v>3267</v>
      </c>
      <c r="G848" s="6">
        <v>190.959</v>
      </c>
      <c r="H848" s="7">
        <v>41703</v>
      </c>
      <c r="I848" s="6" t="s">
        <v>209</v>
      </c>
      <c r="J848" s="6" t="s">
        <v>3268</v>
      </c>
      <c r="K848" s="6" t="s">
        <v>128</v>
      </c>
      <c r="L848" s="6" t="s">
        <v>1722</v>
      </c>
      <c r="M848" s="15" t="s">
        <v>3269</v>
      </c>
      <c r="N848" s="15" t="s">
        <v>3270</v>
      </c>
      <c r="O848" s="28" t="s">
        <v>3271</v>
      </c>
    </row>
    <row r="849" spans="1:15" ht="13.5" customHeight="1">
      <c r="A849" s="3" t="s">
        <v>1534</v>
      </c>
      <c r="B849" s="3"/>
      <c r="C849" s="3"/>
      <c r="D849" s="5" t="s">
        <v>2128</v>
      </c>
      <c r="E849" s="5" t="s">
        <v>124</v>
      </c>
      <c r="F849" s="3" t="s">
        <v>3272</v>
      </c>
      <c r="G849" s="6">
        <v>291.74</v>
      </c>
      <c r="H849" s="7">
        <v>41703</v>
      </c>
      <c r="I849" s="6" t="s">
        <v>209</v>
      </c>
      <c r="J849" s="6" t="s">
        <v>3273</v>
      </c>
      <c r="K849" s="6" t="s">
        <v>128</v>
      </c>
      <c r="L849" s="6" t="s">
        <v>2319</v>
      </c>
      <c r="M849" s="15" t="s">
        <v>3274</v>
      </c>
      <c r="N849" s="15" t="s">
        <v>2326</v>
      </c>
      <c r="O849" s="28" t="s">
        <v>3275</v>
      </c>
    </row>
    <row r="850" spans="1:15" s="1" customFormat="1" ht="13.5" customHeight="1">
      <c r="A850" s="3" t="s">
        <v>1534</v>
      </c>
      <c r="B850" s="3"/>
      <c r="C850" s="3"/>
      <c r="D850" s="5" t="s">
        <v>2128</v>
      </c>
      <c r="E850" s="5" t="s">
        <v>124</v>
      </c>
      <c r="F850" s="3" t="s">
        <v>3276</v>
      </c>
      <c r="G850" s="6">
        <v>142.637</v>
      </c>
      <c r="H850" s="7">
        <v>41703</v>
      </c>
      <c r="I850" s="6" t="s">
        <v>209</v>
      </c>
      <c r="J850" s="6" t="s">
        <v>3277</v>
      </c>
      <c r="K850" s="6" t="s">
        <v>128</v>
      </c>
      <c r="L850" s="6" t="s">
        <v>1641</v>
      </c>
      <c r="M850" s="15" t="s">
        <v>3278</v>
      </c>
      <c r="N850" s="15" t="s">
        <v>3279</v>
      </c>
      <c r="O850" s="28" t="s">
        <v>3280</v>
      </c>
    </row>
    <row r="851" spans="1:15" ht="13.5" customHeight="1">
      <c r="A851" s="3" t="s">
        <v>1534</v>
      </c>
      <c r="B851" s="3"/>
      <c r="C851" s="3"/>
      <c r="D851" s="5" t="s">
        <v>2128</v>
      </c>
      <c r="E851" s="5" t="s">
        <v>124</v>
      </c>
      <c r="F851" s="3" t="s">
        <v>3281</v>
      </c>
      <c r="G851" s="6">
        <v>142.47999999999999</v>
      </c>
      <c r="H851" s="7">
        <v>41703</v>
      </c>
      <c r="I851" s="6" t="s">
        <v>209</v>
      </c>
      <c r="J851" s="6" t="s">
        <v>3282</v>
      </c>
      <c r="K851" s="6" t="s">
        <v>128</v>
      </c>
      <c r="L851" s="6" t="s">
        <v>1641</v>
      </c>
      <c r="M851" s="15" t="s">
        <v>3283</v>
      </c>
      <c r="N851" s="15" t="s">
        <v>3284</v>
      </c>
      <c r="O851" s="28" t="s">
        <v>3285</v>
      </c>
    </row>
    <row r="852" spans="1:15" ht="13.5" customHeight="1">
      <c r="A852" s="3" t="s">
        <v>1534</v>
      </c>
      <c r="B852" s="3"/>
      <c r="C852" s="3"/>
      <c r="D852" s="5" t="s">
        <v>2128</v>
      </c>
      <c r="E852" s="5" t="s">
        <v>124</v>
      </c>
      <c r="F852" s="3" t="s">
        <v>3286</v>
      </c>
      <c r="G852" s="6">
        <v>142.27500000000001</v>
      </c>
      <c r="H852" s="7">
        <v>41703</v>
      </c>
      <c r="I852" s="6" t="s">
        <v>209</v>
      </c>
      <c r="J852" s="6" t="s">
        <v>3287</v>
      </c>
      <c r="K852" s="6" t="s">
        <v>128</v>
      </c>
      <c r="L852" s="6" t="s">
        <v>1641</v>
      </c>
      <c r="M852" s="15" t="s">
        <v>3288</v>
      </c>
      <c r="N852" s="15" t="s">
        <v>3289</v>
      </c>
      <c r="O852" s="28" t="s">
        <v>3290</v>
      </c>
    </row>
    <row r="853" spans="1:15" s="1" customFormat="1" ht="13.5" customHeight="1">
      <c r="A853" s="3" t="s">
        <v>1534</v>
      </c>
      <c r="B853" s="3"/>
      <c r="C853" s="3"/>
      <c r="D853" s="5" t="s">
        <v>2128</v>
      </c>
      <c r="E853" s="5" t="s">
        <v>124</v>
      </c>
      <c r="F853" s="3" t="s">
        <v>3291</v>
      </c>
      <c r="G853" s="6">
        <v>175.04400000000001</v>
      </c>
      <c r="H853" s="7">
        <v>41703</v>
      </c>
      <c r="I853" s="6" t="s">
        <v>209</v>
      </c>
      <c r="J853" s="6" t="s">
        <v>3292</v>
      </c>
      <c r="K853" s="6" t="s">
        <v>128</v>
      </c>
      <c r="L853" s="6" t="s">
        <v>3293</v>
      </c>
      <c r="M853" s="15" t="s">
        <v>3294</v>
      </c>
      <c r="N853" s="15" t="s">
        <v>3295</v>
      </c>
      <c r="O853" s="28" t="s">
        <v>3296</v>
      </c>
    </row>
    <row r="854" spans="1:15" ht="13.5" customHeight="1">
      <c r="A854" s="3" t="s">
        <v>442</v>
      </c>
      <c r="B854" s="3"/>
      <c r="C854" s="3"/>
      <c r="D854" s="5" t="s">
        <v>443</v>
      </c>
      <c r="E854" s="5" t="s">
        <v>124</v>
      </c>
      <c r="F854" s="3" t="s">
        <v>3297</v>
      </c>
      <c r="G854" s="6">
        <f t="shared" ref="G854:G859" si="27">18.708*L854</f>
        <v>224.49599999999998</v>
      </c>
      <c r="H854" s="7">
        <v>41703</v>
      </c>
      <c r="I854" s="6" t="s">
        <v>247</v>
      </c>
      <c r="J854" s="6" t="s">
        <v>3298</v>
      </c>
      <c r="K854" s="6" t="s">
        <v>21</v>
      </c>
      <c r="L854" s="6">
        <v>12</v>
      </c>
      <c r="M854" s="15" t="s">
        <v>3299</v>
      </c>
      <c r="N854" s="15" t="s">
        <v>164</v>
      </c>
      <c r="O854" s="28" t="s">
        <v>3299</v>
      </c>
    </row>
    <row r="855" spans="1:15" s="1" customFormat="1" ht="13.5" customHeight="1">
      <c r="A855" s="3" t="s">
        <v>442</v>
      </c>
      <c r="B855" s="3"/>
      <c r="C855" s="3"/>
      <c r="D855" s="5" t="s">
        <v>443</v>
      </c>
      <c r="E855" s="5" t="s">
        <v>124</v>
      </c>
      <c r="F855" s="3" t="s">
        <v>3300</v>
      </c>
      <c r="G855" s="6">
        <f t="shared" si="27"/>
        <v>243.20399999999998</v>
      </c>
      <c r="H855" s="7">
        <v>41703</v>
      </c>
      <c r="I855" s="6" t="s">
        <v>247</v>
      </c>
      <c r="J855" s="6" t="s">
        <v>3301</v>
      </c>
      <c r="K855" s="6" t="s">
        <v>21</v>
      </c>
      <c r="L855" s="6">
        <v>13</v>
      </c>
      <c r="M855" s="15" t="s">
        <v>3299</v>
      </c>
      <c r="N855" s="15" t="s">
        <v>167</v>
      </c>
      <c r="O855" s="28" t="s">
        <v>3302</v>
      </c>
    </row>
    <row r="856" spans="1:15" s="1" customFormat="1" ht="13.5" customHeight="1">
      <c r="A856" s="3" t="s">
        <v>442</v>
      </c>
      <c r="B856" s="3"/>
      <c r="C856" s="3"/>
      <c r="D856" s="5" t="s">
        <v>443</v>
      </c>
      <c r="E856" s="5" t="s">
        <v>124</v>
      </c>
      <c r="F856" s="3" t="s">
        <v>3303</v>
      </c>
      <c r="G856" s="6">
        <f t="shared" si="27"/>
        <v>224.49599999999998</v>
      </c>
      <c r="H856" s="7">
        <v>41703</v>
      </c>
      <c r="I856" s="6" t="s">
        <v>247</v>
      </c>
      <c r="J856" s="6" t="s">
        <v>3304</v>
      </c>
      <c r="K856" s="6" t="s">
        <v>21</v>
      </c>
      <c r="L856" s="6">
        <v>12</v>
      </c>
      <c r="M856" s="15" t="s">
        <v>3305</v>
      </c>
      <c r="N856" s="15" t="s">
        <v>164</v>
      </c>
      <c r="O856" s="28" t="s">
        <v>3305</v>
      </c>
    </row>
    <row r="857" spans="1:15" s="1" customFormat="1" ht="13.5" customHeight="1">
      <c r="A857" s="3" t="s">
        <v>442</v>
      </c>
      <c r="B857" s="3"/>
      <c r="C857" s="3"/>
      <c r="D857" s="5" t="s">
        <v>443</v>
      </c>
      <c r="E857" s="5" t="s">
        <v>124</v>
      </c>
      <c r="F857" s="3" t="s">
        <v>3306</v>
      </c>
      <c r="G857" s="6">
        <f t="shared" si="27"/>
        <v>243.20399999999998</v>
      </c>
      <c r="H857" s="7">
        <v>41703</v>
      </c>
      <c r="I857" s="6" t="s">
        <v>247</v>
      </c>
      <c r="J857" s="6" t="s">
        <v>3307</v>
      </c>
      <c r="K857" s="6" t="s">
        <v>21</v>
      </c>
      <c r="L857" s="6">
        <v>13</v>
      </c>
      <c r="M857" s="15" t="s">
        <v>3305</v>
      </c>
      <c r="N857" s="15" t="s">
        <v>167</v>
      </c>
      <c r="O857" s="28" t="s">
        <v>3308</v>
      </c>
    </row>
    <row r="858" spans="1:15" s="1" customFormat="1" ht="13.5" customHeight="1">
      <c r="A858" s="3" t="s">
        <v>442</v>
      </c>
      <c r="B858" s="3"/>
      <c r="C858" s="3"/>
      <c r="D858" s="5" t="s">
        <v>443</v>
      </c>
      <c r="E858" s="5" t="s">
        <v>124</v>
      </c>
      <c r="F858" s="3" t="s">
        <v>3309</v>
      </c>
      <c r="G858" s="6">
        <f t="shared" si="27"/>
        <v>224.49599999999998</v>
      </c>
      <c r="H858" s="7">
        <v>41703</v>
      </c>
      <c r="I858" s="6" t="s">
        <v>247</v>
      </c>
      <c r="J858" s="6" t="s">
        <v>3310</v>
      </c>
      <c r="K858" s="6" t="s">
        <v>21</v>
      </c>
      <c r="L858" s="6">
        <v>12</v>
      </c>
      <c r="M858" s="15" t="s">
        <v>3311</v>
      </c>
      <c r="N858" s="15" t="s">
        <v>164</v>
      </c>
      <c r="O858" s="28" t="s">
        <v>3311</v>
      </c>
    </row>
    <row r="859" spans="1:15" s="1" customFormat="1" ht="13.5" customHeight="1">
      <c r="A859" s="3" t="s">
        <v>442</v>
      </c>
      <c r="B859" s="3"/>
      <c r="C859" s="3"/>
      <c r="D859" s="5" t="s">
        <v>443</v>
      </c>
      <c r="E859" s="5" t="s">
        <v>124</v>
      </c>
      <c r="F859" s="3" t="s">
        <v>3312</v>
      </c>
      <c r="G859" s="6">
        <f t="shared" si="27"/>
        <v>243.20399999999998</v>
      </c>
      <c r="H859" s="7">
        <v>41703</v>
      </c>
      <c r="I859" s="6" t="s">
        <v>247</v>
      </c>
      <c r="J859" s="6" t="s">
        <v>3313</v>
      </c>
      <c r="K859" s="6" t="s">
        <v>21</v>
      </c>
      <c r="L859" s="6">
        <v>13</v>
      </c>
      <c r="M859" s="15" t="s">
        <v>3311</v>
      </c>
      <c r="N859" s="15" t="s">
        <v>167</v>
      </c>
      <c r="O859" s="28" t="s">
        <v>3314</v>
      </c>
    </row>
    <row r="860" spans="1:15" s="1" customFormat="1" ht="13.5" customHeight="1">
      <c r="A860" s="3" t="s">
        <v>2519</v>
      </c>
      <c r="B860" s="4" t="s">
        <v>283</v>
      </c>
      <c r="C860" s="3"/>
      <c r="D860" s="5" t="s">
        <v>2088</v>
      </c>
      <c r="E860" s="5" t="s">
        <v>124</v>
      </c>
      <c r="F860" s="3" t="s">
        <v>3315</v>
      </c>
      <c r="G860" s="6">
        <f>14.864*L860</f>
        <v>178.36799999999999</v>
      </c>
      <c r="H860" s="7">
        <v>41703</v>
      </c>
      <c r="I860" s="6" t="s">
        <v>272</v>
      </c>
      <c r="J860" s="6" t="s">
        <v>3316</v>
      </c>
      <c r="K860" s="6" t="s">
        <v>21</v>
      </c>
      <c r="L860" s="6">
        <v>12</v>
      </c>
      <c r="M860" s="15" t="s">
        <v>3317</v>
      </c>
      <c r="N860" s="15" t="s">
        <v>164</v>
      </c>
      <c r="O860" s="28" t="s">
        <v>3317</v>
      </c>
    </row>
    <row r="861" spans="1:15" s="1" customFormat="1" ht="13.5" customHeight="1">
      <c r="A861" s="3" t="s">
        <v>2519</v>
      </c>
      <c r="B861" s="4" t="s">
        <v>283</v>
      </c>
      <c r="C861" s="3"/>
      <c r="D861" s="5" t="s">
        <v>2088</v>
      </c>
      <c r="E861" s="5" t="s">
        <v>124</v>
      </c>
      <c r="F861" s="3" t="s">
        <v>3318</v>
      </c>
      <c r="G861" s="6">
        <f>14.864*L861</f>
        <v>193.232</v>
      </c>
      <c r="H861" s="7">
        <v>41703</v>
      </c>
      <c r="I861" s="6" t="s">
        <v>272</v>
      </c>
      <c r="J861" s="6" t="s">
        <v>3319</v>
      </c>
      <c r="K861" s="6" t="s">
        <v>21</v>
      </c>
      <c r="L861" s="6">
        <v>13</v>
      </c>
      <c r="M861" s="15" t="s">
        <v>3317</v>
      </c>
      <c r="N861" s="15" t="s">
        <v>167</v>
      </c>
      <c r="O861" s="28" t="s">
        <v>3320</v>
      </c>
    </row>
    <row r="862" spans="1:15" s="1" customFormat="1" ht="13.5" customHeight="1">
      <c r="A862" s="3" t="s">
        <v>846</v>
      </c>
      <c r="B862" s="3"/>
      <c r="C862" s="3"/>
      <c r="D862" s="5" t="s">
        <v>191</v>
      </c>
      <c r="E862" s="5" t="s">
        <v>124</v>
      </c>
      <c r="F862" s="3" t="s">
        <v>3321</v>
      </c>
      <c r="G862" s="6">
        <f>18.708*L862</f>
        <v>224.49599999999998</v>
      </c>
      <c r="H862" s="7">
        <v>41703</v>
      </c>
      <c r="I862" s="6" t="s">
        <v>247</v>
      </c>
      <c r="J862" s="6" t="s">
        <v>3322</v>
      </c>
      <c r="K862" s="6" t="s">
        <v>21</v>
      </c>
      <c r="L862" s="6">
        <v>12</v>
      </c>
      <c r="M862" s="15" t="s">
        <v>3323</v>
      </c>
      <c r="N862" s="15" t="s">
        <v>164</v>
      </c>
      <c r="O862" s="28" t="s">
        <v>3323</v>
      </c>
    </row>
    <row r="863" spans="1:15" s="1" customFormat="1" ht="13.5" customHeight="1">
      <c r="A863" s="3" t="s">
        <v>846</v>
      </c>
      <c r="B863" s="3"/>
      <c r="C863" s="3"/>
      <c r="D863" s="5" t="s">
        <v>191</v>
      </c>
      <c r="E863" s="5" t="s">
        <v>124</v>
      </c>
      <c r="F863" s="3" t="s">
        <v>3324</v>
      </c>
      <c r="G863" s="6">
        <f>18.708*L863</f>
        <v>243.20399999999998</v>
      </c>
      <c r="H863" s="7">
        <v>41703</v>
      </c>
      <c r="I863" s="6" t="s">
        <v>247</v>
      </c>
      <c r="J863" s="6" t="s">
        <v>3325</v>
      </c>
      <c r="K863" s="6" t="s">
        <v>21</v>
      </c>
      <c r="L863" s="6">
        <v>13</v>
      </c>
      <c r="M863" s="15" t="s">
        <v>3323</v>
      </c>
      <c r="N863" s="15" t="s">
        <v>167</v>
      </c>
      <c r="O863" s="28" t="s">
        <v>3326</v>
      </c>
    </row>
    <row r="864" spans="1:15" s="1" customFormat="1" ht="13.5" customHeight="1">
      <c r="A864" s="3" t="s">
        <v>514</v>
      </c>
      <c r="B864" s="3"/>
      <c r="C864" s="3"/>
      <c r="D864" s="5" t="s">
        <v>2030</v>
      </c>
      <c r="E864" s="5" t="s">
        <v>124</v>
      </c>
      <c r="F864" s="3" t="s">
        <v>3327</v>
      </c>
      <c r="G864" s="6">
        <f>14.405*L864</f>
        <v>144.04999999999998</v>
      </c>
      <c r="H864" s="7">
        <v>41703</v>
      </c>
      <c r="I864" s="6" t="s">
        <v>265</v>
      </c>
      <c r="J864" s="6" t="s">
        <v>3328</v>
      </c>
      <c r="K864" s="6" t="s">
        <v>21</v>
      </c>
      <c r="L864" s="6">
        <v>10</v>
      </c>
      <c r="M864" s="15" t="s">
        <v>3329</v>
      </c>
      <c r="N864" s="15" t="s">
        <v>3330</v>
      </c>
      <c r="O864" s="28" t="s">
        <v>3329</v>
      </c>
    </row>
    <row r="865" spans="1:15" ht="13.5" customHeight="1">
      <c r="A865" s="22" t="s">
        <v>3331</v>
      </c>
      <c r="B865" s="3"/>
      <c r="C865" s="3"/>
      <c r="D865" s="5" t="s">
        <v>3332</v>
      </c>
      <c r="E865" s="5" t="s">
        <v>124</v>
      </c>
      <c r="F865" s="3" t="s">
        <v>3333</v>
      </c>
      <c r="G865" s="6">
        <v>17.425999999999998</v>
      </c>
      <c r="H865" s="7">
        <v>41703</v>
      </c>
      <c r="I865" s="6" t="s">
        <v>209</v>
      </c>
      <c r="J865" s="6" t="s">
        <v>3334</v>
      </c>
      <c r="K865" s="6" t="s">
        <v>21</v>
      </c>
      <c r="L865" s="6" t="s">
        <v>743</v>
      </c>
      <c r="M865" s="15" t="s">
        <v>3335</v>
      </c>
      <c r="N865" s="15" t="s">
        <v>3336</v>
      </c>
      <c r="O865" s="27" t="s">
        <v>3337</v>
      </c>
    </row>
    <row r="866" spans="1:15" s="1" customFormat="1" ht="13.5" customHeight="1">
      <c r="A866" s="3" t="s">
        <v>812</v>
      </c>
      <c r="B866" s="4" t="s">
        <v>1735</v>
      </c>
      <c r="C866" s="3"/>
      <c r="D866" s="5"/>
      <c r="E866" s="5" t="s">
        <v>124</v>
      </c>
      <c r="F866" s="3" t="s">
        <v>3338</v>
      </c>
      <c r="G866" s="6">
        <v>80</v>
      </c>
      <c r="H866" s="7">
        <v>41703</v>
      </c>
      <c r="I866" s="6"/>
      <c r="J866" s="6"/>
      <c r="K866" s="6"/>
      <c r="L866" s="6"/>
      <c r="M866" s="15"/>
      <c r="N866" s="15"/>
      <c r="O866" s="27" t="s">
        <v>3339</v>
      </c>
    </row>
    <row r="867" spans="1:15" s="1" customFormat="1" ht="13.5" customHeight="1">
      <c r="A867" s="22" t="s">
        <v>3340</v>
      </c>
      <c r="B867" s="3"/>
      <c r="C867" s="3"/>
      <c r="D867" s="5" t="s">
        <v>3341</v>
      </c>
      <c r="E867" s="5" t="s">
        <v>124</v>
      </c>
      <c r="F867" s="3" t="s">
        <v>3342</v>
      </c>
      <c r="G867" s="6">
        <f>25.957*L867</f>
        <v>103.828</v>
      </c>
      <c r="H867" s="7">
        <v>41704</v>
      </c>
      <c r="I867" s="6" t="s">
        <v>913</v>
      </c>
      <c r="J867" s="6" t="s">
        <v>3343</v>
      </c>
      <c r="K867" s="6" t="s">
        <v>21</v>
      </c>
      <c r="L867" s="6">
        <v>4</v>
      </c>
      <c r="M867" s="15" t="s">
        <v>3344</v>
      </c>
      <c r="N867" s="15" t="s">
        <v>653</v>
      </c>
      <c r="O867" s="27" t="s">
        <v>3344</v>
      </c>
    </row>
    <row r="868" spans="1:15" s="1" customFormat="1" ht="13.5" customHeight="1">
      <c r="A868" s="21" t="s">
        <v>1108</v>
      </c>
      <c r="B868" s="3"/>
      <c r="C868" s="3"/>
      <c r="D868" s="5" t="s">
        <v>391</v>
      </c>
      <c r="E868" s="5" t="s">
        <v>7026</v>
      </c>
      <c r="F868" s="3" t="s">
        <v>7446</v>
      </c>
      <c r="G868" s="6">
        <f>17.712*L868</f>
        <v>106.27199999999999</v>
      </c>
      <c r="H868" s="7">
        <v>41704</v>
      </c>
      <c r="I868" s="6" t="s">
        <v>265</v>
      </c>
      <c r="J868" s="6" t="s">
        <v>7447</v>
      </c>
      <c r="K868" s="6" t="s">
        <v>21</v>
      </c>
      <c r="L868" s="6">
        <v>6</v>
      </c>
      <c r="M868" s="15" t="s">
        <v>7448</v>
      </c>
      <c r="N868" s="15" t="s">
        <v>1070</v>
      </c>
      <c r="O868" s="28" t="s">
        <v>7449</v>
      </c>
    </row>
    <row r="869" spans="1:15" s="1" customFormat="1" ht="13.5" customHeight="1">
      <c r="A869" s="21" t="s">
        <v>1593</v>
      </c>
      <c r="B869" s="3"/>
      <c r="C869" s="3"/>
      <c r="D869" s="5" t="s">
        <v>1151</v>
      </c>
      <c r="E869" s="5" t="s">
        <v>7026</v>
      </c>
      <c r="F869" s="3" t="s">
        <v>7450</v>
      </c>
      <c r="G869" s="6">
        <f>17.712*L869</f>
        <v>212.54399999999998</v>
      </c>
      <c r="H869" s="7">
        <v>41704</v>
      </c>
      <c r="I869" s="6" t="s">
        <v>265</v>
      </c>
      <c r="J869" s="6" t="s">
        <v>7451</v>
      </c>
      <c r="K869" s="6" t="s">
        <v>21</v>
      </c>
      <c r="L869" s="6">
        <v>12</v>
      </c>
      <c r="M869" s="15" t="s">
        <v>7452</v>
      </c>
      <c r="N869" s="15" t="s">
        <v>164</v>
      </c>
      <c r="O869" s="28" t="s">
        <v>7453</v>
      </c>
    </row>
    <row r="870" spans="1:15" s="1" customFormat="1" ht="13.5" customHeight="1">
      <c r="A870" s="21" t="s">
        <v>1593</v>
      </c>
      <c r="B870" s="3"/>
      <c r="C870" s="3"/>
      <c r="D870" s="5" t="s">
        <v>1151</v>
      </c>
      <c r="E870" s="5" t="s">
        <v>7026</v>
      </c>
      <c r="F870" s="3" t="s">
        <v>7454</v>
      </c>
      <c r="G870" s="6">
        <f>17.712*L870</f>
        <v>230.256</v>
      </c>
      <c r="H870" s="7">
        <v>41704</v>
      </c>
      <c r="I870" s="6" t="s">
        <v>265</v>
      </c>
      <c r="J870" s="6" t="s">
        <v>7455</v>
      </c>
      <c r="K870" s="6" t="s">
        <v>21</v>
      </c>
      <c r="L870" s="6">
        <v>13</v>
      </c>
      <c r="M870" s="15" t="s">
        <v>7452</v>
      </c>
      <c r="N870" s="15" t="s">
        <v>167</v>
      </c>
      <c r="O870" s="27" t="s">
        <v>7456</v>
      </c>
    </row>
    <row r="871" spans="1:15" s="1" customFormat="1" ht="13.5" customHeight="1">
      <c r="A871" s="21" t="s">
        <v>1593</v>
      </c>
      <c r="B871" s="3"/>
      <c r="C871" s="3"/>
      <c r="D871" s="5" t="s">
        <v>1151</v>
      </c>
      <c r="E871" s="5" t="s">
        <v>7026</v>
      </c>
      <c r="F871" s="3" t="s">
        <v>7457</v>
      </c>
      <c r="G871" s="6">
        <f>17.712*L871</f>
        <v>177.12</v>
      </c>
      <c r="H871" s="7">
        <v>41704</v>
      </c>
      <c r="I871" s="6" t="s">
        <v>265</v>
      </c>
      <c r="J871" s="6" t="s">
        <v>7458</v>
      </c>
      <c r="K871" s="6" t="s">
        <v>21</v>
      </c>
      <c r="L871" s="6">
        <v>10</v>
      </c>
      <c r="M871" s="15" t="s">
        <v>7459</v>
      </c>
      <c r="N871" s="15" t="s">
        <v>859</v>
      </c>
      <c r="O871" s="27" t="s">
        <v>7460</v>
      </c>
    </row>
    <row r="872" spans="1:15" ht="13.5" customHeight="1">
      <c r="A872" s="22" t="s">
        <v>3345</v>
      </c>
      <c r="B872" s="3"/>
      <c r="C872" s="3"/>
      <c r="D872" s="5" t="s">
        <v>3346</v>
      </c>
      <c r="E872" s="5" t="s">
        <v>124</v>
      </c>
      <c r="F872" s="3" t="s">
        <v>3347</v>
      </c>
      <c r="G872" s="6">
        <f>14.405*3</f>
        <v>43.214999999999996</v>
      </c>
      <c r="H872" s="7">
        <v>41705</v>
      </c>
      <c r="I872" s="6" t="s">
        <v>3348</v>
      </c>
      <c r="J872" s="6" t="s">
        <v>3349</v>
      </c>
      <c r="K872" s="6" t="s">
        <v>21</v>
      </c>
      <c r="L872" s="6" t="s">
        <v>3350</v>
      </c>
      <c r="M872" s="15" t="s">
        <v>3351</v>
      </c>
      <c r="N872" s="15" t="s">
        <v>3352</v>
      </c>
      <c r="O872" s="27" t="s">
        <v>3353</v>
      </c>
    </row>
    <row r="873" spans="1:15" ht="13.5" customHeight="1">
      <c r="A873" s="3" t="s">
        <v>846</v>
      </c>
      <c r="B873" s="3"/>
      <c r="C873" s="3"/>
      <c r="D873" s="5" t="s">
        <v>191</v>
      </c>
      <c r="E873" s="5" t="s">
        <v>124</v>
      </c>
      <c r="F873" s="3" t="s">
        <v>3354</v>
      </c>
      <c r="G873" s="6">
        <f>18.708*L873</f>
        <v>168.37199999999999</v>
      </c>
      <c r="H873" s="7">
        <v>41705</v>
      </c>
      <c r="I873" s="6" t="s">
        <v>247</v>
      </c>
      <c r="J873" s="6" t="s">
        <v>3355</v>
      </c>
      <c r="K873" s="6" t="s">
        <v>21</v>
      </c>
      <c r="L873" s="6">
        <v>9</v>
      </c>
      <c r="M873" s="15" t="s">
        <v>3356</v>
      </c>
      <c r="N873" s="15" t="s">
        <v>486</v>
      </c>
      <c r="O873" s="28" t="s">
        <v>3356</v>
      </c>
    </row>
    <row r="874" spans="1:15" s="1" customFormat="1" ht="13.5" customHeight="1">
      <c r="A874" s="3" t="s">
        <v>846</v>
      </c>
      <c r="B874" s="3"/>
      <c r="C874" s="3"/>
      <c r="D874" s="5" t="s">
        <v>191</v>
      </c>
      <c r="E874" s="5" t="s">
        <v>124</v>
      </c>
      <c r="F874" s="3" t="s">
        <v>3357</v>
      </c>
      <c r="G874" s="6">
        <f>18.708*L874</f>
        <v>187.07999999999998</v>
      </c>
      <c r="H874" s="7">
        <v>41705</v>
      </c>
      <c r="I874" s="6" t="s">
        <v>247</v>
      </c>
      <c r="J874" s="6" t="s">
        <v>3358</v>
      </c>
      <c r="K874" s="6" t="s">
        <v>21</v>
      </c>
      <c r="L874" s="6">
        <v>10</v>
      </c>
      <c r="M874" s="15" t="s">
        <v>3356</v>
      </c>
      <c r="N874" s="15" t="s">
        <v>3359</v>
      </c>
      <c r="O874" s="28" t="s">
        <v>3360</v>
      </c>
    </row>
    <row r="875" spans="1:15" s="1" customFormat="1" ht="13.5" customHeight="1">
      <c r="A875" s="3" t="s">
        <v>423</v>
      </c>
      <c r="B875" s="4"/>
      <c r="C875" s="3"/>
      <c r="D875" s="5" t="s">
        <v>191</v>
      </c>
      <c r="E875" s="5" t="s">
        <v>124</v>
      </c>
      <c r="F875" s="3" t="s">
        <v>3361</v>
      </c>
      <c r="G875" s="6">
        <f>18.708*L875</f>
        <v>112.24799999999999</v>
      </c>
      <c r="H875" s="7">
        <v>41705</v>
      </c>
      <c r="I875" s="6" t="s">
        <v>247</v>
      </c>
      <c r="J875" s="6" t="s">
        <v>3362</v>
      </c>
      <c r="K875" s="6" t="s">
        <v>21</v>
      </c>
      <c r="L875" s="6">
        <v>6</v>
      </c>
      <c r="M875" s="15" t="s">
        <v>3356</v>
      </c>
      <c r="N875" s="15" t="s">
        <v>1070</v>
      </c>
      <c r="O875" s="28" t="s">
        <v>3363</v>
      </c>
    </row>
    <row r="876" spans="1:15" s="1" customFormat="1" ht="13.5" customHeight="1">
      <c r="A876" s="3" t="s">
        <v>1534</v>
      </c>
      <c r="B876" s="3"/>
      <c r="C876" s="3"/>
      <c r="D876" s="5" t="s">
        <v>2128</v>
      </c>
      <c r="E876" s="5" t="s">
        <v>124</v>
      </c>
      <c r="F876" s="3" t="s">
        <v>3364</v>
      </c>
      <c r="G876" s="6">
        <v>291.74</v>
      </c>
      <c r="H876" s="7">
        <v>41705</v>
      </c>
      <c r="I876" s="6" t="s">
        <v>209</v>
      </c>
      <c r="J876" s="6" t="s">
        <v>3365</v>
      </c>
      <c r="K876" s="6" t="s">
        <v>128</v>
      </c>
      <c r="L876" s="6" t="s">
        <v>2319</v>
      </c>
      <c r="M876" s="15" t="s">
        <v>3366</v>
      </c>
      <c r="N876" s="15" t="s">
        <v>2444</v>
      </c>
      <c r="O876" s="28" t="s">
        <v>3367</v>
      </c>
    </row>
    <row r="877" spans="1:15" s="1" customFormat="1" ht="13.5" customHeight="1">
      <c r="A877" s="3" t="s">
        <v>1534</v>
      </c>
      <c r="B877" s="3"/>
      <c r="C877" s="3"/>
      <c r="D877" s="5" t="s">
        <v>2128</v>
      </c>
      <c r="E877" s="5" t="s">
        <v>124</v>
      </c>
      <c r="F877" s="3" t="s">
        <v>3368</v>
      </c>
      <c r="G877" s="6">
        <v>291.74</v>
      </c>
      <c r="H877" s="7">
        <v>41705</v>
      </c>
      <c r="I877" s="6" t="s">
        <v>209</v>
      </c>
      <c r="J877" s="6" t="s">
        <v>3369</v>
      </c>
      <c r="K877" s="6" t="s">
        <v>128</v>
      </c>
      <c r="L877" s="6" t="s">
        <v>2319</v>
      </c>
      <c r="M877" s="15" t="s">
        <v>3370</v>
      </c>
      <c r="N877" s="15" t="s">
        <v>2449</v>
      </c>
      <c r="O877" s="28" t="s">
        <v>3371</v>
      </c>
    </row>
    <row r="878" spans="1:15" s="1" customFormat="1" ht="13.5" customHeight="1">
      <c r="A878" s="3" t="s">
        <v>1534</v>
      </c>
      <c r="B878" s="3"/>
      <c r="C878" s="3"/>
      <c r="D878" s="5" t="s">
        <v>2128</v>
      </c>
      <c r="E878" s="5" t="s">
        <v>124</v>
      </c>
      <c r="F878" s="3" t="s">
        <v>3372</v>
      </c>
      <c r="G878" s="6">
        <v>142.489</v>
      </c>
      <c r="H878" s="7">
        <v>41705</v>
      </c>
      <c r="I878" s="6" t="s">
        <v>209</v>
      </c>
      <c r="J878" s="6" t="s">
        <v>3373</v>
      </c>
      <c r="K878" s="6" t="s">
        <v>128</v>
      </c>
      <c r="L878" s="6" t="s">
        <v>1641</v>
      </c>
      <c r="M878" s="15" t="s">
        <v>3374</v>
      </c>
      <c r="N878" s="15" t="s">
        <v>3375</v>
      </c>
      <c r="O878" s="28" t="s">
        <v>3376</v>
      </c>
    </row>
    <row r="879" spans="1:15" s="1" customFormat="1" ht="13.5" customHeight="1">
      <c r="A879" s="3" t="s">
        <v>3377</v>
      </c>
      <c r="B879" s="3"/>
      <c r="C879" s="3"/>
      <c r="D879" s="5" t="s">
        <v>3378</v>
      </c>
      <c r="E879" s="5" t="s">
        <v>124</v>
      </c>
      <c r="F879" s="3" t="s">
        <v>3379</v>
      </c>
      <c r="G879" s="6">
        <f>19.827*L879</f>
        <v>59.481000000000009</v>
      </c>
      <c r="H879" s="7">
        <v>41709</v>
      </c>
      <c r="I879" s="6" t="s">
        <v>379</v>
      </c>
      <c r="J879" s="6" t="s">
        <v>3380</v>
      </c>
      <c r="K879" s="6" t="s">
        <v>21</v>
      </c>
      <c r="L879" s="6">
        <v>3</v>
      </c>
      <c r="M879" s="15" t="s">
        <v>3381</v>
      </c>
      <c r="N879" s="15" t="s">
        <v>3382</v>
      </c>
      <c r="O879" s="28" t="s">
        <v>3381</v>
      </c>
    </row>
    <row r="880" spans="1:15" s="1" customFormat="1" ht="13.5" customHeight="1">
      <c r="A880" s="3" t="s">
        <v>1087</v>
      </c>
      <c r="B880" s="4" t="s">
        <v>283</v>
      </c>
      <c r="C880" s="3"/>
      <c r="D880" s="5" t="s">
        <v>1088</v>
      </c>
      <c r="E880" s="5" t="s">
        <v>124</v>
      </c>
      <c r="F880" s="3" t="s">
        <v>3383</v>
      </c>
      <c r="G880" s="6">
        <f>9.804*L880</f>
        <v>127.452</v>
      </c>
      <c r="H880" s="7">
        <v>41709</v>
      </c>
      <c r="I880" s="6" t="s">
        <v>1090</v>
      </c>
      <c r="J880" s="6" t="s">
        <v>3384</v>
      </c>
      <c r="K880" s="6" t="s">
        <v>21</v>
      </c>
      <c r="L880" s="6">
        <v>13</v>
      </c>
      <c r="M880" s="15" t="s">
        <v>2873</v>
      </c>
      <c r="N880" s="15" t="s">
        <v>167</v>
      </c>
      <c r="O880" s="28" t="s">
        <v>3385</v>
      </c>
    </row>
    <row r="881" spans="1:15" s="1" customFormat="1" ht="13.5" customHeight="1">
      <c r="A881" s="3" t="s">
        <v>3157</v>
      </c>
      <c r="B881" s="4" t="s">
        <v>283</v>
      </c>
      <c r="C881" s="3"/>
      <c r="D881" s="5" t="s">
        <v>1083</v>
      </c>
      <c r="E881" s="5" t="s">
        <v>124</v>
      </c>
      <c r="F881" s="3" t="s">
        <v>3386</v>
      </c>
      <c r="G881" s="6">
        <f>9.871*L881</f>
        <v>69.097000000000008</v>
      </c>
      <c r="H881" s="7">
        <v>41709</v>
      </c>
      <c r="I881" s="6" t="s">
        <v>161</v>
      </c>
      <c r="J881" s="6" t="s">
        <v>3387</v>
      </c>
      <c r="K881" s="6" t="s">
        <v>21</v>
      </c>
      <c r="L881" s="6">
        <v>7</v>
      </c>
      <c r="M881" s="15" t="s">
        <v>3388</v>
      </c>
      <c r="N881" s="15" t="s">
        <v>1460</v>
      </c>
      <c r="O881" s="27" t="s">
        <v>3388</v>
      </c>
    </row>
    <row r="882" spans="1:15" s="1" customFormat="1" ht="13.5" customHeight="1">
      <c r="A882" s="3" t="s">
        <v>3157</v>
      </c>
      <c r="B882" s="4" t="s">
        <v>283</v>
      </c>
      <c r="C882" s="3"/>
      <c r="D882" s="5" t="s">
        <v>1083</v>
      </c>
      <c r="E882" s="5" t="s">
        <v>124</v>
      </c>
      <c r="F882" s="3" t="s">
        <v>3389</v>
      </c>
      <c r="G882" s="6">
        <f>9.871*L882</f>
        <v>78.968000000000004</v>
      </c>
      <c r="H882" s="7">
        <v>41709</v>
      </c>
      <c r="I882" s="6" t="s">
        <v>161</v>
      </c>
      <c r="J882" s="6" t="s">
        <v>3390</v>
      </c>
      <c r="K882" s="6" t="s">
        <v>21</v>
      </c>
      <c r="L882" s="6">
        <v>8</v>
      </c>
      <c r="M882" s="15" t="s">
        <v>3388</v>
      </c>
      <c r="N882" s="15" t="s">
        <v>1463</v>
      </c>
      <c r="O882" s="28" t="s">
        <v>3391</v>
      </c>
    </row>
    <row r="883" spans="1:15" s="1" customFormat="1" ht="13.5" customHeight="1">
      <c r="A883" s="3" t="s">
        <v>1349</v>
      </c>
      <c r="B883" s="3"/>
      <c r="C883" s="3"/>
      <c r="D883" s="5" t="s">
        <v>2117</v>
      </c>
      <c r="E883" s="5" t="s">
        <v>124</v>
      </c>
      <c r="F883" s="3" t="s">
        <v>3392</v>
      </c>
      <c r="G883" s="6">
        <v>201.62799999999999</v>
      </c>
      <c r="H883" s="7">
        <v>41709</v>
      </c>
      <c r="I883" s="6" t="s">
        <v>178</v>
      </c>
      <c r="J883" s="6" t="s">
        <v>3393</v>
      </c>
      <c r="K883" s="6" t="s">
        <v>128</v>
      </c>
      <c r="L883" s="6" t="s">
        <v>1996</v>
      </c>
      <c r="M883" s="15" t="s">
        <v>3394</v>
      </c>
      <c r="N883" s="15" t="s">
        <v>3395</v>
      </c>
      <c r="O883" s="28" t="s">
        <v>3396</v>
      </c>
    </row>
    <row r="884" spans="1:15" s="1" customFormat="1" ht="13.5" customHeight="1">
      <c r="A884" s="3" t="s">
        <v>1349</v>
      </c>
      <c r="B884" s="3"/>
      <c r="C884" s="3"/>
      <c r="D884" s="5" t="s">
        <v>2117</v>
      </c>
      <c r="E884" s="5" t="s">
        <v>124</v>
      </c>
      <c r="F884" s="3" t="s">
        <v>3397</v>
      </c>
      <c r="G884" s="6">
        <v>139.583</v>
      </c>
      <c r="H884" s="7">
        <v>41709</v>
      </c>
      <c r="I884" s="6" t="s">
        <v>178</v>
      </c>
      <c r="J884" s="6" t="s">
        <v>3398</v>
      </c>
      <c r="K884" s="6" t="s">
        <v>128</v>
      </c>
      <c r="L884" s="6" t="s">
        <v>2183</v>
      </c>
      <c r="M884" s="15" t="s">
        <v>3394</v>
      </c>
      <c r="N884" s="15" t="s">
        <v>3399</v>
      </c>
      <c r="O884" s="28" t="s">
        <v>3400</v>
      </c>
    </row>
    <row r="885" spans="1:15" ht="13.5" customHeight="1">
      <c r="A885" s="3" t="s">
        <v>1534</v>
      </c>
      <c r="B885" s="3"/>
      <c r="C885" s="3"/>
      <c r="D885" s="5" t="s">
        <v>2128</v>
      </c>
      <c r="E885" s="5" t="s">
        <v>124</v>
      </c>
      <c r="F885" s="3" t="s">
        <v>3401</v>
      </c>
      <c r="G885" s="6">
        <v>291.74</v>
      </c>
      <c r="H885" s="7">
        <v>41709</v>
      </c>
      <c r="I885" s="6" t="s">
        <v>209</v>
      </c>
      <c r="J885" s="6" t="s">
        <v>3402</v>
      </c>
      <c r="K885" s="6" t="s">
        <v>128</v>
      </c>
      <c r="L885" s="6" t="s">
        <v>2319</v>
      </c>
      <c r="M885" s="15" t="s">
        <v>3403</v>
      </c>
      <c r="N885" s="15" t="s">
        <v>2321</v>
      </c>
      <c r="O885" s="27" t="s">
        <v>3404</v>
      </c>
    </row>
    <row r="886" spans="1:15" s="1" customFormat="1" ht="13.5" customHeight="1">
      <c r="A886" s="3" t="s">
        <v>1534</v>
      </c>
      <c r="B886" s="3"/>
      <c r="C886" s="3"/>
      <c r="D886" s="5" t="s">
        <v>2128</v>
      </c>
      <c r="E886" s="5" t="s">
        <v>124</v>
      </c>
      <c r="F886" s="3" t="s">
        <v>3405</v>
      </c>
      <c r="G886" s="6">
        <v>284.60899999999998</v>
      </c>
      <c r="H886" s="7">
        <v>41709</v>
      </c>
      <c r="I886" s="6" t="s">
        <v>209</v>
      </c>
      <c r="J886" s="6" t="s">
        <v>3406</v>
      </c>
      <c r="K886" s="6" t="s">
        <v>128</v>
      </c>
      <c r="L886" s="6" t="s">
        <v>3407</v>
      </c>
      <c r="M886" s="15" t="s">
        <v>3408</v>
      </c>
      <c r="N886" s="15" t="s">
        <v>3409</v>
      </c>
      <c r="O886" s="27" t="s">
        <v>3410</v>
      </c>
    </row>
    <row r="887" spans="1:15" s="1" customFormat="1" ht="13.5" customHeight="1">
      <c r="A887" s="3" t="s">
        <v>1534</v>
      </c>
      <c r="B887" s="3"/>
      <c r="C887" s="3"/>
      <c r="D887" s="5" t="s">
        <v>2128</v>
      </c>
      <c r="E887" s="5" t="s">
        <v>124</v>
      </c>
      <c r="F887" s="3" t="s">
        <v>3411</v>
      </c>
      <c r="G887" s="6">
        <v>284.02300000000002</v>
      </c>
      <c r="H887" s="7">
        <v>41709</v>
      </c>
      <c r="I887" s="6" t="s">
        <v>209</v>
      </c>
      <c r="J887" s="6" t="s">
        <v>3412</v>
      </c>
      <c r="K887" s="6" t="s">
        <v>128</v>
      </c>
      <c r="L887" s="6" t="s">
        <v>3407</v>
      </c>
      <c r="M887" s="15" t="s">
        <v>3413</v>
      </c>
      <c r="N887" s="15" t="s">
        <v>3414</v>
      </c>
      <c r="O887" s="27" t="s">
        <v>3415</v>
      </c>
    </row>
    <row r="888" spans="1:15" s="1" customFormat="1" ht="13.5" customHeight="1">
      <c r="A888" s="21" t="s">
        <v>918</v>
      </c>
      <c r="B888" s="3"/>
      <c r="C888" s="3"/>
      <c r="D888" s="5" t="s">
        <v>919</v>
      </c>
      <c r="E888" s="5" t="s">
        <v>7026</v>
      </c>
      <c r="F888" s="3" t="s">
        <v>7461</v>
      </c>
      <c r="G888" s="6">
        <f>17.712*L888</f>
        <v>194.83199999999999</v>
      </c>
      <c r="H888" s="7">
        <v>41709</v>
      </c>
      <c r="I888" s="6" t="s">
        <v>265</v>
      </c>
      <c r="J888" s="6" t="s">
        <v>7462</v>
      </c>
      <c r="K888" s="6" t="s">
        <v>21</v>
      </c>
      <c r="L888" s="6">
        <v>11</v>
      </c>
      <c r="M888" s="15" t="s">
        <v>7463</v>
      </c>
      <c r="N888" s="15" t="s">
        <v>626</v>
      </c>
      <c r="O888" s="27" t="s">
        <v>7464</v>
      </c>
    </row>
    <row r="889" spans="1:15" s="1" customFormat="1" ht="13.5" customHeight="1">
      <c r="A889" s="21" t="s">
        <v>918</v>
      </c>
      <c r="B889" s="3"/>
      <c r="C889" s="3"/>
      <c r="D889" s="5" t="s">
        <v>919</v>
      </c>
      <c r="E889" s="5" t="s">
        <v>7026</v>
      </c>
      <c r="F889" s="3" t="s">
        <v>7465</v>
      </c>
      <c r="G889" s="6">
        <f>17.712*L889</f>
        <v>212.54399999999998</v>
      </c>
      <c r="H889" s="7">
        <v>41709</v>
      </c>
      <c r="I889" s="6" t="s">
        <v>265</v>
      </c>
      <c r="J889" s="6" t="s">
        <v>7466</v>
      </c>
      <c r="K889" s="6" t="s">
        <v>21</v>
      </c>
      <c r="L889" s="6">
        <v>12</v>
      </c>
      <c r="M889" s="15" t="s">
        <v>7463</v>
      </c>
      <c r="N889" s="15" t="s">
        <v>7467</v>
      </c>
      <c r="O889" s="27" t="s">
        <v>7468</v>
      </c>
    </row>
    <row r="890" spans="1:15" s="1" customFormat="1" ht="13.5" customHeight="1">
      <c r="A890" s="5" t="s">
        <v>1127</v>
      </c>
      <c r="B890" s="3"/>
      <c r="C890" s="3"/>
      <c r="D890" s="5" t="s">
        <v>1128</v>
      </c>
      <c r="E890" s="5" t="s">
        <v>7026</v>
      </c>
      <c r="F890" s="3" t="s">
        <v>7469</v>
      </c>
      <c r="G890" s="6">
        <f t="shared" ref="G890:G904" si="28">29.101*L890</f>
        <v>232.80799999999999</v>
      </c>
      <c r="H890" s="7">
        <v>41709</v>
      </c>
      <c r="I890" s="6" t="s">
        <v>178</v>
      </c>
      <c r="J890" s="6" t="s">
        <v>7470</v>
      </c>
      <c r="K890" s="6" t="s">
        <v>21</v>
      </c>
      <c r="L890" s="6">
        <v>8</v>
      </c>
      <c r="M890" s="15" t="s">
        <v>7471</v>
      </c>
      <c r="N890" s="15" t="s">
        <v>447</v>
      </c>
      <c r="O890" s="27" t="s">
        <v>7472</v>
      </c>
    </row>
    <row r="891" spans="1:15" s="1" customFormat="1" ht="13.5" customHeight="1">
      <c r="A891" s="5" t="s">
        <v>1127</v>
      </c>
      <c r="B891" s="3"/>
      <c r="C891" s="3"/>
      <c r="D891" s="5" t="s">
        <v>1128</v>
      </c>
      <c r="E891" s="5" t="s">
        <v>7026</v>
      </c>
      <c r="F891" s="3" t="s">
        <v>7473</v>
      </c>
      <c r="G891" s="6">
        <f t="shared" si="28"/>
        <v>232.80799999999999</v>
      </c>
      <c r="H891" s="7">
        <v>41709</v>
      </c>
      <c r="I891" s="6" t="s">
        <v>178</v>
      </c>
      <c r="J891" s="6" t="s">
        <v>7474</v>
      </c>
      <c r="K891" s="6" t="s">
        <v>21</v>
      </c>
      <c r="L891" s="6">
        <v>8</v>
      </c>
      <c r="M891" s="15" t="s">
        <v>7471</v>
      </c>
      <c r="N891" s="15" t="s">
        <v>892</v>
      </c>
      <c r="O891" s="27" t="s">
        <v>7475</v>
      </c>
    </row>
    <row r="892" spans="1:15" s="1" customFormat="1" ht="13.5" customHeight="1">
      <c r="A892" s="5" t="s">
        <v>1127</v>
      </c>
      <c r="B892" s="3"/>
      <c r="C892" s="3"/>
      <c r="D892" s="5" t="s">
        <v>1128</v>
      </c>
      <c r="E892" s="5" t="s">
        <v>7026</v>
      </c>
      <c r="F892" s="3" t="s">
        <v>7476</v>
      </c>
      <c r="G892" s="6">
        <f t="shared" si="28"/>
        <v>261.90899999999999</v>
      </c>
      <c r="H892" s="7">
        <v>41709</v>
      </c>
      <c r="I892" s="6" t="s">
        <v>178</v>
      </c>
      <c r="J892" s="6" t="s">
        <v>7477</v>
      </c>
      <c r="K892" s="6" t="s">
        <v>21</v>
      </c>
      <c r="L892" s="6">
        <v>9</v>
      </c>
      <c r="M892" s="15" t="s">
        <v>7471</v>
      </c>
      <c r="N892" s="15" t="s">
        <v>896</v>
      </c>
      <c r="O892" s="27" t="s">
        <v>7478</v>
      </c>
    </row>
    <row r="893" spans="1:15" s="1" customFormat="1" ht="13.5" customHeight="1">
      <c r="A893" s="5" t="s">
        <v>1127</v>
      </c>
      <c r="B893" s="3"/>
      <c r="C893" s="3"/>
      <c r="D893" s="5" t="s">
        <v>1128</v>
      </c>
      <c r="E893" s="5" t="s">
        <v>7026</v>
      </c>
      <c r="F893" s="3" t="s">
        <v>7479</v>
      </c>
      <c r="G893" s="6">
        <f t="shared" si="28"/>
        <v>232.80799999999999</v>
      </c>
      <c r="H893" s="7">
        <v>41709</v>
      </c>
      <c r="I893" s="6" t="s">
        <v>178</v>
      </c>
      <c r="J893" s="6" t="s">
        <v>7480</v>
      </c>
      <c r="K893" s="6" t="s">
        <v>21</v>
      </c>
      <c r="L893" s="6">
        <v>8</v>
      </c>
      <c r="M893" s="15" t="s">
        <v>7481</v>
      </c>
      <c r="N893" s="15" t="s">
        <v>447</v>
      </c>
      <c r="O893" s="27" t="s">
        <v>7482</v>
      </c>
    </row>
    <row r="894" spans="1:15" s="1" customFormat="1" ht="13.5" customHeight="1">
      <c r="A894" s="5" t="s">
        <v>1127</v>
      </c>
      <c r="B894" s="3"/>
      <c r="C894" s="3"/>
      <c r="D894" s="5" t="s">
        <v>1128</v>
      </c>
      <c r="E894" s="5" t="s">
        <v>7026</v>
      </c>
      <c r="F894" s="3" t="s">
        <v>7483</v>
      </c>
      <c r="G894" s="6">
        <f t="shared" si="28"/>
        <v>232.80799999999999</v>
      </c>
      <c r="H894" s="7">
        <v>41709</v>
      </c>
      <c r="I894" s="6" t="s">
        <v>178</v>
      </c>
      <c r="J894" s="6" t="s">
        <v>7484</v>
      </c>
      <c r="K894" s="6" t="s">
        <v>21</v>
      </c>
      <c r="L894" s="6">
        <v>8</v>
      </c>
      <c r="M894" s="15" t="s">
        <v>7481</v>
      </c>
      <c r="N894" s="15" t="s">
        <v>892</v>
      </c>
      <c r="O894" s="27" t="s">
        <v>7485</v>
      </c>
    </row>
    <row r="895" spans="1:15" s="1" customFormat="1" ht="13.5" customHeight="1">
      <c r="A895" s="5" t="s">
        <v>1127</v>
      </c>
      <c r="B895" s="3"/>
      <c r="C895" s="3"/>
      <c r="D895" s="5" t="s">
        <v>1128</v>
      </c>
      <c r="E895" s="5" t="s">
        <v>7026</v>
      </c>
      <c r="F895" s="3" t="s">
        <v>7486</v>
      </c>
      <c r="G895" s="6">
        <f t="shared" si="28"/>
        <v>261.90899999999999</v>
      </c>
      <c r="H895" s="7">
        <v>41709</v>
      </c>
      <c r="I895" s="6" t="s">
        <v>178</v>
      </c>
      <c r="J895" s="6" t="s">
        <v>7487</v>
      </c>
      <c r="K895" s="6" t="s">
        <v>21</v>
      </c>
      <c r="L895" s="6">
        <v>9</v>
      </c>
      <c r="M895" s="15" t="s">
        <v>7481</v>
      </c>
      <c r="N895" s="15" t="s">
        <v>896</v>
      </c>
      <c r="O895" s="27" t="s">
        <v>7488</v>
      </c>
    </row>
    <row r="896" spans="1:15" s="1" customFormat="1" ht="13.5" customHeight="1">
      <c r="A896" s="5" t="s">
        <v>1127</v>
      </c>
      <c r="B896" s="3"/>
      <c r="C896" s="3"/>
      <c r="D896" s="5" t="s">
        <v>1128</v>
      </c>
      <c r="E896" s="5" t="s">
        <v>7026</v>
      </c>
      <c r="F896" s="3" t="s">
        <v>7489</v>
      </c>
      <c r="G896" s="6">
        <f t="shared" si="28"/>
        <v>232.80799999999999</v>
      </c>
      <c r="H896" s="7">
        <v>41709</v>
      </c>
      <c r="I896" s="6" t="s">
        <v>178</v>
      </c>
      <c r="J896" s="6" t="s">
        <v>7490</v>
      </c>
      <c r="K896" s="6" t="s">
        <v>21</v>
      </c>
      <c r="L896" s="6">
        <v>8</v>
      </c>
      <c r="M896" s="15" t="s">
        <v>7491</v>
      </c>
      <c r="N896" s="15" t="s">
        <v>447</v>
      </c>
      <c r="O896" s="27" t="s">
        <v>7492</v>
      </c>
    </row>
    <row r="897" spans="1:15" s="1" customFormat="1" ht="13.5" customHeight="1">
      <c r="A897" s="5" t="s">
        <v>1127</v>
      </c>
      <c r="B897" s="3"/>
      <c r="C897" s="3"/>
      <c r="D897" s="5" t="s">
        <v>1128</v>
      </c>
      <c r="E897" s="5" t="s">
        <v>7026</v>
      </c>
      <c r="F897" s="3" t="s">
        <v>7493</v>
      </c>
      <c r="G897" s="6">
        <f t="shared" si="28"/>
        <v>232.80799999999999</v>
      </c>
      <c r="H897" s="7">
        <v>41709</v>
      </c>
      <c r="I897" s="6" t="s">
        <v>178</v>
      </c>
      <c r="J897" s="6" t="s">
        <v>7494</v>
      </c>
      <c r="K897" s="6" t="s">
        <v>21</v>
      </c>
      <c r="L897" s="6">
        <v>8</v>
      </c>
      <c r="M897" s="15" t="s">
        <v>7491</v>
      </c>
      <c r="N897" s="15" t="s">
        <v>892</v>
      </c>
      <c r="O897" s="27" t="s">
        <v>7495</v>
      </c>
    </row>
    <row r="898" spans="1:15" s="1" customFormat="1" ht="13.5" customHeight="1">
      <c r="A898" s="5" t="s">
        <v>1127</v>
      </c>
      <c r="B898" s="3"/>
      <c r="C898" s="3"/>
      <c r="D898" s="5" t="s">
        <v>1128</v>
      </c>
      <c r="E898" s="5" t="s">
        <v>7026</v>
      </c>
      <c r="F898" s="3" t="s">
        <v>7496</v>
      </c>
      <c r="G898" s="6">
        <f t="shared" si="28"/>
        <v>261.90899999999999</v>
      </c>
      <c r="H898" s="7">
        <v>41709</v>
      </c>
      <c r="I898" s="6" t="s">
        <v>178</v>
      </c>
      <c r="J898" s="6" t="s">
        <v>7497</v>
      </c>
      <c r="K898" s="6" t="s">
        <v>21</v>
      </c>
      <c r="L898" s="6">
        <v>9</v>
      </c>
      <c r="M898" s="15" t="s">
        <v>7491</v>
      </c>
      <c r="N898" s="15" t="s">
        <v>896</v>
      </c>
      <c r="O898" s="27" t="s">
        <v>7498</v>
      </c>
    </row>
    <row r="899" spans="1:15" s="1" customFormat="1" ht="13.5" customHeight="1">
      <c r="A899" s="5" t="s">
        <v>1127</v>
      </c>
      <c r="B899" s="3"/>
      <c r="C899" s="3"/>
      <c r="D899" s="5" t="s">
        <v>1128</v>
      </c>
      <c r="E899" s="5" t="s">
        <v>7026</v>
      </c>
      <c r="F899" s="3" t="s">
        <v>7499</v>
      </c>
      <c r="G899" s="6">
        <f t="shared" si="28"/>
        <v>232.80799999999999</v>
      </c>
      <c r="H899" s="7">
        <v>41709</v>
      </c>
      <c r="I899" s="6" t="s">
        <v>178</v>
      </c>
      <c r="J899" s="6" t="s">
        <v>7500</v>
      </c>
      <c r="K899" s="6" t="s">
        <v>21</v>
      </c>
      <c r="L899" s="6">
        <v>8</v>
      </c>
      <c r="M899" s="15" t="s">
        <v>7501</v>
      </c>
      <c r="N899" s="15" t="s">
        <v>447</v>
      </c>
      <c r="O899" s="27" t="s">
        <v>7502</v>
      </c>
    </row>
    <row r="900" spans="1:15" ht="13.5" customHeight="1">
      <c r="A900" s="5" t="s">
        <v>1127</v>
      </c>
      <c r="B900" s="3"/>
      <c r="C900" s="3"/>
      <c r="D900" s="5" t="s">
        <v>1128</v>
      </c>
      <c r="E900" s="5" t="s">
        <v>7026</v>
      </c>
      <c r="F900" s="3" t="s">
        <v>7503</v>
      </c>
      <c r="G900" s="6">
        <f t="shared" si="28"/>
        <v>232.80799999999999</v>
      </c>
      <c r="H900" s="7">
        <v>41709</v>
      </c>
      <c r="I900" s="6" t="s">
        <v>178</v>
      </c>
      <c r="J900" s="6" t="s">
        <v>7504</v>
      </c>
      <c r="K900" s="6" t="s">
        <v>21</v>
      </c>
      <c r="L900" s="6">
        <v>8</v>
      </c>
      <c r="M900" s="15" t="s">
        <v>7501</v>
      </c>
      <c r="N900" s="15" t="s">
        <v>892</v>
      </c>
      <c r="O900" s="27" t="s">
        <v>7505</v>
      </c>
    </row>
    <row r="901" spans="1:15" s="1" customFormat="1" ht="13.5" customHeight="1">
      <c r="A901" s="5" t="s">
        <v>1127</v>
      </c>
      <c r="B901" s="3"/>
      <c r="C901" s="3"/>
      <c r="D901" s="5" t="s">
        <v>1128</v>
      </c>
      <c r="E901" s="5" t="s">
        <v>7026</v>
      </c>
      <c r="F901" s="3" t="s">
        <v>7506</v>
      </c>
      <c r="G901" s="6">
        <f t="shared" si="28"/>
        <v>261.90899999999999</v>
      </c>
      <c r="H901" s="7">
        <v>41709</v>
      </c>
      <c r="I901" s="6" t="s">
        <v>178</v>
      </c>
      <c r="J901" s="6" t="s">
        <v>7507</v>
      </c>
      <c r="K901" s="6" t="s">
        <v>21</v>
      </c>
      <c r="L901" s="6">
        <v>9</v>
      </c>
      <c r="M901" s="15" t="s">
        <v>7501</v>
      </c>
      <c r="N901" s="15" t="s">
        <v>896</v>
      </c>
      <c r="O901" s="27" t="s">
        <v>7508</v>
      </c>
    </row>
    <row r="902" spans="1:15" s="1" customFormat="1" ht="13.5" customHeight="1">
      <c r="A902" s="5" t="s">
        <v>1127</v>
      </c>
      <c r="B902" s="3"/>
      <c r="C902" s="3"/>
      <c r="D902" s="5" t="s">
        <v>1128</v>
      </c>
      <c r="E902" s="5" t="s">
        <v>7026</v>
      </c>
      <c r="F902" s="3" t="s">
        <v>7509</v>
      </c>
      <c r="G902" s="6">
        <f t="shared" si="28"/>
        <v>232.80799999999999</v>
      </c>
      <c r="H902" s="7">
        <v>41709</v>
      </c>
      <c r="I902" s="6" t="s">
        <v>178</v>
      </c>
      <c r="J902" s="6" t="s">
        <v>7510</v>
      </c>
      <c r="K902" s="6" t="s">
        <v>21</v>
      </c>
      <c r="L902" s="6">
        <v>8</v>
      </c>
      <c r="M902" s="15" t="s">
        <v>7511</v>
      </c>
      <c r="N902" s="15" t="s">
        <v>447</v>
      </c>
      <c r="O902" s="27" t="s">
        <v>7512</v>
      </c>
    </row>
    <row r="903" spans="1:15" ht="13.5" customHeight="1">
      <c r="A903" s="5" t="s">
        <v>1127</v>
      </c>
      <c r="B903" s="3"/>
      <c r="C903" s="3"/>
      <c r="D903" s="5" t="s">
        <v>1128</v>
      </c>
      <c r="E903" s="5" t="s">
        <v>7026</v>
      </c>
      <c r="F903" s="3" t="s">
        <v>7513</v>
      </c>
      <c r="G903" s="6">
        <f t="shared" si="28"/>
        <v>232.80799999999999</v>
      </c>
      <c r="H903" s="7">
        <v>41709</v>
      </c>
      <c r="I903" s="6" t="s">
        <v>178</v>
      </c>
      <c r="J903" s="6" t="s">
        <v>7514</v>
      </c>
      <c r="K903" s="6" t="s">
        <v>21</v>
      </c>
      <c r="L903" s="6">
        <v>8</v>
      </c>
      <c r="M903" s="15" t="s">
        <v>7511</v>
      </c>
      <c r="N903" s="15" t="s">
        <v>892</v>
      </c>
      <c r="O903" s="28" t="s">
        <v>7515</v>
      </c>
    </row>
    <row r="904" spans="1:15" ht="13.5" customHeight="1">
      <c r="A904" s="5" t="s">
        <v>1127</v>
      </c>
      <c r="B904" s="3"/>
      <c r="C904" s="3"/>
      <c r="D904" s="5" t="s">
        <v>1128</v>
      </c>
      <c r="E904" s="5" t="s">
        <v>7026</v>
      </c>
      <c r="F904" s="3" t="s">
        <v>7516</v>
      </c>
      <c r="G904" s="6">
        <f t="shared" si="28"/>
        <v>261.90899999999999</v>
      </c>
      <c r="H904" s="7">
        <v>41709</v>
      </c>
      <c r="I904" s="6" t="s">
        <v>178</v>
      </c>
      <c r="J904" s="6" t="s">
        <v>7517</v>
      </c>
      <c r="K904" s="6" t="s">
        <v>21</v>
      </c>
      <c r="L904" s="6">
        <v>9</v>
      </c>
      <c r="M904" s="15" t="s">
        <v>7511</v>
      </c>
      <c r="N904" s="15" t="s">
        <v>896</v>
      </c>
      <c r="O904" s="28" t="s">
        <v>7518</v>
      </c>
    </row>
    <row r="905" spans="1:15" s="1" customFormat="1" ht="13.5" customHeight="1">
      <c r="A905" s="5" t="s">
        <v>1043</v>
      </c>
      <c r="B905" s="3"/>
      <c r="C905" s="3"/>
      <c r="D905" s="5" t="s">
        <v>443</v>
      </c>
      <c r="E905" s="5" t="s">
        <v>7026</v>
      </c>
      <c r="F905" s="3" t="s">
        <v>7519</v>
      </c>
      <c r="G905" s="6">
        <f t="shared" ref="G905:G913" si="29">18.708*L905</f>
        <v>224.49599999999998</v>
      </c>
      <c r="H905" s="7">
        <v>41709</v>
      </c>
      <c r="I905" s="6" t="s">
        <v>178</v>
      </c>
      <c r="J905" s="6" t="s">
        <v>7520</v>
      </c>
      <c r="K905" s="6" t="s">
        <v>21</v>
      </c>
      <c r="L905" s="6">
        <v>12</v>
      </c>
      <c r="M905" s="15" t="s">
        <v>7521</v>
      </c>
      <c r="N905" s="15" t="s">
        <v>164</v>
      </c>
      <c r="O905" s="27" t="s">
        <v>7522</v>
      </c>
    </row>
    <row r="906" spans="1:15" ht="13.5" customHeight="1">
      <c r="A906" s="5" t="s">
        <v>627</v>
      </c>
      <c r="B906" s="3"/>
      <c r="C906" s="3"/>
      <c r="D906" s="5" t="s">
        <v>443</v>
      </c>
      <c r="E906" s="5" t="s">
        <v>7026</v>
      </c>
      <c r="F906" s="3" t="s">
        <v>7523</v>
      </c>
      <c r="G906" s="6">
        <f t="shared" si="29"/>
        <v>243.20399999999998</v>
      </c>
      <c r="H906" s="7">
        <v>41709</v>
      </c>
      <c r="I906" s="6" t="s">
        <v>265</v>
      </c>
      <c r="J906" s="6" t="s">
        <v>7524</v>
      </c>
      <c r="K906" s="6" t="s">
        <v>21</v>
      </c>
      <c r="L906" s="6">
        <v>13</v>
      </c>
      <c r="M906" s="15" t="s">
        <v>7521</v>
      </c>
      <c r="N906" s="15" t="s">
        <v>167</v>
      </c>
      <c r="O906" s="27" t="s">
        <v>7525</v>
      </c>
    </row>
    <row r="907" spans="1:15" ht="13.5" customHeight="1">
      <c r="A907" s="5" t="s">
        <v>1043</v>
      </c>
      <c r="B907" s="3"/>
      <c r="C907" s="3"/>
      <c r="D907" s="5" t="s">
        <v>443</v>
      </c>
      <c r="E907" s="5" t="s">
        <v>7026</v>
      </c>
      <c r="F907" s="3" t="s">
        <v>7526</v>
      </c>
      <c r="G907" s="6">
        <f t="shared" si="29"/>
        <v>243.20399999999998</v>
      </c>
      <c r="H907" s="7">
        <v>41709</v>
      </c>
      <c r="I907" s="6" t="s">
        <v>178</v>
      </c>
      <c r="J907" s="6" t="s">
        <v>7527</v>
      </c>
      <c r="K907" s="6" t="s">
        <v>21</v>
      </c>
      <c r="L907" s="6">
        <v>13</v>
      </c>
      <c r="M907" s="15" t="s">
        <v>7528</v>
      </c>
      <c r="N907" s="15" t="s">
        <v>1215</v>
      </c>
      <c r="O907" s="27" t="s">
        <v>7529</v>
      </c>
    </row>
    <row r="908" spans="1:15" s="1" customFormat="1" ht="13.5" customHeight="1">
      <c r="A908" s="5" t="s">
        <v>1043</v>
      </c>
      <c r="B908" s="3"/>
      <c r="C908" s="3"/>
      <c r="D908" s="5" t="s">
        <v>443</v>
      </c>
      <c r="E908" s="5" t="s">
        <v>7026</v>
      </c>
      <c r="F908" s="3" t="s">
        <v>7530</v>
      </c>
      <c r="G908" s="6">
        <f t="shared" si="29"/>
        <v>224.49599999999998</v>
      </c>
      <c r="H908" s="7">
        <v>41709</v>
      </c>
      <c r="I908" s="6" t="s">
        <v>178</v>
      </c>
      <c r="J908" s="6" t="s">
        <v>7531</v>
      </c>
      <c r="K908" s="6" t="s">
        <v>21</v>
      </c>
      <c r="L908" s="6">
        <v>12</v>
      </c>
      <c r="M908" s="15" t="s">
        <v>7528</v>
      </c>
      <c r="N908" s="15" t="s">
        <v>1211</v>
      </c>
      <c r="O908" s="27" t="s">
        <v>7532</v>
      </c>
    </row>
    <row r="909" spans="1:15" ht="13.5" customHeight="1">
      <c r="A909" s="5" t="s">
        <v>1043</v>
      </c>
      <c r="B909" s="3"/>
      <c r="C909" s="3"/>
      <c r="D909" s="5" t="s">
        <v>443</v>
      </c>
      <c r="E909" s="5" t="s">
        <v>7026</v>
      </c>
      <c r="F909" s="3" t="s">
        <v>7533</v>
      </c>
      <c r="G909" s="6">
        <f t="shared" si="29"/>
        <v>224.49599999999998</v>
      </c>
      <c r="H909" s="7">
        <v>41709</v>
      </c>
      <c r="I909" s="6" t="s">
        <v>178</v>
      </c>
      <c r="J909" s="6" t="s">
        <v>7534</v>
      </c>
      <c r="K909" s="6" t="s">
        <v>21</v>
      </c>
      <c r="L909" s="6">
        <v>12</v>
      </c>
      <c r="M909" s="15" t="s">
        <v>7535</v>
      </c>
      <c r="N909" s="15" t="s">
        <v>164</v>
      </c>
      <c r="O909" s="27" t="s">
        <v>7536</v>
      </c>
    </row>
    <row r="910" spans="1:15" ht="13.5" customHeight="1">
      <c r="A910" s="5" t="s">
        <v>1043</v>
      </c>
      <c r="B910" s="3"/>
      <c r="C910" s="3"/>
      <c r="D910" s="5" t="s">
        <v>443</v>
      </c>
      <c r="E910" s="5" t="s">
        <v>7026</v>
      </c>
      <c r="F910" s="3" t="s">
        <v>7537</v>
      </c>
      <c r="G910" s="6">
        <f t="shared" si="29"/>
        <v>243.20399999999998</v>
      </c>
      <c r="H910" s="7">
        <v>41709</v>
      </c>
      <c r="I910" s="6" t="s">
        <v>178</v>
      </c>
      <c r="J910" s="6" t="s">
        <v>7538</v>
      </c>
      <c r="K910" s="6" t="s">
        <v>21</v>
      </c>
      <c r="L910" s="6">
        <v>13</v>
      </c>
      <c r="M910" s="15" t="s">
        <v>7535</v>
      </c>
      <c r="N910" s="15" t="s">
        <v>167</v>
      </c>
      <c r="O910" s="27" t="s">
        <v>7539</v>
      </c>
    </row>
    <row r="911" spans="1:15" ht="13.5" customHeight="1">
      <c r="A911" s="5" t="s">
        <v>1043</v>
      </c>
      <c r="B911" s="3"/>
      <c r="C911" s="3"/>
      <c r="D911" s="5" t="s">
        <v>443</v>
      </c>
      <c r="E911" s="5" t="s">
        <v>7026</v>
      </c>
      <c r="F911" s="3" t="s">
        <v>7540</v>
      </c>
      <c r="G911" s="6">
        <f t="shared" si="29"/>
        <v>224.49599999999998</v>
      </c>
      <c r="H911" s="7">
        <v>41709</v>
      </c>
      <c r="I911" s="6" t="s">
        <v>178</v>
      </c>
      <c r="J911" s="6" t="s">
        <v>7541</v>
      </c>
      <c r="K911" s="6" t="s">
        <v>21</v>
      </c>
      <c r="L911" s="6">
        <v>12</v>
      </c>
      <c r="M911" s="15" t="s">
        <v>7542</v>
      </c>
      <c r="N911" s="15" t="s">
        <v>164</v>
      </c>
      <c r="O911" s="27" t="s">
        <v>7543</v>
      </c>
    </row>
    <row r="912" spans="1:15" ht="13.5" customHeight="1">
      <c r="A912" s="5" t="s">
        <v>1043</v>
      </c>
      <c r="B912" s="3"/>
      <c r="C912" s="3"/>
      <c r="D912" s="5" t="s">
        <v>443</v>
      </c>
      <c r="E912" s="5" t="s">
        <v>7026</v>
      </c>
      <c r="F912" s="3" t="s">
        <v>7544</v>
      </c>
      <c r="G912" s="6">
        <f t="shared" si="29"/>
        <v>205.78799999999998</v>
      </c>
      <c r="H912" s="7">
        <v>41709</v>
      </c>
      <c r="I912" s="6" t="s">
        <v>178</v>
      </c>
      <c r="J912" s="6" t="s">
        <v>7545</v>
      </c>
      <c r="K912" s="6" t="s">
        <v>21</v>
      </c>
      <c r="L912" s="6">
        <v>11</v>
      </c>
      <c r="M912" s="15" t="s">
        <v>7542</v>
      </c>
      <c r="N912" s="15" t="s">
        <v>5794</v>
      </c>
      <c r="O912" s="27" t="s">
        <v>7546</v>
      </c>
    </row>
    <row r="913" spans="1:15" s="1" customFormat="1" ht="13.5" customHeight="1">
      <c r="A913" s="21" t="s">
        <v>442</v>
      </c>
      <c r="B913" s="4" t="s">
        <v>7547</v>
      </c>
      <c r="C913" s="3"/>
      <c r="D913" s="5" t="s">
        <v>443</v>
      </c>
      <c r="E913" s="5" t="s">
        <v>7026</v>
      </c>
      <c r="F913" s="3" t="s">
        <v>7548</v>
      </c>
      <c r="G913" s="6">
        <f t="shared" si="29"/>
        <v>37.415999999999997</v>
      </c>
      <c r="H913" s="7">
        <v>41710</v>
      </c>
      <c r="I913" s="6" t="s">
        <v>247</v>
      </c>
      <c r="J913" s="6" t="s">
        <v>7549</v>
      </c>
      <c r="K913" s="6" t="s">
        <v>21</v>
      </c>
      <c r="L913" s="6">
        <v>2</v>
      </c>
      <c r="M913" s="15" t="s">
        <v>7542</v>
      </c>
      <c r="N913" s="15" t="s">
        <v>836</v>
      </c>
      <c r="O913" s="27" t="s">
        <v>7550</v>
      </c>
    </row>
    <row r="914" spans="1:15" s="1" customFormat="1" ht="13.5" customHeight="1">
      <c r="A914" s="3" t="s">
        <v>1810</v>
      </c>
      <c r="B914" s="3"/>
      <c r="C914" s="3" t="s">
        <v>67</v>
      </c>
      <c r="D914" s="5" t="s">
        <v>717</v>
      </c>
      <c r="E914" s="5" t="s">
        <v>124</v>
      </c>
      <c r="F914" s="3" t="s">
        <v>3416</v>
      </c>
      <c r="G914" s="6">
        <v>202.125</v>
      </c>
      <c r="H914" s="7">
        <v>41711</v>
      </c>
      <c r="I914" s="6" t="s">
        <v>209</v>
      </c>
      <c r="J914" s="6" t="s">
        <v>3417</v>
      </c>
      <c r="K914" s="6" t="s">
        <v>128</v>
      </c>
      <c r="L914" s="6" t="s">
        <v>2732</v>
      </c>
      <c r="M914" s="15" t="s">
        <v>3418</v>
      </c>
      <c r="N914" s="15" t="s">
        <v>3419</v>
      </c>
      <c r="O914" s="27" t="s">
        <v>3420</v>
      </c>
    </row>
    <row r="915" spans="1:15" s="1" customFormat="1" ht="13.5" customHeight="1">
      <c r="A915" s="3" t="s">
        <v>1534</v>
      </c>
      <c r="B915" s="3" t="s">
        <v>3421</v>
      </c>
      <c r="C915" s="3"/>
      <c r="D915" s="5" t="s">
        <v>2128</v>
      </c>
      <c r="E915" s="5" t="s">
        <v>124</v>
      </c>
      <c r="F915" s="3" t="s">
        <v>3422</v>
      </c>
      <c r="G915" s="6">
        <v>141.81399999999999</v>
      </c>
      <c r="H915" s="7">
        <v>41711</v>
      </c>
      <c r="I915" s="6" t="s">
        <v>209</v>
      </c>
      <c r="J915" s="6" t="s">
        <v>3423</v>
      </c>
      <c r="K915" s="6" t="s">
        <v>128</v>
      </c>
      <c r="L915" s="6" t="s">
        <v>1641</v>
      </c>
      <c r="M915" s="15" t="s">
        <v>3424</v>
      </c>
      <c r="N915" s="15" t="s">
        <v>3425</v>
      </c>
      <c r="O915" s="27" t="s">
        <v>3426</v>
      </c>
    </row>
    <row r="916" spans="1:15" s="1" customFormat="1" ht="13.5" customHeight="1">
      <c r="A916" s="3" t="s">
        <v>1534</v>
      </c>
      <c r="B916" s="3" t="s">
        <v>3421</v>
      </c>
      <c r="C916" s="3"/>
      <c r="D916" s="5" t="s">
        <v>2128</v>
      </c>
      <c r="E916" s="5" t="s">
        <v>124</v>
      </c>
      <c r="F916" s="3" t="s">
        <v>3427</v>
      </c>
      <c r="G916" s="6">
        <v>141.76300000000001</v>
      </c>
      <c r="H916" s="7">
        <v>41711</v>
      </c>
      <c r="I916" s="6" t="s">
        <v>209</v>
      </c>
      <c r="J916" s="6" t="s">
        <v>3428</v>
      </c>
      <c r="K916" s="6" t="s">
        <v>128</v>
      </c>
      <c r="L916" s="6" t="s">
        <v>1641</v>
      </c>
      <c r="M916" s="15" t="s">
        <v>3429</v>
      </c>
      <c r="N916" s="15" t="s">
        <v>3430</v>
      </c>
      <c r="O916" s="27" t="s">
        <v>3431</v>
      </c>
    </row>
    <row r="917" spans="1:15" ht="13.5" customHeight="1">
      <c r="A917" s="3" t="s">
        <v>1534</v>
      </c>
      <c r="B917" s="3" t="s">
        <v>3421</v>
      </c>
      <c r="C917" s="3"/>
      <c r="D917" s="5" t="s">
        <v>2128</v>
      </c>
      <c r="E917" s="5" t="s">
        <v>124</v>
      </c>
      <c r="F917" s="3" t="s">
        <v>3432</v>
      </c>
      <c r="G917" s="6">
        <v>295.25599999999997</v>
      </c>
      <c r="H917" s="7">
        <v>41711</v>
      </c>
      <c r="I917" s="6" t="s">
        <v>209</v>
      </c>
      <c r="J917" s="6" t="s">
        <v>3433</v>
      </c>
      <c r="K917" s="6" t="s">
        <v>128</v>
      </c>
      <c r="L917" s="6" t="s">
        <v>2319</v>
      </c>
      <c r="M917" s="15" t="s">
        <v>3434</v>
      </c>
      <c r="N917" s="15" t="s">
        <v>3435</v>
      </c>
      <c r="O917" s="27" t="s">
        <v>3436</v>
      </c>
    </row>
    <row r="918" spans="1:15" s="17" customFormat="1" ht="13.5" customHeight="1">
      <c r="A918" s="3" t="s">
        <v>3437</v>
      </c>
      <c r="B918" s="3" t="s">
        <v>3438</v>
      </c>
      <c r="C918" s="3"/>
      <c r="D918" s="5"/>
      <c r="E918" s="5" t="s">
        <v>124</v>
      </c>
      <c r="F918" s="3" t="s">
        <v>3439</v>
      </c>
      <c r="G918" s="6">
        <v>180</v>
      </c>
      <c r="H918" s="7">
        <v>41711</v>
      </c>
      <c r="I918" s="6"/>
      <c r="J918" s="6"/>
      <c r="K918" s="6"/>
      <c r="L918" s="6"/>
      <c r="M918" s="15"/>
      <c r="N918" s="15"/>
      <c r="O918" s="27" t="s">
        <v>3438</v>
      </c>
    </row>
    <row r="919" spans="1:15" s="1" customFormat="1" ht="13.5" customHeight="1">
      <c r="A919" s="3" t="s">
        <v>846</v>
      </c>
      <c r="B919" s="3"/>
      <c r="C919" s="3"/>
      <c r="D919" s="5" t="s">
        <v>191</v>
      </c>
      <c r="E919" s="5" t="s">
        <v>124</v>
      </c>
      <c r="F919" s="3" t="s">
        <v>3440</v>
      </c>
      <c r="G919" s="6">
        <f>18.708*L919</f>
        <v>224.49599999999998</v>
      </c>
      <c r="H919" s="7">
        <v>41712</v>
      </c>
      <c r="I919" s="6" t="s">
        <v>247</v>
      </c>
      <c r="J919" s="6" t="s">
        <v>3441</v>
      </c>
      <c r="K919" s="6" t="s">
        <v>21</v>
      </c>
      <c r="L919" s="6">
        <v>12</v>
      </c>
      <c r="M919" s="15" t="s">
        <v>3442</v>
      </c>
      <c r="N919" s="15" t="s">
        <v>164</v>
      </c>
      <c r="O919" s="27" t="s">
        <v>3442</v>
      </c>
    </row>
    <row r="920" spans="1:15" ht="13.5" customHeight="1">
      <c r="A920" s="3" t="s">
        <v>846</v>
      </c>
      <c r="B920" s="3"/>
      <c r="C920" s="3"/>
      <c r="D920" s="5" t="s">
        <v>191</v>
      </c>
      <c r="E920" s="5" t="s">
        <v>124</v>
      </c>
      <c r="F920" s="3" t="s">
        <v>3443</v>
      </c>
      <c r="G920" s="6">
        <f>18.708*L920</f>
        <v>243.20399999999998</v>
      </c>
      <c r="H920" s="7">
        <v>41712</v>
      </c>
      <c r="I920" s="6" t="s">
        <v>247</v>
      </c>
      <c r="J920" s="6" t="s">
        <v>3444</v>
      </c>
      <c r="K920" s="6" t="s">
        <v>21</v>
      </c>
      <c r="L920" s="6">
        <v>13</v>
      </c>
      <c r="M920" s="15" t="s">
        <v>3442</v>
      </c>
      <c r="N920" s="15" t="s">
        <v>167</v>
      </c>
      <c r="O920" s="27" t="s">
        <v>3445</v>
      </c>
    </row>
    <row r="921" spans="1:15" s="1" customFormat="1" ht="13.5" customHeight="1">
      <c r="A921" s="3" t="s">
        <v>1285</v>
      </c>
      <c r="B921" s="4" t="s">
        <v>283</v>
      </c>
      <c r="C921" s="3" t="s">
        <v>3446</v>
      </c>
      <c r="D921" s="5" t="s">
        <v>1287</v>
      </c>
      <c r="E921" s="5" t="s">
        <v>124</v>
      </c>
      <c r="F921" s="3" t="s">
        <v>3447</v>
      </c>
      <c r="G921" s="6">
        <f>8.606*L921</f>
        <v>60.241999999999997</v>
      </c>
      <c r="H921" s="7">
        <v>41712</v>
      </c>
      <c r="I921" s="6" t="s">
        <v>272</v>
      </c>
      <c r="J921" s="6" t="s">
        <v>3448</v>
      </c>
      <c r="K921" s="6" t="s">
        <v>21</v>
      </c>
      <c r="L921" s="6">
        <v>7</v>
      </c>
      <c r="M921" s="15" t="s">
        <v>3449</v>
      </c>
      <c r="N921" s="15" t="s">
        <v>1093</v>
      </c>
      <c r="O921" s="28" t="s">
        <v>3449</v>
      </c>
    </row>
    <row r="922" spans="1:15" s="1" customFormat="1" ht="13.5" customHeight="1">
      <c r="A922" s="3" t="s">
        <v>1285</v>
      </c>
      <c r="B922" s="4" t="s">
        <v>283</v>
      </c>
      <c r="C922" s="3"/>
      <c r="D922" s="5" t="s">
        <v>1287</v>
      </c>
      <c r="E922" s="5" t="s">
        <v>124</v>
      </c>
      <c r="F922" s="3" t="s">
        <v>3450</v>
      </c>
      <c r="G922" s="6">
        <f>8.606*L922</f>
        <v>68.847999999999999</v>
      </c>
      <c r="H922" s="7">
        <v>41712</v>
      </c>
      <c r="I922" s="6" t="s">
        <v>272</v>
      </c>
      <c r="J922" s="6" t="s">
        <v>3451</v>
      </c>
      <c r="K922" s="6" t="s">
        <v>21</v>
      </c>
      <c r="L922" s="6">
        <v>8</v>
      </c>
      <c r="M922" s="15" t="s">
        <v>3449</v>
      </c>
      <c r="N922" s="15" t="s">
        <v>1096</v>
      </c>
      <c r="O922" s="28" t="s">
        <v>3452</v>
      </c>
    </row>
    <row r="923" spans="1:15" ht="13.5" customHeight="1">
      <c r="A923" s="3" t="s">
        <v>1534</v>
      </c>
      <c r="B923" s="3"/>
      <c r="C923" s="3"/>
      <c r="D923" s="5" t="s">
        <v>2128</v>
      </c>
      <c r="E923" s="5" t="s">
        <v>124</v>
      </c>
      <c r="F923" s="3" t="s">
        <v>3453</v>
      </c>
      <c r="G923" s="6">
        <v>291.74</v>
      </c>
      <c r="H923" s="7">
        <v>41712</v>
      </c>
      <c r="I923" s="6" t="s">
        <v>209</v>
      </c>
      <c r="J923" s="6" t="s">
        <v>3454</v>
      </c>
      <c r="K923" s="6" t="s">
        <v>128</v>
      </c>
      <c r="L923" s="6" t="s">
        <v>2319</v>
      </c>
      <c r="M923" s="15" t="s">
        <v>3455</v>
      </c>
      <c r="N923" s="15" t="s">
        <v>2321</v>
      </c>
      <c r="O923" s="27" t="s">
        <v>3456</v>
      </c>
    </row>
    <row r="924" spans="1:15" s="1" customFormat="1" ht="13.5" customHeight="1">
      <c r="A924" s="3" t="s">
        <v>1534</v>
      </c>
      <c r="B924" s="3"/>
      <c r="C924" s="3"/>
      <c r="D924" s="5" t="s">
        <v>2128</v>
      </c>
      <c r="E924" s="5" t="s">
        <v>124</v>
      </c>
      <c r="F924" s="3" t="s">
        <v>3457</v>
      </c>
      <c r="G924" s="6">
        <v>261.298</v>
      </c>
      <c r="H924" s="7">
        <v>41712</v>
      </c>
      <c r="I924" s="6" t="s">
        <v>209</v>
      </c>
      <c r="J924" s="6" t="s">
        <v>3458</v>
      </c>
      <c r="K924" s="6" t="s">
        <v>128</v>
      </c>
      <c r="L924" s="6" t="s">
        <v>1885</v>
      </c>
      <c r="M924" s="15" t="s">
        <v>3459</v>
      </c>
      <c r="N924" s="15" t="s">
        <v>3460</v>
      </c>
      <c r="O924" s="28" t="s">
        <v>3461</v>
      </c>
    </row>
    <row r="925" spans="1:15" s="1" customFormat="1" ht="13.5" customHeight="1">
      <c r="A925" s="3" t="s">
        <v>1349</v>
      </c>
      <c r="B925" s="3"/>
      <c r="C925" s="3"/>
      <c r="D925" s="5" t="s">
        <v>2117</v>
      </c>
      <c r="E925" s="5" t="s">
        <v>124</v>
      </c>
      <c r="F925" s="3" t="s">
        <v>3462</v>
      </c>
      <c r="G925" s="6">
        <v>233.39</v>
      </c>
      <c r="H925" s="7">
        <v>41712</v>
      </c>
      <c r="I925" s="6" t="s">
        <v>178</v>
      </c>
      <c r="J925" s="6" t="s">
        <v>3463</v>
      </c>
      <c r="K925" s="6" t="s">
        <v>128</v>
      </c>
      <c r="L925" s="6" t="s">
        <v>1226</v>
      </c>
      <c r="M925" s="15" t="s">
        <v>3464</v>
      </c>
      <c r="N925" s="15" t="s">
        <v>2179</v>
      </c>
      <c r="O925" s="28" t="s">
        <v>3465</v>
      </c>
    </row>
    <row r="926" spans="1:15" s="1" customFormat="1" ht="13.5" customHeight="1">
      <c r="A926" s="3" t="s">
        <v>1349</v>
      </c>
      <c r="B926" s="3"/>
      <c r="C926" s="3"/>
      <c r="D926" s="5" t="s">
        <v>2117</v>
      </c>
      <c r="E926" s="5" t="s">
        <v>124</v>
      </c>
      <c r="F926" s="3" t="s">
        <v>3466</v>
      </c>
      <c r="G926" s="6">
        <v>170.85900000000001</v>
      </c>
      <c r="H926" s="7">
        <v>41712</v>
      </c>
      <c r="I926" s="6" t="s">
        <v>178</v>
      </c>
      <c r="J926" s="6" t="s">
        <v>3467</v>
      </c>
      <c r="K926" s="6" t="s">
        <v>128</v>
      </c>
      <c r="L926" s="6" t="s">
        <v>2707</v>
      </c>
      <c r="M926" s="15" t="s">
        <v>3468</v>
      </c>
      <c r="N926" s="15" t="s">
        <v>3469</v>
      </c>
      <c r="O926" s="28" t="s">
        <v>3470</v>
      </c>
    </row>
    <row r="927" spans="1:15" ht="13.5" customHeight="1">
      <c r="A927" s="3" t="s">
        <v>1216</v>
      </c>
      <c r="B927" s="3"/>
      <c r="C927" s="3"/>
      <c r="D927" s="5" t="s">
        <v>2117</v>
      </c>
      <c r="E927" s="5" t="s">
        <v>124</v>
      </c>
      <c r="F927" s="3" t="s">
        <v>3471</v>
      </c>
      <c r="G927" s="6">
        <v>200.429</v>
      </c>
      <c r="H927" s="7">
        <v>41712</v>
      </c>
      <c r="I927" s="6" t="s">
        <v>209</v>
      </c>
      <c r="J927" s="6" t="s">
        <v>3472</v>
      </c>
      <c r="K927" s="6" t="s">
        <v>128</v>
      </c>
      <c r="L927" s="6" t="s">
        <v>1996</v>
      </c>
      <c r="M927" s="15" t="s">
        <v>3473</v>
      </c>
      <c r="N927" s="15" t="s">
        <v>3474</v>
      </c>
      <c r="O927" s="28" t="s">
        <v>3475</v>
      </c>
    </row>
    <row r="928" spans="1:15" ht="13.5" customHeight="1">
      <c r="A928" s="5" t="s">
        <v>1043</v>
      </c>
      <c r="B928" s="3"/>
      <c r="C928" s="3"/>
      <c r="D928" s="5" t="s">
        <v>443</v>
      </c>
      <c r="E928" s="5" t="s">
        <v>7026</v>
      </c>
      <c r="F928" s="3" t="s">
        <v>7551</v>
      </c>
      <c r="G928" s="6">
        <f>18.708*L928</f>
        <v>224.49599999999998</v>
      </c>
      <c r="H928" s="7">
        <v>41712</v>
      </c>
      <c r="I928" s="6" t="s">
        <v>178</v>
      </c>
      <c r="J928" s="6" t="s">
        <v>7552</v>
      </c>
      <c r="K928" s="6" t="s">
        <v>21</v>
      </c>
      <c r="L928" s="6">
        <v>12</v>
      </c>
      <c r="M928" s="15" t="s">
        <v>7553</v>
      </c>
      <c r="N928" s="15" t="s">
        <v>164</v>
      </c>
      <c r="O928" s="27" t="s">
        <v>7554</v>
      </c>
    </row>
    <row r="929" spans="1:15" s="1" customFormat="1" ht="13.5" customHeight="1">
      <c r="A929" s="5" t="s">
        <v>1043</v>
      </c>
      <c r="B929" s="3"/>
      <c r="C929" s="3"/>
      <c r="D929" s="5" t="s">
        <v>443</v>
      </c>
      <c r="E929" s="5" t="s">
        <v>7026</v>
      </c>
      <c r="F929" s="3" t="s">
        <v>7555</v>
      </c>
      <c r="G929" s="6">
        <f>18.708*L929</f>
        <v>243.20399999999998</v>
      </c>
      <c r="H929" s="7">
        <v>41712</v>
      </c>
      <c r="I929" s="6" t="s">
        <v>178</v>
      </c>
      <c r="J929" s="6" t="s">
        <v>7556</v>
      </c>
      <c r="K929" s="6" t="s">
        <v>21</v>
      </c>
      <c r="L929" s="6">
        <v>13</v>
      </c>
      <c r="M929" s="15" t="s">
        <v>7553</v>
      </c>
      <c r="N929" s="15" t="s">
        <v>167</v>
      </c>
      <c r="O929" s="27" t="s">
        <v>7557</v>
      </c>
    </row>
    <row r="930" spans="1:15" s="1" customFormat="1" ht="13.5" customHeight="1">
      <c r="A930" s="22" t="s">
        <v>3476</v>
      </c>
      <c r="B930" s="4" t="s">
        <v>283</v>
      </c>
      <c r="C930" s="3"/>
      <c r="D930" s="5" t="s">
        <v>3477</v>
      </c>
      <c r="E930" s="5" t="s">
        <v>124</v>
      </c>
      <c r="F930" s="3" t="s">
        <v>3478</v>
      </c>
      <c r="G930" s="6">
        <f>1.574*L930</f>
        <v>15.74</v>
      </c>
      <c r="H930" s="7">
        <v>41715</v>
      </c>
      <c r="I930" s="6" t="s">
        <v>3479</v>
      </c>
      <c r="J930" s="6" t="s">
        <v>3480</v>
      </c>
      <c r="K930" s="6" t="s">
        <v>21</v>
      </c>
      <c r="L930" s="6">
        <v>10</v>
      </c>
      <c r="M930" s="15" t="s">
        <v>3481</v>
      </c>
      <c r="N930" s="15" t="s">
        <v>2563</v>
      </c>
      <c r="O930" s="27" t="s">
        <v>3481</v>
      </c>
    </row>
    <row r="931" spans="1:15" s="1" customFormat="1" ht="13.5" customHeight="1">
      <c r="A931" s="22" t="s">
        <v>3482</v>
      </c>
      <c r="B931" s="3" t="s">
        <v>15</v>
      </c>
      <c r="C931" s="3"/>
      <c r="D931" s="5" t="s">
        <v>2497</v>
      </c>
      <c r="E931" s="5" t="s">
        <v>124</v>
      </c>
      <c r="F931" s="3" t="s">
        <v>3483</v>
      </c>
      <c r="G931" s="6">
        <f>27.688*L931</f>
        <v>55.375999999999998</v>
      </c>
      <c r="H931" s="7">
        <v>41717</v>
      </c>
      <c r="I931" s="6" t="s">
        <v>907</v>
      </c>
      <c r="J931" s="6" t="s">
        <v>3484</v>
      </c>
      <c r="K931" s="6" t="s">
        <v>21</v>
      </c>
      <c r="L931" s="6">
        <v>2</v>
      </c>
      <c r="M931" s="15" t="s">
        <v>3485</v>
      </c>
      <c r="N931" s="15" t="s">
        <v>836</v>
      </c>
      <c r="O931" s="27" t="s">
        <v>3485</v>
      </c>
    </row>
    <row r="932" spans="1:15" ht="13.5" customHeight="1">
      <c r="A932" s="3" t="s">
        <v>846</v>
      </c>
      <c r="B932" s="3"/>
      <c r="C932" s="3"/>
      <c r="D932" s="5" t="s">
        <v>191</v>
      </c>
      <c r="E932" s="5" t="s">
        <v>124</v>
      </c>
      <c r="F932" s="3" t="s">
        <v>3486</v>
      </c>
      <c r="G932" s="6">
        <f t="shared" ref="G932:G938" si="30">18.708*L932</f>
        <v>224.49599999999998</v>
      </c>
      <c r="H932" s="7">
        <v>41717</v>
      </c>
      <c r="I932" s="6" t="s">
        <v>247</v>
      </c>
      <c r="J932" s="6" t="s">
        <v>3487</v>
      </c>
      <c r="K932" s="6" t="s">
        <v>21</v>
      </c>
      <c r="L932" s="6">
        <v>12</v>
      </c>
      <c r="M932" s="15" t="s">
        <v>3488</v>
      </c>
      <c r="N932" s="15" t="s">
        <v>164</v>
      </c>
      <c r="O932" s="28" t="s">
        <v>3488</v>
      </c>
    </row>
    <row r="933" spans="1:15" s="1" customFormat="1" ht="13.5" customHeight="1">
      <c r="A933" s="3" t="s">
        <v>846</v>
      </c>
      <c r="B933" s="3"/>
      <c r="C933" s="3"/>
      <c r="D933" s="5" t="s">
        <v>191</v>
      </c>
      <c r="E933" s="5" t="s">
        <v>124</v>
      </c>
      <c r="F933" s="3" t="s">
        <v>3489</v>
      </c>
      <c r="G933" s="6">
        <f t="shared" si="30"/>
        <v>243.20399999999998</v>
      </c>
      <c r="H933" s="7">
        <v>41717</v>
      </c>
      <c r="I933" s="6" t="s">
        <v>247</v>
      </c>
      <c r="J933" s="6" t="s">
        <v>3490</v>
      </c>
      <c r="K933" s="6" t="s">
        <v>21</v>
      </c>
      <c r="L933" s="6">
        <v>13</v>
      </c>
      <c r="M933" s="15" t="s">
        <v>3488</v>
      </c>
      <c r="N933" s="15" t="s">
        <v>167</v>
      </c>
      <c r="O933" s="28" t="s">
        <v>3491</v>
      </c>
    </row>
    <row r="934" spans="1:15" s="1" customFormat="1" ht="13.5" customHeight="1">
      <c r="A934" s="3" t="s">
        <v>846</v>
      </c>
      <c r="B934" s="3"/>
      <c r="C934" s="3"/>
      <c r="D934" s="5" t="s">
        <v>191</v>
      </c>
      <c r="E934" s="5" t="s">
        <v>124</v>
      </c>
      <c r="F934" s="3" t="s">
        <v>3492</v>
      </c>
      <c r="G934" s="6">
        <f t="shared" si="30"/>
        <v>224.49599999999998</v>
      </c>
      <c r="H934" s="7">
        <v>41717</v>
      </c>
      <c r="I934" s="6" t="s">
        <v>247</v>
      </c>
      <c r="J934" s="6" t="s">
        <v>3493</v>
      </c>
      <c r="K934" s="6" t="s">
        <v>21</v>
      </c>
      <c r="L934" s="6">
        <v>12</v>
      </c>
      <c r="M934" s="15" t="s">
        <v>3494</v>
      </c>
      <c r="N934" s="15" t="s">
        <v>164</v>
      </c>
      <c r="O934" s="28" t="s">
        <v>3494</v>
      </c>
    </row>
    <row r="935" spans="1:15" s="1" customFormat="1" ht="13.5" customHeight="1">
      <c r="A935" s="3" t="s">
        <v>846</v>
      </c>
      <c r="B935" s="3"/>
      <c r="C935" s="3"/>
      <c r="D935" s="5" t="s">
        <v>191</v>
      </c>
      <c r="E935" s="5" t="s">
        <v>124</v>
      </c>
      <c r="F935" s="3" t="s">
        <v>3495</v>
      </c>
      <c r="G935" s="6">
        <f t="shared" si="30"/>
        <v>243.20399999999998</v>
      </c>
      <c r="H935" s="7">
        <v>41717</v>
      </c>
      <c r="I935" s="6" t="s">
        <v>247</v>
      </c>
      <c r="J935" s="6" t="s">
        <v>3496</v>
      </c>
      <c r="K935" s="6" t="s">
        <v>21</v>
      </c>
      <c r="L935" s="6">
        <v>13</v>
      </c>
      <c r="M935" s="15" t="s">
        <v>3494</v>
      </c>
      <c r="N935" s="15" t="s">
        <v>167</v>
      </c>
      <c r="O935" s="28" t="s">
        <v>3497</v>
      </c>
    </row>
    <row r="936" spans="1:15" s="1" customFormat="1" ht="13.5" customHeight="1">
      <c r="A936" s="3" t="s">
        <v>846</v>
      </c>
      <c r="B936" s="3"/>
      <c r="C936" s="3"/>
      <c r="D936" s="5" t="s">
        <v>191</v>
      </c>
      <c r="E936" s="5" t="s">
        <v>124</v>
      </c>
      <c r="F936" s="3" t="s">
        <v>3498</v>
      </c>
      <c r="G936" s="6">
        <f t="shared" si="30"/>
        <v>93.539999999999992</v>
      </c>
      <c r="H936" s="7">
        <v>41717</v>
      </c>
      <c r="I936" s="6" t="s">
        <v>247</v>
      </c>
      <c r="J936" s="6" t="s">
        <v>3499</v>
      </c>
      <c r="K936" s="6" t="s">
        <v>21</v>
      </c>
      <c r="L936" s="6">
        <v>5</v>
      </c>
      <c r="M936" s="15" t="s">
        <v>3500</v>
      </c>
      <c r="N936" s="15" t="s">
        <v>295</v>
      </c>
      <c r="O936" s="28" t="s">
        <v>3500</v>
      </c>
    </row>
    <row r="937" spans="1:15" s="1" customFormat="1" ht="13.5" customHeight="1">
      <c r="A937" s="3" t="s">
        <v>423</v>
      </c>
      <c r="B937" s="3"/>
      <c r="C937" s="3"/>
      <c r="D937" s="5" t="s">
        <v>191</v>
      </c>
      <c r="E937" s="5" t="s">
        <v>124</v>
      </c>
      <c r="F937" s="3" t="s">
        <v>3501</v>
      </c>
      <c r="G937" s="6">
        <f t="shared" si="30"/>
        <v>187.07999999999998</v>
      </c>
      <c r="H937" s="7">
        <v>41717</v>
      </c>
      <c r="I937" s="6" t="s">
        <v>247</v>
      </c>
      <c r="J937" s="6" t="s">
        <v>3502</v>
      </c>
      <c r="K937" s="6" t="s">
        <v>21</v>
      </c>
      <c r="L937" s="6">
        <v>10</v>
      </c>
      <c r="M937" s="15" t="s">
        <v>3503</v>
      </c>
      <c r="N937" s="15" t="s">
        <v>1236</v>
      </c>
      <c r="O937" s="28" t="s">
        <v>3503</v>
      </c>
    </row>
    <row r="938" spans="1:15" s="1" customFormat="1" ht="13.5" customHeight="1">
      <c r="A938" s="3" t="s">
        <v>423</v>
      </c>
      <c r="B938" s="3"/>
      <c r="C938" s="3"/>
      <c r="D938" s="5" t="s">
        <v>191</v>
      </c>
      <c r="E938" s="5" t="s">
        <v>124</v>
      </c>
      <c r="F938" s="3" t="s">
        <v>3504</v>
      </c>
      <c r="G938" s="6">
        <f t="shared" si="30"/>
        <v>205.78799999999998</v>
      </c>
      <c r="H938" s="7">
        <v>41717</v>
      </c>
      <c r="I938" s="6" t="s">
        <v>247</v>
      </c>
      <c r="J938" s="6" t="s">
        <v>3505</v>
      </c>
      <c r="K938" s="6" t="s">
        <v>21</v>
      </c>
      <c r="L938" s="6">
        <v>11</v>
      </c>
      <c r="M938" s="15" t="s">
        <v>3503</v>
      </c>
      <c r="N938" s="15" t="s">
        <v>2199</v>
      </c>
      <c r="O938" s="28" t="s">
        <v>3506</v>
      </c>
    </row>
    <row r="939" spans="1:15" ht="13.5" customHeight="1">
      <c r="A939" s="3" t="s">
        <v>788</v>
      </c>
      <c r="B939" s="4" t="s">
        <v>283</v>
      </c>
      <c r="C939" s="3"/>
      <c r="D939" s="5" t="s">
        <v>789</v>
      </c>
      <c r="E939" s="5" t="s">
        <v>124</v>
      </c>
      <c r="F939" s="3" t="s">
        <v>3507</v>
      </c>
      <c r="G939" s="6">
        <f>8.606*L939</f>
        <v>86.06</v>
      </c>
      <c r="H939" s="7">
        <v>41717</v>
      </c>
      <c r="I939" s="6" t="s">
        <v>272</v>
      </c>
      <c r="J939" s="6" t="s">
        <v>3508</v>
      </c>
      <c r="K939" s="6" t="s">
        <v>21</v>
      </c>
      <c r="L939" s="6">
        <v>10</v>
      </c>
      <c r="M939" s="15" t="s">
        <v>3509</v>
      </c>
      <c r="N939" s="15" t="s">
        <v>35</v>
      </c>
      <c r="O939" s="28" t="s">
        <v>3509</v>
      </c>
    </row>
    <row r="940" spans="1:15" s="1" customFormat="1" ht="13.5" customHeight="1">
      <c r="A940" s="3" t="s">
        <v>1087</v>
      </c>
      <c r="B940" s="4" t="s">
        <v>283</v>
      </c>
      <c r="C940" s="3"/>
      <c r="D940" s="5" t="s">
        <v>1088</v>
      </c>
      <c r="E940" s="5" t="s">
        <v>124</v>
      </c>
      <c r="F940" s="3" t="s">
        <v>3510</v>
      </c>
      <c r="G940" s="6">
        <f>9.804*L940</f>
        <v>49.02</v>
      </c>
      <c r="H940" s="7">
        <v>41717</v>
      </c>
      <c r="I940" s="6" t="s">
        <v>1090</v>
      </c>
      <c r="J940" s="6" t="s">
        <v>3511</v>
      </c>
      <c r="K940" s="6" t="s">
        <v>21</v>
      </c>
      <c r="L940" s="6">
        <v>5</v>
      </c>
      <c r="M940" s="15" t="s">
        <v>3512</v>
      </c>
      <c r="N940" s="15" t="s">
        <v>59</v>
      </c>
      <c r="O940" s="27" t="s">
        <v>3512</v>
      </c>
    </row>
    <row r="941" spans="1:15" s="1" customFormat="1" ht="13.5" customHeight="1">
      <c r="A941" s="3" t="s">
        <v>1087</v>
      </c>
      <c r="B941" s="4" t="s">
        <v>283</v>
      </c>
      <c r="C941" s="3"/>
      <c r="D941" s="5" t="s">
        <v>1088</v>
      </c>
      <c r="E941" s="5" t="s">
        <v>124</v>
      </c>
      <c r="F941" s="3" t="s">
        <v>3513</v>
      </c>
      <c r="G941" s="6">
        <f>9.804*L941</f>
        <v>58.823999999999998</v>
      </c>
      <c r="H941" s="7">
        <v>41717</v>
      </c>
      <c r="I941" s="6" t="s">
        <v>1090</v>
      </c>
      <c r="J941" s="6" t="s">
        <v>3514</v>
      </c>
      <c r="K941" s="6" t="s">
        <v>21</v>
      </c>
      <c r="L941" s="6">
        <v>6</v>
      </c>
      <c r="M941" s="15" t="s">
        <v>3515</v>
      </c>
      <c r="N941" s="15" t="s">
        <v>787</v>
      </c>
      <c r="O941" s="27" t="s">
        <v>12192</v>
      </c>
    </row>
    <row r="942" spans="1:15" ht="13.5" customHeight="1">
      <c r="A942" s="3" t="s">
        <v>3157</v>
      </c>
      <c r="B942" s="4" t="s">
        <v>283</v>
      </c>
      <c r="C942" s="3"/>
      <c r="D942" s="5" t="s">
        <v>1083</v>
      </c>
      <c r="E942" s="5" t="s">
        <v>124</v>
      </c>
      <c r="F942" s="3" t="s">
        <v>3516</v>
      </c>
      <c r="G942" s="6">
        <f>9.871*L942</f>
        <v>98.710000000000008</v>
      </c>
      <c r="H942" s="7">
        <v>41717</v>
      </c>
      <c r="I942" s="6" t="s">
        <v>161</v>
      </c>
      <c r="J942" s="6" t="s">
        <v>3517</v>
      </c>
      <c r="K942" s="6" t="s">
        <v>21</v>
      </c>
      <c r="L942" s="6">
        <v>10</v>
      </c>
      <c r="M942" s="15" t="s">
        <v>3388</v>
      </c>
      <c r="N942" s="15" t="s">
        <v>114</v>
      </c>
      <c r="O942" s="27" t="s">
        <v>3518</v>
      </c>
    </row>
    <row r="943" spans="1:15" s="1" customFormat="1" ht="13.5" customHeight="1">
      <c r="A943" s="3" t="s">
        <v>2546</v>
      </c>
      <c r="B943" s="3"/>
      <c r="C943" s="3"/>
      <c r="D943" s="5" t="s">
        <v>3106</v>
      </c>
      <c r="E943" s="5" t="s">
        <v>124</v>
      </c>
      <c r="F943" s="3" t="s">
        <v>3519</v>
      </c>
      <c r="G943" s="6">
        <f t="shared" ref="G943:G948" si="31">17.498*L943</f>
        <v>122.486</v>
      </c>
      <c r="H943" s="7">
        <v>41717</v>
      </c>
      <c r="I943" s="6" t="s">
        <v>265</v>
      </c>
      <c r="J943" s="6" t="s">
        <v>3520</v>
      </c>
      <c r="K943" s="6" t="s">
        <v>21</v>
      </c>
      <c r="L943" s="6">
        <v>7</v>
      </c>
      <c r="M943" s="15" t="s">
        <v>3521</v>
      </c>
      <c r="N943" s="15" t="s">
        <v>1460</v>
      </c>
      <c r="O943" s="27" t="s">
        <v>3521</v>
      </c>
    </row>
    <row r="944" spans="1:15" s="1" customFormat="1" ht="13.5" customHeight="1">
      <c r="A944" s="3" t="s">
        <v>2546</v>
      </c>
      <c r="B944" s="3"/>
      <c r="C944" s="3"/>
      <c r="D944" s="5" t="s">
        <v>3106</v>
      </c>
      <c r="E944" s="5" t="s">
        <v>124</v>
      </c>
      <c r="F944" s="3" t="s">
        <v>3522</v>
      </c>
      <c r="G944" s="6">
        <f t="shared" si="31"/>
        <v>139.98400000000001</v>
      </c>
      <c r="H944" s="7">
        <v>41717</v>
      </c>
      <c r="I944" s="6" t="s">
        <v>265</v>
      </c>
      <c r="J944" s="6" t="s">
        <v>3523</v>
      </c>
      <c r="K944" s="6" t="s">
        <v>21</v>
      </c>
      <c r="L944" s="6">
        <v>8</v>
      </c>
      <c r="M944" s="15" t="s">
        <v>3521</v>
      </c>
      <c r="N944" s="15" t="s">
        <v>1463</v>
      </c>
      <c r="O944" s="28" t="s">
        <v>3524</v>
      </c>
    </row>
    <row r="945" spans="1:15" ht="13.5" customHeight="1">
      <c r="A945" s="3" t="s">
        <v>269</v>
      </c>
      <c r="B945" s="3"/>
      <c r="C945" s="3"/>
      <c r="D945" s="5" t="s">
        <v>270</v>
      </c>
      <c r="E945" s="5" t="s">
        <v>124</v>
      </c>
      <c r="F945" s="3" t="s">
        <v>3525</v>
      </c>
      <c r="G945" s="6">
        <f t="shared" si="31"/>
        <v>52.494</v>
      </c>
      <c r="H945" s="7">
        <v>41717</v>
      </c>
      <c r="I945" s="6" t="s">
        <v>272</v>
      </c>
      <c r="J945" s="6" t="s">
        <v>3526</v>
      </c>
      <c r="K945" s="6" t="s">
        <v>21</v>
      </c>
      <c r="L945" s="6">
        <v>3</v>
      </c>
      <c r="M945" s="15" t="s">
        <v>1581</v>
      </c>
      <c r="N945" s="15" t="s">
        <v>657</v>
      </c>
      <c r="O945" s="28" t="s">
        <v>3527</v>
      </c>
    </row>
    <row r="946" spans="1:15" ht="13.5" customHeight="1">
      <c r="A946" s="3" t="s">
        <v>269</v>
      </c>
      <c r="B946" s="3"/>
      <c r="C946" s="3"/>
      <c r="D946" s="5" t="s">
        <v>270</v>
      </c>
      <c r="E946" s="5" t="s">
        <v>124</v>
      </c>
      <c r="F946" s="3" t="s">
        <v>3528</v>
      </c>
      <c r="G946" s="6">
        <f t="shared" si="31"/>
        <v>209.976</v>
      </c>
      <c r="H946" s="7">
        <v>41717</v>
      </c>
      <c r="I946" s="6" t="s">
        <v>272</v>
      </c>
      <c r="J946" s="6" t="s">
        <v>3529</v>
      </c>
      <c r="K946" s="6" t="s">
        <v>21</v>
      </c>
      <c r="L946" s="6">
        <v>12</v>
      </c>
      <c r="M946" s="15" t="s">
        <v>3530</v>
      </c>
      <c r="N946" s="15" t="s">
        <v>164</v>
      </c>
      <c r="O946" s="28" t="s">
        <v>3530</v>
      </c>
    </row>
    <row r="947" spans="1:15" ht="13.5" customHeight="1">
      <c r="A947" s="3" t="s">
        <v>269</v>
      </c>
      <c r="B947" s="3"/>
      <c r="C947" s="3"/>
      <c r="D947" s="5" t="s">
        <v>270</v>
      </c>
      <c r="E947" s="5" t="s">
        <v>124</v>
      </c>
      <c r="F947" s="3" t="s">
        <v>3531</v>
      </c>
      <c r="G947" s="6">
        <f t="shared" si="31"/>
        <v>227.47400000000002</v>
      </c>
      <c r="H947" s="7">
        <v>41717</v>
      </c>
      <c r="I947" s="6" t="s">
        <v>272</v>
      </c>
      <c r="J947" s="6" t="s">
        <v>3532</v>
      </c>
      <c r="K947" s="6" t="s">
        <v>21</v>
      </c>
      <c r="L947" s="6">
        <v>13</v>
      </c>
      <c r="M947" s="15" t="s">
        <v>3530</v>
      </c>
      <c r="N947" s="15" t="s">
        <v>167</v>
      </c>
      <c r="O947" s="28" t="s">
        <v>3533</v>
      </c>
    </row>
    <row r="948" spans="1:15" ht="13.5" customHeight="1">
      <c r="A948" s="3" t="s">
        <v>269</v>
      </c>
      <c r="B948" s="3"/>
      <c r="C948" s="3"/>
      <c r="D948" s="5" t="s">
        <v>270</v>
      </c>
      <c r="E948" s="5" t="s">
        <v>124</v>
      </c>
      <c r="F948" s="3" t="s">
        <v>3534</v>
      </c>
      <c r="G948" s="6">
        <f t="shared" si="31"/>
        <v>104.988</v>
      </c>
      <c r="H948" s="7">
        <v>41717</v>
      </c>
      <c r="I948" s="6" t="s">
        <v>272</v>
      </c>
      <c r="J948" s="6" t="s">
        <v>3535</v>
      </c>
      <c r="K948" s="6" t="s">
        <v>21</v>
      </c>
      <c r="L948" s="6">
        <v>6</v>
      </c>
      <c r="M948" s="15" t="s">
        <v>3536</v>
      </c>
      <c r="N948" s="15" t="s">
        <v>787</v>
      </c>
      <c r="O948" s="28" t="s">
        <v>3536</v>
      </c>
    </row>
    <row r="949" spans="1:15" ht="13.5" customHeight="1">
      <c r="A949" s="3" t="s">
        <v>654</v>
      </c>
      <c r="B949" s="3"/>
      <c r="C949" s="3"/>
      <c r="D949" s="5" t="s">
        <v>410</v>
      </c>
      <c r="E949" s="5" t="s">
        <v>124</v>
      </c>
      <c r="F949" s="3" t="s">
        <v>3537</v>
      </c>
      <c r="G949" s="6">
        <f t="shared" ref="G949:G966" si="32">17.52*L949</f>
        <v>175.2</v>
      </c>
      <c r="H949" s="7">
        <v>41718</v>
      </c>
      <c r="I949" s="6" t="s">
        <v>209</v>
      </c>
      <c r="J949" s="6" t="s">
        <v>3538</v>
      </c>
      <c r="K949" s="6" t="s">
        <v>21</v>
      </c>
      <c r="L949" s="6">
        <v>10</v>
      </c>
      <c r="M949" s="15" t="s">
        <v>3053</v>
      </c>
      <c r="N949" s="15" t="s">
        <v>114</v>
      </c>
      <c r="O949" s="28" t="s">
        <v>3539</v>
      </c>
    </row>
    <row r="950" spans="1:15" s="1" customFormat="1" ht="13.5" customHeight="1">
      <c r="A950" s="3" t="s">
        <v>654</v>
      </c>
      <c r="B950" s="3"/>
      <c r="C950" s="3"/>
      <c r="D950" s="5" t="s">
        <v>410</v>
      </c>
      <c r="E950" s="5" t="s">
        <v>124</v>
      </c>
      <c r="F950" s="3" t="s">
        <v>3540</v>
      </c>
      <c r="G950" s="6">
        <f t="shared" si="32"/>
        <v>210.24</v>
      </c>
      <c r="H950" s="7">
        <v>41718</v>
      </c>
      <c r="I950" s="6" t="s">
        <v>209</v>
      </c>
      <c r="J950" s="6" t="s">
        <v>3541</v>
      </c>
      <c r="K950" s="6" t="s">
        <v>21</v>
      </c>
      <c r="L950" s="6">
        <v>12</v>
      </c>
      <c r="M950" s="15" t="s">
        <v>3542</v>
      </c>
      <c r="N950" s="15" t="s">
        <v>164</v>
      </c>
      <c r="O950" s="28" t="s">
        <v>3542</v>
      </c>
    </row>
    <row r="951" spans="1:15" s="1" customFormat="1" ht="13.5" customHeight="1">
      <c r="A951" s="3" t="s">
        <v>654</v>
      </c>
      <c r="B951" s="3"/>
      <c r="C951" s="3"/>
      <c r="D951" s="5" t="s">
        <v>410</v>
      </c>
      <c r="E951" s="5" t="s">
        <v>124</v>
      </c>
      <c r="F951" s="3" t="s">
        <v>3543</v>
      </c>
      <c r="G951" s="6">
        <f t="shared" si="32"/>
        <v>227.76</v>
      </c>
      <c r="H951" s="7">
        <v>41718</v>
      </c>
      <c r="I951" s="6" t="s">
        <v>209</v>
      </c>
      <c r="J951" s="6" t="s">
        <v>3544</v>
      </c>
      <c r="K951" s="6" t="s">
        <v>21</v>
      </c>
      <c r="L951" s="6">
        <v>13</v>
      </c>
      <c r="M951" s="15" t="s">
        <v>3542</v>
      </c>
      <c r="N951" s="15" t="s">
        <v>167</v>
      </c>
      <c r="O951" s="28" t="s">
        <v>3545</v>
      </c>
    </row>
    <row r="952" spans="1:15" s="1" customFormat="1" ht="13.5" customHeight="1">
      <c r="A952" s="3" t="s">
        <v>654</v>
      </c>
      <c r="B952" s="3"/>
      <c r="C952" s="3"/>
      <c r="D952" s="5" t="s">
        <v>410</v>
      </c>
      <c r="E952" s="5" t="s">
        <v>124</v>
      </c>
      <c r="F952" s="3" t="s">
        <v>3546</v>
      </c>
      <c r="G952" s="6">
        <f t="shared" si="32"/>
        <v>210.24</v>
      </c>
      <c r="H952" s="7">
        <v>41718</v>
      </c>
      <c r="I952" s="6" t="s">
        <v>209</v>
      </c>
      <c r="J952" s="6" t="s">
        <v>3547</v>
      </c>
      <c r="K952" s="6" t="s">
        <v>21</v>
      </c>
      <c r="L952" s="6">
        <v>12</v>
      </c>
      <c r="M952" s="15" t="s">
        <v>3548</v>
      </c>
      <c r="N952" s="15" t="s">
        <v>164</v>
      </c>
      <c r="O952" s="28" t="s">
        <v>3548</v>
      </c>
    </row>
    <row r="953" spans="1:15" s="1" customFormat="1" ht="13.5" customHeight="1">
      <c r="A953" s="3" t="s">
        <v>654</v>
      </c>
      <c r="B953" s="3"/>
      <c r="C953" s="3"/>
      <c r="D953" s="5" t="s">
        <v>410</v>
      </c>
      <c r="E953" s="5" t="s">
        <v>124</v>
      </c>
      <c r="F953" s="3" t="s">
        <v>3549</v>
      </c>
      <c r="G953" s="6">
        <f t="shared" si="32"/>
        <v>227.76</v>
      </c>
      <c r="H953" s="7">
        <v>41718</v>
      </c>
      <c r="I953" s="6" t="s">
        <v>209</v>
      </c>
      <c r="J953" s="6" t="s">
        <v>3550</v>
      </c>
      <c r="K953" s="6" t="s">
        <v>21</v>
      </c>
      <c r="L953" s="6">
        <v>13</v>
      </c>
      <c r="M953" s="15" t="s">
        <v>3548</v>
      </c>
      <c r="N953" s="15" t="s">
        <v>167</v>
      </c>
      <c r="O953" s="28" t="s">
        <v>3551</v>
      </c>
    </row>
    <row r="954" spans="1:15" s="1" customFormat="1" ht="13.5" customHeight="1">
      <c r="A954" s="3" t="s">
        <v>654</v>
      </c>
      <c r="B954" s="3"/>
      <c r="C954" s="3"/>
      <c r="D954" s="5" t="s">
        <v>410</v>
      </c>
      <c r="E954" s="5" t="s">
        <v>124</v>
      </c>
      <c r="F954" s="3" t="s">
        <v>3552</v>
      </c>
      <c r="G954" s="6">
        <f t="shared" si="32"/>
        <v>210.24</v>
      </c>
      <c r="H954" s="7">
        <v>41718</v>
      </c>
      <c r="I954" s="6" t="s">
        <v>209</v>
      </c>
      <c r="J954" s="6" t="s">
        <v>3553</v>
      </c>
      <c r="K954" s="6" t="s">
        <v>21</v>
      </c>
      <c r="L954" s="6">
        <v>12</v>
      </c>
      <c r="M954" s="15" t="s">
        <v>3554</v>
      </c>
      <c r="N954" s="15" t="s">
        <v>164</v>
      </c>
      <c r="O954" s="28" t="s">
        <v>3554</v>
      </c>
    </row>
    <row r="955" spans="1:15" ht="13.5" customHeight="1">
      <c r="A955" s="3" t="s">
        <v>654</v>
      </c>
      <c r="B955" s="3"/>
      <c r="C955" s="3"/>
      <c r="D955" s="5" t="s">
        <v>410</v>
      </c>
      <c r="E955" s="5" t="s">
        <v>124</v>
      </c>
      <c r="F955" s="3" t="s">
        <v>3555</v>
      </c>
      <c r="G955" s="6">
        <f t="shared" si="32"/>
        <v>227.76</v>
      </c>
      <c r="H955" s="7">
        <v>41718</v>
      </c>
      <c r="I955" s="6" t="s">
        <v>209</v>
      </c>
      <c r="J955" s="6" t="s">
        <v>3556</v>
      </c>
      <c r="K955" s="6" t="s">
        <v>21</v>
      </c>
      <c r="L955" s="6">
        <v>13</v>
      </c>
      <c r="M955" s="15" t="s">
        <v>3554</v>
      </c>
      <c r="N955" s="15" t="s">
        <v>167</v>
      </c>
      <c r="O955" s="28" t="s">
        <v>3557</v>
      </c>
    </row>
    <row r="956" spans="1:15" s="1" customFormat="1" ht="13.5" customHeight="1">
      <c r="A956" s="3" t="s">
        <v>654</v>
      </c>
      <c r="B956" s="3"/>
      <c r="C956" s="3"/>
      <c r="D956" s="5" t="s">
        <v>410</v>
      </c>
      <c r="E956" s="5" t="s">
        <v>124</v>
      </c>
      <c r="F956" s="3" t="s">
        <v>3558</v>
      </c>
      <c r="G956" s="6">
        <f t="shared" si="32"/>
        <v>210.24</v>
      </c>
      <c r="H956" s="7">
        <v>41718</v>
      </c>
      <c r="I956" s="6" t="s">
        <v>209</v>
      </c>
      <c r="J956" s="6" t="s">
        <v>3559</v>
      </c>
      <c r="K956" s="6" t="s">
        <v>21</v>
      </c>
      <c r="L956" s="6">
        <v>12</v>
      </c>
      <c r="M956" s="15" t="s">
        <v>3560</v>
      </c>
      <c r="N956" s="15" t="s">
        <v>164</v>
      </c>
      <c r="O956" s="28" t="s">
        <v>3560</v>
      </c>
    </row>
    <row r="957" spans="1:15" s="1" customFormat="1" ht="13.5" customHeight="1">
      <c r="A957" s="3" t="s">
        <v>654</v>
      </c>
      <c r="B957" s="3"/>
      <c r="C957" s="3"/>
      <c r="D957" s="5" t="s">
        <v>410</v>
      </c>
      <c r="E957" s="5" t="s">
        <v>124</v>
      </c>
      <c r="F957" s="3" t="s">
        <v>3561</v>
      </c>
      <c r="G957" s="6">
        <f t="shared" si="32"/>
        <v>227.76</v>
      </c>
      <c r="H957" s="7">
        <v>41718</v>
      </c>
      <c r="I957" s="6" t="s">
        <v>209</v>
      </c>
      <c r="J957" s="6" t="s">
        <v>3562</v>
      </c>
      <c r="K957" s="6" t="s">
        <v>21</v>
      </c>
      <c r="L957" s="6">
        <v>13</v>
      </c>
      <c r="M957" s="15" t="s">
        <v>3560</v>
      </c>
      <c r="N957" s="15" t="s">
        <v>167</v>
      </c>
      <c r="O957" s="28" t="s">
        <v>3563</v>
      </c>
    </row>
    <row r="958" spans="1:15" ht="13.5" customHeight="1">
      <c r="A958" s="3" t="s">
        <v>854</v>
      </c>
      <c r="B958" s="3"/>
      <c r="C958" s="3"/>
      <c r="D958" s="5" t="s">
        <v>855</v>
      </c>
      <c r="E958" s="5" t="s">
        <v>124</v>
      </c>
      <c r="F958" s="3" t="s">
        <v>3564</v>
      </c>
      <c r="G958" s="6">
        <f t="shared" si="32"/>
        <v>157.68</v>
      </c>
      <c r="H958" s="7">
        <v>41718</v>
      </c>
      <c r="I958" s="6" t="s">
        <v>209</v>
      </c>
      <c r="J958" s="6" t="s">
        <v>3565</v>
      </c>
      <c r="K958" s="6" t="s">
        <v>21</v>
      </c>
      <c r="L958" s="6">
        <v>9</v>
      </c>
      <c r="M958" s="15" t="s">
        <v>3566</v>
      </c>
      <c r="N958" s="15" t="s">
        <v>486</v>
      </c>
      <c r="O958" s="28" t="s">
        <v>3566</v>
      </c>
    </row>
    <row r="959" spans="1:15" s="1" customFormat="1" ht="13.5" customHeight="1">
      <c r="A959" s="3" t="s">
        <v>854</v>
      </c>
      <c r="B959" s="3"/>
      <c r="C959" s="3"/>
      <c r="D959" s="5" t="s">
        <v>855</v>
      </c>
      <c r="E959" s="5" t="s">
        <v>124</v>
      </c>
      <c r="F959" s="3" t="s">
        <v>3567</v>
      </c>
      <c r="G959" s="6">
        <f t="shared" si="32"/>
        <v>175.2</v>
      </c>
      <c r="H959" s="7">
        <v>41718</v>
      </c>
      <c r="I959" s="6" t="s">
        <v>209</v>
      </c>
      <c r="J959" s="6" t="s">
        <v>3568</v>
      </c>
      <c r="K959" s="6" t="s">
        <v>21</v>
      </c>
      <c r="L959" s="6">
        <v>10</v>
      </c>
      <c r="M959" s="15" t="s">
        <v>3566</v>
      </c>
      <c r="N959" s="15" t="s">
        <v>3359</v>
      </c>
      <c r="O959" s="28" t="s">
        <v>3569</v>
      </c>
    </row>
    <row r="960" spans="1:15" ht="13.5" customHeight="1">
      <c r="A960" s="3" t="s">
        <v>1498</v>
      </c>
      <c r="B960" s="3"/>
      <c r="C960" s="3"/>
      <c r="D960" s="5" t="s">
        <v>1499</v>
      </c>
      <c r="E960" s="5" t="s">
        <v>124</v>
      </c>
      <c r="F960" s="3" t="s">
        <v>3570</v>
      </c>
      <c r="G960" s="6">
        <f t="shared" si="32"/>
        <v>122.64</v>
      </c>
      <c r="H960" s="7">
        <v>41718</v>
      </c>
      <c r="I960" s="6" t="s">
        <v>265</v>
      </c>
      <c r="J960" s="6" t="s">
        <v>3571</v>
      </c>
      <c r="K960" s="6" t="s">
        <v>21</v>
      </c>
      <c r="L960" s="6">
        <v>7</v>
      </c>
      <c r="M960" s="15" t="s">
        <v>3069</v>
      </c>
      <c r="N960" s="15" t="s">
        <v>3572</v>
      </c>
      <c r="O960" s="28" t="s">
        <v>3573</v>
      </c>
    </row>
    <row r="961" spans="1:15" ht="13.5" customHeight="1">
      <c r="A961" s="3" t="s">
        <v>1498</v>
      </c>
      <c r="B961" s="3"/>
      <c r="C961" s="3"/>
      <c r="D961" s="5" t="s">
        <v>1499</v>
      </c>
      <c r="E961" s="5" t="s">
        <v>124</v>
      </c>
      <c r="F961" s="3" t="s">
        <v>3574</v>
      </c>
      <c r="G961" s="6">
        <f t="shared" si="32"/>
        <v>175.2</v>
      </c>
      <c r="H961" s="7">
        <v>41718</v>
      </c>
      <c r="I961" s="6" t="s">
        <v>265</v>
      </c>
      <c r="J961" s="6" t="s">
        <v>3575</v>
      </c>
      <c r="K961" s="6" t="s">
        <v>21</v>
      </c>
      <c r="L961" s="6">
        <v>10</v>
      </c>
      <c r="M961" s="15" t="s">
        <v>3576</v>
      </c>
      <c r="N961" s="15" t="s">
        <v>35</v>
      </c>
      <c r="O961" s="28" t="s">
        <v>3576</v>
      </c>
    </row>
    <row r="962" spans="1:15" ht="13.5" customHeight="1">
      <c r="A962" s="3" t="s">
        <v>596</v>
      </c>
      <c r="B962" s="4"/>
      <c r="C962" s="3"/>
      <c r="D962" s="5" t="s">
        <v>598</v>
      </c>
      <c r="E962" s="5" t="s">
        <v>124</v>
      </c>
      <c r="F962" s="3" t="s">
        <v>3577</v>
      </c>
      <c r="G962" s="6">
        <f t="shared" si="32"/>
        <v>157.68</v>
      </c>
      <c r="H962" s="7">
        <v>41718</v>
      </c>
      <c r="I962" s="6" t="s">
        <v>265</v>
      </c>
      <c r="J962" s="6" t="s">
        <v>3578</v>
      </c>
      <c r="K962" s="6" t="s">
        <v>21</v>
      </c>
      <c r="L962" s="6">
        <v>9</v>
      </c>
      <c r="M962" s="15" t="s">
        <v>2236</v>
      </c>
      <c r="N962" s="15" t="s">
        <v>896</v>
      </c>
      <c r="O962" s="28" t="s">
        <v>3579</v>
      </c>
    </row>
    <row r="963" spans="1:15" s="1" customFormat="1" ht="13.5" customHeight="1">
      <c r="A963" s="3" t="s">
        <v>551</v>
      </c>
      <c r="B963" s="3"/>
      <c r="C963" s="3"/>
      <c r="D963" s="5" t="s">
        <v>552</v>
      </c>
      <c r="E963" s="5" t="s">
        <v>124</v>
      </c>
      <c r="F963" s="3" t="s">
        <v>3580</v>
      </c>
      <c r="G963" s="6">
        <f t="shared" si="32"/>
        <v>122.64</v>
      </c>
      <c r="H963" s="7">
        <v>41718</v>
      </c>
      <c r="I963" s="6" t="s">
        <v>265</v>
      </c>
      <c r="J963" s="6" t="s">
        <v>3581</v>
      </c>
      <c r="K963" s="6" t="s">
        <v>21</v>
      </c>
      <c r="L963" s="6">
        <v>7</v>
      </c>
      <c r="M963" s="15" t="s">
        <v>3080</v>
      </c>
      <c r="N963" s="15" t="s">
        <v>1141</v>
      </c>
      <c r="O963" s="27" t="s">
        <v>3582</v>
      </c>
    </row>
    <row r="964" spans="1:15" s="1" customFormat="1" ht="13.5" customHeight="1">
      <c r="A964" s="3" t="s">
        <v>777</v>
      </c>
      <c r="B964" s="3"/>
      <c r="C964" s="3"/>
      <c r="D964" s="5" t="s">
        <v>778</v>
      </c>
      <c r="E964" s="5" t="s">
        <v>124</v>
      </c>
      <c r="F964" s="3" t="s">
        <v>3583</v>
      </c>
      <c r="G964" s="6">
        <f t="shared" si="32"/>
        <v>87.6</v>
      </c>
      <c r="H964" s="7">
        <v>41718</v>
      </c>
      <c r="I964" s="6" t="s">
        <v>265</v>
      </c>
      <c r="J964" s="6" t="s">
        <v>3584</v>
      </c>
      <c r="K964" s="6" t="s">
        <v>21</v>
      </c>
      <c r="L964" s="6">
        <v>5</v>
      </c>
      <c r="M964" s="15" t="s">
        <v>2432</v>
      </c>
      <c r="N964" s="15" t="s">
        <v>1284</v>
      </c>
      <c r="O964" s="28" t="s">
        <v>3585</v>
      </c>
    </row>
    <row r="965" spans="1:15" ht="13.5" customHeight="1">
      <c r="A965" s="3" t="s">
        <v>777</v>
      </c>
      <c r="B965" s="3"/>
      <c r="C965" s="3"/>
      <c r="D965" s="5" t="s">
        <v>778</v>
      </c>
      <c r="E965" s="5" t="s">
        <v>124</v>
      </c>
      <c r="F965" s="3" t="s">
        <v>3586</v>
      </c>
      <c r="G965" s="6">
        <f t="shared" si="32"/>
        <v>87.6</v>
      </c>
      <c r="H965" s="7">
        <v>41718</v>
      </c>
      <c r="I965" s="6" t="s">
        <v>265</v>
      </c>
      <c r="J965" s="6" t="s">
        <v>3587</v>
      </c>
      <c r="K965" s="6" t="s">
        <v>21</v>
      </c>
      <c r="L965" s="6">
        <v>5</v>
      </c>
      <c r="M965" s="15" t="s">
        <v>3588</v>
      </c>
      <c r="N965" s="15" t="s">
        <v>3589</v>
      </c>
      <c r="O965" s="28" t="s">
        <v>3588</v>
      </c>
    </row>
    <row r="966" spans="1:15" ht="13.5" customHeight="1">
      <c r="A966" s="3" t="s">
        <v>753</v>
      </c>
      <c r="B966" s="3"/>
      <c r="C966" s="3"/>
      <c r="D966" s="5" t="s">
        <v>754</v>
      </c>
      <c r="E966" s="5" t="s">
        <v>124</v>
      </c>
      <c r="F966" s="3" t="s">
        <v>3590</v>
      </c>
      <c r="G966" s="6">
        <f t="shared" si="32"/>
        <v>175.2</v>
      </c>
      <c r="H966" s="7">
        <v>41718</v>
      </c>
      <c r="I966" s="6" t="s">
        <v>265</v>
      </c>
      <c r="J966" s="6" t="s">
        <v>3591</v>
      </c>
      <c r="K966" s="6" t="s">
        <v>21</v>
      </c>
      <c r="L966" s="6">
        <v>10</v>
      </c>
      <c r="M966" s="15" t="s">
        <v>3176</v>
      </c>
      <c r="N966" s="15" t="s">
        <v>3592</v>
      </c>
      <c r="O966" s="28" t="s">
        <v>3593</v>
      </c>
    </row>
    <row r="967" spans="1:15" ht="13.5" customHeight="1">
      <c r="A967" s="3" t="s">
        <v>819</v>
      </c>
      <c r="B967" s="3"/>
      <c r="C967" s="3"/>
      <c r="D967" s="5" t="s">
        <v>820</v>
      </c>
      <c r="E967" s="5" t="s">
        <v>124</v>
      </c>
      <c r="F967" s="3" t="s">
        <v>3594</v>
      </c>
      <c r="G967" s="6">
        <f t="shared" ref="G967:G972" si="33">29.101*L967</f>
        <v>58.201999999999998</v>
      </c>
      <c r="H967" s="7">
        <v>41718</v>
      </c>
      <c r="I967" s="6" t="s">
        <v>178</v>
      </c>
      <c r="J967" s="6" t="s">
        <v>3595</v>
      </c>
      <c r="K967" s="6" t="s">
        <v>21</v>
      </c>
      <c r="L967" s="6">
        <v>2</v>
      </c>
      <c r="M967" s="15" t="s">
        <v>3084</v>
      </c>
      <c r="N967" s="15" t="s">
        <v>836</v>
      </c>
      <c r="O967" s="28" t="s">
        <v>3596</v>
      </c>
    </row>
    <row r="968" spans="1:15" ht="13.5" customHeight="1">
      <c r="A968" s="3" t="s">
        <v>819</v>
      </c>
      <c r="B968" s="3"/>
      <c r="C968" s="3"/>
      <c r="D968" s="5" t="s">
        <v>820</v>
      </c>
      <c r="E968" s="5" t="s">
        <v>124</v>
      </c>
      <c r="F968" s="3" t="s">
        <v>3597</v>
      </c>
      <c r="G968" s="6">
        <f t="shared" si="33"/>
        <v>58.201999999999998</v>
      </c>
      <c r="H968" s="7">
        <v>41718</v>
      </c>
      <c r="I968" s="6" t="s">
        <v>178</v>
      </c>
      <c r="J968" s="6" t="s">
        <v>3598</v>
      </c>
      <c r="K968" s="6" t="s">
        <v>21</v>
      </c>
      <c r="L968" s="6">
        <v>2</v>
      </c>
      <c r="M968" s="15" t="s">
        <v>3599</v>
      </c>
      <c r="N968" s="15" t="s">
        <v>3600</v>
      </c>
      <c r="O968" s="28" t="s">
        <v>3599</v>
      </c>
    </row>
    <row r="969" spans="1:15" ht="13.5" customHeight="1">
      <c r="A969" s="3" t="s">
        <v>1187</v>
      </c>
      <c r="B969" s="3"/>
      <c r="C969" s="3"/>
      <c r="D969" s="5" t="s">
        <v>1188</v>
      </c>
      <c r="E969" s="5" t="s">
        <v>124</v>
      </c>
      <c r="F969" s="3" t="s">
        <v>3601</v>
      </c>
      <c r="G969" s="6">
        <f t="shared" si="33"/>
        <v>203.70699999999999</v>
      </c>
      <c r="H969" s="7">
        <v>41718</v>
      </c>
      <c r="I969" s="6" t="s">
        <v>178</v>
      </c>
      <c r="J969" s="6" t="s">
        <v>3602</v>
      </c>
      <c r="K969" s="6" t="s">
        <v>21</v>
      </c>
      <c r="L969" s="6">
        <v>7</v>
      </c>
      <c r="M969" s="15" t="s">
        <v>3603</v>
      </c>
      <c r="N969" s="15" t="s">
        <v>824</v>
      </c>
      <c r="O969" s="28" t="s">
        <v>3603</v>
      </c>
    </row>
    <row r="970" spans="1:15" ht="13.5" customHeight="1">
      <c r="A970" s="3" t="s">
        <v>2530</v>
      </c>
      <c r="B970" s="3"/>
      <c r="C970" s="3"/>
      <c r="D970" s="5" t="s">
        <v>1188</v>
      </c>
      <c r="E970" s="5" t="s">
        <v>124</v>
      </c>
      <c r="F970" s="3" t="s">
        <v>3604</v>
      </c>
      <c r="G970" s="6">
        <f t="shared" si="33"/>
        <v>232.80799999999999</v>
      </c>
      <c r="H970" s="7">
        <v>41718</v>
      </c>
      <c r="I970" s="6" t="s">
        <v>178</v>
      </c>
      <c r="J970" s="6" t="s">
        <v>3605</v>
      </c>
      <c r="K970" s="6" t="s">
        <v>21</v>
      </c>
      <c r="L970" s="6">
        <v>8</v>
      </c>
      <c r="M970" s="15" t="s">
        <v>3603</v>
      </c>
      <c r="N970" s="15" t="s">
        <v>1521</v>
      </c>
      <c r="O970" s="28" t="s">
        <v>3606</v>
      </c>
    </row>
    <row r="971" spans="1:15" s="1" customFormat="1" ht="13.5" customHeight="1">
      <c r="A971" s="3" t="s">
        <v>2530</v>
      </c>
      <c r="B971" s="3"/>
      <c r="C971" s="3"/>
      <c r="D971" s="5" t="s">
        <v>1188</v>
      </c>
      <c r="E971" s="5" t="s">
        <v>124</v>
      </c>
      <c r="F971" s="3" t="s">
        <v>3607</v>
      </c>
      <c r="G971" s="6">
        <f t="shared" si="33"/>
        <v>232.80799999999999</v>
      </c>
      <c r="H971" s="7">
        <v>41718</v>
      </c>
      <c r="I971" s="6" t="s">
        <v>178</v>
      </c>
      <c r="J971" s="6" t="s">
        <v>3608</v>
      </c>
      <c r="K971" s="6" t="s">
        <v>21</v>
      </c>
      <c r="L971" s="6">
        <v>8</v>
      </c>
      <c r="M971" s="15" t="s">
        <v>3603</v>
      </c>
      <c r="N971" s="15" t="s">
        <v>1096</v>
      </c>
      <c r="O971" s="28" t="s">
        <v>3609</v>
      </c>
    </row>
    <row r="972" spans="1:15" ht="13.5" customHeight="1">
      <c r="A972" s="3" t="s">
        <v>416</v>
      </c>
      <c r="B972" s="3"/>
      <c r="C972" s="3"/>
      <c r="D972" s="5" t="s">
        <v>417</v>
      </c>
      <c r="E972" s="5" t="s">
        <v>124</v>
      </c>
      <c r="F972" s="3" t="s">
        <v>3610</v>
      </c>
      <c r="G972" s="6">
        <f t="shared" si="33"/>
        <v>116.404</v>
      </c>
      <c r="H972" s="7">
        <v>41718</v>
      </c>
      <c r="I972" s="6" t="s">
        <v>419</v>
      </c>
      <c r="J972" s="6" t="s">
        <v>3611</v>
      </c>
      <c r="K972" s="6" t="s">
        <v>21</v>
      </c>
      <c r="L972" s="6">
        <v>4</v>
      </c>
      <c r="M972" s="15" t="s">
        <v>2649</v>
      </c>
      <c r="N972" s="15" t="s">
        <v>1532</v>
      </c>
      <c r="O972" s="28" t="s">
        <v>3612</v>
      </c>
    </row>
    <row r="973" spans="1:15" s="1" customFormat="1" ht="13.5" customHeight="1">
      <c r="A973" s="3" t="s">
        <v>772</v>
      </c>
      <c r="B973" s="3"/>
      <c r="C973" s="3"/>
      <c r="D973" s="5" t="s">
        <v>773</v>
      </c>
      <c r="E973" s="5" t="s">
        <v>124</v>
      </c>
      <c r="F973" s="3" t="s">
        <v>3613</v>
      </c>
      <c r="G973" s="6">
        <f>18.708*L973</f>
        <v>112.24799999999999</v>
      </c>
      <c r="H973" s="7">
        <v>41718</v>
      </c>
      <c r="I973" s="6" t="s">
        <v>265</v>
      </c>
      <c r="J973" s="6" t="s">
        <v>3614</v>
      </c>
      <c r="K973" s="6" t="s">
        <v>21</v>
      </c>
      <c r="L973" s="6">
        <v>6</v>
      </c>
      <c r="M973" s="15" t="s">
        <v>3615</v>
      </c>
      <c r="N973" s="15" t="s">
        <v>437</v>
      </c>
      <c r="O973" s="28" t="s">
        <v>3615</v>
      </c>
    </row>
    <row r="974" spans="1:15" s="1" customFormat="1" ht="13.5" customHeight="1">
      <c r="A974" s="3" t="s">
        <v>772</v>
      </c>
      <c r="B974" s="3"/>
      <c r="C974" s="3"/>
      <c r="D974" s="5" t="s">
        <v>773</v>
      </c>
      <c r="E974" s="5" t="s">
        <v>124</v>
      </c>
      <c r="F974" s="3" t="s">
        <v>3616</v>
      </c>
      <c r="G974" s="6">
        <f>18.708*L974</f>
        <v>112.24799999999999</v>
      </c>
      <c r="H974" s="7">
        <v>41718</v>
      </c>
      <c r="I974" s="6" t="s">
        <v>265</v>
      </c>
      <c r="J974" s="6" t="s">
        <v>3617</v>
      </c>
      <c r="K974" s="6" t="s">
        <v>21</v>
      </c>
      <c r="L974" s="6">
        <v>6</v>
      </c>
      <c r="M974" s="15" t="s">
        <v>2271</v>
      </c>
      <c r="N974" s="15" t="s">
        <v>706</v>
      </c>
      <c r="O974" s="28" t="s">
        <v>3618</v>
      </c>
    </row>
    <row r="975" spans="1:15" s="1" customFormat="1" ht="13.5" customHeight="1">
      <c r="A975" s="22" t="s">
        <v>1908</v>
      </c>
      <c r="B975" s="3" t="s">
        <v>15</v>
      </c>
      <c r="C975" s="3"/>
      <c r="D975" s="5" t="s">
        <v>2497</v>
      </c>
      <c r="E975" s="5" t="s">
        <v>124</v>
      </c>
      <c r="F975" s="3" t="s">
        <v>3619</v>
      </c>
      <c r="G975" s="6">
        <f>27.688*L975</f>
        <v>55.375999999999998</v>
      </c>
      <c r="H975" s="7">
        <v>41718</v>
      </c>
      <c r="I975" s="6" t="s">
        <v>907</v>
      </c>
      <c r="J975" s="6" t="s">
        <v>3620</v>
      </c>
      <c r="K975" s="6" t="s">
        <v>21</v>
      </c>
      <c r="L975" s="6">
        <v>2</v>
      </c>
      <c r="M975" s="15" t="s">
        <v>3621</v>
      </c>
      <c r="N975" s="15" t="s">
        <v>255</v>
      </c>
      <c r="O975" s="28" t="s">
        <v>3621</v>
      </c>
    </row>
    <row r="976" spans="1:15" s="1" customFormat="1" ht="13.5" customHeight="1">
      <c r="A976" s="22" t="s">
        <v>3622</v>
      </c>
      <c r="B976" s="3" t="s">
        <v>15</v>
      </c>
      <c r="C976" s="3"/>
      <c r="D976" s="5" t="s">
        <v>2497</v>
      </c>
      <c r="E976" s="5" t="s">
        <v>124</v>
      </c>
      <c r="F976" s="3" t="s">
        <v>3623</v>
      </c>
      <c r="G976" s="6">
        <f>27.688*L976</f>
        <v>55.375999999999998</v>
      </c>
      <c r="H976" s="7">
        <v>41718</v>
      </c>
      <c r="I976" s="6" t="s">
        <v>3624</v>
      </c>
      <c r="J976" s="6" t="s">
        <v>3625</v>
      </c>
      <c r="K976" s="6" t="s">
        <v>21</v>
      </c>
      <c r="L976" s="6">
        <v>2</v>
      </c>
      <c r="M976" s="15" t="s">
        <v>3621</v>
      </c>
      <c r="N976" s="15" t="s">
        <v>261</v>
      </c>
      <c r="O976" s="28" t="s">
        <v>3626</v>
      </c>
    </row>
    <row r="977" spans="1:15" ht="13.5" customHeight="1">
      <c r="A977" s="5" t="s">
        <v>1127</v>
      </c>
      <c r="B977" s="3"/>
      <c r="C977" s="3"/>
      <c r="D977" s="5" t="s">
        <v>1128</v>
      </c>
      <c r="E977" s="5" t="s">
        <v>7026</v>
      </c>
      <c r="F977" s="3" t="s">
        <v>7558</v>
      </c>
      <c r="G977" s="6">
        <f>29.101*L977</f>
        <v>232.80799999999999</v>
      </c>
      <c r="H977" s="7">
        <v>41718</v>
      </c>
      <c r="I977" s="6" t="s">
        <v>178</v>
      </c>
      <c r="J977" s="6" t="s">
        <v>7559</v>
      </c>
      <c r="K977" s="6" t="s">
        <v>21</v>
      </c>
      <c r="L977" s="6">
        <v>8</v>
      </c>
      <c r="M977" s="15" t="s">
        <v>7560</v>
      </c>
      <c r="N977" s="15" t="s">
        <v>447</v>
      </c>
      <c r="O977" s="27" t="s">
        <v>7561</v>
      </c>
    </row>
    <row r="978" spans="1:15" ht="13.5" customHeight="1">
      <c r="A978" s="5" t="s">
        <v>1127</v>
      </c>
      <c r="B978" s="3"/>
      <c r="C978" s="3"/>
      <c r="D978" s="5" t="s">
        <v>1128</v>
      </c>
      <c r="E978" s="5" t="s">
        <v>7026</v>
      </c>
      <c r="F978" s="3" t="s">
        <v>7562</v>
      </c>
      <c r="G978" s="6">
        <f>29.101*L978</f>
        <v>232.80799999999999</v>
      </c>
      <c r="H978" s="7">
        <v>41718</v>
      </c>
      <c r="I978" s="6" t="s">
        <v>178</v>
      </c>
      <c r="J978" s="6" t="s">
        <v>7563</v>
      </c>
      <c r="K978" s="6" t="s">
        <v>21</v>
      </c>
      <c r="L978" s="6">
        <v>8</v>
      </c>
      <c r="M978" s="15" t="s">
        <v>7560</v>
      </c>
      <c r="N978" s="15" t="s">
        <v>892</v>
      </c>
      <c r="O978" s="27" t="s">
        <v>7564</v>
      </c>
    </row>
    <row r="979" spans="1:15" s="1" customFormat="1" ht="13.5" customHeight="1">
      <c r="A979" s="5" t="s">
        <v>1127</v>
      </c>
      <c r="B979" s="3"/>
      <c r="C979" s="3"/>
      <c r="D979" s="5" t="s">
        <v>1128</v>
      </c>
      <c r="E979" s="5" t="s">
        <v>7026</v>
      </c>
      <c r="F979" s="3" t="s">
        <v>7565</v>
      </c>
      <c r="G979" s="6">
        <f>29.101*L979</f>
        <v>261.90899999999999</v>
      </c>
      <c r="H979" s="7">
        <v>41718</v>
      </c>
      <c r="I979" s="6" t="s">
        <v>178</v>
      </c>
      <c r="J979" s="6" t="s">
        <v>7566</v>
      </c>
      <c r="K979" s="6" t="s">
        <v>21</v>
      </c>
      <c r="L979" s="6">
        <v>9</v>
      </c>
      <c r="M979" s="15" t="s">
        <v>7560</v>
      </c>
      <c r="N979" s="15" t="s">
        <v>896</v>
      </c>
      <c r="O979" s="27" t="s">
        <v>7567</v>
      </c>
    </row>
    <row r="980" spans="1:15" s="1" customFormat="1" ht="13.5" customHeight="1">
      <c r="A980" s="5" t="s">
        <v>1593</v>
      </c>
      <c r="B980" s="3"/>
      <c r="C980" s="3"/>
      <c r="D980" s="5" t="s">
        <v>1151</v>
      </c>
      <c r="E980" s="5" t="s">
        <v>7026</v>
      </c>
      <c r="F980" s="3" t="s">
        <v>7568</v>
      </c>
      <c r="G980" s="6">
        <f>17.712*L980</f>
        <v>70.847999999999999</v>
      </c>
      <c r="H980" s="7">
        <v>41718</v>
      </c>
      <c r="I980" s="6" t="s">
        <v>265</v>
      </c>
      <c r="J980" s="6" t="s">
        <v>7569</v>
      </c>
      <c r="K980" s="6" t="s">
        <v>21</v>
      </c>
      <c r="L980" s="6">
        <v>4</v>
      </c>
      <c r="M980" s="15" t="s">
        <v>7570</v>
      </c>
      <c r="N980" s="15" t="s">
        <v>910</v>
      </c>
      <c r="O980" s="27" t="s">
        <v>7571</v>
      </c>
    </row>
    <row r="981" spans="1:15" s="1" customFormat="1" ht="13.5" customHeight="1">
      <c r="A981" s="3" t="s">
        <v>290</v>
      </c>
      <c r="B981" s="3"/>
      <c r="C981" s="3"/>
      <c r="D981" s="5" t="s">
        <v>291</v>
      </c>
      <c r="E981" s="5" t="s">
        <v>124</v>
      </c>
      <c r="F981" s="3" t="s">
        <v>3627</v>
      </c>
      <c r="G981" s="6">
        <f>17.498*L981</f>
        <v>122.486</v>
      </c>
      <c r="H981" s="7">
        <v>41722</v>
      </c>
      <c r="I981" s="6" t="s">
        <v>265</v>
      </c>
      <c r="J981" s="6" t="s">
        <v>3628</v>
      </c>
      <c r="K981" s="6" t="s">
        <v>21</v>
      </c>
      <c r="L981" s="6">
        <v>7</v>
      </c>
      <c r="M981" s="15" t="s">
        <v>3088</v>
      </c>
      <c r="N981" s="15" t="s">
        <v>3629</v>
      </c>
      <c r="O981" s="27" t="s">
        <v>3630</v>
      </c>
    </row>
    <row r="982" spans="1:15" s="1" customFormat="1" ht="13.5" customHeight="1">
      <c r="A982" s="3" t="s">
        <v>1562</v>
      </c>
      <c r="B982" s="3"/>
      <c r="C982" s="3"/>
      <c r="D982" s="5" t="s">
        <v>1563</v>
      </c>
      <c r="E982" s="5" t="s">
        <v>124</v>
      </c>
      <c r="F982" s="3" t="s">
        <v>3631</v>
      </c>
      <c r="G982" s="6">
        <f>17.498*L982</f>
        <v>87.490000000000009</v>
      </c>
      <c r="H982" s="7">
        <v>41722</v>
      </c>
      <c r="I982" s="6" t="s">
        <v>265</v>
      </c>
      <c r="J982" s="6" t="s">
        <v>3632</v>
      </c>
      <c r="K982" s="6" t="s">
        <v>21</v>
      </c>
      <c r="L982" s="6">
        <v>5</v>
      </c>
      <c r="M982" s="15" t="s">
        <v>1566</v>
      </c>
      <c r="N982" s="15" t="s">
        <v>3085</v>
      </c>
      <c r="O982" s="28" t="s">
        <v>3633</v>
      </c>
    </row>
    <row r="983" spans="1:15" s="1" customFormat="1" ht="13.5" customHeight="1">
      <c r="A983" s="3" t="s">
        <v>904</v>
      </c>
      <c r="B983" s="3"/>
      <c r="C983" s="3"/>
      <c r="D983" s="5" t="s">
        <v>905</v>
      </c>
      <c r="E983" s="5" t="s">
        <v>124</v>
      </c>
      <c r="F983" s="3" t="s">
        <v>3634</v>
      </c>
      <c r="G983" s="6">
        <f>17.498*L983</f>
        <v>174.98000000000002</v>
      </c>
      <c r="H983" s="7">
        <v>41722</v>
      </c>
      <c r="I983" s="6" t="s">
        <v>907</v>
      </c>
      <c r="J983" s="6" t="s">
        <v>3635</v>
      </c>
      <c r="K983" s="6" t="s">
        <v>21</v>
      </c>
      <c r="L983" s="6">
        <v>10</v>
      </c>
      <c r="M983" s="15" t="s">
        <v>3636</v>
      </c>
      <c r="N983" s="15" t="s">
        <v>114</v>
      </c>
      <c r="O983" s="27" t="s">
        <v>3636</v>
      </c>
    </row>
    <row r="984" spans="1:15" ht="13.5" customHeight="1">
      <c r="A984" s="3" t="s">
        <v>579</v>
      </c>
      <c r="B984" s="4" t="s">
        <v>283</v>
      </c>
      <c r="C984" s="3"/>
      <c r="D984" s="5" t="s">
        <v>580</v>
      </c>
      <c r="E984" s="5" t="s">
        <v>124</v>
      </c>
      <c r="F984" s="3" t="s">
        <v>3637</v>
      </c>
      <c r="G984" s="6">
        <f>9.871*L984</f>
        <v>118.452</v>
      </c>
      <c r="H984" s="7">
        <v>41722</v>
      </c>
      <c r="I984" s="6" t="s">
        <v>161</v>
      </c>
      <c r="J984" s="6" t="s">
        <v>3638</v>
      </c>
      <c r="K984" s="6" t="s">
        <v>21</v>
      </c>
      <c r="L984" s="6">
        <v>12</v>
      </c>
      <c r="M984" s="15" t="s">
        <v>3639</v>
      </c>
      <c r="N984" s="15" t="s">
        <v>164</v>
      </c>
      <c r="O984" s="28" t="s">
        <v>3639</v>
      </c>
    </row>
    <row r="985" spans="1:15" s="1" customFormat="1" ht="13.5" customHeight="1">
      <c r="A985" s="3" t="s">
        <v>579</v>
      </c>
      <c r="B985" s="4" t="s">
        <v>283</v>
      </c>
      <c r="C985" s="3"/>
      <c r="D985" s="5" t="s">
        <v>580</v>
      </c>
      <c r="E985" s="5" t="s">
        <v>124</v>
      </c>
      <c r="F985" s="3" t="s">
        <v>3640</v>
      </c>
      <c r="G985" s="6">
        <f>9.871*L985</f>
        <v>128.32300000000001</v>
      </c>
      <c r="H985" s="7">
        <v>41722</v>
      </c>
      <c r="I985" s="6" t="s">
        <v>161</v>
      </c>
      <c r="J985" s="6" t="s">
        <v>3641</v>
      </c>
      <c r="K985" s="6" t="s">
        <v>21</v>
      </c>
      <c r="L985" s="6">
        <v>13</v>
      </c>
      <c r="M985" s="15" t="s">
        <v>3639</v>
      </c>
      <c r="N985" s="15" t="s">
        <v>167</v>
      </c>
      <c r="O985" s="28" t="s">
        <v>3642</v>
      </c>
    </row>
    <row r="986" spans="1:15" ht="13.5" customHeight="1">
      <c r="A986" s="3" t="s">
        <v>269</v>
      </c>
      <c r="B986" s="3"/>
      <c r="C986" s="3"/>
      <c r="D986" s="5" t="s">
        <v>270</v>
      </c>
      <c r="E986" s="5" t="s">
        <v>124</v>
      </c>
      <c r="F986" s="3" t="s">
        <v>3643</v>
      </c>
      <c r="G986" s="6">
        <f>17.498*L986</f>
        <v>209.976</v>
      </c>
      <c r="H986" s="7">
        <v>41722</v>
      </c>
      <c r="I986" s="6" t="s">
        <v>272</v>
      </c>
      <c r="J986" s="6" t="s">
        <v>3644</v>
      </c>
      <c r="K986" s="6" t="s">
        <v>21</v>
      </c>
      <c r="L986" s="6">
        <v>12</v>
      </c>
      <c r="M986" s="15" t="s">
        <v>3645</v>
      </c>
      <c r="N986" s="15" t="s">
        <v>164</v>
      </c>
      <c r="O986" s="27" t="s">
        <v>3645</v>
      </c>
    </row>
    <row r="987" spans="1:15" s="1" customFormat="1" ht="13.5" customHeight="1">
      <c r="A987" s="3" t="s">
        <v>269</v>
      </c>
      <c r="B987" s="3"/>
      <c r="C987" s="3"/>
      <c r="D987" s="5" t="s">
        <v>270</v>
      </c>
      <c r="E987" s="5" t="s">
        <v>124</v>
      </c>
      <c r="F987" s="3" t="s">
        <v>3646</v>
      </c>
      <c r="G987" s="6">
        <f>17.498*L987</f>
        <v>227.47400000000002</v>
      </c>
      <c r="H987" s="7">
        <v>41722</v>
      </c>
      <c r="I987" s="6" t="s">
        <v>272</v>
      </c>
      <c r="J987" s="6" t="s">
        <v>3647</v>
      </c>
      <c r="K987" s="6" t="s">
        <v>21</v>
      </c>
      <c r="L987" s="6">
        <v>13</v>
      </c>
      <c r="M987" s="15" t="s">
        <v>3645</v>
      </c>
      <c r="N987" s="15" t="s">
        <v>167</v>
      </c>
      <c r="O987" s="28" t="s">
        <v>3648</v>
      </c>
    </row>
    <row r="988" spans="1:15" s="1" customFormat="1" ht="13.5" customHeight="1">
      <c r="A988" s="3" t="s">
        <v>494</v>
      </c>
      <c r="B988" s="3"/>
      <c r="C988" s="3"/>
      <c r="D988" s="5" t="s">
        <v>495</v>
      </c>
      <c r="E988" s="5" t="s">
        <v>124</v>
      </c>
      <c r="F988" s="3" t="s">
        <v>3649</v>
      </c>
      <c r="G988" s="6">
        <f>12.838*L988</f>
        <v>166.89399999999998</v>
      </c>
      <c r="H988" s="7">
        <v>41722</v>
      </c>
      <c r="I988" s="6" t="s">
        <v>471</v>
      </c>
      <c r="J988" s="6" t="s">
        <v>3650</v>
      </c>
      <c r="K988" s="6" t="s">
        <v>21</v>
      </c>
      <c r="L988" s="6">
        <v>13</v>
      </c>
      <c r="M988" s="15" t="s">
        <v>3651</v>
      </c>
      <c r="N988" s="15" t="s">
        <v>3652</v>
      </c>
      <c r="O988" s="27" t="s">
        <v>3651</v>
      </c>
    </row>
    <row r="989" spans="1:15" s="1" customFormat="1" ht="13.5" customHeight="1">
      <c r="A989" s="3" t="s">
        <v>3653</v>
      </c>
      <c r="B989" s="3"/>
      <c r="C989" s="3"/>
      <c r="D989" s="5" t="s">
        <v>495</v>
      </c>
      <c r="E989" s="5" t="s">
        <v>124</v>
      </c>
      <c r="F989" s="3" t="s">
        <v>3654</v>
      </c>
      <c r="G989" s="6">
        <f>12.838*L989</f>
        <v>128.38</v>
      </c>
      <c r="H989" s="7">
        <v>41722</v>
      </c>
      <c r="I989" s="6" t="s">
        <v>471</v>
      </c>
      <c r="J989" s="6" t="s">
        <v>3655</v>
      </c>
      <c r="K989" s="6" t="s">
        <v>21</v>
      </c>
      <c r="L989" s="6">
        <v>10</v>
      </c>
      <c r="M989" s="15" t="s">
        <v>3651</v>
      </c>
      <c r="N989" s="15" t="s">
        <v>114</v>
      </c>
      <c r="O989" s="27" t="s">
        <v>3656</v>
      </c>
    </row>
    <row r="990" spans="1:15" s="1" customFormat="1" ht="13.5" customHeight="1">
      <c r="A990" s="3" t="s">
        <v>275</v>
      </c>
      <c r="B990" s="3"/>
      <c r="C990" s="3"/>
      <c r="D990" s="5" t="s">
        <v>276</v>
      </c>
      <c r="E990" s="5" t="s">
        <v>124</v>
      </c>
      <c r="F990" s="3" t="s">
        <v>3657</v>
      </c>
      <c r="G990" s="6">
        <f>6.405*L990</f>
        <v>147.315</v>
      </c>
      <c r="H990" s="7">
        <v>41722</v>
      </c>
      <c r="I990" s="6" t="s">
        <v>471</v>
      </c>
      <c r="J990" s="6" t="s">
        <v>3658</v>
      </c>
      <c r="K990" s="6" t="s">
        <v>21</v>
      </c>
      <c r="L990" s="6">
        <v>23</v>
      </c>
      <c r="M990" s="15" t="s">
        <v>3659</v>
      </c>
      <c r="N990" s="15" t="s">
        <v>3660</v>
      </c>
      <c r="O990" s="27" t="s">
        <v>3659</v>
      </c>
    </row>
    <row r="991" spans="1:15" s="1" customFormat="1" ht="13.5" customHeight="1">
      <c r="A991" s="3" t="s">
        <v>275</v>
      </c>
      <c r="B991" s="3"/>
      <c r="C991" s="3"/>
      <c r="D991" s="5" t="s">
        <v>276</v>
      </c>
      <c r="E991" s="5" t="s">
        <v>124</v>
      </c>
      <c r="F991" s="3" t="s">
        <v>3661</v>
      </c>
      <c r="G991" s="6">
        <f>6.405*L991</f>
        <v>25.62</v>
      </c>
      <c r="H991" s="7">
        <v>41722</v>
      </c>
      <c r="I991" s="6" t="s">
        <v>471</v>
      </c>
      <c r="J991" s="6" t="s">
        <v>3662</v>
      </c>
      <c r="K991" s="6" t="s">
        <v>21</v>
      </c>
      <c r="L991" s="6">
        <v>4</v>
      </c>
      <c r="M991" s="15" t="s">
        <v>3663</v>
      </c>
      <c r="N991" s="15" t="s">
        <v>653</v>
      </c>
      <c r="O991" s="27" t="s">
        <v>3663</v>
      </c>
    </row>
    <row r="992" spans="1:15" s="1" customFormat="1" ht="13.5" customHeight="1">
      <c r="A992" s="22" t="s">
        <v>3664</v>
      </c>
      <c r="B992" s="3"/>
      <c r="C992" s="3"/>
      <c r="D992" s="5" t="s">
        <v>672</v>
      </c>
      <c r="E992" s="5" t="s">
        <v>124</v>
      </c>
      <c r="F992" s="3" t="s">
        <v>3665</v>
      </c>
      <c r="G992" s="6">
        <v>85.340999999999994</v>
      </c>
      <c r="H992" s="7">
        <v>41723</v>
      </c>
      <c r="I992" s="6" t="s">
        <v>209</v>
      </c>
      <c r="J992" s="6" t="s">
        <v>3666</v>
      </c>
      <c r="K992" s="6" t="s">
        <v>128</v>
      </c>
      <c r="L992" s="6" t="s">
        <v>1329</v>
      </c>
      <c r="M992" s="15" t="s">
        <v>3667</v>
      </c>
      <c r="N992" s="15" t="s">
        <v>3668</v>
      </c>
      <c r="O992" s="27" t="s">
        <v>3669</v>
      </c>
    </row>
    <row r="993" spans="1:15" s="1" customFormat="1" ht="13.5" customHeight="1">
      <c r="A993" s="22" t="s">
        <v>3664</v>
      </c>
      <c r="B993" s="3"/>
      <c r="C993" s="3"/>
      <c r="D993" s="5" t="s">
        <v>672</v>
      </c>
      <c r="E993" s="5" t="s">
        <v>124</v>
      </c>
      <c r="F993" s="3" t="s">
        <v>3670</v>
      </c>
      <c r="G993" s="6">
        <v>153.32599999999999</v>
      </c>
      <c r="H993" s="7">
        <v>41723</v>
      </c>
      <c r="I993" s="6" t="s">
        <v>209</v>
      </c>
      <c r="J993" s="6" t="s">
        <v>3671</v>
      </c>
      <c r="K993" s="6" t="s">
        <v>128</v>
      </c>
      <c r="L993" s="6" t="s">
        <v>808</v>
      </c>
      <c r="M993" s="15" t="s">
        <v>3672</v>
      </c>
      <c r="N993" s="15" t="s">
        <v>3673</v>
      </c>
      <c r="O993" s="28" t="s">
        <v>3674</v>
      </c>
    </row>
    <row r="994" spans="1:15" ht="13.5" customHeight="1">
      <c r="A994" s="22" t="s">
        <v>3664</v>
      </c>
      <c r="B994" s="3"/>
      <c r="C994" s="3"/>
      <c r="D994" s="5" t="s">
        <v>672</v>
      </c>
      <c r="E994" s="5" t="s">
        <v>124</v>
      </c>
      <c r="F994" s="3" t="s">
        <v>3675</v>
      </c>
      <c r="G994" s="6">
        <v>67.024000000000001</v>
      </c>
      <c r="H994" s="7">
        <v>41723</v>
      </c>
      <c r="I994" s="6" t="s">
        <v>209</v>
      </c>
      <c r="J994" s="6" t="s">
        <v>3676</v>
      </c>
      <c r="K994" s="6" t="s">
        <v>128</v>
      </c>
      <c r="L994" s="6" t="s">
        <v>1335</v>
      </c>
      <c r="M994" s="15" t="s">
        <v>3677</v>
      </c>
      <c r="N994" s="15" t="s">
        <v>3678</v>
      </c>
      <c r="O994" s="27" t="s">
        <v>3679</v>
      </c>
    </row>
    <row r="995" spans="1:15" s="1" customFormat="1" ht="13.5" customHeight="1">
      <c r="A995" s="3" t="s">
        <v>1322</v>
      </c>
      <c r="B995" s="3"/>
      <c r="C995" s="3"/>
      <c r="D995" s="5" t="s">
        <v>672</v>
      </c>
      <c r="E995" s="5" t="s">
        <v>124</v>
      </c>
      <c r="F995" s="3" t="s">
        <v>3680</v>
      </c>
      <c r="G995" s="6">
        <v>85.733000000000004</v>
      </c>
      <c r="H995" s="7">
        <v>41723</v>
      </c>
      <c r="I995" s="6" t="s">
        <v>209</v>
      </c>
      <c r="J995" s="6" t="s">
        <v>3681</v>
      </c>
      <c r="K995" s="6" t="s">
        <v>128</v>
      </c>
      <c r="L995" s="6" t="s">
        <v>1329</v>
      </c>
      <c r="M995" s="15" t="s">
        <v>3682</v>
      </c>
      <c r="N995" s="15" t="s">
        <v>3683</v>
      </c>
      <c r="O995" s="27" t="s">
        <v>3684</v>
      </c>
    </row>
    <row r="996" spans="1:15" ht="13.5" customHeight="1">
      <c r="A996" s="3" t="s">
        <v>1349</v>
      </c>
      <c r="B996" s="3"/>
      <c r="C996" s="3"/>
      <c r="D996" s="5" t="s">
        <v>2117</v>
      </c>
      <c r="E996" s="5" t="s">
        <v>124</v>
      </c>
      <c r="F996" s="3" t="s">
        <v>3685</v>
      </c>
      <c r="G996" s="6">
        <v>261.93799999999999</v>
      </c>
      <c r="H996" s="7">
        <v>41723</v>
      </c>
      <c r="I996" s="6" t="s">
        <v>178</v>
      </c>
      <c r="J996" s="6" t="s">
        <v>3686</v>
      </c>
      <c r="K996" s="6" t="s">
        <v>128</v>
      </c>
      <c r="L996" s="6" t="s">
        <v>1891</v>
      </c>
      <c r="M996" s="15" t="s">
        <v>3687</v>
      </c>
      <c r="N996" s="15" t="s">
        <v>3688</v>
      </c>
      <c r="O996" s="27" t="s">
        <v>3689</v>
      </c>
    </row>
    <row r="997" spans="1:15" ht="13.5" customHeight="1">
      <c r="A997" s="3" t="s">
        <v>1349</v>
      </c>
      <c r="B997" s="3"/>
      <c r="C997" s="3"/>
      <c r="D997" s="5" t="s">
        <v>2117</v>
      </c>
      <c r="E997" s="5" t="s">
        <v>124</v>
      </c>
      <c r="F997" s="3" t="s">
        <v>3690</v>
      </c>
      <c r="G997" s="6">
        <v>262.82100000000003</v>
      </c>
      <c r="H997" s="7">
        <v>41723</v>
      </c>
      <c r="I997" s="6" t="s">
        <v>178</v>
      </c>
      <c r="J997" s="6" t="s">
        <v>3691</v>
      </c>
      <c r="K997" s="6" t="s">
        <v>128</v>
      </c>
      <c r="L997" s="6" t="s">
        <v>1891</v>
      </c>
      <c r="M997" s="15" t="s">
        <v>3692</v>
      </c>
      <c r="N997" s="15" t="s">
        <v>2154</v>
      </c>
      <c r="O997" s="27" t="s">
        <v>3693</v>
      </c>
    </row>
    <row r="998" spans="1:15" ht="13.5" customHeight="1">
      <c r="A998" s="3" t="s">
        <v>1349</v>
      </c>
      <c r="B998" s="3"/>
      <c r="C998" s="3"/>
      <c r="D998" s="5" t="s">
        <v>2117</v>
      </c>
      <c r="E998" s="5" t="s">
        <v>124</v>
      </c>
      <c r="F998" s="3" t="s">
        <v>3694</v>
      </c>
      <c r="G998" s="6">
        <v>231.374</v>
      </c>
      <c r="H998" s="7">
        <v>41723</v>
      </c>
      <c r="I998" s="6" t="s">
        <v>178</v>
      </c>
      <c r="J998" s="6" t="s">
        <v>3695</v>
      </c>
      <c r="K998" s="6" t="s">
        <v>128</v>
      </c>
      <c r="L998" s="6" t="s">
        <v>1226</v>
      </c>
      <c r="M998" s="15" t="s">
        <v>3696</v>
      </c>
      <c r="N998" s="15" t="s">
        <v>3697</v>
      </c>
      <c r="O998" s="27" t="s">
        <v>3698</v>
      </c>
    </row>
    <row r="999" spans="1:15" s="1" customFormat="1" ht="13.5" customHeight="1">
      <c r="A999" s="3" t="s">
        <v>1349</v>
      </c>
      <c r="B999" s="3"/>
      <c r="C999" s="3"/>
      <c r="D999" s="5" t="s">
        <v>2117</v>
      </c>
      <c r="E999" s="5" t="s">
        <v>124</v>
      </c>
      <c r="F999" s="3" t="s">
        <v>3699</v>
      </c>
      <c r="G999" s="6">
        <v>232.80600000000001</v>
      </c>
      <c r="H999" s="7">
        <v>41723</v>
      </c>
      <c r="I999" s="6" t="s">
        <v>178</v>
      </c>
      <c r="J999" s="6" t="s">
        <v>3700</v>
      </c>
      <c r="K999" s="6" t="s">
        <v>128</v>
      </c>
      <c r="L999" s="6" t="s">
        <v>1226</v>
      </c>
      <c r="M999" s="15" t="s">
        <v>3701</v>
      </c>
      <c r="N999" s="15" t="s">
        <v>3702</v>
      </c>
      <c r="O999" s="27" t="s">
        <v>3703</v>
      </c>
    </row>
    <row r="1000" spans="1:15" s="1" customFormat="1" ht="13.5" customHeight="1">
      <c r="A1000" s="3" t="s">
        <v>1349</v>
      </c>
      <c r="B1000" s="3"/>
      <c r="C1000" s="3"/>
      <c r="D1000" s="5" t="s">
        <v>2117</v>
      </c>
      <c r="E1000" s="5" t="s">
        <v>124</v>
      </c>
      <c r="F1000" s="3" t="s">
        <v>3704</v>
      </c>
      <c r="G1000" s="6">
        <v>139.70599999999999</v>
      </c>
      <c r="H1000" s="7">
        <v>41723</v>
      </c>
      <c r="I1000" s="6" t="s">
        <v>178</v>
      </c>
      <c r="J1000" s="6" t="s">
        <v>3705</v>
      </c>
      <c r="K1000" s="6" t="s">
        <v>128</v>
      </c>
      <c r="L1000" s="6" t="s">
        <v>2183</v>
      </c>
      <c r="M1000" s="15" t="s">
        <v>3701</v>
      </c>
      <c r="N1000" s="15" t="s">
        <v>3706</v>
      </c>
      <c r="O1000" s="27" t="s">
        <v>3707</v>
      </c>
    </row>
    <row r="1001" spans="1:15" ht="13.5" customHeight="1">
      <c r="A1001" s="3" t="s">
        <v>1216</v>
      </c>
      <c r="B1001" s="3"/>
      <c r="C1001" s="3"/>
      <c r="D1001" s="5" t="s">
        <v>2117</v>
      </c>
      <c r="E1001" s="5" t="s">
        <v>124</v>
      </c>
      <c r="F1001" s="3" t="s">
        <v>3708</v>
      </c>
      <c r="G1001" s="6">
        <v>232.70400000000001</v>
      </c>
      <c r="H1001" s="7">
        <v>41723</v>
      </c>
      <c r="I1001" s="6" t="s">
        <v>209</v>
      </c>
      <c r="J1001" s="6" t="s">
        <v>3709</v>
      </c>
      <c r="K1001" s="6" t="s">
        <v>128</v>
      </c>
      <c r="L1001" s="6" t="s">
        <v>1226</v>
      </c>
      <c r="M1001" s="15" t="s">
        <v>3710</v>
      </c>
      <c r="N1001" s="15" t="s">
        <v>2169</v>
      </c>
      <c r="O1001" s="27" t="s">
        <v>3711</v>
      </c>
    </row>
    <row r="1002" spans="1:15" s="1" customFormat="1" ht="13.5" customHeight="1">
      <c r="A1002" s="3" t="s">
        <v>1216</v>
      </c>
      <c r="B1002" s="3"/>
      <c r="C1002" s="3"/>
      <c r="D1002" s="5" t="s">
        <v>2117</v>
      </c>
      <c r="E1002" s="5" t="s">
        <v>124</v>
      </c>
      <c r="F1002" s="3" t="s">
        <v>3712</v>
      </c>
      <c r="G1002" s="6">
        <v>232.13900000000001</v>
      </c>
      <c r="H1002" s="7">
        <v>41723</v>
      </c>
      <c r="I1002" s="6" t="s">
        <v>209</v>
      </c>
      <c r="J1002" s="6" t="s">
        <v>3713</v>
      </c>
      <c r="K1002" s="6" t="s">
        <v>128</v>
      </c>
      <c r="L1002" s="6" t="s">
        <v>1226</v>
      </c>
      <c r="M1002" s="15" t="s">
        <v>3714</v>
      </c>
      <c r="N1002" s="15" t="s">
        <v>3715</v>
      </c>
      <c r="O1002" s="28" t="s">
        <v>3716</v>
      </c>
    </row>
    <row r="1003" spans="1:15" s="1" customFormat="1" ht="13.5" customHeight="1">
      <c r="A1003" s="3" t="s">
        <v>1216</v>
      </c>
      <c r="B1003" s="3"/>
      <c r="C1003" s="3"/>
      <c r="D1003" s="5" t="s">
        <v>2117</v>
      </c>
      <c r="E1003" s="5" t="s">
        <v>124</v>
      </c>
      <c r="F1003" s="3" t="s">
        <v>3717</v>
      </c>
      <c r="G1003" s="6">
        <v>231.53100000000001</v>
      </c>
      <c r="H1003" s="7">
        <v>41723</v>
      </c>
      <c r="I1003" s="6" t="s">
        <v>209</v>
      </c>
      <c r="J1003" s="6" t="s">
        <v>3718</v>
      </c>
      <c r="K1003" s="6" t="s">
        <v>128</v>
      </c>
      <c r="L1003" s="6" t="s">
        <v>1226</v>
      </c>
      <c r="M1003" s="15" t="s">
        <v>3719</v>
      </c>
      <c r="N1003" s="15" t="s">
        <v>3720</v>
      </c>
      <c r="O1003" s="28" t="s">
        <v>3721</v>
      </c>
    </row>
    <row r="1004" spans="1:15" s="1" customFormat="1" ht="13.5" customHeight="1">
      <c r="A1004" s="3" t="s">
        <v>1534</v>
      </c>
      <c r="B1004" s="3"/>
      <c r="C1004" s="3"/>
      <c r="D1004" s="5" t="s">
        <v>2128</v>
      </c>
      <c r="E1004" s="5" t="s">
        <v>124</v>
      </c>
      <c r="F1004" s="3" t="s">
        <v>3722</v>
      </c>
      <c r="G1004" s="6">
        <v>200.173</v>
      </c>
      <c r="H1004" s="7">
        <v>41723</v>
      </c>
      <c r="I1004" s="6" t="s">
        <v>209</v>
      </c>
      <c r="J1004" s="6" t="s">
        <v>3723</v>
      </c>
      <c r="K1004" s="6" t="s">
        <v>128</v>
      </c>
      <c r="L1004" s="6" t="s">
        <v>1823</v>
      </c>
      <c r="M1004" s="15" t="s">
        <v>3724</v>
      </c>
      <c r="N1004" s="15" t="s">
        <v>3725</v>
      </c>
      <c r="O1004" s="28" t="s">
        <v>3726</v>
      </c>
    </row>
    <row r="1005" spans="1:15" s="1" customFormat="1" ht="13.5" customHeight="1">
      <c r="A1005" s="3" t="s">
        <v>1534</v>
      </c>
      <c r="B1005" s="3"/>
      <c r="C1005" s="3"/>
      <c r="D1005" s="5" t="s">
        <v>2128</v>
      </c>
      <c r="E1005" s="5" t="s">
        <v>124</v>
      </c>
      <c r="F1005" s="3" t="s">
        <v>3727</v>
      </c>
      <c r="G1005" s="6">
        <v>233.392</v>
      </c>
      <c r="H1005" s="7">
        <v>41723</v>
      </c>
      <c r="I1005" s="6" t="s">
        <v>209</v>
      </c>
      <c r="J1005" s="6" t="s">
        <v>3728</v>
      </c>
      <c r="K1005" s="6" t="s">
        <v>128</v>
      </c>
      <c r="L1005" s="6" t="s">
        <v>2131</v>
      </c>
      <c r="M1005" s="15" t="s">
        <v>3729</v>
      </c>
      <c r="N1005" s="15" t="s">
        <v>3730</v>
      </c>
      <c r="O1005" s="28" t="s">
        <v>3731</v>
      </c>
    </row>
    <row r="1006" spans="1:15" ht="13.5" customHeight="1">
      <c r="A1006" s="3" t="s">
        <v>1534</v>
      </c>
      <c r="B1006" s="3"/>
      <c r="C1006" s="3"/>
      <c r="D1006" s="5" t="s">
        <v>2128</v>
      </c>
      <c r="E1006" s="5" t="s">
        <v>124</v>
      </c>
      <c r="F1006" s="3" t="s">
        <v>9162</v>
      </c>
      <c r="G1006" s="6">
        <v>291.74</v>
      </c>
      <c r="H1006" s="7">
        <v>41723</v>
      </c>
      <c r="I1006" s="6" t="s">
        <v>209</v>
      </c>
      <c r="J1006" s="6" t="s">
        <v>9163</v>
      </c>
      <c r="K1006" s="6" t="s">
        <v>128</v>
      </c>
      <c r="L1006" s="6" t="s">
        <v>2319</v>
      </c>
      <c r="M1006" s="15" t="s">
        <v>9164</v>
      </c>
      <c r="N1006" s="15" t="s">
        <v>2449</v>
      </c>
      <c r="O1006" s="27" t="s">
        <v>9165</v>
      </c>
    </row>
    <row r="1007" spans="1:15" ht="13.5" customHeight="1">
      <c r="A1007" s="3" t="s">
        <v>1534</v>
      </c>
      <c r="B1007" s="3"/>
      <c r="C1007" s="3"/>
      <c r="D1007" s="5" t="s">
        <v>2128</v>
      </c>
      <c r="E1007" s="5" t="s">
        <v>124</v>
      </c>
      <c r="F1007" s="3" t="s">
        <v>3732</v>
      </c>
      <c r="G1007" s="6">
        <v>58.347999999999999</v>
      </c>
      <c r="H1007" s="7">
        <v>41723</v>
      </c>
      <c r="I1007" s="6" t="s">
        <v>209</v>
      </c>
      <c r="J1007" s="6" t="s">
        <v>3733</v>
      </c>
      <c r="K1007" s="6" t="s">
        <v>128</v>
      </c>
      <c r="L1007" s="6" t="s">
        <v>301</v>
      </c>
      <c r="M1007" s="15" t="s">
        <v>3734</v>
      </c>
      <c r="N1007" s="15" t="s">
        <v>3735</v>
      </c>
      <c r="O1007" s="28" t="s">
        <v>3736</v>
      </c>
    </row>
    <row r="1008" spans="1:15" ht="13.5" customHeight="1">
      <c r="A1008" s="5" t="s">
        <v>14</v>
      </c>
      <c r="B1008" s="3"/>
      <c r="C1008" s="3"/>
      <c r="D1008" s="5" t="s">
        <v>16</v>
      </c>
      <c r="E1008" s="5" t="s">
        <v>17</v>
      </c>
      <c r="F1008" s="3" t="s">
        <v>40</v>
      </c>
      <c r="G1008" s="6">
        <f>7.451*L1008</f>
        <v>81.960999999999999</v>
      </c>
      <c r="H1008" s="7">
        <v>41724</v>
      </c>
      <c r="I1008" s="6" t="s">
        <v>19</v>
      </c>
      <c r="J1008" s="6" t="s">
        <v>41</v>
      </c>
      <c r="K1008" s="6" t="s">
        <v>21</v>
      </c>
      <c r="L1008" s="6">
        <v>11</v>
      </c>
      <c r="M1008" s="15" t="s">
        <v>34</v>
      </c>
      <c r="N1008" s="15" t="s">
        <v>42</v>
      </c>
      <c r="O1008" s="27"/>
    </row>
    <row r="1009" spans="1:15" ht="13.5" customHeight="1">
      <c r="A1009" s="3" t="s">
        <v>918</v>
      </c>
      <c r="B1009" s="3"/>
      <c r="C1009" s="3"/>
      <c r="D1009" s="5" t="s">
        <v>919</v>
      </c>
      <c r="E1009" s="5" t="s">
        <v>124</v>
      </c>
      <c r="F1009" s="3" t="s">
        <v>3737</v>
      </c>
      <c r="G1009" s="6">
        <f>17.712*L1009</f>
        <v>70.847999999999999</v>
      </c>
      <c r="H1009" s="7">
        <v>41724</v>
      </c>
      <c r="I1009" s="6" t="s">
        <v>265</v>
      </c>
      <c r="J1009" s="6" t="s">
        <v>3738</v>
      </c>
      <c r="K1009" s="6" t="s">
        <v>21</v>
      </c>
      <c r="L1009" s="6">
        <v>4</v>
      </c>
      <c r="M1009" s="15" t="s">
        <v>3739</v>
      </c>
      <c r="N1009" s="15" t="s">
        <v>3740</v>
      </c>
      <c r="O1009" s="28" t="s">
        <v>3739</v>
      </c>
    </row>
    <row r="1010" spans="1:15" ht="13.5" customHeight="1">
      <c r="A1010" s="3" t="s">
        <v>846</v>
      </c>
      <c r="B1010" s="3"/>
      <c r="C1010" s="3"/>
      <c r="D1010" s="5" t="s">
        <v>191</v>
      </c>
      <c r="E1010" s="5" t="s">
        <v>124</v>
      </c>
      <c r="F1010" s="3" t="s">
        <v>3741</v>
      </c>
      <c r="G1010" s="6">
        <f>18.708*L1010</f>
        <v>224.49599999999998</v>
      </c>
      <c r="H1010" s="7">
        <v>41724</v>
      </c>
      <c r="I1010" s="6" t="s">
        <v>247</v>
      </c>
      <c r="J1010" s="6" t="s">
        <v>3742</v>
      </c>
      <c r="K1010" s="6" t="s">
        <v>21</v>
      </c>
      <c r="L1010" s="6">
        <v>12</v>
      </c>
      <c r="M1010" s="15" t="s">
        <v>3743</v>
      </c>
      <c r="N1010" s="15" t="s">
        <v>164</v>
      </c>
      <c r="O1010" s="27" t="s">
        <v>3743</v>
      </c>
    </row>
    <row r="1011" spans="1:15" ht="13.5" customHeight="1">
      <c r="A1011" s="3" t="s">
        <v>846</v>
      </c>
      <c r="B1011" s="3"/>
      <c r="C1011" s="3"/>
      <c r="D1011" s="5" t="s">
        <v>191</v>
      </c>
      <c r="E1011" s="5" t="s">
        <v>124</v>
      </c>
      <c r="F1011" s="3" t="s">
        <v>3744</v>
      </c>
      <c r="G1011" s="6">
        <f>18.708*L1011</f>
        <v>243.20399999999998</v>
      </c>
      <c r="H1011" s="7">
        <v>41724</v>
      </c>
      <c r="I1011" s="6" t="s">
        <v>247</v>
      </c>
      <c r="J1011" s="6" t="s">
        <v>3745</v>
      </c>
      <c r="K1011" s="6" t="s">
        <v>21</v>
      </c>
      <c r="L1011" s="6">
        <v>13</v>
      </c>
      <c r="M1011" s="15" t="s">
        <v>3743</v>
      </c>
      <c r="N1011" s="15" t="s">
        <v>167</v>
      </c>
      <c r="O1011" s="27" t="s">
        <v>3746</v>
      </c>
    </row>
    <row r="1012" spans="1:15" s="1" customFormat="1" ht="13.5" customHeight="1">
      <c r="A1012" s="3" t="s">
        <v>1087</v>
      </c>
      <c r="B1012" s="4" t="s">
        <v>283</v>
      </c>
      <c r="C1012" s="3"/>
      <c r="D1012" s="5" t="s">
        <v>1088</v>
      </c>
      <c r="E1012" s="5" t="s">
        <v>124</v>
      </c>
      <c r="F1012" s="3" t="s">
        <v>3747</v>
      </c>
      <c r="G1012" s="6">
        <f>9.804*L1012</f>
        <v>117.648</v>
      </c>
      <c r="H1012" s="7">
        <v>41724</v>
      </c>
      <c r="I1012" s="6" t="s">
        <v>1090</v>
      </c>
      <c r="J1012" s="6" t="s">
        <v>3748</v>
      </c>
      <c r="K1012" s="6" t="s">
        <v>21</v>
      </c>
      <c r="L1012" s="6">
        <v>12</v>
      </c>
      <c r="M1012" s="15" t="s">
        <v>3749</v>
      </c>
      <c r="N1012" s="15" t="s">
        <v>164</v>
      </c>
      <c r="O1012" s="27" t="s">
        <v>3749</v>
      </c>
    </row>
    <row r="1013" spans="1:15" ht="13.5" customHeight="1">
      <c r="A1013" s="3" t="s">
        <v>1087</v>
      </c>
      <c r="B1013" s="4" t="s">
        <v>283</v>
      </c>
      <c r="C1013" s="3"/>
      <c r="D1013" s="5" t="s">
        <v>1088</v>
      </c>
      <c r="E1013" s="5" t="s">
        <v>124</v>
      </c>
      <c r="F1013" s="3" t="s">
        <v>3750</v>
      </c>
      <c r="G1013" s="6">
        <f>9.804*L1013</f>
        <v>127.452</v>
      </c>
      <c r="H1013" s="7">
        <v>41724</v>
      </c>
      <c r="I1013" s="6" t="s">
        <v>1090</v>
      </c>
      <c r="J1013" s="6" t="s">
        <v>3751</v>
      </c>
      <c r="K1013" s="6" t="s">
        <v>21</v>
      </c>
      <c r="L1013" s="6">
        <v>13</v>
      </c>
      <c r="M1013" s="15" t="s">
        <v>3749</v>
      </c>
      <c r="N1013" s="15" t="s">
        <v>167</v>
      </c>
      <c r="O1013" s="27" t="s">
        <v>3752</v>
      </c>
    </row>
    <row r="1014" spans="1:15" s="1" customFormat="1" ht="13.5" customHeight="1">
      <c r="A1014" s="3" t="s">
        <v>2503</v>
      </c>
      <c r="B1014" s="4" t="s">
        <v>283</v>
      </c>
      <c r="C1014" s="3"/>
      <c r="D1014" s="5" t="s">
        <v>1549</v>
      </c>
      <c r="E1014" s="5" t="s">
        <v>124</v>
      </c>
      <c r="F1014" s="3" t="s">
        <v>3753</v>
      </c>
      <c r="G1014" s="6">
        <f>4.66*L1014</f>
        <v>46.6</v>
      </c>
      <c r="H1014" s="7">
        <v>41724</v>
      </c>
      <c r="I1014" s="6" t="s">
        <v>372</v>
      </c>
      <c r="J1014" s="6" t="s">
        <v>3754</v>
      </c>
      <c r="K1014" s="6" t="s">
        <v>21</v>
      </c>
      <c r="L1014" s="6">
        <v>10</v>
      </c>
      <c r="M1014" s="15" t="s">
        <v>3755</v>
      </c>
      <c r="N1014" s="15" t="s">
        <v>859</v>
      </c>
      <c r="O1014" s="28" t="s">
        <v>3755</v>
      </c>
    </row>
    <row r="1015" spans="1:15" s="1" customFormat="1" ht="13.5" customHeight="1">
      <c r="A1015" s="3" t="s">
        <v>2503</v>
      </c>
      <c r="B1015" s="4" t="s">
        <v>283</v>
      </c>
      <c r="C1015" s="3"/>
      <c r="D1015" s="5" t="s">
        <v>1549</v>
      </c>
      <c r="E1015" s="5" t="s">
        <v>124</v>
      </c>
      <c r="F1015" s="3" t="s">
        <v>3756</v>
      </c>
      <c r="G1015" s="6">
        <f>4.66*L1015</f>
        <v>46.6</v>
      </c>
      <c r="H1015" s="7">
        <v>41724</v>
      </c>
      <c r="I1015" s="6" t="s">
        <v>372</v>
      </c>
      <c r="J1015" s="6" t="s">
        <v>3757</v>
      </c>
      <c r="K1015" s="6" t="s">
        <v>21</v>
      </c>
      <c r="L1015" s="6">
        <v>10</v>
      </c>
      <c r="M1015" s="15" t="s">
        <v>3755</v>
      </c>
      <c r="N1015" s="15" t="s">
        <v>114</v>
      </c>
      <c r="O1015" s="28" t="s">
        <v>3758</v>
      </c>
    </row>
    <row r="1016" spans="1:15" s="1" customFormat="1" ht="13.5" customHeight="1">
      <c r="A1016" s="22" t="s">
        <v>812</v>
      </c>
      <c r="B1016" s="3" t="s">
        <v>15</v>
      </c>
      <c r="C1016" s="3"/>
      <c r="D1016" s="21" t="s">
        <v>3759</v>
      </c>
      <c r="E1016" s="5" t="s">
        <v>124</v>
      </c>
      <c r="F1016" s="3" t="s">
        <v>3760</v>
      </c>
      <c r="G1016" s="6">
        <v>35.04</v>
      </c>
      <c r="H1016" s="7">
        <v>41729</v>
      </c>
      <c r="I1016" s="6" t="s">
        <v>209</v>
      </c>
      <c r="J1016" s="6" t="s">
        <v>3761</v>
      </c>
      <c r="K1016" s="6" t="s">
        <v>128</v>
      </c>
      <c r="L1016" s="6" t="s">
        <v>129</v>
      </c>
      <c r="M1016" s="15" t="s">
        <v>3762</v>
      </c>
      <c r="N1016" s="15" t="s">
        <v>3763</v>
      </c>
      <c r="O1016" s="27" t="s">
        <v>3764</v>
      </c>
    </row>
    <row r="1017" spans="1:15" ht="13.5" customHeight="1">
      <c r="A1017" s="3" t="s">
        <v>918</v>
      </c>
      <c r="B1017" s="3"/>
      <c r="C1017" s="3"/>
      <c r="D1017" s="5" t="s">
        <v>919</v>
      </c>
      <c r="E1017" s="5" t="s">
        <v>124</v>
      </c>
      <c r="F1017" s="3" t="s">
        <v>3765</v>
      </c>
      <c r="G1017" s="6">
        <f t="shared" ref="G1017:G1022" si="34">17.712*L1017</f>
        <v>212.54399999999998</v>
      </c>
      <c r="H1017" s="7">
        <v>41729</v>
      </c>
      <c r="I1017" s="6" t="s">
        <v>265</v>
      </c>
      <c r="J1017" s="6" t="s">
        <v>3766</v>
      </c>
      <c r="K1017" s="6" t="s">
        <v>21</v>
      </c>
      <c r="L1017" s="6">
        <v>12</v>
      </c>
      <c r="M1017" s="15" t="s">
        <v>3767</v>
      </c>
      <c r="N1017" s="15" t="s">
        <v>164</v>
      </c>
      <c r="O1017" s="28" t="s">
        <v>3767</v>
      </c>
    </row>
    <row r="1018" spans="1:15" s="1" customFormat="1" ht="13.5" customHeight="1">
      <c r="A1018" s="3" t="s">
        <v>918</v>
      </c>
      <c r="B1018" s="3"/>
      <c r="C1018" s="3"/>
      <c r="D1018" s="5" t="s">
        <v>919</v>
      </c>
      <c r="E1018" s="5" t="s">
        <v>124</v>
      </c>
      <c r="F1018" s="3" t="s">
        <v>3768</v>
      </c>
      <c r="G1018" s="6">
        <f t="shared" si="34"/>
        <v>230.256</v>
      </c>
      <c r="H1018" s="7">
        <v>41729</v>
      </c>
      <c r="I1018" s="6" t="s">
        <v>265</v>
      </c>
      <c r="J1018" s="6" t="s">
        <v>3769</v>
      </c>
      <c r="K1018" s="6" t="s">
        <v>21</v>
      </c>
      <c r="L1018" s="6">
        <v>13</v>
      </c>
      <c r="M1018" s="15" t="s">
        <v>3767</v>
      </c>
      <c r="N1018" s="15" t="s">
        <v>167</v>
      </c>
      <c r="O1018" s="27" t="s">
        <v>3770</v>
      </c>
    </row>
    <row r="1019" spans="1:15" s="1" customFormat="1" ht="13.5" customHeight="1">
      <c r="A1019" s="3" t="s">
        <v>918</v>
      </c>
      <c r="B1019" s="3"/>
      <c r="C1019" s="3"/>
      <c r="D1019" s="5" t="s">
        <v>919</v>
      </c>
      <c r="E1019" s="5" t="s">
        <v>124</v>
      </c>
      <c r="F1019" s="3" t="s">
        <v>3771</v>
      </c>
      <c r="G1019" s="6">
        <f t="shared" si="34"/>
        <v>212.54399999999998</v>
      </c>
      <c r="H1019" s="7">
        <v>41729</v>
      </c>
      <c r="I1019" s="6" t="s">
        <v>265</v>
      </c>
      <c r="J1019" s="6" t="s">
        <v>3772</v>
      </c>
      <c r="K1019" s="6" t="s">
        <v>21</v>
      </c>
      <c r="L1019" s="6">
        <v>12</v>
      </c>
      <c r="M1019" s="15" t="s">
        <v>3773</v>
      </c>
      <c r="N1019" s="15" t="s">
        <v>164</v>
      </c>
      <c r="O1019" s="28" t="s">
        <v>3773</v>
      </c>
    </row>
    <row r="1020" spans="1:15" ht="13.5" customHeight="1">
      <c r="A1020" s="3" t="s">
        <v>918</v>
      </c>
      <c r="B1020" s="3"/>
      <c r="C1020" s="3"/>
      <c r="D1020" s="5" t="s">
        <v>919</v>
      </c>
      <c r="E1020" s="5" t="s">
        <v>124</v>
      </c>
      <c r="F1020" s="3" t="s">
        <v>3774</v>
      </c>
      <c r="G1020" s="6">
        <f t="shared" si="34"/>
        <v>230.256</v>
      </c>
      <c r="H1020" s="7">
        <v>41729</v>
      </c>
      <c r="I1020" s="6" t="s">
        <v>265</v>
      </c>
      <c r="J1020" s="6" t="s">
        <v>3775</v>
      </c>
      <c r="K1020" s="6" t="s">
        <v>21</v>
      </c>
      <c r="L1020" s="6">
        <v>13</v>
      </c>
      <c r="M1020" s="15" t="s">
        <v>3773</v>
      </c>
      <c r="N1020" s="15" t="s">
        <v>167</v>
      </c>
      <c r="O1020" s="28" t="s">
        <v>3776</v>
      </c>
    </row>
    <row r="1021" spans="1:15" s="1" customFormat="1" ht="13.5" customHeight="1">
      <c r="A1021" s="3" t="s">
        <v>918</v>
      </c>
      <c r="B1021" s="3"/>
      <c r="C1021" s="3"/>
      <c r="D1021" s="5" t="s">
        <v>919</v>
      </c>
      <c r="E1021" s="5" t="s">
        <v>124</v>
      </c>
      <c r="F1021" s="3" t="s">
        <v>3777</v>
      </c>
      <c r="G1021" s="6">
        <f t="shared" si="34"/>
        <v>212.54399999999998</v>
      </c>
      <c r="H1021" s="7">
        <v>41729</v>
      </c>
      <c r="I1021" s="6" t="s">
        <v>265</v>
      </c>
      <c r="J1021" s="6" t="s">
        <v>3778</v>
      </c>
      <c r="K1021" s="6" t="s">
        <v>21</v>
      </c>
      <c r="L1021" s="6">
        <v>12</v>
      </c>
      <c r="M1021" s="15" t="s">
        <v>3779</v>
      </c>
      <c r="N1021" s="15" t="s">
        <v>164</v>
      </c>
      <c r="O1021" s="28" t="s">
        <v>3779</v>
      </c>
    </row>
    <row r="1022" spans="1:15" s="1" customFormat="1" ht="13.5" customHeight="1">
      <c r="A1022" s="3" t="s">
        <v>918</v>
      </c>
      <c r="B1022" s="3"/>
      <c r="C1022" s="3"/>
      <c r="D1022" s="5" t="s">
        <v>919</v>
      </c>
      <c r="E1022" s="5" t="s">
        <v>124</v>
      </c>
      <c r="F1022" s="3" t="s">
        <v>3780</v>
      </c>
      <c r="G1022" s="6">
        <f t="shared" si="34"/>
        <v>230.256</v>
      </c>
      <c r="H1022" s="7">
        <v>41729</v>
      </c>
      <c r="I1022" s="6" t="s">
        <v>265</v>
      </c>
      <c r="J1022" s="6" t="s">
        <v>3781</v>
      </c>
      <c r="K1022" s="6" t="s">
        <v>21</v>
      </c>
      <c r="L1022" s="6">
        <v>13</v>
      </c>
      <c r="M1022" s="15" t="s">
        <v>3779</v>
      </c>
      <c r="N1022" s="15" t="s">
        <v>167</v>
      </c>
      <c r="O1022" s="28" t="s">
        <v>3782</v>
      </c>
    </row>
    <row r="1023" spans="1:15" s="1" customFormat="1" ht="13.5" customHeight="1">
      <c r="A1023" s="3" t="s">
        <v>1087</v>
      </c>
      <c r="B1023" s="4" t="s">
        <v>283</v>
      </c>
      <c r="C1023" s="3"/>
      <c r="D1023" s="5" t="s">
        <v>1088</v>
      </c>
      <c r="E1023" s="5" t="s">
        <v>124</v>
      </c>
      <c r="F1023" s="3" t="s">
        <v>3783</v>
      </c>
      <c r="G1023" s="6">
        <f>9.804*L1023</f>
        <v>98.04</v>
      </c>
      <c r="H1023" s="7">
        <v>41729</v>
      </c>
      <c r="I1023" s="6" t="s">
        <v>1090</v>
      </c>
      <c r="J1023" s="6" t="s">
        <v>3784</v>
      </c>
      <c r="K1023" s="6" t="s">
        <v>21</v>
      </c>
      <c r="L1023" s="6">
        <v>10</v>
      </c>
      <c r="M1023" s="15" t="s">
        <v>3785</v>
      </c>
      <c r="N1023" s="15" t="s">
        <v>1236</v>
      </c>
      <c r="O1023" s="27" t="s">
        <v>3785</v>
      </c>
    </row>
    <row r="1024" spans="1:15" s="1" customFormat="1" ht="13.5" customHeight="1">
      <c r="A1024" s="3" t="s">
        <v>1087</v>
      </c>
      <c r="B1024" s="4" t="s">
        <v>283</v>
      </c>
      <c r="C1024" s="3"/>
      <c r="D1024" s="5" t="s">
        <v>1088</v>
      </c>
      <c r="E1024" s="5" t="s">
        <v>124</v>
      </c>
      <c r="F1024" s="3" t="s">
        <v>3786</v>
      </c>
      <c r="G1024" s="6">
        <f>9.804*L1024</f>
        <v>107.84400000000001</v>
      </c>
      <c r="H1024" s="7">
        <v>41729</v>
      </c>
      <c r="I1024" s="6" t="s">
        <v>1090</v>
      </c>
      <c r="J1024" s="6" t="s">
        <v>3787</v>
      </c>
      <c r="K1024" s="6" t="s">
        <v>21</v>
      </c>
      <c r="L1024" s="6">
        <v>11</v>
      </c>
      <c r="M1024" s="15" t="s">
        <v>3785</v>
      </c>
      <c r="N1024" s="15" t="s">
        <v>2199</v>
      </c>
      <c r="O1024" s="27" t="s">
        <v>3788</v>
      </c>
    </row>
    <row r="1025" spans="1:15" s="1" customFormat="1" ht="13.5" customHeight="1">
      <c r="A1025" s="3" t="s">
        <v>1066</v>
      </c>
      <c r="B1025" s="3"/>
      <c r="C1025" s="3"/>
      <c r="D1025" s="5" t="s">
        <v>391</v>
      </c>
      <c r="E1025" s="5" t="s">
        <v>124</v>
      </c>
      <c r="F1025" s="3" t="s">
        <v>3789</v>
      </c>
      <c r="G1025" s="6">
        <f>17.712*L1025</f>
        <v>177.12</v>
      </c>
      <c r="H1025" s="7">
        <v>41729</v>
      </c>
      <c r="I1025" s="6" t="s">
        <v>265</v>
      </c>
      <c r="J1025" s="6" t="s">
        <v>3790</v>
      </c>
      <c r="K1025" s="6" t="s">
        <v>21</v>
      </c>
      <c r="L1025" s="6">
        <v>10</v>
      </c>
      <c r="M1025" s="15" t="s">
        <v>3791</v>
      </c>
      <c r="N1025" s="15" t="s">
        <v>35</v>
      </c>
      <c r="O1025" s="89" t="s">
        <v>3791</v>
      </c>
    </row>
    <row r="1026" spans="1:15" ht="13.5" customHeight="1">
      <c r="A1026" s="3" t="s">
        <v>465</v>
      </c>
      <c r="B1026" s="3"/>
      <c r="C1026" s="3"/>
      <c r="D1026" s="5" t="s">
        <v>391</v>
      </c>
      <c r="E1026" s="5" t="s">
        <v>124</v>
      </c>
      <c r="F1026" s="3" t="s">
        <v>3792</v>
      </c>
      <c r="G1026" s="6">
        <f>17.712*L1026</f>
        <v>265.68</v>
      </c>
      <c r="H1026" s="7">
        <v>41729</v>
      </c>
      <c r="I1026" s="6" t="s">
        <v>265</v>
      </c>
      <c r="J1026" s="6" t="s">
        <v>3793</v>
      </c>
      <c r="K1026" s="6" t="s">
        <v>21</v>
      </c>
      <c r="L1026" s="6">
        <v>15</v>
      </c>
      <c r="M1026" s="15" t="s">
        <v>3791</v>
      </c>
      <c r="N1026" s="15" t="s">
        <v>2771</v>
      </c>
      <c r="O1026" s="89" t="s">
        <v>3794</v>
      </c>
    </row>
    <row r="1027" spans="1:15" ht="13.5" customHeight="1">
      <c r="A1027" s="5" t="s">
        <v>1127</v>
      </c>
      <c r="B1027" s="3"/>
      <c r="C1027" s="3"/>
      <c r="D1027" s="5" t="s">
        <v>1128</v>
      </c>
      <c r="E1027" s="5" t="s">
        <v>7026</v>
      </c>
      <c r="F1027" s="3" t="s">
        <v>7572</v>
      </c>
      <c r="G1027" s="6">
        <f t="shared" ref="G1027:G1036" si="35">29.101*L1027</f>
        <v>349.21199999999999</v>
      </c>
      <c r="H1027" s="7">
        <v>41729</v>
      </c>
      <c r="I1027" s="6" t="s">
        <v>178</v>
      </c>
      <c r="J1027" s="6" t="s">
        <v>7573</v>
      </c>
      <c r="K1027" s="6" t="s">
        <v>21</v>
      </c>
      <c r="L1027" s="6">
        <v>12</v>
      </c>
      <c r="M1027" s="15" t="s">
        <v>7574</v>
      </c>
      <c r="N1027" s="15" t="s">
        <v>164</v>
      </c>
      <c r="O1027" s="27" t="s">
        <v>7575</v>
      </c>
    </row>
    <row r="1028" spans="1:15" s="1" customFormat="1" ht="13.5" customHeight="1">
      <c r="A1028" s="5" t="s">
        <v>1127</v>
      </c>
      <c r="B1028" s="3"/>
      <c r="C1028" s="3"/>
      <c r="D1028" s="5" t="s">
        <v>1128</v>
      </c>
      <c r="E1028" s="5" t="s">
        <v>7026</v>
      </c>
      <c r="F1028" s="3" t="s">
        <v>7576</v>
      </c>
      <c r="G1028" s="6">
        <f t="shared" si="35"/>
        <v>378.31299999999999</v>
      </c>
      <c r="H1028" s="7">
        <v>41729</v>
      </c>
      <c r="I1028" s="6" t="s">
        <v>178</v>
      </c>
      <c r="J1028" s="6" t="s">
        <v>7577</v>
      </c>
      <c r="K1028" s="6" t="s">
        <v>21</v>
      </c>
      <c r="L1028" s="6">
        <v>13</v>
      </c>
      <c r="M1028" s="15" t="s">
        <v>7574</v>
      </c>
      <c r="N1028" s="15" t="s">
        <v>167</v>
      </c>
      <c r="O1028" s="27" t="s">
        <v>7578</v>
      </c>
    </row>
    <row r="1029" spans="1:15" s="1" customFormat="1" ht="13.5" customHeight="1">
      <c r="A1029" s="5" t="s">
        <v>1127</v>
      </c>
      <c r="B1029" s="3"/>
      <c r="C1029" s="3"/>
      <c r="D1029" s="5" t="s">
        <v>1128</v>
      </c>
      <c r="E1029" s="5" t="s">
        <v>7026</v>
      </c>
      <c r="F1029" s="3" t="s">
        <v>7579</v>
      </c>
      <c r="G1029" s="6">
        <f t="shared" si="35"/>
        <v>349.21199999999999</v>
      </c>
      <c r="H1029" s="7">
        <v>41729</v>
      </c>
      <c r="I1029" s="6" t="s">
        <v>178</v>
      </c>
      <c r="J1029" s="6" t="s">
        <v>7580</v>
      </c>
      <c r="K1029" s="6" t="s">
        <v>21</v>
      </c>
      <c r="L1029" s="6">
        <v>12</v>
      </c>
      <c r="M1029" s="15" t="s">
        <v>7581</v>
      </c>
      <c r="N1029" s="15" t="s">
        <v>164</v>
      </c>
      <c r="O1029" s="27" t="s">
        <v>7582</v>
      </c>
    </row>
    <row r="1030" spans="1:15" s="1" customFormat="1" ht="13.5" customHeight="1">
      <c r="A1030" s="5" t="s">
        <v>1127</v>
      </c>
      <c r="B1030" s="3"/>
      <c r="C1030" s="3"/>
      <c r="D1030" s="5" t="s">
        <v>1128</v>
      </c>
      <c r="E1030" s="5" t="s">
        <v>7026</v>
      </c>
      <c r="F1030" s="3" t="s">
        <v>7583</v>
      </c>
      <c r="G1030" s="6">
        <f t="shared" si="35"/>
        <v>378.31299999999999</v>
      </c>
      <c r="H1030" s="7">
        <v>41729</v>
      </c>
      <c r="I1030" s="6" t="s">
        <v>178</v>
      </c>
      <c r="J1030" s="6" t="s">
        <v>7584</v>
      </c>
      <c r="K1030" s="6" t="s">
        <v>21</v>
      </c>
      <c r="L1030" s="6">
        <v>13</v>
      </c>
      <c r="M1030" s="15" t="s">
        <v>7581</v>
      </c>
      <c r="N1030" s="15" t="s">
        <v>167</v>
      </c>
      <c r="O1030" s="27" t="s">
        <v>7585</v>
      </c>
    </row>
    <row r="1031" spans="1:15" ht="13.5" customHeight="1">
      <c r="A1031" s="5" t="s">
        <v>1127</v>
      </c>
      <c r="B1031" s="3"/>
      <c r="C1031" s="3"/>
      <c r="D1031" s="5" t="s">
        <v>1128</v>
      </c>
      <c r="E1031" s="5" t="s">
        <v>7026</v>
      </c>
      <c r="F1031" s="3" t="s">
        <v>7586</v>
      </c>
      <c r="G1031" s="6">
        <f t="shared" si="35"/>
        <v>349.21199999999999</v>
      </c>
      <c r="H1031" s="7">
        <v>41729</v>
      </c>
      <c r="I1031" s="6" t="s">
        <v>178</v>
      </c>
      <c r="J1031" s="6" t="s">
        <v>7587</v>
      </c>
      <c r="K1031" s="6" t="s">
        <v>21</v>
      </c>
      <c r="L1031" s="6">
        <v>12</v>
      </c>
      <c r="M1031" s="15" t="s">
        <v>7588</v>
      </c>
      <c r="N1031" s="15" t="s">
        <v>164</v>
      </c>
      <c r="O1031" s="27" t="s">
        <v>7589</v>
      </c>
    </row>
    <row r="1032" spans="1:15" s="1" customFormat="1" ht="13.5" customHeight="1">
      <c r="A1032" s="5" t="s">
        <v>1127</v>
      </c>
      <c r="B1032" s="3"/>
      <c r="C1032" s="3"/>
      <c r="D1032" s="5" t="s">
        <v>1128</v>
      </c>
      <c r="E1032" s="5" t="s">
        <v>7026</v>
      </c>
      <c r="F1032" s="3" t="s">
        <v>7590</v>
      </c>
      <c r="G1032" s="6">
        <f t="shared" si="35"/>
        <v>378.31299999999999</v>
      </c>
      <c r="H1032" s="7">
        <v>41729</v>
      </c>
      <c r="I1032" s="6" t="s">
        <v>178</v>
      </c>
      <c r="J1032" s="6" t="s">
        <v>7591</v>
      </c>
      <c r="K1032" s="6" t="s">
        <v>21</v>
      </c>
      <c r="L1032" s="6">
        <v>13</v>
      </c>
      <c r="M1032" s="15" t="s">
        <v>7588</v>
      </c>
      <c r="N1032" s="15" t="s">
        <v>167</v>
      </c>
      <c r="O1032" s="27" t="s">
        <v>7592</v>
      </c>
    </row>
    <row r="1033" spans="1:15" s="1" customFormat="1" ht="13.5" customHeight="1">
      <c r="A1033" s="5" t="s">
        <v>1127</v>
      </c>
      <c r="B1033" s="3"/>
      <c r="C1033" s="3"/>
      <c r="D1033" s="5" t="s">
        <v>1128</v>
      </c>
      <c r="E1033" s="5" t="s">
        <v>7026</v>
      </c>
      <c r="F1033" s="3" t="s">
        <v>7593</v>
      </c>
      <c r="G1033" s="6">
        <f t="shared" si="35"/>
        <v>349.21199999999999</v>
      </c>
      <c r="H1033" s="7">
        <v>41729</v>
      </c>
      <c r="I1033" s="6" t="s">
        <v>178</v>
      </c>
      <c r="J1033" s="6" t="s">
        <v>7594</v>
      </c>
      <c r="K1033" s="6" t="s">
        <v>21</v>
      </c>
      <c r="L1033" s="6">
        <v>12</v>
      </c>
      <c r="M1033" s="15" t="s">
        <v>7595</v>
      </c>
      <c r="N1033" s="15" t="s">
        <v>164</v>
      </c>
      <c r="O1033" s="27" t="s">
        <v>7596</v>
      </c>
    </row>
    <row r="1034" spans="1:15" s="1" customFormat="1" ht="13.5" customHeight="1">
      <c r="A1034" s="5" t="s">
        <v>1127</v>
      </c>
      <c r="B1034" s="3"/>
      <c r="C1034" s="3"/>
      <c r="D1034" s="5" t="s">
        <v>1128</v>
      </c>
      <c r="E1034" s="5" t="s">
        <v>7026</v>
      </c>
      <c r="F1034" s="3" t="s">
        <v>7597</v>
      </c>
      <c r="G1034" s="6">
        <f t="shared" si="35"/>
        <v>378.31299999999999</v>
      </c>
      <c r="H1034" s="7">
        <v>41729</v>
      </c>
      <c r="I1034" s="6" t="s">
        <v>178</v>
      </c>
      <c r="J1034" s="6" t="s">
        <v>7598</v>
      </c>
      <c r="K1034" s="6" t="s">
        <v>21</v>
      </c>
      <c r="L1034" s="6">
        <v>13</v>
      </c>
      <c r="M1034" s="15" t="s">
        <v>7595</v>
      </c>
      <c r="N1034" s="15" t="s">
        <v>167</v>
      </c>
      <c r="O1034" s="27" t="s">
        <v>7599</v>
      </c>
    </row>
    <row r="1035" spans="1:15" s="1" customFormat="1" ht="13.5" customHeight="1">
      <c r="A1035" s="5" t="s">
        <v>1127</v>
      </c>
      <c r="B1035" s="3"/>
      <c r="C1035" s="3"/>
      <c r="D1035" s="5" t="s">
        <v>1128</v>
      </c>
      <c r="E1035" s="5" t="s">
        <v>7026</v>
      </c>
      <c r="F1035" s="3" t="s">
        <v>7600</v>
      </c>
      <c r="G1035" s="6">
        <f t="shared" si="35"/>
        <v>349.21199999999999</v>
      </c>
      <c r="H1035" s="7">
        <v>41729</v>
      </c>
      <c r="I1035" s="6" t="s">
        <v>178</v>
      </c>
      <c r="J1035" s="6" t="s">
        <v>7601</v>
      </c>
      <c r="K1035" s="6" t="s">
        <v>21</v>
      </c>
      <c r="L1035" s="6">
        <v>12</v>
      </c>
      <c r="M1035" s="15" t="s">
        <v>7602</v>
      </c>
      <c r="N1035" s="15" t="s">
        <v>164</v>
      </c>
      <c r="O1035" s="27" t="s">
        <v>7603</v>
      </c>
    </row>
    <row r="1036" spans="1:15" ht="13.5" customHeight="1">
      <c r="A1036" s="5" t="s">
        <v>1127</v>
      </c>
      <c r="B1036" s="3"/>
      <c r="C1036" s="3"/>
      <c r="D1036" s="5" t="s">
        <v>1128</v>
      </c>
      <c r="E1036" s="5" t="s">
        <v>7026</v>
      </c>
      <c r="F1036" s="3" t="s">
        <v>7604</v>
      </c>
      <c r="G1036" s="6">
        <f t="shared" si="35"/>
        <v>378.31299999999999</v>
      </c>
      <c r="H1036" s="7">
        <v>41729</v>
      </c>
      <c r="I1036" s="6" t="s">
        <v>178</v>
      </c>
      <c r="J1036" s="6" t="s">
        <v>7605</v>
      </c>
      <c r="K1036" s="6" t="s">
        <v>21</v>
      </c>
      <c r="L1036" s="6">
        <v>13</v>
      </c>
      <c r="M1036" s="15" t="s">
        <v>7602</v>
      </c>
      <c r="N1036" s="15" t="s">
        <v>167</v>
      </c>
      <c r="O1036" s="27" t="s">
        <v>7606</v>
      </c>
    </row>
    <row r="1037" spans="1:15" ht="13.5" customHeight="1">
      <c r="A1037" s="5" t="s">
        <v>1108</v>
      </c>
      <c r="B1037" s="3"/>
      <c r="C1037" s="3"/>
      <c r="D1037" s="5" t="s">
        <v>391</v>
      </c>
      <c r="E1037" s="5" t="s">
        <v>7026</v>
      </c>
      <c r="F1037" s="3" t="s">
        <v>7607</v>
      </c>
      <c r="G1037" s="6">
        <f t="shared" ref="G1037:G1045" si="36">17.712*L1037</f>
        <v>212.54399999999998</v>
      </c>
      <c r="H1037" s="7">
        <v>41729</v>
      </c>
      <c r="I1037" s="6" t="s">
        <v>265</v>
      </c>
      <c r="J1037" s="6" t="s">
        <v>7608</v>
      </c>
      <c r="K1037" s="6" t="s">
        <v>21</v>
      </c>
      <c r="L1037" s="6">
        <v>12</v>
      </c>
      <c r="M1037" s="15" t="s">
        <v>7609</v>
      </c>
      <c r="N1037" s="15" t="s">
        <v>164</v>
      </c>
      <c r="O1037" s="33" t="s">
        <v>7610</v>
      </c>
    </row>
    <row r="1038" spans="1:15" ht="13.5" customHeight="1">
      <c r="A1038" s="5" t="s">
        <v>1108</v>
      </c>
      <c r="B1038" s="3"/>
      <c r="C1038" s="3"/>
      <c r="D1038" s="5" t="s">
        <v>391</v>
      </c>
      <c r="E1038" s="5" t="s">
        <v>7026</v>
      </c>
      <c r="F1038" s="3" t="s">
        <v>7611</v>
      </c>
      <c r="G1038" s="6">
        <f t="shared" si="36"/>
        <v>230.256</v>
      </c>
      <c r="H1038" s="7">
        <v>41729</v>
      </c>
      <c r="I1038" s="6" t="s">
        <v>265</v>
      </c>
      <c r="J1038" s="6" t="s">
        <v>7612</v>
      </c>
      <c r="K1038" s="6" t="s">
        <v>21</v>
      </c>
      <c r="L1038" s="6">
        <v>13</v>
      </c>
      <c r="M1038" s="15" t="s">
        <v>7609</v>
      </c>
      <c r="N1038" s="15" t="s">
        <v>167</v>
      </c>
      <c r="O1038" s="33" t="s">
        <v>7613</v>
      </c>
    </row>
    <row r="1039" spans="1:15" s="1" customFormat="1" ht="13.5" customHeight="1">
      <c r="A1039" s="21" t="s">
        <v>1150</v>
      </c>
      <c r="B1039" s="3"/>
      <c r="C1039" s="3"/>
      <c r="D1039" s="5" t="s">
        <v>1151</v>
      </c>
      <c r="E1039" s="5" t="s">
        <v>7026</v>
      </c>
      <c r="F1039" s="3" t="s">
        <v>7614</v>
      </c>
      <c r="G1039" s="6">
        <f t="shared" si="36"/>
        <v>212.54399999999998</v>
      </c>
      <c r="H1039" s="7">
        <v>41729</v>
      </c>
      <c r="I1039" s="6" t="s">
        <v>265</v>
      </c>
      <c r="J1039" s="6" t="s">
        <v>7615</v>
      </c>
      <c r="K1039" s="6" t="s">
        <v>21</v>
      </c>
      <c r="L1039" s="6">
        <v>12</v>
      </c>
      <c r="M1039" s="15" t="s">
        <v>7616</v>
      </c>
      <c r="N1039" s="15" t="s">
        <v>164</v>
      </c>
      <c r="O1039" s="35" t="s">
        <v>7617</v>
      </c>
    </row>
    <row r="1040" spans="1:15" ht="13.5" customHeight="1">
      <c r="A1040" s="21" t="s">
        <v>1150</v>
      </c>
      <c r="B1040" s="3"/>
      <c r="C1040" s="3"/>
      <c r="D1040" s="5" t="s">
        <v>1151</v>
      </c>
      <c r="E1040" s="5" t="s">
        <v>7026</v>
      </c>
      <c r="F1040" s="3" t="s">
        <v>7618</v>
      </c>
      <c r="G1040" s="6">
        <f t="shared" si="36"/>
        <v>230.256</v>
      </c>
      <c r="H1040" s="7">
        <v>41729</v>
      </c>
      <c r="I1040" s="6" t="s">
        <v>265</v>
      </c>
      <c r="J1040" s="6" t="s">
        <v>7619</v>
      </c>
      <c r="K1040" s="6" t="s">
        <v>21</v>
      </c>
      <c r="L1040" s="6">
        <v>13</v>
      </c>
      <c r="M1040" s="15" t="s">
        <v>7616</v>
      </c>
      <c r="N1040" s="15" t="s">
        <v>167</v>
      </c>
      <c r="O1040" s="27" t="s">
        <v>7620</v>
      </c>
    </row>
    <row r="1041" spans="1:15" ht="13.5" customHeight="1">
      <c r="A1041" s="21" t="s">
        <v>1150</v>
      </c>
      <c r="B1041" s="3"/>
      <c r="C1041" s="3"/>
      <c r="D1041" s="5" t="s">
        <v>1151</v>
      </c>
      <c r="E1041" s="5" t="s">
        <v>7026</v>
      </c>
      <c r="F1041" s="3" t="s">
        <v>7621</v>
      </c>
      <c r="G1041" s="6">
        <f t="shared" si="36"/>
        <v>212.54399999999998</v>
      </c>
      <c r="H1041" s="7">
        <v>41729</v>
      </c>
      <c r="I1041" s="6" t="s">
        <v>265</v>
      </c>
      <c r="J1041" s="6" t="s">
        <v>7622</v>
      </c>
      <c r="K1041" s="6" t="s">
        <v>21</v>
      </c>
      <c r="L1041" s="6">
        <v>12</v>
      </c>
      <c r="M1041" s="15" t="s">
        <v>7623</v>
      </c>
      <c r="N1041" s="15" t="s">
        <v>164</v>
      </c>
      <c r="O1041" s="27" t="s">
        <v>7624</v>
      </c>
    </row>
    <row r="1042" spans="1:15" s="1" customFormat="1" ht="13.5" customHeight="1">
      <c r="A1042" s="21" t="s">
        <v>1150</v>
      </c>
      <c r="B1042" s="3"/>
      <c r="C1042" s="3"/>
      <c r="D1042" s="5" t="s">
        <v>1151</v>
      </c>
      <c r="E1042" s="5" t="s">
        <v>7026</v>
      </c>
      <c r="F1042" s="3" t="s">
        <v>7625</v>
      </c>
      <c r="G1042" s="6">
        <f t="shared" si="36"/>
        <v>230.256</v>
      </c>
      <c r="H1042" s="7">
        <v>41729</v>
      </c>
      <c r="I1042" s="6" t="s">
        <v>265</v>
      </c>
      <c r="J1042" s="6" t="s">
        <v>7626</v>
      </c>
      <c r="K1042" s="6" t="s">
        <v>21</v>
      </c>
      <c r="L1042" s="6">
        <v>13</v>
      </c>
      <c r="M1042" s="15" t="s">
        <v>7623</v>
      </c>
      <c r="N1042" s="15" t="s">
        <v>167</v>
      </c>
      <c r="O1042" s="27" t="s">
        <v>7627</v>
      </c>
    </row>
    <row r="1043" spans="1:15" s="1" customFormat="1" ht="13.5" customHeight="1">
      <c r="A1043" s="5" t="s">
        <v>918</v>
      </c>
      <c r="B1043" s="3"/>
      <c r="C1043" s="3"/>
      <c r="D1043" s="5" t="s">
        <v>919</v>
      </c>
      <c r="E1043" s="5" t="s">
        <v>7026</v>
      </c>
      <c r="F1043" s="3" t="s">
        <v>7628</v>
      </c>
      <c r="G1043" s="6">
        <f t="shared" si="36"/>
        <v>212.54399999999998</v>
      </c>
      <c r="H1043" s="7">
        <v>41729</v>
      </c>
      <c r="I1043" s="6" t="s">
        <v>265</v>
      </c>
      <c r="J1043" s="6" t="s">
        <v>7629</v>
      </c>
      <c r="K1043" s="6" t="s">
        <v>21</v>
      </c>
      <c r="L1043" s="6">
        <v>12</v>
      </c>
      <c r="M1043" s="15" t="s">
        <v>7630</v>
      </c>
      <c r="N1043" s="15" t="s">
        <v>164</v>
      </c>
      <c r="O1043" s="27" t="s">
        <v>7631</v>
      </c>
    </row>
    <row r="1044" spans="1:15" ht="13.5" customHeight="1">
      <c r="A1044" s="5" t="s">
        <v>918</v>
      </c>
      <c r="B1044" s="3"/>
      <c r="C1044" s="3"/>
      <c r="D1044" s="5" t="s">
        <v>919</v>
      </c>
      <c r="E1044" s="5" t="s">
        <v>7026</v>
      </c>
      <c r="F1044" s="3" t="s">
        <v>7632</v>
      </c>
      <c r="G1044" s="6">
        <f t="shared" si="36"/>
        <v>230.256</v>
      </c>
      <c r="H1044" s="7">
        <v>41729</v>
      </c>
      <c r="I1044" s="6" t="s">
        <v>265</v>
      </c>
      <c r="J1044" s="6" t="s">
        <v>7633</v>
      </c>
      <c r="K1044" s="6" t="s">
        <v>21</v>
      </c>
      <c r="L1044" s="6">
        <v>13</v>
      </c>
      <c r="M1044" s="15" t="s">
        <v>7630</v>
      </c>
      <c r="N1044" s="15" t="s">
        <v>167</v>
      </c>
      <c r="O1044" s="27" t="s">
        <v>7634</v>
      </c>
    </row>
    <row r="1045" spans="1:15" ht="13.5" customHeight="1">
      <c r="A1045" s="21" t="s">
        <v>1072</v>
      </c>
      <c r="B1045" s="3"/>
      <c r="C1045" s="3"/>
      <c r="D1045" s="5" t="s">
        <v>1963</v>
      </c>
      <c r="E1045" s="5" t="s">
        <v>7026</v>
      </c>
      <c r="F1045" s="3" t="s">
        <v>7635</v>
      </c>
      <c r="G1045" s="6">
        <f t="shared" si="36"/>
        <v>88.56</v>
      </c>
      <c r="H1045" s="7">
        <v>41729</v>
      </c>
      <c r="I1045" s="6" t="s">
        <v>265</v>
      </c>
      <c r="J1045" s="6" t="s">
        <v>7636</v>
      </c>
      <c r="K1045" s="6" t="s">
        <v>21</v>
      </c>
      <c r="L1045" s="6">
        <v>5</v>
      </c>
      <c r="M1045" s="15" t="s">
        <v>7637</v>
      </c>
      <c r="N1045" s="15" t="s">
        <v>59</v>
      </c>
      <c r="O1045" s="27" t="s">
        <v>7638</v>
      </c>
    </row>
    <row r="1046" spans="1:15" s="1" customFormat="1" ht="13.5" customHeight="1">
      <c r="A1046" s="5" t="s">
        <v>1043</v>
      </c>
      <c r="B1046" s="3"/>
      <c r="C1046" s="3"/>
      <c r="D1046" s="5" t="s">
        <v>443</v>
      </c>
      <c r="E1046" s="5" t="s">
        <v>7026</v>
      </c>
      <c r="F1046" s="3" t="s">
        <v>7639</v>
      </c>
      <c r="G1046" s="6">
        <f>18.708*L1046</f>
        <v>224.49599999999998</v>
      </c>
      <c r="H1046" s="7">
        <v>41729</v>
      </c>
      <c r="I1046" s="6" t="s">
        <v>178</v>
      </c>
      <c r="J1046" s="6" t="s">
        <v>7640</v>
      </c>
      <c r="K1046" s="6" t="s">
        <v>21</v>
      </c>
      <c r="L1046" s="6">
        <v>12</v>
      </c>
      <c r="M1046" s="15" t="s">
        <v>7641</v>
      </c>
      <c r="N1046" s="15" t="s">
        <v>164</v>
      </c>
      <c r="O1046" s="27" t="s">
        <v>7642</v>
      </c>
    </row>
    <row r="1047" spans="1:15" s="1" customFormat="1">
      <c r="A1047" s="5" t="s">
        <v>1043</v>
      </c>
      <c r="B1047" s="3"/>
      <c r="C1047" s="3"/>
      <c r="D1047" s="5" t="s">
        <v>443</v>
      </c>
      <c r="E1047" s="5" t="s">
        <v>7026</v>
      </c>
      <c r="F1047" s="3" t="s">
        <v>7643</v>
      </c>
      <c r="G1047" s="6">
        <f>18.708*L1047</f>
        <v>243.20399999999998</v>
      </c>
      <c r="H1047" s="7">
        <v>41729</v>
      </c>
      <c r="I1047" s="6" t="s">
        <v>178</v>
      </c>
      <c r="J1047" s="6" t="s">
        <v>7644</v>
      </c>
      <c r="K1047" s="6" t="s">
        <v>21</v>
      </c>
      <c r="L1047" s="6">
        <v>13</v>
      </c>
      <c r="M1047" s="15" t="s">
        <v>7641</v>
      </c>
      <c r="N1047" s="15" t="s">
        <v>167</v>
      </c>
      <c r="O1047" s="27" t="s">
        <v>7645</v>
      </c>
    </row>
    <row r="1048" spans="1:15" s="1" customFormat="1">
      <c r="A1048" s="3" t="s">
        <v>854</v>
      </c>
      <c r="B1048" s="3"/>
      <c r="C1048" s="3"/>
      <c r="D1048" s="5" t="s">
        <v>855</v>
      </c>
      <c r="E1048" s="5" t="s">
        <v>124</v>
      </c>
      <c r="F1048" s="3" t="s">
        <v>3795</v>
      </c>
      <c r="G1048" s="6">
        <f t="shared" ref="G1048:G1054" si="37">17.52*L1048</f>
        <v>262.8</v>
      </c>
      <c r="H1048" s="7">
        <v>41730</v>
      </c>
      <c r="I1048" s="6" t="s">
        <v>209</v>
      </c>
      <c r="J1048" s="6" t="s">
        <v>3796</v>
      </c>
      <c r="K1048" s="6" t="s">
        <v>21</v>
      </c>
      <c r="L1048" s="6">
        <v>15</v>
      </c>
      <c r="M1048" s="15" t="s">
        <v>3797</v>
      </c>
      <c r="N1048" s="15" t="s">
        <v>1149</v>
      </c>
      <c r="O1048" s="28" t="s">
        <v>3797</v>
      </c>
    </row>
    <row r="1049" spans="1:15" s="1" customFormat="1" ht="13.5" customHeight="1">
      <c r="A1049" s="3" t="s">
        <v>316</v>
      </c>
      <c r="B1049" s="3"/>
      <c r="C1049" s="3"/>
      <c r="D1049" s="5" t="s">
        <v>317</v>
      </c>
      <c r="E1049" s="5" t="s">
        <v>124</v>
      </c>
      <c r="F1049" s="3" t="s">
        <v>3798</v>
      </c>
      <c r="G1049" s="6">
        <f t="shared" si="37"/>
        <v>52.56</v>
      </c>
      <c r="H1049" s="7">
        <v>41730</v>
      </c>
      <c r="I1049" s="6" t="s">
        <v>209</v>
      </c>
      <c r="J1049" s="6" t="s">
        <v>3799</v>
      </c>
      <c r="K1049" s="6" t="s">
        <v>21</v>
      </c>
      <c r="L1049" s="6">
        <v>3</v>
      </c>
      <c r="M1049" s="15" t="s">
        <v>3800</v>
      </c>
      <c r="N1049" s="15" t="s">
        <v>1512</v>
      </c>
      <c r="O1049" s="28" t="s">
        <v>3800</v>
      </c>
    </row>
    <row r="1050" spans="1:15" ht="13.5" customHeight="1">
      <c r="A1050" s="3" t="s">
        <v>1498</v>
      </c>
      <c r="B1050" s="3"/>
      <c r="C1050" s="3"/>
      <c r="D1050" s="5" t="s">
        <v>1499</v>
      </c>
      <c r="E1050" s="5" t="s">
        <v>124</v>
      </c>
      <c r="F1050" s="3" t="s">
        <v>3801</v>
      </c>
      <c r="G1050" s="6">
        <f t="shared" si="37"/>
        <v>262.8</v>
      </c>
      <c r="H1050" s="7">
        <v>41730</v>
      </c>
      <c r="I1050" s="6" t="s">
        <v>265</v>
      </c>
      <c r="J1050" s="6" t="s">
        <v>3802</v>
      </c>
      <c r="K1050" s="6" t="s">
        <v>21</v>
      </c>
      <c r="L1050" s="6">
        <v>15</v>
      </c>
      <c r="M1050" s="15" t="s">
        <v>3576</v>
      </c>
      <c r="N1050" s="15" t="s">
        <v>2771</v>
      </c>
      <c r="O1050" s="28" t="s">
        <v>3803</v>
      </c>
    </row>
    <row r="1051" spans="1:15" ht="13.5" customHeight="1">
      <c r="A1051" s="3" t="s">
        <v>1498</v>
      </c>
      <c r="B1051" s="3"/>
      <c r="C1051" s="3"/>
      <c r="D1051" s="5" t="s">
        <v>1499</v>
      </c>
      <c r="E1051" s="5" t="s">
        <v>124</v>
      </c>
      <c r="F1051" s="3" t="s">
        <v>3804</v>
      </c>
      <c r="G1051" s="6">
        <f t="shared" si="37"/>
        <v>122.64</v>
      </c>
      <c r="H1051" s="7">
        <v>41730</v>
      </c>
      <c r="I1051" s="6" t="s">
        <v>265</v>
      </c>
      <c r="J1051" s="6" t="s">
        <v>3805</v>
      </c>
      <c r="K1051" s="6" t="s">
        <v>21</v>
      </c>
      <c r="L1051" s="6">
        <v>7</v>
      </c>
      <c r="M1051" s="15" t="s">
        <v>3806</v>
      </c>
      <c r="N1051" s="15" t="s">
        <v>1141</v>
      </c>
      <c r="O1051" s="28" t="s">
        <v>3806</v>
      </c>
    </row>
    <row r="1052" spans="1:15" s="1" customFormat="1" ht="13.5" customHeight="1">
      <c r="A1052" s="3" t="s">
        <v>551</v>
      </c>
      <c r="B1052" s="3"/>
      <c r="C1052" s="3"/>
      <c r="D1052" s="5" t="s">
        <v>552</v>
      </c>
      <c r="E1052" s="5" t="s">
        <v>124</v>
      </c>
      <c r="F1052" s="3" t="s">
        <v>3807</v>
      </c>
      <c r="G1052" s="6">
        <f t="shared" si="37"/>
        <v>105.12</v>
      </c>
      <c r="H1052" s="7">
        <v>41730</v>
      </c>
      <c r="I1052" s="6" t="s">
        <v>265</v>
      </c>
      <c r="J1052" s="6" t="s">
        <v>3808</v>
      </c>
      <c r="K1052" s="6" t="s">
        <v>21</v>
      </c>
      <c r="L1052" s="6">
        <v>6</v>
      </c>
      <c r="M1052" s="15" t="s">
        <v>3809</v>
      </c>
      <c r="N1052" s="15" t="s">
        <v>1070</v>
      </c>
      <c r="O1052" s="28" t="s">
        <v>3809</v>
      </c>
    </row>
    <row r="1053" spans="1:15" ht="13.5" customHeight="1">
      <c r="A1053" s="3" t="s">
        <v>753</v>
      </c>
      <c r="B1053" s="3"/>
      <c r="C1053" s="3"/>
      <c r="D1053" s="5" t="s">
        <v>754</v>
      </c>
      <c r="E1053" s="5" t="s">
        <v>124</v>
      </c>
      <c r="F1053" s="3" t="s">
        <v>3810</v>
      </c>
      <c r="G1053" s="6">
        <f t="shared" si="37"/>
        <v>87.6</v>
      </c>
      <c r="H1053" s="7">
        <v>41730</v>
      </c>
      <c r="I1053" s="6" t="s">
        <v>265</v>
      </c>
      <c r="J1053" s="6" t="s">
        <v>3811</v>
      </c>
      <c r="K1053" s="6" t="s">
        <v>21</v>
      </c>
      <c r="L1053" s="6">
        <v>5</v>
      </c>
      <c r="M1053" s="15" t="s">
        <v>3176</v>
      </c>
      <c r="N1053" s="15" t="s">
        <v>3085</v>
      </c>
      <c r="O1053" s="28" t="s">
        <v>3812</v>
      </c>
    </row>
    <row r="1054" spans="1:15" ht="13.5" customHeight="1">
      <c r="A1054" s="3" t="s">
        <v>753</v>
      </c>
      <c r="B1054" s="3"/>
      <c r="C1054" s="3"/>
      <c r="D1054" s="5" t="s">
        <v>754</v>
      </c>
      <c r="E1054" s="5" t="s">
        <v>124</v>
      </c>
      <c r="F1054" s="3" t="s">
        <v>3813</v>
      </c>
      <c r="G1054" s="6">
        <f t="shared" si="37"/>
        <v>87.6</v>
      </c>
      <c r="H1054" s="7">
        <v>41730</v>
      </c>
      <c r="I1054" s="6" t="s">
        <v>265</v>
      </c>
      <c r="J1054" s="6" t="s">
        <v>3814</v>
      </c>
      <c r="K1054" s="6" t="s">
        <v>21</v>
      </c>
      <c r="L1054" s="6">
        <v>5</v>
      </c>
      <c r="M1054" s="15" t="s">
        <v>3815</v>
      </c>
      <c r="N1054" s="15" t="s">
        <v>1284</v>
      </c>
      <c r="O1054" s="28" t="s">
        <v>3815</v>
      </c>
    </row>
    <row r="1055" spans="1:15" ht="13.5" customHeight="1">
      <c r="A1055" s="22" t="s">
        <v>3816</v>
      </c>
      <c r="B1055" s="3"/>
      <c r="C1055" s="3"/>
      <c r="D1055" s="5" t="s">
        <v>377</v>
      </c>
      <c r="E1055" s="5" t="s">
        <v>124</v>
      </c>
      <c r="F1055" s="3" t="s">
        <v>3817</v>
      </c>
      <c r="G1055" s="6">
        <f>18.708*L1055</f>
        <v>74.831999999999994</v>
      </c>
      <c r="H1055" s="7">
        <v>41730</v>
      </c>
      <c r="I1055" s="6" t="s">
        <v>265</v>
      </c>
      <c r="J1055" s="6" t="s">
        <v>3818</v>
      </c>
      <c r="K1055" s="6" t="s">
        <v>21</v>
      </c>
      <c r="L1055" s="6">
        <v>4</v>
      </c>
      <c r="M1055" s="15" t="s">
        <v>3819</v>
      </c>
      <c r="N1055" s="15" t="s">
        <v>653</v>
      </c>
      <c r="O1055" s="27" t="s">
        <v>3819</v>
      </c>
    </row>
    <row r="1056" spans="1:15" ht="13.5" customHeight="1">
      <c r="A1056" s="3" t="s">
        <v>701</v>
      </c>
      <c r="B1056" s="3"/>
      <c r="C1056" s="3"/>
      <c r="D1056" s="5" t="s">
        <v>702</v>
      </c>
      <c r="E1056" s="5" t="s">
        <v>124</v>
      </c>
      <c r="F1056" s="3" t="s">
        <v>3820</v>
      </c>
      <c r="G1056" s="6">
        <f>18.708*L1056</f>
        <v>93.539999999999992</v>
      </c>
      <c r="H1056" s="7">
        <v>41730</v>
      </c>
      <c r="I1056" s="6" t="s">
        <v>379</v>
      </c>
      <c r="J1056" s="6" t="s">
        <v>3821</v>
      </c>
      <c r="K1056" s="6" t="s">
        <v>21</v>
      </c>
      <c r="L1056" s="6">
        <v>5</v>
      </c>
      <c r="M1056" s="15" t="s">
        <v>705</v>
      </c>
      <c r="N1056" s="15" t="s">
        <v>3822</v>
      </c>
      <c r="O1056" s="28" t="s">
        <v>3823</v>
      </c>
    </row>
    <row r="1057" spans="1:15" ht="13.5" customHeight="1">
      <c r="A1057" s="3" t="s">
        <v>701</v>
      </c>
      <c r="B1057" s="3"/>
      <c r="C1057" s="3"/>
      <c r="D1057" s="5" t="s">
        <v>702</v>
      </c>
      <c r="E1057" s="5" t="s">
        <v>124</v>
      </c>
      <c r="F1057" s="3" t="s">
        <v>3824</v>
      </c>
      <c r="G1057" s="6">
        <f>18.708*L1057</f>
        <v>130.95599999999999</v>
      </c>
      <c r="H1057" s="7">
        <v>41730</v>
      </c>
      <c r="I1057" s="6" t="s">
        <v>379</v>
      </c>
      <c r="J1057" s="6" t="s">
        <v>3825</v>
      </c>
      <c r="K1057" s="6" t="s">
        <v>21</v>
      </c>
      <c r="L1057" s="6">
        <v>7</v>
      </c>
      <c r="M1057" s="15" t="s">
        <v>3826</v>
      </c>
      <c r="N1057" s="15" t="s">
        <v>1460</v>
      </c>
      <c r="O1057" s="28" t="s">
        <v>3826</v>
      </c>
    </row>
    <row r="1058" spans="1:15" ht="13.5" customHeight="1">
      <c r="A1058" s="3" t="s">
        <v>257</v>
      </c>
      <c r="B1058" s="3"/>
      <c r="C1058" s="3"/>
      <c r="D1058" s="5" t="s">
        <v>245</v>
      </c>
      <c r="E1058" s="5" t="s">
        <v>124</v>
      </c>
      <c r="F1058" s="3" t="s">
        <v>3827</v>
      </c>
      <c r="G1058" s="6">
        <f>18.708*L1058</f>
        <v>56.123999999999995</v>
      </c>
      <c r="H1058" s="7">
        <v>41730</v>
      </c>
      <c r="I1058" s="6" t="s">
        <v>178</v>
      </c>
      <c r="J1058" s="6" t="s">
        <v>3828</v>
      </c>
      <c r="K1058" s="6" t="s">
        <v>21</v>
      </c>
      <c r="L1058" s="6">
        <v>3</v>
      </c>
      <c r="M1058" s="15" t="s">
        <v>3829</v>
      </c>
      <c r="N1058" s="15" t="s">
        <v>3830</v>
      </c>
      <c r="O1058" s="28" t="s">
        <v>3829</v>
      </c>
    </row>
    <row r="1059" spans="1:15" s="1" customFormat="1" ht="13.5" customHeight="1">
      <c r="A1059" s="3" t="s">
        <v>514</v>
      </c>
      <c r="B1059" s="3"/>
      <c r="C1059" s="3"/>
      <c r="D1059" s="5" t="s">
        <v>2030</v>
      </c>
      <c r="E1059" s="5" t="s">
        <v>124</v>
      </c>
      <c r="F1059" s="3" t="s">
        <v>3831</v>
      </c>
      <c r="G1059" s="6">
        <f>14.405*L1059</f>
        <v>172.85999999999999</v>
      </c>
      <c r="H1059" s="7">
        <v>41730</v>
      </c>
      <c r="I1059" s="6" t="s">
        <v>265</v>
      </c>
      <c r="J1059" s="6" t="s">
        <v>3832</v>
      </c>
      <c r="K1059" s="6" t="s">
        <v>21</v>
      </c>
      <c r="L1059" s="6">
        <v>12</v>
      </c>
      <c r="M1059" s="15" t="s">
        <v>3833</v>
      </c>
      <c r="N1059" s="15" t="s">
        <v>164</v>
      </c>
      <c r="O1059" s="28" t="s">
        <v>3833</v>
      </c>
    </row>
    <row r="1060" spans="1:15" s="1" customFormat="1" ht="13.5" customHeight="1">
      <c r="A1060" s="3" t="s">
        <v>514</v>
      </c>
      <c r="B1060" s="3"/>
      <c r="C1060" s="3"/>
      <c r="D1060" s="5" t="s">
        <v>2030</v>
      </c>
      <c r="E1060" s="5" t="s">
        <v>124</v>
      </c>
      <c r="F1060" s="3" t="s">
        <v>3834</v>
      </c>
      <c r="G1060" s="6">
        <f>14.405*L1060</f>
        <v>187.26499999999999</v>
      </c>
      <c r="H1060" s="7">
        <v>41730</v>
      </c>
      <c r="I1060" s="6" t="s">
        <v>265</v>
      </c>
      <c r="J1060" s="6" t="s">
        <v>3835</v>
      </c>
      <c r="K1060" s="6" t="s">
        <v>21</v>
      </c>
      <c r="L1060" s="6">
        <v>13</v>
      </c>
      <c r="M1060" s="15" t="s">
        <v>3833</v>
      </c>
      <c r="N1060" s="15" t="s">
        <v>167</v>
      </c>
      <c r="O1060" s="28" t="s">
        <v>3836</v>
      </c>
    </row>
    <row r="1061" spans="1:15" s="1" customFormat="1" ht="13.5" customHeight="1">
      <c r="A1061" s="3" t="s">
        <v>514</v>
      </c>
      <c r="B1061" s="3"/>
      <c r="C1061" s="3"/>
      <c r="D1061" s="5" t="s">
        <v>2030</v>
      </c>
      <c r="E1061" s="5" t="s">
        <v>124</v>
      </c>
      <c r="F1061" s="3" t="s">
        <v>3837</v>
      </c>
      <c r="G1061" s="6">
        <f>14.405*L1061</f>
        <v>172.85999999999999</v>
      </c>
      <c r="H1061" s="7">
        <v>41730</v>
      </c>
      <c r="I1061" s="6" t="s">
        <v>265</v>
      </c>
      <c r="J1061" s="6" t="s">
        <v>3838</v>
      </c>
      <c r="K1061" s="6" t="s">
        <v>21</v>
      </c>
      <c r="L1061" s="6">
        <v>12</v>
      </c>
      <c r="M1061" s="15" t="s">
        <v>3839</v>
      </c>
      <c r="N1061" s="15" t="s">
        <v>164</v>
      </c>
      <c r="O1061" s="28" t="s">
        <v>3839</v>
      </c>
    </row>
    <row r="1062" spans="1:15" s="1" customFormat="1" ht="13.5" customHeight="1">
      <c r="A1062" s="3" t="s">
        <v>514</v>
      </c>
      <c r="B1062" s="3"/>
      <c r="C1062" s="3"/>
      <c r="D1062" s="5" t="s">
        <v>2030</v>
      </c>
      <c r="E1062" s="5" t="s">
        <v>124</v>
      </c>
      <c r="F1062" s="3" t="s">
        <v>3840</v>
      </c>
      <c r="G1062" s="6">
        <f>14.405*L1062</f>
        <v>187.26499999999999</v>
      </c>
      <c r="H1062" s="7">
        <v>41730</v>
      </c>
      <c r="I1062" s="6" t="s">
        <v>265</v>
      </c>
      <c r="J1062" s="6" t="s">
        <v>3841</v>
      </c>
      <c r="K1062" s="6" t="s">
        <v>21</v>
      </c>
      <c r="L1062" s="6">
        <v>13</v>
      </c>
      <c r="M1062" s="15" t="s">
        <v>3839</v>
      </c>
      <c r="N1062" s="15" t="s">
        <v>167</v>
      </c>
      <c r="O1062" s="28" t="s">
        <v>3842</v>
      </c>
    </row>
    <row r="1063" spans="1:15" ht="13.5" customHeight="1">
      <c r="A1063" s="3" t="s">
        <v>269</v>
      </c>
      <c r="B1063" s="3"/>
      <c r="C1063" s="3"/>
      <c r="D1063" s="5" t="s">
        <v>270</v>
      </c>
      <c r="E1063" s="5" t="s">
        <v>124</v>
      </c>
      <c r="F1063" s="3" t="s">
        <v>3843</v>
      </c>
      <c r="G1063" s="6">
        <f>17.498*L1063</f>
        <v>209.976</v>
      </c>
      <c r="H1063" s="7">
        <v>41730</v>
      </c>
      <c r="I1063" s="6" t="s">
        <v>272</v>
      </c>
      <c r="J1063" s="6" t="s">
        <v>3844</v>
      </c>
      <c r="K1063" s="6" t="s">
        <v>21</v>
      </c>
      <c r="L1063" s="6">
        <v>12</v>
      </c>
      <c r="M1063" s="15" t="s">
        <v>3845</v>
      </c>
      <c r="N1063" s="15" t="s">
        <v>164</v>
      </c>
      <c r="O1063" s="28" t="s">
        <v>3845</v>
      </c>
    </row>
    <row r="1064" spans="1:15" ht="13.5" customHeight="1">
      <c r="A1064" s="3" t="s">
        <v>269</v>
      </c>
      <c r="B1064" s="3"/>
      <c r="C1064" s="3"/>
      <c r="D1064" s="5" t="s">
        <v>270</v>
      </c>
      <c r="E1064" s="5" t="s">
        <v>124</v>
      </c>
      <c r="F1064" s="3" t="s">
        <v>3846</v>
      </c>
      <c r="G1064" s="6">
        <f>17.498*L1064</f>
        <v>227.47400000000002</v>
      </c>
      <c r="H1064" s="7">
        <v>41730</v>
      </c>
      <c r="I1064" s="6" t="s">
        <v>272</v>
      </c>
      <c r="J1064" s="6" t="s">
        <v>3847</v>
      </c>
      <c r="K1064" s="6" t="s">
        <v>21</v>
      </c>
      <c r="L1064" s="6">
        <v>13</v>
      </c>
      <c r="M1064" s="15" t="s">
        <v>3845</v>
      </c>
      <c r="N1064" s="15" t="s">
        <v>167</v>
      </c>
      <c r="O1064" s="28" t="s">
        <v>3848</v>
      </c>
    </row>
    <row r="1065" spans="1:15" ht="13.5" customHeight="1">
      <c r="A1065" s="3" t="s">
        <v>269</v>
      </c>
      <c r="B1065" s="3"/>
      <c r="C1065" s="3"/>
      <c r="D1065" s="5" t="s">
        <v>270</v>
      </c>
      <c r="E1065" s="5" t="s">
        <v>124</v>
      </c>
      <c r="F1065" s="3" t="s">
        <v>3849</v>
      </c>
      <c r="G1065" s="6">
        <f>17.498*L1065</f>
        <v>209.976</v>
      </c>
      <c r="H1065" s="7">
        <v>41730</v>
      </c>
      <c r="I1065" s="6" t="s">
        <v>272</v>
      </c>
      <c r="J1065" s="6" t="s">
        <v>3850</v>
      </c>
      <c r="K1065" s="6" t="s">
        <v>21</v>
      </c>
      <c r="L1065" s="6">
        <v>12</v>
      </c>
      <c r="M1065" s="15" t="s">
        <v>3851</v>
      </c>
      <c r="N1065" s="15" t="s">
        <v>164</v>
      </c>
      <c r="O1065" s="28" t="s">
        <v>3851</v>
      </c>
    </row>
    <row r="1066" spans="1:15" ht="13.5" customHeight="1">
      <c r="A1066" s="3" t="s">
        <v>1082</v>
      </c>
      <c r="B1066" s="4" t="s">
        <v>283</v>
      </c>
      <c r="C1066" s="3"/>
      <c r="D1066" s="5" t="s">
        <v>1083</v>
      </c>
      <c r="E1066" s="5" t="s">
        <v>124</v>
      </c>
      <c r="F1066" s="3" t="s">
        <v>3852</v>
      </c>
      <c r="G1066" s="6">
        <f t="shared" ref="G1066:G1071" si="38">9.871*L1066</f>
        <v>118.452</v>
      </c>
      <c r="H1066" s="7">
        <v>41730</v>
      </c>
      <c r="I1066" s="6" t="s">
        <v>161</v>
      </c>
      <c r="J1066" s="6" t="s">
        <v>3853</v>
      </c>
      <c r="K1066" s="6" t="s">
        <v>21</v>
      </c>
      <c r="L1066" s="6">
        <v>12</v>
      </c>
      <c r="M1066" s="15" t="s">
        <v>3854</v>
      </c>
      <c r="N1066" s="15" t="s">
        <v>164</v>
      </c>
      <c r="O1066" s="27" t="s">
        <v>3854</v>
      </c>
    </row>
    <row r="1067" spans="1:15" s="1" customFormat="1" ht="13.5" customHeight="1">
      <c r="A1067" s="3" t="s">
        <v>1082</v>
      </c>
      <c r="B1067" s="4" t="s">
        <v>283</v>
      </c>
      <c r="C1067" s="3"/>
      <c r="D1067" s="5" t="s">
        <v>1083</v>
      </c>
      <c r="E1067" s="5" t="s">
        <v>124</v>
      </c>
      <c r="F1067" s="3" t="s">
        <v>3855</v>
      </c>
      <c r="G1067" s="6">
        <f t="shared" si="38"/>
        <v>128.32300000000001</v>
      </c>
      <c r="H1067" s="7">
        <v>41730</v>
      </c>
      <c r="I1067" s="6" t="s">
        <v>161</v>
      </c>
      <c r="J1067" s="6" t="s">
        <v>3856</v>
      </c>
      <c r="K1067" s="6" t="s">
        <v>21</v>
      </c>
      <c r="L1067" s="6">
        <v>13</v>
      </c>
      <c r="M1067" s="15" t="s">
        <v>3854</v>
      </c>
      <c r="N1067" s="15" t="s">
        <v>167</v>
      </c>
      <c r="O1067" s="27" t="s">
        <v>3857</v>
      </c>
    </row>
    <row r="1068" spans="1:15" ht="13.5" customHeight="1">
      <c r="A1068" s="3" t="s">
        <v>1082</v>
      </c>
      <c r="B1068" s="4" t="s">
        <v>283</v>
      </c>
      <c r="C1068" s="3"/>
      <c r="D1068" s="5" t="s">
        <v>1083</v>
      </c>
      <c r="E1068" s="5" t="s">
        <v>124</v>
      </c>
      <c r="F1068" s="3" t="s">
        <v>3858</v>
      </c>
      <c r="G1068" s="6">
        <f t="shared" si="38"/>
        <v>69.097000000000008</v>
      </c>
      <c r="H1068" s="7">
        <v>41730</v>
      </c>
      <c r="I1068" s="6" t="s">
        <v>161</v>
      </c>
      <c r="J1068" s="6" t="s">
        <v>3859</v>
      </c>
      <c r="K1068" s="6" t="s">
        <v>21</v>
      </c>
      <c r="L1068" s="6">
        <v>7</v>
      </c>
      <c r="M1068" s="15" t="s">
        <v>3860</v>
      </c>
      <c r="N1068" s="15" t="s">
        <v>1093</v>
      </c>
      <c r="O1068" s="27" t="s">
        <v>3860</v>
      </c>
    </row>
    <row r="1069" spans="1:15" s="1" customFormat="1" ht="13.5" customHeight="1">
      <c r="A1069" s="3" t="s">
        <v>1082</v>
      </c>
      <c r="B1069" s="4" t="s">
        <v>283</v>
      </c>
      <c r="C1069" s="3"/>
      <c r="D1069" s="5" t="s">
        <v>1083</v>
      </c>
      <c r="E1069" s="5" t="s">
        <v>124</v>
      </c>
      <c r="F1069" s="3" t="s">
        <v>3861</v>
      </c>
      <c r="G1069" s="6">
        <f t="shared" si="38"/>
        <v>78.968000000000004</v>
      </c>
      <c r="H1069" s="7">
        <v>41730</v>
      </c>
      <c r="I1069" s="6" t="s">
        <v>161</v>
      </c>
      <c r="J1069" s="6" t="s">
        <v>3862</v>
      </c>
      <c r="K1069" s="6" t="s">
        <v>21</v>
      </c>
      <c r="L1069" s="6">
        <v>8</v>
      </c>
      <c r="M1069" s="15" t="s">
        <v>3860</v>
      </c>
      <c r="N1069" s="15" t="s">
        <v>1096</v>
      </c>
      <c r="O1069" s="27" t="s">
        <v>3863</v>
      </c>
    </row>
    <row r="1070" spans="1:15" s="1" customFormat="1" ht="13.5" customHeight="1">
      <c r="A1070" s="3" t="s">
        <v>1082</v>
      </c>
      <c r="B1070" s="4" t="s">
        <v>283</v>
      </c>
      <c r="C1070" s="3"/>
      <c r="D1070" s="5" t="s">
        <v>1083</v>
      </c>
      <c r="E1070" s="5" t="s">
        <v>124</v>
      </c>
      <c r="F1070" s="3" t="s">
        <v>3864</v>
      </c>
      <c r="G1070" s="6">
        <f t="shared" si="38"/>
        <v>118.452</v>
      </c>
      <c r="H1070" s="7">
        <v>41730</v>
      </c>
      <c r="I1070" s="6" t="s">
        <v>161</v>
      </c>
      <c r="J1070" s="6" t="s">
        <v>3865</v>
      </c>
      <c r="K1070" s="6" t="s">
        <v>21</v>
      </c>
      <c r="L1070" s="6">
        <v>12</v>
      </c>
      <c r="M1070" s="15" t="s">
        <v>3866</v>
      </c>
      <c r="N1070" s="15" t="s">
        <v>164</v>
      </c>
      <c r="O1070" s="28" t="s">
        <v>3866</v>
      </c>
    </row>
    <row r="1071" spans="1:15" s="1" customFormat="1" ht="13.5" customHeight="1">
      <c r="A1071" s="3" t="s">
        <v>1082</v>
      </c>
      <c r="B1071" s="4" t="s">
        <v>283</v>
      </c>
      <c r="C1071" s="3"/>
      <c r="D1071" s="5" t="s">
        <v>1083</v>
      </c>
      <c r="E1071" s="5" t="s">
        <v>124</v>
      </c>
      <c r="F1071" s="3" t="s">
        <v>3867</v>
      </c>
      <c r="G1071" s="6">
        <f t="shared" si="38"/>
        <v>128.32300000000001</v>
      </c>
      <c r="H1071" s="7">
        <v>41730</v>
      </c>
      <c r="I1071" s="6" t="s">
        <v>161</v>
      </c>
      <c r="J1071" s="6" t="s">
        <v>3868</v>
      </c>
      <c r="K1071" s="6" t="s">
        <v>21</v>
      </c>
      <c r="L1071" s="6">
        <v>13</v>
      </c>
      <c r="M1071" s="15" t="s">
        <v>3866</v>
      </c>
      <c r="N1071" s="15" t="s">
        <v>167</v>
      </c>
      <c r="O1071" s="28" t="s">
        <v>3869</v>
      </c>
    </row>
    <row r="1072" spans="1:15" s="1" customFormat="1" ht="13.5" customHeight="1">
      <c r="A1072" s="22" t="s">
        <v>3870</v>
      </c>
      <c r="B1072" s="4"/>
      <c r="C1072" s="3"/>
      <c r="D1072" s="5" t="s">
        <v>3871</v>
      </c>
      <c r="E1072" s="5" t="s">
        <v>124</v>
      </c>
      <c r="F1072" s="3" t="s">
        <v>3872</v>
      </c>
      <c r="G1072" s="6">
        <f>13.006*L1072</f>
        <v>26.012</v>
      </c>
      <c r="H1072" s="7">
        <v>41730</v>
      </c>
      <c r="I1072" s="6" t="s">
        <v>3873</v>
      </c>
      <c r="J1072" s="6" t="s">
        <v>3874</v>
      </c>
      <c r="K1072" s="6" t="s">
        <v>21</v>
      </c>
      <c r="L1072" s="6">
        <v>2</v>
      </c>
      <c r="M1072" s="15" t="s">
        <v>3875</v>
      </c>
      <c r="N1072" s="15" t="s">
        <v>268</v>
      </c>
      <c r="O1072" s="27" t="s">
        <v>3875</v>
      </c>
    </row>
    <row r="1073" spans="1:15" s="1" customFormat="1" ht="13.5" customHeight="1">
      <c r="A1073" s="3" t="s">
        <v>1285</v>
      </c>
      <c r="B1073" s="4" t="s">
        <v>283</v>
      </c>
      <c r="C1073" s="3"/>
      <c r="D1073" s="5" t="s">
        <v>1287</v>
      </c>
      <c r="E1073" s="5" t="s">
        <v>124</v>
      </c>
      <c r="F1073" s="3" t="s">
        <v>3876</v>
      </c>
      <c r="G1073" s="6">
        <f>8.606*L1073</f>
        <v>60.241999999999997</v>
      </c>
      <c r="H1073" s="7">
        <v>41730</v>
      </c>
      <c r="I1073" s="6" t="s">
        <v>272</v>
      </c>
      <c r="J1073" s="6" t="s">
        <v>3877</v>
      </c>
      <c r="K1073" s="6" t="s">
        <v>21</v>
      </c>
      <c r="L1073" s="6">
        <v>7</v>
      </c>
      <c r="M1073" s="15" t="s">
        <v>3878</v>
      </c>
      <c r="N1073" s="15" t="s">
        <v>1093</v>
      </c>
      <c r="O1073" s="27" t="s">
        <v>3878</v>
      </c>
    </row>
    <row r="1074" spans="1:15" s="1" customFormat="1" ht="13.5" customHeight="1">
      <c r="A1074" s="3" t="s">
        <v>1285</v>
      </c>
      <c r="B1074" s="4" t="s">
        <v>283</v>
      </c>
      <c r="C1074" s="3"/>
      <c r="D1074" s="5" t="s">
        <v>1287</v>
      </c>
      <c r="E1074" s="5" t="s">
        <v>124</v>
      </c>
      <c r="F1074" s="3" t="s">
        <v>3879</v>
      </c>
      <c r="G1074" s="6">
        <f>8.606*L1074</f>
        <v>68.847999999999999</v>
      </c>
      <c r="H1074" s="7">
        <v>41730</v>
      </c>
      <c r="I1074" s="6" t="s">
        <v>272</v>
      </c>
      <c r="J1074" s="6" t="s">
        <v>3880</v>
      </c>
      <c r="K1074" s="6" t="s">
        <v>21</v>
      </c>
      <c r="L1074" s="6">
        <v>8</v>
      </c>
      <c r="M1074" s="15" t="s">
        <v>3878</v>
      </c>
      <c r="N1074" s="15" t="s">
        <v>1096</v>
      </c>
      <c r="O1074" s="27" t="s">
        <v>3881</v>
      </c>
    </row>
    <row r="1075" spans="1:15" s="1" customFormat="1" ht="13.5" customHeight="1">
      <c r="A1075" s="3" t="s">
        <v>1285</v>
      </c>
      <c r="B1075" s="4" t="s">
        <v>283</v>
      </c>
      <c r="C1075" s="3"/>
      <c r="D1075" s="5" t="s">
        <v>1287</v>
      </c>
      <c r="E1075" s="5" t="s">
        <v>124</v>
      </c>
      <c r="F1075" s="3" t="s">
        <v>3882</v>
      </c>
      <c r="G1075" s="6">
        <f>8.606*L1075</f>
        <v>103.27199999999999</v>
      </c>
      <c r="H1075" s="7">
        <v>41730</v>
      </c>
      <c r="I1075" s="6" t="s">
        <v>272</v>
      </c>
      <c r="J1075" s="6" t="s">
        <v>3883</v>
      </c>
      <c r="K1075" s="6" t="s">
        <v>21</v>
      </c>
      <c r="L1075" s="6">
        <v>12</v>
      </c>
      <c r="M1075" s="15" t="s">
        <v>3884</v>
      </c>
      <c r="N1075" s="15" t="s">
        <v>164</v>
      </c>
      <c r="O1075" s="27" t="s">
        <v>3884</v>
      </c>
    </row>
    <row r="1076" spans="1:15" ht="13.5" customHeight="1">
      <c r="A1076" s="3" t="s">
        <v>1285</v>
      </c>
      <c r="B1076" s="4" t="s">
        <v>283</v>
      </c>
      <c r="C1076" s="3"/>
      <c r="D1076" s="5" t="s">
        <v>1287</v>
      </c>
      <c r="E1076" s="5" t="s">
        <v>124</v>
      </c>
      <c r="F1076" s="3" t="s">
        <v>3885</v>
      </c>
      <c r="G1076" s="6">
        <f>8.606*L1076</f>
        <v>111.878</v>
      </c>
      <c r="H1076" s="7">
        <v>41730</v>
      </c>
      <c r="I1076" s="6" t="s">
        <v>272</v>
      </c>
      <c r="J1076" s="6" t="s">
        <v>3886</v>
      </c>
      <c r="K1076" s="6" t="s">
        <v>21</v>
      </c>
      <c r="L1076" s="6">
        <v>13</v>
      </c>
      <c r="M1076" s="15" t="s">
        <v>3884</v>
      </c>
      <c r="N1076" s="15" t="s">
        <v>167</v>
      </c>
      <c r="O1076" s="27" t="s">
        <v>3887</v>
      </c>
    </row>
    <row r="1077" spans="1:15" s="1" customFormat="1" ht="13.5" customHeight="1">
      <c r="A1077" s="3" t="s">
        <v>788</v>
      </c>
      <c r="B1077" s="4" t="s">
        <v>283</v>
      </c>
      <c r="C1077" s="3"/>
      <c r="D1077" s="5" t="s">
        <v>789</v>
      </c>
      <c r="E1077" s="5" t="s">
        <v>124</v>
      </c>
      <c r="F1077" s="3" t="s">
        <v>3888</v>
      </c>
      <c r="G1077" s="6">
        <f>8.606*L1077</f>
        <v>86.06</v>
      </c>
      <c r="H1077" s="7">
        <v>41730</v>
      </c>
      <c r="I1077" s="6" t="s">
        <v>272</v>
      </c>
      <c r="J1077" s="6" t="s">
        <v>3889</v>
      </c>
      <c r="K1077" s="6" t="s">
        <v>21</v>
      </c>
      <c r="L1077" s="6">
        <v>10</v>
      </c>
      <c r="M1077" s="15" t="s">
        <v>3890</v>
      </c>
      <c r="N1077" s="15" t="s">
        <v>35</v>
      </c>
      <c r="O1077" s="27" t="s">
        <v>3890</v>
      </c>
    </row>
    <row r="1078" spans="1:15" ht="13.5" customHeight="1">
      <c r="A1078" s="3" t="s">
        <v>469</v>
      </c>
      <c r="B1078" s="3"/>
      <c r="C1078" s="3"/>
      <c r="D1078" s="5" t="s">
        <v>276</v>
      </c>
      <c r="E1078" s="5" t="s">
        <v>124</v>
      </c>
      <c r="F1078" s="3" t="s">
        <v>3891</v>
      </c>
      <c r="G1078" s="6">
        <f>6.405*L1078</f>
        <v>89.67</v>
      </c>
      <c r="H1078" s="7">
        <v>41730</v>
      </c>
      <c r="I1078" s="6" t="s">
        <v>471</v>
      </c>
      <c r="J1078" s="6" t="s">
        <v>3892</v>
      </c>
      <c r="K1078" s="6" t="s">
        <v>21</v>
      </c>
      <c r="L1078" s="6">
        <v>14</v>
      </c>
      <c r="M1078" s="15" t="s">
        <v>3893</v>
      </c>
      <c r="N1078" s="15" t="s">
        <v>2196</v>
      </c>
      <c r="O1078" s="28" t="s">
        <v>3893</v>
      </c>
    </row>
    <row r="1079" spans="1:15" ht="13.5" customHeight="1">
      <c r="A1079" s="3" t="s">
        <v>275</v>
      </c>
      <c r="B1079" s="3"/>
      <c r="C1079" s="3"/>
      <c r="D1079" s="5" t="s">
        <v>276</v>
      </c>
      <c r="E1079" s="5" t="s">
        <v>124</v>
      </c>
      <c r="F1079" s="3" t="s">
        <v>3894</v>
      </c>
      <c r="G1079" s="6">
        <f>6.405*L1079</f>
        <v>70.454999999999998</v>
      </c>
      <c r="H1079" s="7">
        <v>41730</v>
      </c>
      <c r="I1079" s="6" t="s">
        <v>471</v>
      </c>
      <c r="J1079" s="6" t="s">
        <v>3895</v>
      </c>
      <c r="K1079" s="6" t="s">
        <v>21</v>
      </c>
      <c r="L1079" s="6">
        <v>11</v>
      </c>
      <c r="M1079" s="15" t="s">
        <v>3893</v>
      </c>
      <c r="N1079" s="15" t="s">
        <v>2199</v>
      </c>
      <c r="O1079" s="28" t="s">
        <v>3896</v>
      </c>
    </row>
    <row r="1080" spans="1:15" s="1" customFormat="1" ht="13.5" customHeight="1">
      <c r="A1080" s="3" t="s">
        <v>3897</v>
      </c>
      <c r="B1080" s="3"/>
      <c r="C1080" s="3"/>
      <c r="D1080" s="5" t="s">
        <v>276</v>
      </c>
      <c r="E1080" s="5" t="s">
        <v>124</v>
      </c>
      <c r="F1080" s="3" t="s">
        <v>3898</v>
      </c>
      <c r="G1080" s="6">
        <f>6.405*L1080</f>
        <v>134.505</v>
      </c>
      <c r="H1080" s="7">
        <v>41730</v>
      </c>
      <c r="I1080" s="6" t="s">
        <v>3899</v>
      </c>
      <c r="J1080" s="6" t="s">
        <v>3900</v>
      </c>
      <c r="K1080" s="6" t="s">
        <v>21</v>
      </c>
      <c r="L1080" s="6">
        <v>21</v>
      </c>
      <c r="M1080" s="15" t="s">
        <v>3901</v>
      </c>
      <c r="N1080" s="15" t="s">
        <v>3902</v>
      </c>
      <c r="O1080" s="28" t="s">
        <v>3901</v>
      </c>
    </row>
    <row r="1081" spans="1:15" s="1" customFormat="1" ht="13.5" customHeight="1">
      <c r="A1081" s="3" t="s">
        <v>2503</v>
      </c>
      <c r="B1081" s="4" t="s">
        <v>283</v>
      </c>
      <c r="C1081" s="3"/>
      <c r="D1081" s="5" t="s">
        <v>1549</v>
      </c>
      <c r="E1081" s="5" t="s">
        <v>124</v>
      </c>
      <c r="F1081" s="3" t="s">
        <v>3903</v>
      </c>
      <c r="G1081" s="6">
        <f>4.66*L1081</f>
        <v>18.64</v>
      </c>
      <c r="H1081" s="7">
        <v>41730</v>
      </c>
      <c r="I1081" s="6" t="s">
        <v>372</v>
      </c>
      <c r="J1081" s="6" t="s">
        <v>3904</v>
      </c>
      <c r="K1081" s="6" t="s">
        <v>21</v>
      </c>
      <c r="L1081" s="6">
        <v>4</v>
      </c>
      <c r="M1081" s="15" t="s">
        <v>3905</v>
      </c>
      <c r="N1081" s="15" t="s">
        <v>3906</v>
      </c>
      <c r="O1081" s="27" t="s">
        <v>3905</v>
      </c>
    </row>
    <row r="1082" spans="1:15" ht="13.5" customHeight="1">
      <c r="A1082" s="3" t="s">
        <v>1810</v>
      </c>
      <c r="B1082" s="3"/>
      <c r="C1082" s="3"/>
      <c r="D1082" s="5" t="s">
        <v>717</v>
      </c>
      <c r="E1082" s="5" t="s">
        <v>124</v>
      </c>
      <c r="F1082" s="3" t="s">
        <v>3907</v>
      </c>
      <c r="G1082" s="6">
        <v>46.683999999999997</v>
      </c>
      <c r="H1082" s="7">
        <v>41731</v>
      </c>
      <c r="I1082" s="6" t="s">
        <v>209</v>
      </c>
      <c r="J1082" s="6" t="s">
        <v>3908</v>
      </c>
      <c r="K1082" s="6" t="s">
        <v>128</v>
      </c>
      <c r="L1082" s="6" t="s">
        <v>3350</v>
      </c>
      <c r="M1082" s="15" t="s">
        <v>3909</v>
      </c>
      <c r="N1082" s="15" t="s">
        <v>3910</v>
      </c>
      <c r="O1082" s="28" t="s">
        <v>3911</v>
      </c>
    </row>
    <row r="1083" spans="1:15" s="1" customFormat="1" ht="13.5" customHeight="1">
      <c r="A1083" s="3" t="s">
        <v>825</v>
      </c>
      <c r="B1083" s="3"/>
      <c r="C1083" s="3"/>
      <c r="D1083" s="5" t="s">
        <v>826</v>
      </c>
      <c r="E1083" s="5" t="s">
        <v>124</v>
      </c>
      <c r="F1083" s="3" t="s">
        <v>3912</v>
      </c>
      <c r="G1083" s="6">
        <v>244.98</v>
      </c>
      <c r="H1083" s="7">
        <v>41731</v>
      </c>
      <c r="I1083" s="6" t="s">
        <v>209</v>
      </c>
      <c r="J1083" s="6" t="s">
        <v>3913</v>
      </c>
      <c r="K1083" s="6" t="s">
        <v>128</v>
      </c>
      <c r="L1083" s="6" t="s">
        <v>3914</v>
      </c>
      <c r="M1083" s="15" t="s">
        <v>3915</v>
      </c>
      <c r="N1083" s="15" t="s">
        <v>3916</v>
      </c>
      <c r="O1083" s="28" t="s">
        <v>3917</v>
      </c>
    </row>
    <row r="1084" spans="1:15" s="1" customFormat="1" ht="13.5" customHeight="1">
      <c r="A1084" s="3" t="s">
        <v>215</v>
      </c>
      <c r="B1084" s="3"/>
      <c r="C1084" s="3"/>
      <c r="D1084" s="5" t="s">
        <v>216</v>
      </c>
      <c r="E1084" s="5" t="s">
        <v>124</v>
      </c>
      <c r="F1084" s="3" t="s">
        <v>3918</v>
      </c>
      <c r="G1084" s="6">
        <v>84.644000000000005</v>
      </c>
      <c r="H1084" s="7">
        <v>41731</v>
      </c>
      <c r="I1084" s="6" t="s">
        <v>209</v>
      </c>
      <c r="J1084" s="6" t="s">
        <v>3919</v>
      </c>
      <c r="K1084" s="6" t="s">
        <v>128</v>
      </c>
      <c r="L1084" s="6" t="s">
        <v>768</v>
      </c>
      <c r="M1084" s="15" t="s">
        <v>3920</v>
      </c>
      <c r="N1084" s="15" t="s">
        <v>3921</v>
      </c>
      <c r="O1084" s="28" t="s">
        <v>3922</v>
      </c>
    </row>
    <row r="1085" spans="1:15" s="1" customFormat="1" ht="13.5" customHeight="1">
      <c r="A1085" s="3" t="s">
        <v>664</v>
      </c>
      <c r="B1085" s="3"/>
      <c r="C1085" s="3"/>
      <c r="D1085" s="5" t="s">
        <v>665</v>
      </c>
      <c r="E1085" s="5" t="s">
        <v>124</v>
      </c>
      <c r="F1085" s="3" t="s">
        <v>3923</v>
      </c>
      <c r="G1085" s="6">
        <v>152.82499999999999</v>
      </c>
      <c r="H1085" s="7">
        <v>41731</v>
      </c>
      <c r="I1085" s="6" t="s">
        <v>209</v>
      </c>
      <c r="J1085" s="6" t="s">
        <v>3924</v>
      </c>
      <c r="K1085" s="6" t="s">
        <v>128</v>
      </c>
      <c r="L1085" s="6" t="s">
        <v>808</v>
      </c>
      <c r="M1085" s="15" t="s">
        <v>3925</v>
      </c>
      <c r="N1085" s="15" t="s">
        <v>3926</v>
      </c>
      <c r="O1085" s="28" t="s">
        <v>3927</v>
      </c>
    </row>
    <row r="1086" spans="1:15" s="1" customFormat="1" ht="13.5" customHeight="1">
      <c r="A1086" s="3" t="s">
        <v>1018</v>
      </c>
      <c r="B1086" s="3"/>
      <c r="C1086" s="3"/>
      <c r="D1086" s="5" t="s">
        <v>1019</v>
      </c>
      <c r="E1086" s="5" t="s">
        <v>124</v>
      </c>
      <c r="F1086" s="3" t="s">
        <v>3928</v>
      </c>
      <c r="G1086" s="6">
        <v>208.16499999999999</v>
      </c>
      <c r="H1086" s="7">
        <v>41731</v>
      </c>
      <c r="I1086" s="6" t="s">
        <v>209</v>
      </c>
      <c r="J1086" s="6" t="s">
        <v>3929</v>
      </c>
      <c r="K1086" s="6" t="s">
        <v>128</v>
      </c>
      <c r="L1086" s="6" t="s">
        <v>948</v>
      </c>
      <c r="M1086" s="15" t="s">
        <v>3930</v>
      </c>
      <c r="N1086" s="15" t="s">
        <v>950</v>
      </c>
      <c r="O1086" s="27" t="s">
        <v>3931</v>
      </c>
    </row>
    <row r="1087" spans="1:15" s="1" customFormat="1" ht="13.5" customHeight="1">
      <c r="A1087" s="3" t="s">
        <v>1018</v>
      </c>
      <c r="B1087" s="3"/>
      <c r="C1087" s="3"/>
      <c r="D1087" s="5" t="s">
        <v>1019</v>
      </c>
      <c r="E1087" s="5" t="s">
        <v>124</v>
      </c>
      <c r="F1087" s="3" t="s">
        <v>3932</v>
      </c>
      <c r="G1087" s="6">
        <v>224.83500000000001</v>
      </c>
      <c r="H1087" s="7">
        <v>41731</v>
      </c>
      <c r="I1087" s="6" t="s">
        <v>209</v>
      </c>
      <c r="J1087" s="6" t="s">
        <v>3933</v>
      </c>
      <c r="K1087" s="6" t="s">
        <v>128</v>
      </c>
      <c r="L1087" s="6" t="s">
        <v>954</v>
      </c>
      <c r="M1087" s="15" t="s">
        <v>3934</v>
      </c>
      <c r="N1087" s="15" t="s">
        <v>956</v>
      </c>
      <c r="O1087" s="28" t="s">
        <v>3935</v>
      </c>
    </row>
    <row r="1088" spans="1:15" s="1" customFormat="1" ht="13.5" customHeight="1">
      <c r="A1088" s="3" t="s">
        <v>1018</v>
      </c>
      <c r="B1088" s="3"/>
      <c r="C1088" s="3"/>
      <c r="D1088" s="5" t="s">
        <v>1019</v>
      </c>
      <c r="E1088" s="5" t="s">
        <v>124</v>
      </c>
      <c r="F1088" s="3" t="s">
        <v>3936</v>
      </c>
      <c r="G1088" s="6">
        <v>104.22</v>
      </c>
      <c r="H1088" s="7">
        <v>41731</v>
      </c>
      <c r="I1088" s="6" t="s">
        <v>209</v>
      </c>
      <c r="J1088" s="6" t="s">
        <v>3937</v>
      </c>
      <c r="K1088" s="6" t="s">
        <v>128</v>
      </c>
      <c r="L1088" s="6" t="s">
        <v>1307</v>
      </c>
      <c r="M1088" s="15" t="s">
        <v>3938</v>
      </c>
      <c r="N1088" s="15" t="s">
        <v>3939</v>
      </c>
      <c r="O1088" s="28" t="s">
        <v>3940</v>
      </c>
    </row>
    <row r="1089" spans="1:15" s="1" customFormat="1" ht="13.5" customHeight="1">
      <c r="A1089" s="3" t="s">
        <v>236</v>
      </c>
      <c r="B1089" s="3"/>
      <c r="C1089" s="3"/>
      <c r="D1089" s="5" t="s">
        <v>237</v>
      </c>
      <c r="E1089" s="5" t="s">
        <v>124</v>
      </c>
      <c r="F1089" s="3" t="s">
        <v>3941</v>
      </c>
      <c r="G1089" s="6">
        <v>87.215999999999994</v>
      </c>
      <c r="H1089" s="7">
        <v>41731</v>
      </c>
      <c r="I1089" s="6" t="s">
        <v>209</v>
      </c>
      <c r="J1089" s="6" t="s">
        <v>3942</v>
      </c>
      <c r="K1089" s="6" t="s">
        <v>128</v>
      </c>
      <c r="L1089" s="6" t="s">
        <v>1329</v>
      </c>
      <c r="M1089" s="15" t="s">
        <v>3943</v>
      </c>
      <c r="N1089" s="15" t="s">
        <v>3944</v>
      </c>
      <c r="O1089" s="28" t="s">
        <v>3945</v>
      </c>
    </row>
    <row r="1090" spans="1:15" s="1" customFormat="1" ht="13.5" customHeight="1">
      <c r="A1090" s="3" t="s">
        <v>236</v>
      </c>
      <c r="B1090" s="3"/>
      <c r="C1090" s="3"/>
      <c r="D1090" s="5" t="s">
        <v>237</v>
      </c>
      <c r="E1090" s="5" t="s">
        <v>124</v>
      </c>
      <c r="F1090" s="3" t="s">
        <v>3946</v>
      </c>
      <c r="G1090" s="6">
        <v>153.852</v>
      </c>
      <c r="H1090" s="7">
        <v>41731</v>
      </c>
      <c r="I1090" s="6" t="s">
        <v>209</v>
      </c>
      <c r="J1090" s="6" t="s">
        <v>3947</v>
      </c>
      <c r="K1090" s="6" t="s">
        <v>128</v>
      </c>
      <c r="L1090" s="6" t="s">
        <v>808</v>
      </c>
      <c r="M1090" s="15" t="s">
        <v>3948</v>
      </c>
      <c r="N1090" s="15" t="s">
        <v>810</v>
      </c>
      <c r="O1090" s="28" t="s">
        <v>3949</v>
      </c>
    </row>
    <row r="1091" spans="1:15" s="1" customFormat="1" ht="13.5" customHeight="1">
      <c r="A1091" s="3" t="s">
        <v>3664</v>
      </c>
      <c r="B1091" s="3"/>
      <c r="C1091" s="3"/>
      <c r="D1091" s="5" t="s">
        <v>672</v>
      </c>
      <c r="E1091" s="5" t="s">
        <v>124</v>
      </c>
      <c r="F1091" s="3" t="s">
        <v>3950</v>
      </c>
      <c r="G1091" s="6">
        <v>152.41200000000001</v>
      </c>
      <c r="H1091" s="7">
        <v>41731</v>
      </c>
      <c r="I1091" s="6" t="s">
        <v>209</v>
      </c>
      <c r="J1091" s="6" t="s">
        <v>3951</v>
      </c>
      <c r="K1091" s="6" t="s">
        <v>128</v>
      </c>
      <c r="L1091" s="6" t="s">
        <v>808</v>
      </c>
      <c r="M1091" s="15" t="s">
        <v>3952</v>
      </c>
      <c r="N1091" s="15" t="s">
        <v>3953</v>
      </c>
      <c r="O1091" s="28" t="s">
        <v>3954</v>
      </c>
    </row>
    <row r="1092" spans="1:15" ht="13.5" customHeight="1">
      <c r="A1092" s="3" t="s">
        <v>3664</v>
      </c>
      <c r="B1092" s="3"/>
      <c r="C1092" s="3"/>
      <c r="D1092" s="5" t="s">
        <v>672</v>
      </c>
      <c r="E1092" s="5" t="s">
        <v>124</v>
      </c>
      <c r="F1092" s="3" t="s">
        <v>3955</v>
      </c>
      <c r="G1092" s="6">
        <v>122.464</v>
      </c>
      <c r="H1092" s="7">
        <v>41731</v>
      </c>
      <c r="I1092" s="6" t="s">
        <v>209</v>
      </c>
      <c r="J1092" s="6" t="s">
        <v>3956</v>
      </c>
      <c r="K1092" s="6" t="s">
        <v>128</v>
      </c>
      <c r="L1092" s="6" t="s">
        <v>2483</v>
      </c>
      <c r="M1092" s="15" t="s">
        <v>3957</v>
      </c>
      <c r="N1092" s="15" t="s">
        <v>3958</v>
      </c>
      <c r="O1092" s="28" t="s">
        <v>3959</v>
      </c>
    </row>
    <row r="1093" spans="1:15" s="1" customFormat="1" ht="13.5" customHeight="1">
      <c r="A1093" s="3" t="s">
        <v>2059</v>
      </c>
      <c r="B1093" s="3"/>
      <c r="C1093" s="3"/>
      <c r="D1093" s="5" t="s">
        <v>2060</v>
      </c>
      <c r="E1093" s="5" t="s">
        <v>124</v>
      </c>
      <c r="F1093" s="3" t="s">
        <v>3960</v>
      </c>
      <c r="G1093" s="6">
        <v>137.68899999999999</v>
      </c>
      <c r="H1093" s="7">
        <v>41731</v>
      </c>
      <c r="I1093" s="6" t="s">
        <v>209</v>
      </c>
      <c r="J1093" s="6" t="s">
        <v>3961</v>
      </c>
      <c r="K1093" s="6" t="s">
        <v>128</v>
      </c>
      <c r="L1093" s="6" t="s">
        <v>998</v>
      </c>
      <c r="M1093" s="15" t="s">
        <v>3962</v>
      </c>
      <c r="N1093" s="15" t="s">
        <v>3963</v>
      </c>
      <c r="O1093" s="28" t="s">
        <v>3964</v>
      </c>
    </row>
    <row r="1094" spans="1:15" s="1" customFormat="1" ht="13.5" customHeight="1">
      <c r="A1094" s="3" t="s">
        <v>1854</v>
      </c>
      <c r="B1094" s="3"/>
      <c r="C1094" s="3"/>
      <c r="D1094" s="5" t="s">
        <v>1855</v>
      </c>
      <c r="E1094" s="5" t="s">
        <v>124</v>
      </c>
      <c r="F1094" s="3" t="s">
        <v>3965</v>
      </c>
      <c r="G1094" s="6">
        <v>67.334000000000003</v>
      </c>
      <c r="H1094" s="7">
        <v>41731</v>
      </c>
      <c r="I1094" s="6" t="s">
        <v>209</v>
      </c>
      <c r="J1094" s="6" t="s">
        <v>3966</v>
      </c>
      <c r="K1094" s="6" t="s">
        <v>128</v>
      </c>
      <c r="L1094" s="6" t="s">
        <v>3967</v>
      </c>
      <c r="M1094" s="15" t="s">
        <v>3968</v>
      </c>
      <c r="N1094" s="15" t="s">
        <v>3969</v>
      </c>
      <c r="O1094" s="28" t="s">
        <v>3970</v>
      </c>
    </row>
    <row r="1095" spans="1:15" s="1" customFormat="1" ht="13.5" customHeight="1">
      <c r="A1095" s="3" t="s">
        <v>1311</v>
      </c>
      <c r="B1095" s="3"/>
      <c r="C1095" s="3"/>
      <c r="D1095" s="5" t="s">
        <v>1312</v>
      </c>
      <c r="E1095" s="5" t="s">
        <v>124</v>
      </c>
      <c r="F1095" s="3" t="s">
        <v>3971</v>
      </c>
      <c r="G1095" s="6">
        <v>83.799000000000007</v>
      </c>
      <c r="H1095" s="7">
        <v>41731</v>
      </c>
      <c r="I1095" s="6" t="s">
        <v>209</v>
      </c>
      <c r="J1095" s="6" t="s">
        <v>3972</v>
      </c>
      <c r="K1095" s="6" t="s">
        <v>128</v>
      </c>
      <c r="L1095" s="6" t="s">
        <v>2788</v>
      </c>
      <c r="M1095" s="15" t="s">
        <v>3973</v>
      </c>
      <c r="N1095" s="15" t="s">
        <v>3974</v>
      </c>
      <c r="O1095" s="28" t="s">
        <v>3975</v>
      </c>
    </row>
    <row r="1096" spans="1:15" s="1" customFormat="1" ht="13.5" customHeight="1">
      <c r="A1096" s="3" t="s">
        <v>1311</v>
      </c>
      <c r="B1096" s="3"/>
      <c r="C1096" s="3"/>
      <c r="D1096" s="5" t="s">
        <v>1312</v>
      </c>
      <c r="E1096" s="5" t="s">
        <v>124</v>
      </c>
      <c r="F1096" s="3" t="s">
        <v>3976</v>
      </c>
      <c r="G1096" s="6">
        <v>69.528000000000006</v>
      </c>
      <c r="H1096" s="7">
        <v>41731</v>
      </c>
      <c r="I1096" s="6" t="s">
        <v>209</v>
      </c>
      <c r="J1096" s="6" t="s">
        <v>3977</v>
      </c>
      <c r="K1096" s="6" t="s">
        <v>128</v>
      </c>
      <c r="L1096" s="6" t="s">
        <v>1658</v>
      </c>
      <c r="M1096" s="15" t="s">
        <v>3978</v>
      </c>
      <c r="N1096" s="15" t="s">
        <v>3979</v>
      </c>
      <c r="O1096" s="28" t="s">
        <v>3980</v>
      </c>
    </row>
    <row r="1097" spans="1:15" s="1" customFormat="1" ht="13.5" customHeight="1">
      <c r="A1097" s="3" t="s">
        <v>1311</v>
      </c>
      <c r="B1097" s="3"/>
      <c r="C1097" s="3"/>
      <c r="D1097" s="5" t="s">
        <v>1312</v>
      </c>
      <c r="E1097" s="5" t="s">
        <v>124</v>
      </c>
      <c r="F1097" s="3" t="s">
        <v>3981</v>
      </c>
      <c r="G1097" s="6">
        <v>69.805999999999997</v>
      </c>
      <c r="H1097" s="7">
        <v>41731</v>
      </c>
      <c r="I1097" s="6" t="s">
        <v>209</v>
      </c>
      <c r="J1097" s="6" t="s">
        <v>3982</v>
      </c>
      <c r="K1097" s="6" t="s">
        <v>128</v>
      </c>
      <c r="L1097" s="6" t="s">
        <v>1658</v>
      </c>
      <c r="M1097" s="15" t="s">
        <v>3983</v>
      </c>
      <c r="N1097" s="15" t="s">
        <v>3984</v>
      </c>
      <c r="O1097" s="27" t="s">
        <v>3985</v>
      </c>
    </row>
    <row r="1098" spans="1:15" s="1" customFormat="1" ht="13.5" customHeight="1">
      <c r="A1098" s="3" t="s">
        <v>1311</v>
      </c>
      <c r="B1098" s="3"/>
      <c r="C1098" s="3"/>
      <c r="D1098" s="5" t="s">
        <v>1312</v>
      </c>
      <c r="E1098" s="5" t="s">
        <v>124</v>
      </c>
      <c r="F1098" s="3" t="s">
        <v>3986</v>
      </c>
      <c r="G1098" s="6">
        <v>16.640999999999998</v>
      </c>
      <c r="H1098" s="7">
        <v>41731</v>
      </c>
      <c r="I1098" s="6" t="s">
        <v>209</v>
      </c>
      <c r="J1098" s="6" t="s">
        <v>3987</v>
      </c>
      <c r="K1098" s="6" t="s">
        <v>128</v>
      </c>
      <c r="L1098" s="6" t="s">
        <v>547</v>
      </c>
      <c r="M1098" s="15" t="s">
        <v>3988</v>
      </c>
      <c r="N1098" s="15" t="s">
        <v>3989</v>
      </c>
      <c r="O1098" s="28" t="s">
        <v>3990</v>
      </c>
    </row>
    <row r="1099" spans="1:15" s="1" customFormat="1" ht="13.5" customHeight="1">
      <c r="A1099" s="3" t="s">
        <v>1311</v>
      </c>
      <c r="B1099" s="3"/>
      <c r="C1099" s="3"/>
      <c r="D1099" s="5" t="s">
        <v>1312</v>
      </c>
      <c r="E1099" s="5" t="s">
        <v>124</v>
      </c>
      <c r="F1099" s="3" t="s">
        <v>3991</v>
      </c>
      <c r="G1099" s="6">
        <v>83.83</v>
      </c>
      <c r="H1099" s="7">
        <v>41731</v>
      </c>
      <c r="I1099" s="6" t="s">
        <v>209</v>
      </c>
      <c r="J1099" s="6" t="s">
        <v>3992</v>
      </c>
      <c r="K1099" s="6" t="s">
        <v>128</v>
      </c>
      <c r="L1099" s="6" t="s">
        <v>2788</v>
      </c>
      <c r="M1099" s="15" t="s">
        <v>3993</v>
      </c>
      <c r="N1099" s="15" t="s">
        <v>3994</v>
      </c>
      <c r="O1099" s="28" t="s">
        <v>3995</v>
      </c>
    </row>
    <row r="1100" spans="1:15" s="1" customFormat="1" ht="13.5" customHeight="1">
      <c r="A1100" s="22" t="s">
        <v>3996</v>
      </c>
      <c r="B1100" s="3"/>
      <c r="C1100" s="3"/>
      <c r="D1100" s="5" t="s">
        <v>3997</v>
      </c>
      <c r="E1100" s="5" t="s">
        <v>124</v>
      </c>
      <c r="F1100" s="3" t="s">
        <v>3998</v>
      </c>
      <c r="G1100" s="6">
        <f>12.838*L1100</f>
        <v>25.675999999999998</v>
      </c>
      <c r="H1100" s="7">
        <v>41731</v>
      </c>
      <c r="I1100" s="6" t="s">
        <v>471</v>
      </c>
      <c r="J1100" s="6" t="s">
        <v>3999</v>
      </c>
      <c r="K1100" s="6" t="s">
        <v>21</v>
      </c>
      <c r="L1100" s="6">
        <v>2</v>
      </c>
      <c r="M1100" s="15" t="s">
        <v>4000</v>
      </c>
      <c r="N1100" s="15" t="s">
        <v>268</v>
      </c>
      <c r="O1100" s="27" t="s">
        <v>4000</v>
      </c>
    </row>
    <row r="1101" spans="1:15" s="1" customFormat="1" ht="13.5" customHeight="1">
      <c r="A1101" s="5" t="s">
        <v>1043</v>
      </c>
      <c r="B1101" s="3"/>
      <c r="C1101" s="3"/>
      <c r="D1101" s="5" t="s">
        <v>443</v>
      </c>
      <c r="E1101" s="5" t="s">
        <v>7026</v>
      </c>
      <c r="F1101" s="3" t="s">
        <v>7646</v>
      </c>
      <c r="G1101" s="6">
        <f>18.708*L1101</f>
        <v>224.49599999999998</v>
      </c>
      <c r="H1101" s="7">
        <v>41731</v>
      </c>
      <c r="I1101" s="6" t="s">
        <v>178</v>
      </c>
      <c r="J1101" s="6" t="s">
        <v>7647</v>
      </c>
      <c r="K1101" s="6" t="s">
        <v>21</v>
      </c>
      <c r="L1101" s="6">
        <v>12</v>
      </c>
      <c r="M1101" s="15" t="s">
        <v>7648</v>
      </c>
      <c r="N1101" s="15" t="s">
        <v>164</v>
      </c>
      <c r="O1101" s="27" t="s">
        <v>7649</v>
      </c>
    </row>
    <row r="1102" spans="1:15" s="1" customFormat="1" ht="13.5" customHeight="1">
      <c r="A1102" s="5" t="s">
        <v>1043</v>
      </c>
      <c r="B1102" s="3"/>
      <c r="C1102" s="3"/>
      <c r="D1102" s="5" t="s">
        <v>443</v>
      </c>
      <c r="E1102" s="5" t="s">
        <v>7026</v>
      </c>
      <c r="F1102" s="3" t="s">
        <v>7650</v>
      </c>
      <c r="G1102" s="6">
        <f>18.708*L1102</f>
        <v>243.20399999999998</v>
      </c>
      <c r="H1102" s="7">
        <v>41731</v>
      </c>
      <c r="I1102" s="6" t="s">
        <v>178</v>
      </c>
      <c r="J1102" s="6" t="s">
        <v>7651</v>
      </c>
      <c r="K1102" s="6" t="s">
        <v>21</v>
      </c>
      <c r="L1102" s="6">
        <v>13</v>
      </c>
      <c r="M1102" s="15" t="s">
        <v>7648</v>
      </c>
      <c r="N1102" s="15" t="s">
        <v>167</v>
      </c>
      <c r="O1102" s="27" t="s">
        <v>7652</v>
      </c>
    </row>
    <row r="1103" spans="1:15" ht="13.5" customHeight="1">
      <c r="A1103" s="5" t="s">
        <v>1043</v>
      </c>
      <c r="B1103" s="3"/>
      <c r="C1103" s="3"/>
      <c r="D1103" s="5" t="s">
        <v>443</v>
      </c>
      <c r="E1103" s="5" t="s">
        <v>7026</v>
      </c>
      <c r="F1103" s="3" t="s">
        <v>7653</v>
      </c>
      <c r="G1103" s="6">
        <f>18.708*L1103</f>
        <v>224.49599999999998</v>
      </c>
      <c r="H1103" s="7">
        <v>41731</v>
      </c>
      <c r="I1103" s="6" t="s">
        <v>178</v>
      </c>
      <c r="J1103" s="6" t="s">
        <v>7654</v>
      </c>
      <c r="K1103" s="6" t="s">
        <v>21</v>
      </c>
      <c r="L1103" s="6">
        <v>12</v>
      </c>
      <c r="M1103" s="15" t="s">
        <v>7655</v>
      </c>
      <c r="N1103" s="15" t="s">
        <v>164</v>
      </c>
      <c r="O1103" s="27" t="s">
        <v>7656</v>
      </c>
    </row>
    <row r="1104" spans="1:15" s="1" customFormat="1" ht="13.5" customHeight="1">
      <c r="A1104" s="5" t="s">
        <v>1043</v>
      </c>
      <c r="B1104" s="3"/>
      <c r="C1104" s="3"/>
      <c r="D1104" s="5" t="s">
        <v>443</v>
      </c>
      <c r="E1104" s="5" t="s">
        <v>7026</v>
      </c>
      <c r="F1104" s="3" t="s">
        <v>7657</v>
      </c>
      <c r="G1104" s="6">
        <f>18.708*L1104</f>
        <v>243.20399999999998</v>
      </c>
      <c r="H1104" s="7">
        <v>41731</v>
      </c>
      <c r="I1104" s="6" t="s">
        <v>178</v>
      </c>
      <c r="J1104" s="6" t="s">
        <v>7658</v>
      </c>
      <c r="K1104" s="6" t="s">
        <v>21</v>
      </c>
      <c r="L1104" s="6">
        <v>13</v>
      </c>
      <c r="M1104" s="15" t="s">
        <v>7655</v>
      </c>
      <c r="N1104" s="15" t="s">
        <v>167</v>
      </c>
      <c r="O1104" s="27" t="s">
        <v>7659</v>
      </c>
    </row>
    <row r="1105" spans="1:15" s="1" customFormat="1" ht="13.5" customHeight="1">
      <c r="A1105" s="5" t="s">
        <v>1150</v>
      </c>
      <c r="B1105" s="3"/>
      <c r="C1105" s="3"/>
      <c r="D1105" s="5" t="s">
        <v>1151</v>
      </c>
      <c r="E1105" s="5" t="s">
        <v>7026</v>
      </c>
      <c r="F1105" s="3" t="s">
        <v>7660</v>
      </c>
      <c r="G1105" s="6">
        <f>17.712*L1105</f>
        <v>212.54399999999998</v>
      </c>
      <c r="H1105" s="7">
        <v>41731</v>
      </c>
      <c r="I1105" s="6" t="s">
        <v>265</v>
      </c>
      <c r="J1105" s="6" t="s">
        <v>7661</v>
      </c>
      <c r="K1105" s="6" t="s">
        <v>21</v>
      </c>
      <c r="L1105" s="6">
        <v>12</v>
      </c>
      <c r="M1105" s="15" t="s">
        <v>7662</v>
      </c>
      <c r="N1105" s="15" t="s">
        <v>164</v>
      </c>
      <c r="O1105" s="27" t="s">
        <v>7663</v>
      </c>
    </row>
    <row r="1106" spans="1:15" s="1" customFormat="1" ht="13.5" customHeight="1">
      <c r="A1106" s="5" t="s">
        <v>1150</v>
      </c>
      <c r="B1106" s="3"/>
      <c r="C1106" s="3"/>
      <c r="D1106" s="5" t="s">
        <v>1151</v>
      </c>
      <c r="E1106" s="5" t="s">
        <v>7026</v>
      </c>
      <c r="F1106" s="3" t="s">
        <v>7664</v>
      </c>
      <c r="G1106" s="6">
        <f>17.712*L1106</f>
        <v>230.256</v>
      </c>
      <c r="H1106" s="7">
        <v>41731</v>
      </c>
      <c r="I1106" s="6" t="s">
        <v>265</v>
      </c>
      <c r="J1106" s="6" t="s">
        <v>7665</v>
      </c>
      <c r="K1106" s="6" t="s">
        <v>21</v>
      </c>
      <c r="L1106" s="6">
        <v>13</v>
      </c>
      <c r="M1106" s="15" t="s">
        <v>7662</v>
      </c>
      <c r="N1106" s="15" t="s">
        <v>167</v>
      </c>
      <c r="O1106" s="27" t="s">
        <v>7666</v>
      </c>
    </row>
    <row r="1107" spans="1:15" ht="13.5" customHeight="1">
      <c r="A1107" s="5" t="s">
        <v>7024</v>
      </c>
      <c r="B1107" s="3"/>
      <c r="C1107" s="3"/>
      <c r="D1107" s="5" t="s">
        <v>7025</v>
      </c>
      <c r="E1107" s="5" t="s">
        <v>7026</v>
      </c>
      <c r="F1107" s="3" t="s">
        <v>7667</v>
      </c>
      <c r="G1107" s="6">
        <f t="shared" ref="G1107:G1123" si="39">17.498*L1107</f>
        <v>209.976</v>
      </c>
      <c r="H1107" s="7">
        <v>41731</v>
      </c>
      <c r="I1107" s="6" t="s">
        <v>265</v>
      </c>
      <c r="J1107" s="6" t="s">
        <v>7668</v>
      </c>
      <c r="K1107" s="6" t="s">
        <v>21</v>
      </c>
      <c r="L1107" s="6">
        <v>12</v>
      </c>
      <c r="M1107" s="15" t="s">
        <v>7669</v>
      </c>
      <c r="N1107" s="15" t="s">
        <v>164</v>
      </c>
      <c r="O1107" s="27" t="s">
        <v>7670</v>
      </c>
    </row>
    <row r="1108" spans="1:15" ht="13.5" customHeight="1">
      <c r="A1108" s="5" t="s">
        <v>7024</v>
      </c>
      <c r="B1108" s="3"/>
      <c r="C1108" s="3"/>
      <c r="D1108" s="5" t="s">
        <v>7025</v>
      </c>
      <c r="E1108" s="5" t="s">
        <v>7026</v>
      </c>
      <c r="F1108" s="3" t="s">
        <v>7671</v>
      </c>
      <c r="G1108" s="6">
        <f t="shared" si="39"/>
        <v>227.47400000000002</v>
      </c>
      <c r="H1108" s="7">
        <v>41731</v>
      </c>
      <c r="I1108" s="6" t="s">
        <v>265</v>
      </c>
      <c r="J1108" s="6" t="s">
        <v>7672</v>
      </c>
      <c r="K1108" s="6" t="s">
        <v>21</v>
      </c>
      <c r="L1108" s="6">
        <v>13</v>
      </c>
      <c r="M1108" s="15" t="s">
        <v>7669</v>
      </c>
      <c r="N1108" s="15" t="s">
        <v>167</v>
      </c>
      <c r="O1108" s="27"/>
    </row>
    <row r="1109" spans="1:15" ht="13.5" customHeight="1">
      <c r="A1109" s="5" t="s">
        <v>7024</v>
      </c>
      <c r="B1109" s="3"/>
      <c r="C1109" s="3"/>
      <c r="D1109" s="5" t="s">
        <v>7025</v>
      </c>
      <c r="E1109" s="5" t="s">
        <v>7026</v>
      </c>
      <c r="F1109" s="3" t="s">
        <v>7673</v>
      </c>
      <c r="G1109" s="6">
        <f t="shared" si="39"/>
        <v>209.976</v>
      </c>
      <c r="H1109" s="7">
        <v>41731</v>
      </c>
      <c r="I1109" s="6" t="s">
        <v>265</v>
      </c>
      <c r="J1109" s="6" t="s">
        <v>7674</v>
      </c>
      <c r="K1109" s="6" t="s">
        <v>21</v>
      </c>
      <c r="L1109" s="6">
        <v>12</v>
      </c>
      <c r="M1109" s="15" t="s">
        <v>7675</v>
      </c>
      <c r="N1109" s="15" t="s">
        <v>164</v>
      </c>
      <c r="O1109" s="27"/>
    </row>
    <row r="1110" spans="1:15" ht="13.5" customHeight="1">
      <c r="A1110" s="5" t="s">
        <v>7024</v>
      </c>
      <c r="B1110" s="3"/>
      <c r="C1110" s="3"/>
      <c r="D1110" s="5" t="s">
        <v>7025</v>
      </c>
      <c r="E1110" s="5" t="s">
        <v>7026</v>
      </c>
      <c r="F1110" s="3" t="s">
        <v>7676</v>
      </c>
      <c r="G1110" s="6">
        <f t="shared" si="39"/>
        <v>227.47400000000002</v>
      </c>
      <c r="H1110" s="7">
        <v>41731</v>
      </c>
      <c r="I1110" s="6" t="s">
        <v>265</v>
      </c>
      <c r="J1110" s="6" t="s">
        <v>7677</v>
      </c>
      <c r="K1110" s="6" t="s">
        <v>21</v>
      </c>
      <c r="L1110" s="6">
        <v>13</v>
      </c>
      <c r="M1110" s="15" t="s">
        <v>7675</v>
      </c>
      <c r="N1110" s="15" t="s">
        <v>167</v>
      </c>
      <c r="O1110" s="27"/>
    </row>
    <row r="1111" spans="1:15" s="1" customFormat="1" ht="13.5" customHeight="1">
      <c r="A1111" s="5" t="s">
        <v>7024</v>
      </c>
      <c r="B1111" s="3"/>
      <c r="C1111" s="3"/>
      <c r="D1111" s="5" t="s">
        <v>7025</v>
      </c>
      <c r="E1111" s="5" t="s">
        <v>7026</v>
      </c>
      <c r="F1111" s="3" t="s">
        <v>7678</v>
      </c>
      <c r="G1111" s="6">
        <f t="shared" si="39"/>
        <v>209.976</v>
      </c>
      <c r="H1111" s="7">
        <v>41731</v>
      </c>
      <c r="I1111" s="6" t="s">
        <v>265</v>
      </c>
      <c r="J1111" s="6" t="s">
        <v>7679</v>
      </c>
      <c r="K1111" s="6" t="s">
        <v>21</v>
      </c>
      <c r="L1111" s="6">
        <v>12</v>
      </c>
      <c r="M1111" s="15" t="s">
        <v>7680</v>
      </c>
      <c r="N1111" s="15" t="s">
        <v>164</v>
      </c>
      <c r="O1111" s="27" t="s">
        <v>7681</v>
      </c>
    </row>
    <row r="1112" spans="1:15" ht="13.5" customHeight="1">
      <c r="A1112" s="5" t="s">
        <v>7064</v>
      </c>
      <c r="B1112" s="3"/>
      <c r="C1112" s="3"/>
      <c r="D1112" s="5" t="s">
        <v>7025</v>
      </c>
      <c r="E1112" s="5" t="s">
        <v>7026</v>
      </c>
      <c r="F1112" s="3" t="s">
        <v>13481</v>
      </c>
      <c r="G1112" s="6">
        <f t="shared" si="39"/>
        <v>227.47400000000002</v>
      </c>
      <c r="H1112" s="7">
        <v>41731</v>
      </c>
      <c r="I1112" s="6" t="s">
        <v>265</v>
      </c>
      <c r="J1112" s="6" t="s">
        <v>7682</v>
      </c>
      <c r="K1112" s="6" t="s">
        <v>21</v>
      </c>
      <c r="L1112" s="6">
        <v>13</v>
      </c>
      <c r="M1112" s="15" t="s">
        <v>7680</v>
      </c>
      <c r="N1112" s="15" t="s">
        <v>167</v>
      </c>
      <c r="O1112" s="27" t="s">
        <v>13482</v>
      </c>
    </row>
    <row r="1113" spans="1:15" ht="13.5" customHeight="1">
      <c r="A1113" s="5" t="s">
        <v>1259</v>
      </c>
      <c r="B1113" s="3"/>
      <c r="C1113" s="3"/>
      <c r="D1113" s="5" t="s">
        <v>170</v>
      </c>
      <c r="E1113" s="5" t="s">
        <v>7026</v>
      </c>
      <c r="F1113" s="3" t="s">
        <v>7683</v>
      </c>
      <c r="G1113" s="6">
        <f t="shared" si="39"/>
        <v>209.976</v>
      </c>
      <c r="H1113" s="7">
        <v>41731</v>
      </c>
      <c r="I1113" s="6" t="s">
        <v>265</v>
      </c>
      <c r="J1113" s="6" t="s">
        <v>7684</v>
      </c>
      <c r="K1113" s="6" t="s">
        <v>21</v>
      </c>
      <c r="L1113" s="6">
        <v>12</v>
      </c>
      <c r="M1113" s="15" t="s">
        <v>7685</v>
      </c>
      <c r="N1113" s="15" t="s">
        <v>164</v>
      </c>
      <c r="O1113" s="27" t="s">
        <v>7686</v>
      </c>
    </row>
    <row r="1114" spans="1:15" ht="13.5" customHeight="1">
      <c r="A1114" s="5" t="s">
        <v>1259</v>
      </c>
      <c r="B1114" s="3"/>
      <c r="C1114" s="3"/>
      <c r="D1114" s="5" t="s">
        <v>170</v>
      </c>
      <c r="E1114" s="5" t="s">
        <v>7026</v>
      </c>
      <c r="F1114" s="3" t="s">
        <v>7687</v>
      </c>
      <c r="G1114" s="6">
        <f t="shared" si="39"/>
        <v>227.47400000000002</v>
      </c>
      <c r="H1114" s="7">
        <v>41731</v>
      </c>
      <c r="I1114" s="6" t="s">
        <v>265</v>
      </c>
      <c r="J1114" s="6" t="s">
        <v>7688</v>
      </c>
      <c r="K1114" s="6" t="s">
        <v>21</v>
      </c>
      <c r="L1114" s="6">
        <v>13</v>
      </c>
      <c r="M1114" s="15" t="s">
        <v>7685</v>
      </c>
      <c r="N1114" s="15" t="s">
        <v>167</v>
      </c>
      <c r="O1114" s="27"/>
    </row>
    <row r="1115" spans="1:15" ht="13.5" customHeight="1">
      <c r="A1115" s="5" t="s">
        <v>1259</v>
      </c>
      <c r="B1115" s="3"/>
      <c r="C1115" s="3"/>
      <c r="D1115" s="5" t="s">
        <v>170</v>
      </c>
      <c r="E1115" s="5" t="s">
        <v>7026</v>
      </c>
      <c r="F1115" s="3" t="s">
        <v>7689</v>
      </c>
      <c r="G1115" s="6">
        <f t="shared" si="39"/>
        <v>209.976</v>
      </c>
      <c r="H1115" s="7">
        <v>41731</v>
      </c>
      <c r="I1115" s="6" t="s">
        <v>265</v>
      </c>
      <c r="J1115" s="6" t="s">
        <v>7690</v>
      </c>
      <c r="K1115" s="6" t="s">
        <v>21</v>
      </c>
      <c r="L1115" s="6">
        <v>12</v>
      </c>
      <c r="M1115" s="15" t="s">
        <v>7691</v>
      </c>
      <c r="N1115" s="15" t="s">
        <v>164</v>
      </c>
      <c r="O1115" s="27"/>
    </row>
    <row r="1116" spans="1:15" s="1" customFormat="1" ht="13.5" customHeight="1">
      <c r="A1116" s="5" t="s">
        <v>1259</v>
      </c>
      <c r="B1116" s="3"/>
      <c r="C1116" s="3"/>
      <c r="D1116" s="5" t="s">
        <v>170</v>
      </c>
      <c r="E1116" s="5" t="s">
        <v>7026</v>
      </c>
      <c r="F1116" s="3" t="s">
        <v>7692</v>
      </c>
      <c r="G1116" s="6">
        <f t="shared" si="39"/>
        <v>227.47400000000002</v>
      </c>
      <c r="H1116" s="7">
        <v>41731</v>
      </c>
      <c r="I1116" s="6" t="s">
        <v>265</v>
      </c>
      <c r="J1116" s="6" t="s">
        <v>7693</v>
      </c>
      <c r="K1116" s="6" t="s">
        <v>21</v>
      </c>
      <c r="L1116" s="6">
        <v>13</v>
      </c>
      <c r="M1116" s="15" t="s">
        <v>7691</v>
      </c>
      <c r="N1116" s="15" t="s">
        <v>167</v>
      </c>
      <c r="O1116" s="27"/>
    </row>
    <row r="1117" spans="1:15" s="1" customFormat="1" ht="13.5" customHeight="1">
      <c r="A1117" s="5" t="s">
        <v>1259</v>
      </c>
      <c r="B1117" s="3"/>
      <c r="C1117" s="3"/>
      <c r="D1117" s="5" t="s">
        <v>170</v>
      </c>
      <c r="E1117" s="5" t="s">
        <v>7026</v>
      </c>
      <c r="F1117" s="3" t="s">
        <v>7694</v>
      </c>
      <c r="G1117" s="6">
        <f t="shared" si="39"/>
        <v>209.976</v>
      </c>
      <c r="H1117" s="7">
        <v>41731</v>
      </c>
      <c r="I1117" s="6" t="s">
        <v>265</v>
      </c>
      <c r="J1117" s="6" t="s">
        <v>7695</v>
      </c>
      <c r="K1117" s="6" t="s">
        <v>21</v>
      </c>
      <c r="L1117" s="6">
        <v>12</v>
      </c>
      <c r="M1117" s="15" t="s">
        <v>7696</v>
      </c>
      <c r="N1117" s="15" t="s">
        <v>164</v>
      </c>
      <c r="O1117" s="27"/>
    </row>
    <row r="1118" spans="1:15" ht="13.5" customHeight="1">
      <c r="A1118" s="5" t="s">
        <v>1259</v>
      </c>
      <c r="B1118" s="3"/>
      <c r="C1118" s="3"/>
      <c r="D1118" s="5" t="s">
        <v>170</v>
      </c>
      <c r="E1118" s="5" t="s">
        <v>7026</v>
      </c>
      <c r="F1118" s="3" t="s">
        <v>7697</v>
      </c>
      <c r="G1118" s="6">
        <f t="shared" si="39"/>
        <v>227.47400000000002</v>
      </c>
      <c r="H1118" s="7">
        <v>41731</v>
      </c>
      <c r="I1118" s="6" t="s">
        <v>265</v>
      </c>
      <c r="J1118" s="6" t="s">
        <v>7698</v>
      </c>
      <c r="K1118" s="6" t="s">
        <v>21</v>
      </c>
      <c r="L1118" s="6">
        <v>13</v>
      </c>
      <c r="M1118" s="15" t="s">
        <v>7696</v>
      </c>
      <c r="N1118" s="15" t="s">
        <v>167</v>
      </c>
      <c r="O1118" s="27"/>
    </row>
    <row r="1119" spans="1:15" s="1" customFormat="1" ht="13.5" customHeight="1">
      <c r="A1119" s="5" t="s">
        <v>1259</v>
      </c>
      <c r="B1119" s="3"/>
      <c r="C1119" s="3"/>
      <c r="D1119" s="5" t="s">
        <v>170</v>
      </c>
      <c r="E1119" s="5" t="s">
        <v>7026</v>
      </c>
      <c r="F1119" s="3" t="s">
        <v>7699</v>
      </c>
      <c r="G1119" s="6">
        <f t="shared" si="39"/>
        <v>209.976</v>
      </c>
      <c r="H1119" s="7">
        <v>41731</v>
      </c>
      <c r="I1119" s="6" t="s">
        <v>265</v>
      </c>
      <c r="J1119" s="6" t="s">
        <v>7700</v>
      </c>
      <c r="K1119" s="6" t="s">
        <v>21</v>
      </c>
      <c r="L1119" s="6">
        <v>12</v>
      </c>
      <c r="M1119" s="15" t="s">
        <v>7701</v>
      </c>
      <c r="N1119" s="15" t="s">
        <v>164</v>
      </c>
      <c r="O1119" s="27"/>
    </row>
    <row r="1120" spans="1:15" ht="13.5" customHeight="1">
      <c r="A1120" s="5" t="s">
        <v>1259</v>
      </c>
      <c r="B1120" s="3"/>
      <c r="C1120" s="3"/>
      <c r="D1120" s="5" t="s">
        <v>170</v>
      </c>
      <c r="E1120" s="5" t="s">
        <v>7026</v>
      </c>
      <c r="F1120" s="3" t="s">
        <v>7702</v>
      </c>
      <c r="G1120" s="6">
        <f t="shared" si="39"/>
        <v>227.47400000000002</v>
      </c>
      <c r="H1120" s="7">
        <v>41731</v>
      </c>
      <c r="I1120" s="6" t="s">
        <v>265</v>
      </c>
      <c r="J1120" s="6" t="s">
        <v>7703</v>
      </c>
      <c r="K1120" s="6" t="s">
        <v>21</v>
      </c>
      <c r="L1120" s="6">
        <v>13</v>
      </c>
      <c r="M1120" s="15" t="s">
        <v>7701</v>
      </c>
      <c r="N1120" s="15" t="s">
        <v>167</v>
      </c>
      <c r="O1120" s="27"/>
    </row>
    <row r="1121" spans="1:15" ht="13.5" customHeight="1">
      <c r="A1121" s="5" t="s">
        <v>1259</v>
      </c>
      <c r="B1121" s="3"/>
      <c r="C1121" s="3"/>
      <c r="D1121" s="5" t="s">
        <v>170</v>
      </c>
      <c r="E1121" s="5" t="s">
        <v>7026</v>
      </c>
      <c r="F1121" s="3" t="s">
        <v>7704</v>
      </c>
      <c r="G1121" s="6">
        <f t="shared" si="39"/>
        <v>174.98000000000002</v>
      </c>
      <c r="H1121" s="7">
        <v>41731</v>
      </c>
      <c r="I1121" s="6" t="s">
        <v>265</v>
      </c>
      <c r="J1121" s="6" t="s">
        <v>7705</v>
      </c>
      <c r="K1121" s="6" t="s">
        <v>21</v>
      </c>
      <c r="L1121" s="6">
        <v>10</v>
      </c>
      <c r="M1121" s="15" t="s">
        <v>7706</v>
      </c>
      <c r="N1121" s="15" t="s">
        <v>35</v>
      </c>
      <c r="O1121" s="27"/>
    </row>
    <row r="1122" spans="1:15" ht="13.5" customHeight="1">
      <c r="A1122" s="5" t="s">
        <v>1259</v>
      </c>
      <c r="B1122" s="3"/>
      <c r="C1122" s="3"/>
      <c r="D1122" s="5" t="s">
        <v>170</v>
      </c>
      <c r="E1122" s="5" t="s">
        <v>7026</v>
      </c>
      <c r="F1122" s="3" t="s">
        <v>7707</v>
      </c>
      <c r="G1122" s="6">
        <f t="shared" si="39"/>
        <v>174.98000000000002</v>
      </c>
      <c r="H1122" s="7">
        <v>41731</v>
      </c>
      <c r="I1122" s="6" t="s">
        <v>265</v>
      </c>
      <c r="J1122" s="6" t="s">
        <v>7708</v>
      </c>
      <c r="K1122" s="6" t="s">
        <v>21</v>
      </c>
      <c r="L1122" s="6">
        <v>10</v>
      </c>
      <c r="M1122" s="15" t="s">
        <v>7706</v>
      </c>
      <c r="N1122" s="15" t="s">
        <v>556</v>
      </c>
      <c r="O1122" s="27"/>
    </row>
    <row r="1123" spans="1:15" s="1" customFormat="1" ht="13.5" customHeight="1">
      <c r="A1123" s="5" t="s">
        <v>169</v>
      </c>
      <c r="B1123" s="3"/>
      <c r="C1123" s="3"/>
      <c r="D1123" s="5" t="s">
        <v>170</v>
      </c>
      <c r="E1123" s="5" t="s">
        <v>7026</v>
      </c>
      <c r="F1123" s="3" t="s">
        <v>7709</v>
      </c>
      <c r="G1123" s="6">
        <f t="shared" si="39"/>
        <v>87.490000000000009</v>
      </c>
      <c r="H1123" s="7">
        <v>41731</v>
      </c>
      <c r="I1123" s="6" t="s">
        <v>265</v>
      </c>
      <c r="J1123" s="6" t="s">
        <v>7710</v>
      </c>
      <c r="K1123" s="6" t="s">
        <v>21</v>
      </c>
      <c r="L1123" s="6">
        <v>5</v>
      </c>
      <c r="M1123" s="15" t="s">
        <v>7706</v>
      </c>
      <c r="N1123" s="15" t="s">
        <v>1284</v>
      </c>
      <c r="O1123" s="15" t="s">
        <v>7711</v>
      </c>
    </row>
    <row r="1124" spans="1:15" s="1" customFormat="1" ht="13.5" customHeight="1">
      <c r="A1124" s="22" t="s">
        <v>9172</v>
      </c>
      <c r="B1124" s="3"/>
      <c r="C1124" s="3"/>
      <c r="D1124" s="5" t="s">
        <v>9173</v>
      </c>
      <c r="E1124" s="5" t="s">
        <v>124</v>
      </c>
      <c r="F1124" s="3" t="s">
        <v>9174</v>
      </c>
      <c r="G1124" s="6">
        <f>14.405*L1124</f>
        <v>28.81</v>
      </c>
      <c r="H1124" s="7">
        <v>41731</v>
      </c>
      <c r="I1124" s="6" t="s">
        <v>471</v>
      </c>
      <c r="J1124" s="6" t="s">
        <v>9175</v>
      </c>
      <c r="K1124" s="6" t="s">
        <v>21</v>
      </c>
      <c r="L1124" s="6">
        <v>2</v>
      </c>
      <c r="M1124" s="15" t="s">
        <v>9176</v>
      </c>
      <c r="N1124" s="15" t="s">
        <v>595</v>
      </c>
      <c r="O1124" s="27" t="s">
        <v>9176</v>
      </c>
    </row>
    <row r="1125" spans="1:15" ht="13.5" customHeight="1">
      <c r="A1125" s="3" t="s">
        <v>1534</v>
      </c>
      <c r="B1125" s="3" t="s">
        <v>1735</v>
      </c>
      <c r="C1125" s="3"/>
      <c r="D1125" s="5"/>
      <c r="E1125" s="5" t="s">
        <v>124</v>
      </c>
      <c r="F1125" s="3" t="s">
        <v>4001</v>
      </c>
      <c r="G1125" s="6">
        <v>5</v>
      </c>
      <c r="H1125" s="7">
        <v>41732</v>
      </c>
      <c r="I1125" s="6"/>
      <c r="J1125" s="6"/>
      <c r="K1125" s="6"/>
      <c r="L1125" s="6"/>
      <c r="M1125" s="15"/>
      <c r="N1125" s="15"/>
      <c r="O1125" s="27" t="s">
        <v>4002</v>
      </c>
    </row>
    <row r="1126" spans="1:15" ht="13.5" customHeight="1">
      <c r="A1126" s="3" t="s">
        <v>514</v>
      </c>
      <c r="B1126" s="3"/>
      <c r="C1126" s="3"/>
      <c r="D1126" s="5" t="s">
        <v>2030</v>
      </c>
      <c r="E1126" s="5" t="s">
        <v>124</v>
      </c>
      <c r="F1126" s="3" t="s">
        <v>4003</v>
      </c>
      <c r="G1126" s="6">
        <f t="shared" ref="G1126:G1131" si="40">14.405*L1126</f>
        <v>172.85999999999999</v>
      </c>
      <c r="H1126" s="7">
        <v>41733</v>
      </c>
      <c r="I1126" s="6" t="s">
        <v>265</v>
      </c>
      <c r="J1126" s="6" t="s">
        <v>4004</v>
      </c>
      <c r="K1126" s="6" t="s">
        <v>21</v>
      </c>
      <c r="L1126" s="6">
        <v>12</v>
      </c>
      <c r="M1126" s="15" t="s">
        <v>4005</v>
      </c>
      <c r="N1126" s="15" t="s">
        <v>164</v>
      </c>
      <c r="O1126" s="27" t="s">
        <v>4005</v>
      </c>
    </row>
    <row r="1127" spans="1:15" ht="13.5" customHeight="1">
      <c r="A1127" s="3" t="s">
        <v>514</v>
      </c>
      <c r="B1127" s="3"/>
      <c r="C1127" s="3"/>
      <c r="D1127" s="5" t="s">
        <v>2030</v>
      </c>
      <c r="E1127" s="5" t="s">
        <v>124</v>
      </c>
      <c r="F1127" s="3" t="s">
        <v>4006</v>
      </c>
      <c r="G1127" s="6">
        <f t="shared" si="40"/>
        <v>187.26499999999999</v>
      </c>
      <c r="H1127" s="7">
        <v>41733</v>
      </c>
      <c r="I1127" s="6" t="s">
        <v>265</v>
      </c>
      <c r="J1127" s="6" t="s">
        <v>4007</v>
      </c>
      <c r="K1127" s="6" t="s">
        <v>21</v>
      </c>
      <c r="L1127" s="6">
        <v>13</v>
      </c>
      <c r="M1127" s="15" t="s">
        <v>4005</v>
      </c>
      <c r="N1127" s="15" t="s">
        <v>167</v>
      </c>
      <c r="O1127" s="27" t="s">
        <v>4008</v>
      </c>
    </row>
    <row r="1128" spans="1:15" ht="13.5" customHeight="1">
      <c r="A1128" s="3" t="s">
        <v>514</v>
      </c>
      <c r="B1128" s="3"/>
      <c r="C1128" s="3"/>
      <c r="D1128" s="5" t="s">
        <v>2030</v>
      </c>
      <c r="E1128" s="5" t="s">
        <v>124</v>
      </c>
      <c r="F1128" s="3" t="s">
        <v>4009</v>
      </c>
      <c r="G1128" s="6">
        <f t="shared" si="40"/>
        <v>172.85999999999999</v>
      </c>
      <c r="H1128" s="7">
        <v>41733</v>
      </c>
      <c r="I1128" s="6" t="s">
        <v>265</v>
      </c>
      <c r="J1128" s="6" t="s">
        <v>4010</v>
      </c>
      <c r="K1128" s="6" t="s">
        <v>21</v>
      </c>
      <c r="L1128" s="6">
        <v>12</v>
      </c>
      <c r="M1128" s="15" t="s">
        <v>4011</v>
      </c>
      <c r="N1128" s="15" t="s">
        <v>164</v>
      </c>
      <c r="O1128" s="27" t="s">
        <v>4011</v>
      </c>
    </row>
    <row r="1129" spans="1:15" ht="13.5" customHeight="1">
      <c r="A1129" s="3" t="s">
        <v>514</v>
      </c>
      <c r="B1129" s="3"/>
      <c r="C1129" s="3"/>
      <c r="D1129" s="5" t="s">
        <v>2030</v>
      </c>
      <c r="E1129" s="5" t="s">
        <v>124</v>
      </c>
      <c r="F1129" s="3" t="s">
        <v>4012</v>
      </c>
      <c r="G1129" s="6">
        <f t="shared" si="40"/>
        <v>187.26499999999999</v>
      </c>
      <c r="H1129" s="7">
        <v>41733</v>
      </c>
      <c r="I1129" s="6" t="s">
        <v>265</v>
      </c>
      <c r="J1129" s="6" t="s">
        <v>4013</v>
      </c>
      <c r="K1129" s="6" t="s">
        <v>21</v>
      </c>
      <c r="L1129" s="6">
        <v>13</v>
      </c>
      <c r="M1129" s="15" t="s">
        <v>4011</v>
      </c>
      <c r="N1129" s="15" t="s">
        <v>167</v>
      </c>
      <c r="O1129" s="27" t="s">
        <v>4014</v>
      </c>
    </row>
    <row r="1130" spans="1:15" s="1" customFormat="1" ht="13.5" customHeight="1">
      <c r="A1130" s="3" t="s">
        <v>514</v>
      </c>
      <c r="B1130" s="3"/>
      <c r="C1130" s="3"/>
      <c r="D1130" s="5" t="s">
        <v>2030</v>
      </c>
      <c r="E1130" s="5" t="s">
        <v>124</v>
      </c>
      <c r="F1130" s="3" t="s">
        <v>4015</v>
      </c>
      <c r="G1130" s="6">
        <f t="shared" si="40"/>
        <v>172.85999999999999</v>
      </c>
      <c r="H1130" s="7">
        <v>41733</v>
      </c>
      <c r="I1130" s="6" t="s">
        <v>265</v>
      </c>
      <c r="J1130" s="6" t="s">
        <v>4016</v>
      </c>
      <c r="K1130" s="6" t="s">
        <v>21</v>
      </c>
      <c r="L1130" s="6">
        <v>12</v>
      </c>
      <c r="M1130" s="15" t="s">
        <v>4017</v>
      </c>
      <c r="N1130" s="15" t="s">
        <v>164</v>
      </c>
      <c r="O1130" s="27" t="s">
        <v>4017</v>
      </c>
    </row>
    <row r="1131" spans="1:15" ht="13.5" customHeight="1">
      <c r="A1131" s="3" t="s">
        <v>514</v>
      </c>
      <c r="B1131" s="3"/>
      <c r="C1131" s="3"/>
      <c r="D1131" s="5" t="s">
        <v>2030</v>
      </c>
      <c r="E1131" s="5" t="s">
        <v>124</v>
      </c>
      <c r="F1131" s="3" t="s">
        <v>4018</v>
      </c>
      <c r="G1131" s="6">
        <f t="shared" si="40"/>
        <v>187.26499999999999</v>
      </c>
      <c r="H1131" s="7">
        <v>41733</v>
      </c>
      <c r="I1131" s="6" t="s">
        <v>265</v>
      </c>
      <c r="J1131" s="6" t="s">
        <v>4019</v>
      </c>
      <c r="K1131" s="6" t="s">
        <v>21</v>
      </c>
      <c r="L1131" s="6">
        <v>13</v>
      </c>
      <c r="M1131" s="15" t="s">
        <v>4017</v>
      </c>
      <c r="N1131" s="15" t="s">
        <v>167</v>
      </c>
      <c r="O1131" s="27" t="s">
        <v>4020</v>
      </c>
    </row>
    <row r="1132" spans="1:15" ht="13.5" customHeight="1">
      <c r="A1132" s="3" t="s">
        <v>442</v>
      </c>
      <c r="B1132" s="3"/>
      <c r="C1132" s="3"/>
      <c r="D1132" s="5" t="s">
        <v>443</v>
      </c>
      <c r="E1132" s="5" t="s">
        <v>124</v>
      </c>
      <c r="F1132" s="3" t="s">
        <v>4021</v>
      </c>
      <c r="G1132" s="6">
        <f>18.708*L1132</f>
        <v>224.49599999999998</v>
      </c>
      <c r="H1132" s="7">
        <v>41733</v>
      </c>
      <c r="I1132" s="6" t="s">
        <v>247</v>
      </c>
      <c r="J1132" s="6" t="s">
        <v>4022</v>
      </c>
      <c r="K1132" s="6" t="s">
        <v>21</v>
      </c>
      <c r="L1132" s="6">
        <v>12</v>
      </c>
      <c r="M1132" s="15" t="s">
        <v>4023</v>
      </c>
      <c r="N1132" s="15" t="s">
        <v>164</v>
      </c>
      <c r="O1132" s="27" t="s">
        <v>4023</v>
      </c>
    </row>
    <row r="1133" spans="1:15" s="1" customFormat="1" ht="13.5" customHeight="1">
      <c r="A1133" s="3" t="s">
        <v>442</v>
      </c>
      <c r="B1133" s="3"/>
      <c r="C1133" s="3"/>
      <c r="D1133" s="5" t="s">
        <v>443</v>
      </c>
      <c r="E1133" s="5" t="s">
        <v>124</v>
      </c>
      <c r="F1133" s="3" t="s">
        <v>4024</v>
      </c>
      <c r="G1133" s="6">
        <f>18.708*L1133</f>
        <v>243.20399999999998</v>
      </c>
      <c r="H1133" s="7">
        <v>41733</v>
      </c>
      <c r="I1133" s="6" t="s">
        <v>247</v>
      </c>
      <c r="J1133" s="6" t="s">
        <v>4025</v>
      </c>
      <c r="K1133" s="6" t="s">
        <v>21</v>
      </c>
      <c r="L1133" s="6">
        <v>13</v>
      </c>
      <c r="M1133" s="15" t="s">
        <v>4023</v>
      </c>
      <c r="N1133" s="15" t="s">
        <v>167</v>
      </c>
      <c r="O1133" s="27" t="s">
        <v>4026</v>
      </c>
    </row>
    <row r="1134" spans="1:15" ht="13.5" customHeight="1">
      <c r="A1134" s="3" t="s">
        <v>442</v>
      </c>
      <c r="B1134" s="3"/>
      <c r="C1134" s="3"/>
      <c r="D1134" s="5" t="s">
        <v>443</v>
      </c>
      <c r="E1134" s="5" t="s">
        <v>124</v>
      </c>
      <c r="F1134" s="3" t="s">
        <v>4027</v>
      </c>
      <c r="G1134" s="6">
        <f>18.708*L1134</f>
        <v>224.49599999999998</v>
      </c>
      <c r="H1134" s="7">
        <v>41733</v>
      </c>
      <c r="I1134" s="6" t="s">
        <v>247</v>
      </c>
      <c r="J1134" s="6" t="s">
        <v>4028</v>
      </c>
      <c r="K1134" s="6" t="s">
        <v>21</v>
      </c>
      <c r="L1134" s="6">
        <v>12</v>
      </c>
      <c r="M1134" s="15" t="s">
        <v>4029</v>
      </c>
      <c r="N1134" s="15" t="s">
        <v>164</v>
      </c>
      <c r="O1134" s="27" t="s">
        <v>4029</v>
      </c>
    </row>
    <row r="1135" spans="1:15" ht="13.5" customHeight="1">
      <c r="A1135" s="3" t="s">
        <v>442</v>
      </c>
      <c r="B1135" s="3"/>
      <c r="C1135" s="3"/>
      <c r="D1135" s="5" t="s">
        <v>443</v>
      </c>
      <c r="E1135" s="5" t="s">
        <v>124</v>
      </c>
      <c r="F1135" s="3" t="s">
        <v>4030</v>
      </c>
      <c r="G1135" s="6">
        <f>18.708*L1135</f>
        <v>243.20399999999998</v>
      </c>
      <c r="H1135" s="7">
        <v>41733</v>
      </c>
      <c r="I1135" s="6" t="s">
        <v>247</v>
      </c>
      <c r="J1135" s="6" t="s">
        <v>4031</v>
      </c>
      <c r="K1135" s="6" t="s">
        <v>21</v>
      </c>
      <c r="L1135" s="6">
        <v>13</v>
      </c>
      <c r="M1135" s="15" t="s">
        <v>4029</v>
      </c>
      <c r="N1135" s="15" t="s">
        <v>167</v>
      </c>
      <c r="O1135" s="27" t="s">
        <v>4032</v>
      </c>
    </row>
    <row r="1136" spans="1:15" ht="13.5" customHeight="1">
      <c r="A1136" s="3" t="s">
        <v>2546</v>
      </c>
      <c r="B1136" s="3"/>
      <c r="C1136" s="3"/>
      <c r="D1136" s="5" t="s">
        <v>3106</v>
      </c>
      <c r="E1136" s="5" t="s">
        <v>124</v>
      </c>
      <c r="F1136" s="3" t="s">
        <v>4033</v>
      </c>
      <c r="G1136" s="6">
        <f>17.498*L1136</f>
        <v>209.976</v>
      </c>
      <c r="H1136" s="7">
        <v>41733</v>
      </c>
      <c r="I1136" s="6" t="s">
        <v>265</v>
      </c>
      <c r="J1136" s="6" t="s">
        <v>4034</v>
      </c>
      <c r="K1136" s="6" t="s">
        <v>21</v>
      </c>
      <c r="L1136" s="6">
        <v>12</v>
      </c>
      <c r="M1136" s="15" t="s">
        <v>4035</v>
      </c>
      <c r="N1136" s="15" t="s">
        <v>164</v>
      </c>
      <c r="O1136" s="27" t="s">
        <v>4035</v>
      </c>
    </row>
    <row r="1137" spans="1:15" s="1" customFormat="1" ht="13.5" customHeight="1">
      <c r="A1137" s="3" t="s">
        <v>2546</v>
      </c>
      <c r="B1137" s="3"/>
      <c r="C1137" s="3"/>
      <c r="D1137" s="5" t="s">
        <v>3106</v>
      </c>
      <c r="E1137" s="5" t="s">
        <v>124</v>
      </c>
      <c r="F1137" s="3" t="s">
        <v>4036</v>
      </c>
      <c r="G1137" s="6">
        <f>17.498*L1137</f>
        <v>227.47400000000002</v>
      </c>
      <c r="H1137" s="7">
        <v>41733</v>
      </c>
      <c r="I1137" s="6" t="s">
        <v>265</v>
      </c>
      <c r="J1137" s="6" t="s">
        <v>4037</v>
      </c>
      <c r="K1137" s="6" t="s">
        <v>21</v>
      </c>
      <c r="L1137" s="6">
        <v>13</v>
      </c>
      <c r="M1137" s="15" t="s">
        <v>4035</v>
      </c>
      <c r="N1137" s="15" t="s">
        <v>167</v>
      </c>
      <c r="O1137" s="27" t="s">
        <v>4038</v>
      </c>
    </row>
    <row r="1138" spans="1:15" s="1" customFormat="1" ht="13.5" customHeight="1">
      <c r="A1138" s="3" t="s">
        <v>2546</v>
      </c>
      <c r="B1138" s="3"/>
      <c r="C1138" s="3"/>
      <c r="D1138" s="5" t="s">
        <v>3106</v>
      </c>
      <c r="E1138" s="5" t="s">
        <v>124</v>
      </c>
      <c r="F1138" s="3" t="s">
        <v>4039</v>
      </c>
      <c r="G1138" s="6">
        <f>17.498*L1138</f>
        <v>209.976</v>
      </c>
      <c r="H1138" s="7">
        <v>41733</v>
      </c>
      <c r="I1138" s="6" t="s">
        <v>265</v>
      </c>
      <c r="J1138" s="6" t="s">
        <v>4040</v>
      </c>
      <c r="K1138" s="6" t="s">
        <v>21</v>
      </c>
      <c r="L1138" s="6">
        <v>12</v>
      </c>
      <c r="M1138" s="15" t="s">
        <v>4041</v>
      </c>
      <c r="N1138" s="15" t="s">
        <v>164</v>
      </c>
      <c r="O1138" s="27" t="s">
        <v>4041</v>
      </c>
    </row>
    <row r="1139" spans="1:15" s="1" customFormat="1" ht="13.5" customHeight="1">
      <c r="A1139" s="3" t="s">
        <v>2546</v>
      </c>
      <c r="B1139" s="3"/>
      <c r="C1139" s="3"/>
      <c r="D1139" s="5" t="s">
        <v>3106</v>
      </c>
      <c r="E1139" s="5" t="s">
        <v>124</v>
      </c>
      <c r="F1139" s="3" t="s">
        <v>4042</v>
      </c>
      <c r="G1139" s="6">
        <f>17.498*L1139</f>
        <v>227.47400000000002</v>
      </c>
      <c r="H1139" s="7">
        <v>41733</v>
      </c>
      <c r="I1139" s="6" t="s">
        <v>265</v>
      </c>
      <c r="J1139" s="6" t="s">
        <v>4043</v>
      </c>
      <c r="K1139" s="6" t="s">
        <v>21</v>
      </c>
      <c r="L1139" s="6">
        <v>13</v>
      </c>
      <c r="M1139" s="15" t="s">
        <v>4041</v>
      </c>
      <c r="N1139" s="15" t="s">
        <v>167</v>
      </c>
      <c r="O1139" s="27" t="s">
        <v>4044</v>
      </c>
    </row>
    <row r="1140" spans="1:15" s="1" customFormat="1" ht="13.5" customHeight="1">
      <c r="A1140" s="3" t="s">
        <v>846</v>
      </c>
      <c r="B1140" s="3"/>
      <c r="C1140" s="3"/>
      <c r="D1140" s="5" t="s">
        <v>191</v>
      </c>
      <c r="E1140" s="5" t="s">
        <v>124</v>
      </c>
      <c r="F1140" s="3" t="s">
        <v>4045</v>
      </c>
      <c r="G1140" s="6">
        <f>18.708*L1140</f>
        <v>224.49599999999998</v>
      </c>
      <c r="H1140" s="7">
        <v>41733</v>
      </c>
      <c r="I1140" s="6" t="s">
        <v>247</v>
      </c>
      <c r="J1140" s="6" t="s">
        <v>4046</v>
      </c>
      <c r="K1140" s="6" t="s">
        <v>21</v>
      </c>
      <c r="L1140" s="6">
        <v>12</v>
      </c>
      <c r="M1140" s="15" t="s">
        <v>4047</v>
      </c>
      <c r="N1140" s="15" t="s">
        <v>164</v>
      </c>
      <c r="O1140" s="27" t="s">
        <v>4047</v>
      </c>
    </row>
    <row r="1141" spans="1:15" s="1" customFormat="1" ht="13.5" customHeight="1">
      <c r="A1141" s="3" t="s">
        <v>846</v>
      </c>
      <c r="B1141" s="3"/>
      <c r="C1141" s="3"/>
      <c r="D1141" s="5" t="s">
        <v>191</v>
      </c>
      <c r="E1141" s="5" t="s">
        <v>124</v>
      </c>
      <c r="F1141" s="3" t="s">
        <v>4048</v>
      </c>
      <c r="G1141" s="6">
        <f>18.708*L1141</f>
        <v>243.20399999999998</v>
      </c>
      <c r="H1141" s="7">
        <v>41733</v>
      </c>
      <c r="I1141" s="6" t="s">
        <v>247</v>
      </c>
      <c r="J1141" s="6" t="s">
        <v>4049</v>
      </c>
      <c r="K1141" s="6" t="s">
        <v>21</v>
      </c>
      <c r="L1141" s="6">
        <v>13</v>
      </c>
      <c r="M1141" s="15" t="s">
        <v>4047</v>
      </c>
      <c r="N1141" s="15" t="s">
        <v>167</v>
      </c>
      <c r="O1141" s="27" t="s">
        <v>4050</v>
      </c>
    </row>
    <row r="1142" spans="1:15" s="1" customFormat="1" ht="13.5" customHeight="1">
      <c r="A1142" s="3" t="s">
        <v>4051</v>
      </c>
      <c r="B1142" s="3"/>
      <c r="C1142" s="3"/>
      <c r="D1142" s="5" t="s">
        <v>4052</v>
      </c>
      <c r="E1142" s="5" t="s">
        <v>124</v>
      </c>
      <c r="F1142" s="3" t="s">
        <v>4053</v>
      </c>
      <c r="G1142" s="6">
        <v>139.98400000000001</v>
      </c>
      <c r="H1142" s="7">
        <v>41733</v>
      </c>
      <c r="I1142" s="6" t="s">
        <v>471</v>
      </c>
      <c r="J1142" s="6" t="s">
        <v>4054</v>
      </c>
      <c r="K1142" s="6" t="s">
        <v>21</v>
      </c>
      <c r="L1142" s="6" t="s">
        <v>4055</v>
      </c>
      <c r="M1142" s="15" t="s">
        <v>4056</v>
      </c>
      <c r="N1142" s="15" t="s">
        <v>4057</v>
      </c>
      <c r="O1142" s="27" t="s">
        <v>4058</v>
      </c>
    </row>
    <row r="1143" spans="1:15" ht="13.5" customHeight="1">
      <c r="A1143" s="3" t="s">
        <v>157</v>
      </c>
      <c r="B1143" s="3" t="s">
        <v>4059</v>
      </c>
      <c r="C1143" s="3"/>
      <c r="D1143" s="5" t="s">
        <v>1098</v>
      </c>
      <c r="E1143" s="5" t="s">
        <v>124</v>
      </c>
      <c r="F1143" s="3" t="s">
        <v>4060</v>
      </c>
      <c r="G1143" s="6">
        <f>9.871*L1143</f>
        <v>98.710000000000008</v>
      </c>
      <c r="H1143" s="7">
        <v>41733</v>
      </c>
      <c r="I1143" s="6" t="s">
        <v>161</v>
      </c>
      <c r="J1143" s="6" t="s">
        <v>4061</v>
      </c>
      <c r="K1143" s="6" t="s">
        <v>21</v>
      </c>
      <c r="L1143" s="6">
        <v>10</v>
      </c>
      <c r="M1143" s="15" t="s">
        <v>4062</v>
      </c>
      <c r="N1143" s="15" t="s">
        <v>35</v>
      </c>
      <c r="O1143" s="27" t="s">
        <v>4062</v>
      </c>
    </row>
    <row r="1144" spans="1:15" ht="13.5" customHeight="1">
      <c r="A1144" s="3" t="s">
        <v>494</v>
      </c>
      <c r="B1144" s="3"/>
      <c r="C1144" s="3"/>
      <c r="D1144" s="5" t="s">
        <v>495</v>
      </c>
      <c r="E1144" s="5" t="s">
        <v>124</v>
      </c>
      <c r="F1144" s="3" t="s">
        <v>4063</v>
      </c>
      <c r="G1144" s="6">
        <f>12.838*L1144</f>
        <v>89.866</v>
      </c>
      <c r="H1144" s="7">
        <v>41733</v>
      </c>
      <c r="I1144" s="6" t="s">
        <v>471</v>
      </c>
      <c r="J1144" s="6" t="s">
        <v>4064</v>
      </c>
      <c r="K1144" s="6" t="s">
        <v>21</v>
      </c>
      <c r="L1144" s="6">
        <v>7</v>
      </c>
      <c r="M1144" s="15" t="s">
        <v>4065</v>
      </c>
      <c r="N1144" s="15" t="s">
        <v>1460</v>
      </c>
      <c r="O1144" s="27" t="s">
        <v>4065</v>
      </c>
    </row>
    <row r="1145" spans="1:15" s="1" customFormat="1" ht="13.5" customHeight="1">
      <c r="A1145" s="3" t="s">
        <v>363</v>
      </c>
      <c r="B1145" s="3"/>
      <c r="C1145" s="3"/>
      <c r="D1145" s="5" t="s">
        <v>364</v>
      </c>
      <c r="E1145" s="5" t="s">
        <v>124</v>
      </c>
      <c r="F1145" s="3" t="s">
        <v>4066</v>
      </c>
      <c r="G1145" s="6">
        <f>12.838*L1145</f>
        <v>64.19</v>
      </c>
      <c r="H1145" s="7">
        <v>41733</v>
      </c>
      <c r="I1145" s="6" t="s">
        <v>209</v>
      </c>
      <c r="J1145" s="6" t="s">
        <v>4067</v>
      </c>
      <c r="K1145" s="6" t="s">
        <v>21</v>
      </c>
      <c r="L1145" s="6">
        <v>5</v>
      </c>
      <c r="M1145" s="15" t="s">
        <v>4068</v>
      </c>
      <c r="N1145" s="15" t="s">
        <v>59</v>
      </c>
      <c r="O1145" s="15" t="s">
        <v>4068</v>
      </c>
    </row>
    <row r="1146" spans="1:15" s="1" customFormat="1" ht="13.5" customHeight="1">
      <c r="A1146" s="3" t="s">
        <v>854</v>
      </c>
      <c r="B1146" s="3"/>
      <c r="C1146" s="3"/>
      <c r="D1146" s="5" t="s">
        <v>855</v>
      </c>
      <c r="E1146" s="5" t="s">
        <v>124</v>
      </c>
      <c r="F1146" s="3" t="s">
        <v>4069</v>
      </c>
      <c r="G1146" s="6">
        <f>17.52*L1146</f>
        <v>210.24</v>
      </c>
      <c r="H1146" s="7">
        <v>41733</v>
      </c>
      <c r="I1146" s="6" t="s">
        <v>209</v>
      </c>
      <c r="J1146" s="6" t="s">
        <v>4070</v>
      </c>
      <c r="K1146" s="6" t="s">
        <v>21</v>
      </c>
      <c r="L1146" s="6">
        <v>12</v>
      </c>
      <c r="M1146" s="15" t="s">
        <v>4071</v>
      </c>
      <c r="N1146" s="15" t="s">
        <v>164</v>
      </c>
      <c r="O1146" s="27" t="s">
        <v>4071</v>
      </c>
    </row>
    <row r="1147" spans="1:15" ht="13.5" customHeight="1">
      <c r="A1147" s="5" t="s">
        <v>1043</v>
      </c>
      <c r="B1147" s="3"/>
      <c r="C1147" s="3"/>
      <c r="D1147" s="5" t="s">
        <v>443</v>
      </c>
      <c r="E1147" s="5" t="s">
        <v>7026</v>
      </c>
      <c r="F1147" s="3" t="s">
        <v>7712</v>
      </c>
      <c r="G1147" s="6">
        <f>18.708*L1147</f>
        <v>224.49599999999998</v>
      </c>
      <c r="H1147" s="7">
        <v>41733</v>
      </c>
      <c r="I1147" s="6" t="s">
        <v>178</v>
      </c>
      <c r="J1147" s="6" t="s">
        <v>7713</v>
      </c>
      <c r="K1147" s="6" t="s">
        <v>21</v>
      </c>
      <c r="L1147" s="6">
        <v>12</v>
      </c>
      <c r="M1147" s="15" t="s">
        <v>7714</v>
      </c>
      <c r="N1147" s="15" t="s">
        <v>164</v>
      </c>
      <c r="O1147" s="27" t="s">
        <v>7715</v>
      </c>
    </row>
    <row r="1148" spans="1:15" ht="13.5" customHeight="1">
      <c r="A1148" s="5" t="s">
        <v>1043</v>
      </c>
      <c r="B1148" s="3"/>
      <c r="C1148" s="3"/>
      <c r="D1148" s="5" t="s">
        <v>443</v>
      </c>
      <c r="E1148" s="5" t="s">
        <v>7026</v>
      </c>
      <c r="F1148" s="3" t="s">
        <v>7716</v>
      </c>
      <c r="G1148" s="6">
        <f>18.708*L1148</f>
        <v>243.20399999999998</v>
      </c>
      <c r="H1148" s="7">
        <v>41733</v>
      </c>
      <c r="I1148" s="6" t="s">
        <v>178</v>
      </c>
      <c r="J1148" s="6" t="s">
        <v>7717</v>
      </c>
      <c r="K1148" s="6" t="s">
        <v>21</v>
      </c>
      <c r="L1148" s="6">
        <v>13</v>
      </c>
      <c r="M1148" s="15" t="s">
        <v>7714</v>
      </c>
      <c r="N1148" s="15" t="s">
        <v>167</v>
      </c>
      <c r="O1148" s="27" t="s">
        <v>7718</v>
      </c>
    </row>
    <row r="1149" spans="1:15" s="1" customFormat="1" ht="13.5" customHeight="1">
      <c r="A1149" s="5" t="s">
        <v>918</v>
      </c>
      <c r="B1149" s="3"/>
      <c r="C1149" s="3"/>
      <c r="D1149" s="5" t="s">
        <v>919</v>
      </c>
      <c r="E1149" s="5" t="s">
        <v>7026</v>
      </c>
      <c r="F1149" s="3" t="s">
        <v>7719</v>
      </c>
      <c r="G1149" s="6">
        <f>17.712*L1149</f>
        <v>212.54399999999998</v>
      </c>
      <c r="H1149" s="7">
        <v>41733</v>
      </c>
      <c r="I1149" s="6" t="s">
        <v>265</v>
      </c>
      <c r="J1149" s="6" t="s">
        <v>7720</v>
      </c>
      <c r="K1149" s="6" t="s">
        <v>21</v>
      </c>
      <c r="L1149" s="6">
        <v>12</v>
      </c>
      <c r="M1149" s="15" t="s">
        <v>7721</v>
      </c>
      <c r="N1149" s="15" t="s">
        <v>164</v>
      </c>
      <c r="O1149" s="27" t="s">
        <v>7722</v>
      </c>
    </row>
    <row r="1150" spans="1:15" s="1" customFormat="1" ht="13.5" customHeight="1">
      <c r="A1150" s="5" t="s">
        <v>918</v>
      </c>
      <c r="B1150" s="3"/>
      <c r="C1150" s="3"/>
      <c r="D1150" s="5" t="s">
        <v>919</v>
      </c>
      <c r="E1150" s="5" t="s">
        <v>7026</v>
      </c>
      <c r="F1150" s="3" t="s">
        <v>7723</v>
      </c>
      <c r="G1150" s="6">
        <f>17.712*L1150</f>
        <v>230.256</v>
      </c>
      <c r="H1150" s="7">
        <v>41733</v>
      </c>
      <c r="I1150" s="6" t="s">
        <v>265</v>
      </c>
      <c r="J1150" s="6" t="s">
        <v>7724</v>
      </c>
      <c r="K1150" s="6" t="s">
        <v>21</v>
      </c>
      <c r="L1150" s="6">
        <v>13</v>
      </c>
      <c r="M1150" s="15" t="s">
        <v>7721</v>
      </c>
      <c r="N1150" s="15" t="s">
        <v>167</v>
      </c>
      <c r="O1150" s="27" t="s">
        <v>7725</v>
      </c>
    </row>
    <row r="1151" spans="1:15" s="1" customFormat="1" ht="13.5" customHeight="1">
      <c r="A1151" s="21" t="s">
        <v>7726</v>
      </c>
      <c r="B1151" s="3" t="s">
        <v>7547</v>
      </c>
      <c r="C1151" s="3"/>
      <c r="D1151" s="5" t="s">
        <v>7727</v>
      </c>
      <c r="E1151" s="5" t="s">
        <v>7026</v>
      </c>
      <c r="F1151" s="3" t="s">
        <v>7728</v>
      </c>
      <c r="G1151" s="6">
        <f>14.88*L1151</f>
        <v>74.400000000000006</v>
      </c>
      <c r="H1151" s="7">
        <v>41733</v>
      </c>
      <c r="I1151" s="6" t="s">
        <v>7729</v>
      </c>
      <c r="J1151" s="6" t="s">
        <v>7730</v>
      </c>
      <c r="K1151" s="6" t="s">
        <v>21</v>
      </c>
      <c r="L1151" s="6">
        <v>5</v>
      </c>
      <c r="M1151" s="15" t="s">
        <v>7731</v>
      </c>
      <c r="N1151" s="15" t="s">
        <v>7732</v>
      </c>
      <c r="O1151" s="27" t="s">
        <v>7733</v>
      </c>
    </row>
    <row r="1152" spans="1:15" ht="13.5" customHeight="1">
      <c r="A1152" s="3" t="s">
        <v>1285</v>
      </c>
      <c r="B1152" s="3" t="s">
        <v>4059</v>
      </c>
      <c r="C1152" s="3"/>
      <c r="D1152" s="5" t="s">
        <v>1287</v>
      </c>
      <c r="E1152" s="5" t="s">
        <v>124</v>
      </c>
      <c r="F1152" s="3" t="s">
        <v>4072</v>
      </c>
      <c r="G1152" s="6">
        <f>8.606*L1152</f>
        <v>103.27199999999999</v>
      </c>
      <c r="H1152" s="7">
        <v>41737</v>
      </c>
      <c r="I1152" s="6" t="s">
        <v>272</v>
      </c>
      <c r="J1152" s="6" t="s">
        <v>4073</v>
      </c>
      <c r="K1152" s="6" t="s">
        <v>21</v>
      </c>
      <c r="L1152" s="6">
        <v>12</v>
      </c>
      <c r="M1152" s="15" t="s">
        <v>4074</v>
      </c>
      <c r="N1152" s="15" t="s">
        <v>164</v>
      </c>
      <c r="O1152" s="27" t="s">
        <v>4074</v>
      </c>
    </row>
    <row r="1153" spans="1:15" s="1" customFormat="1" ht="13.5" customHeight="1">
      <c r="A1153" s="3" t="s">
        <v>1285</v>
      </c>
      <c r="B1153" s="3" t="s">
        <v>4059</v>
      </c>
      <c r="C1153" s="3"/>
      <c r="D1153" s="5" t="s">
        <v>1287</v>
      </c>
      <c r="E1153" s="5" t="s">
        <v>124</v>
      </c>
      <c r="F1153" s="3" t="s">
        <v>4075</v>
      </c>
      <c r="G1153" s="6">
        <f>8.606*L1153</f>
        <v>111.878</v>
      </c>
      <c r="H1153" s="7">
        <v>41737</v>
      </c>
      <c r="I1153" s="6" t="s">
        <v>272</v>
      </c>
      <c r="J1153" s="6" t="s">
        <v>4076</v>
      </c>
      <c r="K1153" s="6" t="s">
        <v>21</v>
      </c>
      <c r="L1153" s="6">
        <v>13</v>
      </c>
      <c r="M1153" s="15" t="s">
        <v>4074</v>
      </c>
      <c r="N1153" s="15" t="s">
        <v>167</v>
      </c>
      <c r="O1153" s="27" t="s">
        <v>4077</v>
      </c>
    </row>
    <row r="1154" spans="1:15" s="1" customFormat="1" ht="13.5" customHeight="1">
      <c r="A1154" s="3" t="s">
        <v>157</v>
      </c>
      <c r="B1154" s="3" t="s">
        <v>4059</v>
      </c>
      <c r="C1154" s="3"/>
      <c r="D1154" s="5" t="s">
        <v>1098</v>
      </c>
      <c r="E1154" s="5" t="s">
        <v>124</v>
      </c>
      <c r="F1154" s="3" t="s">
        <v>4078</v>
      </c>
      <c r="G1154" s="6">
        <f>9.871*L1154</f>
        <v>49.355000000000004</v>
      </c>
      <c r="H1154" s="7">
        <v>41737</v>
      </c>
      <c r="I1154" s="6" t="s">
        <v>161</v>
      </c>
      <c r="J1154" s="6" t="s">
        <v>4079</v>
      </c>
      <c r="K1154" s="6" t="s">
        <v>21</v>
      </c>
      <c r="L1154" s="6">
        <v>5</v>
      </c>
      <c r="M1154" s="15" t="s">
        <v>4080</v>
      </c>
      <c r="N1154" s="15" t="s">
        <v>2052</v>
      </c>
      <c r="O1154" s="27" t="s">
        <v>4080</v>
      </c>
    </row>
    <row r="1155" spans="1:15" s="1" customFormat="1" ht="13.5" customHeight="1">
      <c r="A1155" s="3" t="s">
        <v>442</v>
      </c>
      <c r="B1155" s="3"/>
      <c r="C1155" s="3"/>
      <c r="D1155" s="5" t="s">
        <v>443</v>
      </c>
      <c r="E1155" s="5" t="s">
        <v>124</v>
      </c>
      <c r="F1155" s="3" t="s">
        <v>4081</v>
      </c>
      <c r="G1155" s="6">
        <f>18.708*L1155</f>
        <v>224.49599999999998</v>
      </c>
      <c r="H1155" s="7">
        <v>41737</v>
      </c>
      <c r="I1155" s="6" t="s">
        <v>247</v>
      </c>
      <c r="J1155" s="6" t="s">
        <v>4082</v>
      </c>
      <c r="K1155" s="6" t="s">
        <v>21</v>
      </c>
      <c r="L1155" s="6">
        <v>12</v>
      </c>
      <c r="M1155" s="15" t="s">
        <v>4083</v>
      </c>
      <c r="N1155" s="15" t="s">
        <v>4084</v>
      </c>
      <c r="O1155" s="27" t="s">
        <v>4083</v>
      </c>
    </row>
    <row r="1156" spans="1:15" ht="13.5" customHeight="1">
      <c r="A1156" s="3" t="s">
        <v>442</v>
      </c>
      <c r="B1156" s="3"/>
      <c r="C1156" s="3"/>
      <c r="D1156" s="5" t="s">
        <v>443</v>
      </c>
      <c r="E1156" s="5" t="s">
        <v>124</v>
      </c>
      <c r="F1156" s="3" t="s">
        <v>4085</v>
      </c>
      <c r="G1156" s="6">
        <f>18.708*L1156</f>
        <v>224.49599999999998</v>
      </c>
      <c r="H1156" s="7">
        <v>41737</v>
      </c>
      <c r="I1156" s="6" t="s">
        <v>247</v>
      </c>
      <c r="J1156" s="6" t="s">
        <v>4086</v>
      </c>
      <c r="K1156" s="6" t="s">
        <v>21</v>
      </c>
      <c r="L1156" s="6">
        <v>12</v>
      </c>
      <c r="M1156" s="15" t="s">
        <v>4083</v>
      </c>
      <c r="N1156" s="15" t="s">
        <v>1211</v>
      </c>
      <c r="O1156" s="27" t="s">
        <v>4087</v>
      </c>
    </row>
    <row r="1157" spans="1:15" ht="13.5" customHeight="1">
      <c r="A1157" s="3" t="s">
        <v>1908</v>
      </c>
      <c r="B1157" s="3"/>
      <c r="C1157" s="3"/>
      <c r="D1157" s="5" t="s">
        <v>2497</v>
      </c>
      <c r="E1157" s="5" t="s">
        <v>124</v>
      </c>
      <c r="F1157" s="3" t="s">
        <v>4088</v>
      </c>
      <c r="G1157" s="6">
        <f>27.688*L1157</f>
        <v>221.50399999999999</v>
      </c>
      <c r="H1157" s="7">
        <v>41737</v>
      </c>
      <c r="I1157" s="6" t="s">
        <v>907</v>
      </c>
      <c r="J1157" s="6" t="s">
        <v>4089</v>
      </c>
      <c r="K1157" s="6" t="s">
        <v>21</v>
      </c>
      <c r="L1157" s="6">
        <v>8</v>
      </c>
      <c r="M1157" s="15" t="s">
        <v>4090</v>
      </c>
      <c r="N1157" s="15" t="s">
        <v>4091</v>
      </c>
      <c r="O1157" s="27" t="s">
        <v>4090</v>
      </c>
    </row>
    <row r="1158" spans="1:15" ht="13.5" customHeight="1">
      <c r="A1158" s="3" t="s">
        <v>514</v>
      </c>
      <c r="B1158" s="3"/>
      <c r="C1158" s="3"/>
      <c r="D1158" s="5" t="s">
        <v>2030</v>
      </c>
      <c r="E1158" s="5" t="s">
        <v>124</v>
      </c>
      <c r="F1158" s="3" t="s">
        <v>4092</v>
      </c>
      <c r="G1158" s="6">
        <f>14.405*L1158</f>
        <v>172.85999999999999</v>
      </c>
      <c r="H1158" s="7">
        <v>41737</v>
      </c>
      <c r="I1158" s="6" t="s">
        <v>265</v>
      </c>
      <c r="J1158" s="6" t="s">
        <v>4093</v>
      </c>
      <c r="K1158" s="6" t="s">
        <v>21</v>
      </c>
      <c r="L1158" s="6">
        <v>12</v>
      </c>
      <c r="M1158" s="15" t="s">
        <v>4094</v>
      </c>
      <c r="N1158" s="15" t="s">
        <v>164</v>
      </c>
      <c r="O1158" s="27" t="s">
        <v>4094</v>
      </c>
    </row>
    <row r="1159" spans="1:15" s="1" customFormat="1" ht="13.5" customHeight="1">
      <c r="A1159" s="3" t="s">
        <v>514</v>
      </c>
      <c r="B1159" s="3"/>
      <c r="C1159" s="3"/>
      <c r="D1159" s="5" t="s">
        <v>2030</v>
      </c>
      <c r="E1159" s="5" t="s">
        <v>124</v>
      </c>
      <c r="F1159" s="3" t="s">
        <v>4095</v>
      </c>
      <c r="G1159" s="6">
        <f>14.405*L1159</f>
        <v>187.26499999999999</v>
      </c>
      <c r="H1159" s="7">
        <v>41737</v>
      </c>
      <c r="I1159" s="6" t="s">
        <v>265</v>
      </c>
      <c r="J1159" s="6" t="s">
        <v>4096</v>
      </c>
      <c r="K1159" s="6" t="s">
        <v>21</v>
      </c>
      <c r="L1159" s="6">
        <v>13</v>
      </c>
      <c r="M1159" s="15" t="s">
        <v>4094</v>
      </c>
      <c r="N1159" s="15" t="s">
        <v>167</v>
      </c>
      <c r="O1159" s="27" t="s">
        <v>4097</v>
      </c>
    </row>
    <row r="1160" spans="1:15" ht="13.5" customHeight="1">
      <c r="A1160" s="3" t="s">
        <v>654</v>
      </c>
      <c r="B1160" s="3"/>
      <c r="C1160" s="3"/>
      <c r="D1160" s="5" t="s">
        <v>410</v>
      </c>
      <c r="E1160" s="5" t="s">
        <v>124</v>
      </c>
      <c r="F1160" s="3" t="s">
        <v>4098</v>
      </c>
      <c r="G1160" s="6">
        <f t="shared" ref="G1160:G1167" si="41">17.52*L1160</f>
        <v>210.24</v>
      </c>
      <c r="H1160" s="7">
        <v>41738</v>
      </c>
      <c r="I1160" s="6" t="s">
        <v>209</v>
      </c>
      <c r="J1160" s="6" t="s">
        <v>4099</v>
      </c>
      <c r="K1160" s="6" t="s">
        <v>21</v>
      </c>
      <c r="L1160" s="6">
        <v>12</v>
      </c>
      <c r="M1160" s="15" t="s">
        <v>4100</v>
      </c>
      <c r="N1160" s="15" t="s">
        <v>164</v>
      </c>
      <c r="O1160" s="27" t="s">
        <v>4100</v>
      </c>
    </row>
    <row r="1161" spans="1:15" s="1" customFormat="1" ht="13.5" customHeight="1">
      <c r="A1161" s="3" t="s">
        <v>654</v>
      </c>
      <c r="B1161" s="3"/>
      <c r="C1161" s="3"/>
      <c r="D1161" s="5" t="s">
        <v>410</v>
      </c>
      <c r="E1161" s="5" t="s">
        <v>124</v>
      </c>
      <c r="F1161" s="3" t="s">
        <v>4101</v>
      </c>
      <c r="G1161" s="6">
        <f t="shared" si="41"/>
        <v>227.76</v>
      </c>
      <c r="H1161" s="7">
        <v>41738</v>
      </c>
      <c r="I1161" s="6" t="s">
        <v>209</v>
      </c>
      <c r="J1161" s="6" t="s">
        <v>4102</v>
      </c>
      <c r="K1161" s="6" t="s">
        <v>21</v>
      </c>
      <c r="L1161" s="6">
        <v>13</v>
      </c>
      <c r="M1161" s="15" t="s">
        <v>4100</v>
      </c>
      <c r="N1161" s="15" t="s">
        <v>167</v>
      </c>
      <c r="O1161" s="27" t="s">
        <v>4103</v>
      </c>
    </row>
    <row r="1162" spans="1:15" ht="13.5" customHeight="1">
      <c r="A1162" s="3" t="s">
        <v>654</v>
      </c>
      <c r="B1162" s="3"/>
      <c r="C1162" s="3"/>
      <c r="D1162" s="5" t="s">
        <v>410</v>
      </c>
      <c r="E1162" s="5" t="s">
        <v>124</v>
      </c>
      <c r="F1162" s="3" t="s">
        <v>4104</v>
      </c>
      <c r="G1162" s="6">
        <f t="shared" si="41"/>
        <v>70.08</v>
      </c>
      <c r="H1162" s="7">
        <v>41738</v>
      </c>
      <c r="I1162" s="6" t="s">
        <v>209</v>
      </c>
      <c r="J1162" s="6" t="s">
        <v>4105</v>
      </c>
      <c r="K1162" s="6" t="s">
        <v>21</v>
      </c>
      <c r="L1162" s="6">
        <v>4</v>
      </c>
      <c r="M1162" s="15" t="s">
        <v>4106</v>
      </c>
      <c r="N1162" s="15" t="s">
        <v>4107</v>
      </c>
      <c r="O1162" s="28" t="s">
        <v>4106</v>
      </c>
    </row>
    <row r="1163" spans="1:15" ht="13.5" customHeight="1">
      <c r="A1163" s="3" t="s">
        <v>654</v>
      </c>
      <c r="B1163" s="3"/>
      <c r="C1163" s="3"/>
      <c r="D1163" s="5" t="s">
        <v>410</v>
      </c>
      <c r="E1163" s="5" t="s">
        <v>124</v>
      </c>
      <c r="F1163" s="3" t="s">
        <v>4108</v>
      </c>
      <c r="G1163" s="6">
        <f t="shared" si="41"/>
        <v>70.08</v>
      </c>
      <c r="H1163" s="7">
        <v>41738</v>
      </c>
      <c r="I1163" s="6" t="s">
        <v>209</v>
      </c>
      <c r="J1163" s="6" t="s">
        <v>4109</v>
      </c>
      <c r="K1163" s="6" t="s">
        <v>21</v>
      </c>
      <c r="L1163" s="6">
        <v>4</v>
      </c>
      <c r="M1163" s="15" t="s">
        <v>4110</v>
      </c>
      <c r="N1163" s="15" t="s">
        <v>4111</v>
      </c>
      <c r="O1163" s="28" t="s">
        <v>4110</v>
      </c>
    </row>
    <row r="1164" spans="1:15" ht="13.5" customHeight="1">
      <c r="A1164" s="3" t="s">
        <v>654</v>
      </c>
      <c r="B1164" s="3"/>
      <c r="C1164" s="3"/>
      <c r="D1164" s="5" t="s">
        <v>410</v>
      </c>
      <c r="E1164" s="5" t="s">
        <v>124</v>
      </c>
      <c r="F1164" s="3" t="s">
        <v>4112</v>
      </c>
      <c r="G1164" s="6">
        <f t="shared" si="41"/>
        <v>157.68</v>
      </c>
      <c r="H1164" s="7">
        <v>41738</v>
      </c>
      <c r="I1164" s="6" t="s">
        <v>209</v>
      </c>
      <c r="J1164" s="6" t="s">
        <v>4113</v>
      </c>
      <c r="K1164" s="6" t="s">
        <v>21</v>
      </c>
      <c r="L1164" s="6">
        <v>9</v>
      </c>
      <c r="M1164" s="15" t="s">
        <v>4114</v>
      </c>
      <c r="N1164" s="15" t="s">
        <v>4115</v>
      </c>
      <c r="O1164" s="28" t="s">
        <v>4114</v>
      </c>
    </row>
    <row r="1165" spans="1:15" s="1" customFormat="1" ht="13.5" customHeight="1">
      <c r="A1165" s="3" t="s">
        <v>654</v>
      </c>
      <c r="B1165" s="3"/>
      <c r="C1165" s="3"/>
      <c r="D1165" s="5" t="s">
        <v>410</v>
      </c>
      <c r="E1165" s="5" t="s">
        <v>124</v>
      </c>
      <c r="F1165" s="3" t="s">
        <v>4116</v>
      </c>
      <c r="G1165" s="6">
        <f t="shared" si="41"/>
        <v>140.16</v>
      </c>
      <c r="H1165" s="7">
        <v>41738</v>
      </c>
      <c r="I1165" s="6" t="s">
        <v>209</v>
      </c>
      <c r="J1165" s="6" t="s">
        <v>4117</v>
      </c>
      <c r="K1165" s="6" t="s">
        <v>21</v>
      </c>
      <c r="L1165" s="6">
        <v>8</v>
      </c>
      <c r="M1165" s="15" t="s">
        <v>4114</v>
      </c>
      <c r="N1165" s="15" t="s">
        <v>1096</v>
      </c>
      <c r="O1165" s="28" t="s">
        <v>4118</v>
      </c>
    </row>
    <row r="1166" spans="1:15" s="1" customFormat="1" ht="13.5" customHeight="1">
      <c r="A1166" s="3" t="s">
        <v>854</v>
      </c>
      <c r="B1166" s="3"/>
      <c r="C1166" s="3"/>
      <c r="D1166" s="5" t="s">
        <v>855</v>
      </c>
      <c r="E1166" s="5" t="s">
        <v>124</v>
      </c>
      <c r="F1166" s="3" t="s">
        <v>4119</v>
      </c>
      <c r="G1166" s="6">
        <f t="shared" si="41"/>
        <v>227.76</v>
      </c>
      <c r="H1166" s="7">
        <v>41738</v>
      </c>
      <c r="I1166" s="6" t="s">
        <v>209</v>
      </c>
      <c r="J1166" s="6" t="s">
        <v>4120</v>
      </c>
      <c r="K1166" s="6" t="s">
        <v>21</v>
      </c>
      <c r="L1166" s="6">
        <v>13</v>
      </c>
      <c r="M1166" s="15" t="s">
        <v>4071</v>
      </c>
      <c r="N1166" s="15" t="s">
        <v>167</v>
      </c>
      <c r="O1166" s="28" t="s">
        <v>4121</v>
      </c>
    </row>
    <row r="1167" spans="1:15" s="1" customFormat="1" ht="13.5" customHeight="1">
      <c r="A1167" s="3" t="s">
        <v>551</v>
      </c>
      <c r="B1167" s="3"/>
      <c r="C1167" s="3"/>
      <c r="D1167" s="5" t="s">
        <v>552</v>
      </c>
      <c r="E1167" s="5" t="s">
        <v>124</v>
      </c>
      <c r="F1167" s="3" t="s">
        <v>4122</v>
      </c>
      <c r="G1167" s="6">
        <f t="shared" si="41"/>
        <v>210.24</v>
      </c>
      <c r="H1167" s="7">
        <v>41738</v>
      </c>
      <c r="I1167" s="6" t="s">
        <v>265</v>
      </c>
      <c r="J1167" s="6" t="s">
        <v>4123</v>
      </c>
      <c r="K1167" s="6" t="s">
        <v>21</v>
      </c>
      <c r="L1167" s="6">
        <v>12</v>
      </c>
      <c r="M1167" s="15" t="s">
        <v>4124</v>
      </c>
      <c r="N1167" s="15" t="s">
        <v>164</v>
      </c>
      <c r="O1167" s="28" t="s">
        <v>4124</v>
      </c>
    </row>
    <row r="1168" spans="1:15" s="1" customFormat="1" ht="13.5" customHeight="1">
      <c r="A1168" s="3" t="s">
        <v>884</v>
      </c>
      <c r="B1168" s="3" t="s">
        <v>134</v>
      </c>
      <c r="C1168" s="3"/>
      <c r="D1168" s="5" t="s">
        <v>135</v>
      </c>
      <c r="E1168" s="5" t="s">
        <v>124</v>
      </c>
      <c r="F1168" s="3" t="s">
        <v>9177</v>
      </c>
      <c r="G1168" s="6">
        <f>29.101*L1168/2</f>
        <v>160.05549999999999</v>
      </c>
      <c r="H1168" s="7">
        <v>41738</v>
      </c>
      <c r="I1168" s="6" t="s">
        <v>886</v>
      </c>
      <c r="J1168" s="6" t="s">
        <v>9178</v>
      </c>
      <c r="K1168" s="6" t="s">
        <v>21</v>
      </c>
      <c r="L1168" s="6">
        <v>11</v>
      </c>
      <c r="M1168" s="15" t="s">
        <v>2247</v>
      </c>
      <c r="N1168" s="15" t="s">
        <v>2199</v>
      </c>
      <c r="O1168" s="15" t="s">
        <v>9179</v>
      </c>
    </row>
    <row r="1169" spans="1:15" ht="13.5" customHeight="1">
      <c r="A1169" s="3" t="s">
        <v>416</v>
      </c>
      <c r="B1169" s="3"/>
      <c r="C1169" s="3"/>
      <c r="D1169" s="5" t="s">
        <v>417</v>
      </c>
      <c r="E1169" s="5" t="s">
        <v>124</v>
      </c>
      <c r="F1169" s="3" t="s">
        <v>4125</v>
      </c>
      <c r="G1169" s="6">
        <f>29.101*L1169</f>
        <v>116.404</v>
      </c>
      <c r="H1169" s="7">
        <v>41738</v>
      </c>
      <c r="I1169" s="6" t="s">
        <v>419</v>
      </c>
      <c r="J1169" s="6" t="s">
        <v>4126</v>
      </c>
      <c r="K1169" s="6" t="s">
        <v>21</v>
      </c>
      <c r="L1169" s="6">
        <v>4</v>
      </c>
      <c r="M1169" s="15" t="s">
        <v>2649</v>
      </c>
      <c r="N1169" s="15" t="s">
        <v>4127</v>
      </c>
      <c r="O1169" s="15" t="s">
        <v>4128</v>
      </c>
    </row>
    <row r="1170" spans="1:15" ht="13.5" customHeight="1">
      <c r="A1170" s="3" t="s">
        <v>290</v>
      </c>
      <c r="B1170" s="3"/>
      <c r="C1170" s="3"/>
      <c r="D1170" s="5" t="s">
        <v>291</v>
      </c>
      <c r="E1170" s="5" t="s">
        <v>124</v>
      </c>
      <c r="F1170" s="3" t="s">
        <v>4129</v>
      </c>
      <c r="G1170" s="6">
        <f>17.498*L1170</f>
        <v>34.996000000000002</v>
      </c>
      <c r="H1170" s="7">
        <v>41738</v>
      </c>
      <c r="I1170" s="6" t="s">
        <v>265</v>
      </c>
      <c r="J1170" s="6" t="s">
        <v>4130</v>
      </c>
      <c r="K1170" s="6" t="s">
        <v>21</v>
      </c>
      <c r="L1170" s="6">
        <v>2</v>
      </c>
      <c r="M1170" s="15" t="s">
        <v>4131</v>
      </c>
      <c r="N1170" s="15" t="s">
        <v>268</v>
      </c>
      <c r="O1170" s="28" t="s">
        <v>4131</v>
      </c>
    </row>
    <row r="1171" spans="1:15" s="1" customFormat="1" ht="13.5" customHeight="1">
      <c r="A1171" s="3" t="s">
        <v>269</v>
      </c>
      <c r="B1171" s="3"/>
      <c r="C1171" s="3"/>
      <c r="D1171" s="5" t="s">
        <v>270</v>
      </c>
      <c r="E1171" s="5" t="s">
        <v>124</v>
      </c>
      <c r="F1171" s="3" t="s">
        <v>4132</v>
      </c>
      <c r="G1171" s="6">
        <f>17.498*L1171</f>
        <v>227.47400000000002</v>
      </c>
      <c r="H1171" s="7">
        <v>41738</v>
      </c>
      <c r="I1171" s="6" t="s">
        <v>272</v>
      </c>
      <c r="J1171" s="6" t="s">
        <v>4133</v>
      </c>
      <c r="K1171" s="6" t="s">
        <v>21</v>
      </c>
      <c r="L1171" s="6">
        <v>13</v>
      </c>
      <c r="M1171" s="15" t="s">
        <v>3851</v>
      </c>
      <c r="N1171" s="15" t="s">
        <v>167</v>
      </c>
      <c r="O1171" s="15" t="s">
        <v>4134</v>
      </c>
    </row>
    <row r="1172" spans="1:15" s="1" customFormat="1" ht="13.5" customHeight="1">
      <c r="A1172" s="3" t="s">
        <v>579</v>
      </c>
      <c r="B1172" s="3" t="s">
        <v>283</v>
      </c>
      <c r="C1172" s="3"/>
      <c r="D1172" s="5" t="s">
        <v>580</v>
      </c>
      <c r="E1172" s="5" t="s">
        <v>124</v>
      </c>
      <c r="F1172" s="3" t="s">
        <v>4135</v>
      </c>
      <c r="G1172" s="6">
        <f>9.871*L1172</f>
        <v>118.452</v>
      </c>
      <c r="H1172" s="7">
        <v>41738</v>
      </c>
      <c r="I1172" s="6" t="s">
        <v>161</v>
      </c>
      <c r="J1172" s="6" t="s">
        <v>4136</v>
      </c>
      <c r="K1172" s="6" t="s">
        <v>21</v>
      </c>
      <c r="L1172" s="6">
        <v>12</v>
      </c>
      <c r="M1172" s="15" t="s">
        <v>4137</v>
      </c>
      <c r="N1172" s="15" t="s">
        <v>164</v>
      </c>
      <c r="O1172" s="27" t="s">
        <v>4138</v>
      </c>
    </row>
    <row r="1173" spans="1:15" s="1" customFormat="1" ht="13.5" customHeight="1">
      <c r="A1173" s="3" t="s">
        <v>579</v>
      </c>
      <c r="B1173" s="3" t="s">
        <v>4059</v>
      </c>
      <c r="C1173" s="3"/>
      <c r="D1173" s="5" t="s">
        <v>580</v>
      </c>
      <c r="E1173" s="5" t="s">
        <v>124</v>
      </c>
      <c r="F1173" s="3" t="s">
        <v>4139</v>
      </c>
      <c r="G1173" s="6">
        <f>9.871*L1173</f>
        <v>128.32300000000001</v>
      </c>
      <c r="H1173" s="7">
        <v>41738</v>
      </c>
      <c r="I1173" s="6" t="s">
        <v>161</v>
      </c>
      <c r="J1173" s="6" t="s">
        <v>4140</v>
      </c>
      <c r="K1173" s="6" t="s">
        <v>21</v>
      </c>
      <c r="L1173" s="6">
        <v>13</v>
      </c>
      <c r="M1173" s="15" t="s">
        <v>4137</v>
      </c>
      <c r="N1173" s="15" t="s">
        <v>167</v>
      </c>
      <c r="O1173" s="27" t="s">
        <v>4141</v>
      </c>
    </row>
    <row r="1174" spans="1:15" s="1" customFormat="1" ht="13.5" customHeight="1">
      <c r="A1174" s="3" t="s">
        <v>579</v>
      </c>
      <c r="B1174" s="3" t="s">
        <v>4059</v>
      </c>
      <c r="C1174" s="3"/>
      <c r="D1174" s="5" t="s">
        <v>580</v>
      </c>
      <c r="E1174" s="5" t="s">
        <v>124</v>
      </c>
      <c r="F1174" s="3" t="s">
        <v>4142</v>
      </c>
      <c r="G1174" s="6">
        <f>9.871*L1174</f>
        <v>69.097000000000008</v>
      </c>
      <c r="H1174" s="7">
        <v>41738</v>
      </c>
      <c r="I1174" s="6" t="s">
        <v>161</v>
      </c>
      <c r="J1174" s="6" t="s">
        <v>4143</v>
      </c>
      <c r="K1174" s="6" t="s">
        <v>21</v>
      </c>
      <c r="L1174" s="6">
        <v>7</v>
      </c>
      <c r="M1174" s="15" t="s">
        <v>4144</v>
      </c>
      <c r="N1174" s="15" t="s">
        <v>4145</v>
      </c>
      <c r="O1174" s="28" t="s">
        <v>4144</v>
      </c>
    </row>
    <row r="1175" spans="1:15" s="1" customFormat="1" ht="13.5" customHeight="1">
      <c r="A1175" s="3" t="s">
        <v>579</v>
      </c>
      <c r="B1175" s="3" t="s">
        <v>283</v>
      </c>
      <c r="C1175" s="3"/>
      <c r="D1175" s="5" t="s">
        <v>580</v>
      </c>
      <c r="E1175" s="5" t="s">
        <v>124</v>
      </c>
      <c r="F1175" s="3" t="s">
        <v>4146</v>
      </c>
      <c r="G1175" s="6">
        <f>9.871*L1175</f>
        <v>69.097000000000008</v>
      </c>
      <c r="H1175" s="7">
        <v>41738</v>
      </c>
      <c r="I1175" s="6" t="s">
        <v>161</v>
      </c>
      <c r="J1175" s="6" t="s">
        <v>4147</v>
      </c>
      <c r="K1175" s="6" t="s">
        <v>21</v>
      </c>
      <c r="L1175" s="6">
        <v>7</v>
      </c>
      <c r="M1175" s="15" t="s">
        <v>4144</v>
      </c>
      <c r="N1175" s="15" t="s">
        <v>1141</v>
      </c>
      <c r="O1175" s="15" t="s">
        <v>4148</v>
      </c>
    </row>
    <row r="1176" spans="1:15" ht="13.5" customHeight="1">
      <c r="A1176" s="3" t="s">
        <v>494</v>
      </c>
      <c r="B1176" s="3"/>
      <c r="C1176" s="3"/>
      <c r="D1176" s="5" t="s">
        <v>495</v>
      </c>
      <c r="E1176" s="5" t="s">
        <v>124</v>
      </c>
      <c r="F1176" s="3" t="s">
        <v>4149</v>
      </c>
      <c r="G1176" s="6">
        <f>12.838*L1176</f>
        <v>102.70399999999999</v>
      </c>
      <c r="H1176" s="7">
        <v>41738</v>
      </c>
      <c r="I1176" s="6" t="s">
        <v>471</v>
      </c>
      <c r="J1176" s="6" t="s">
        <v>4150</v>
      </c>
      <c r="K1176" s="6" t="s">
        <v>21</v>
      </c>
      <c r="L1176" s="6">
        <v>8</v>
      </c>
      <c r="M1176" s="15" t="s">
        <v>4151</v>
      </c>
      <c r="N1176" s="15" t="s">
        <v>447</v>
      </c>
      <c r="O1176" s="28" t="s">
        <v>4151</v>
      </c>
    </row>
    <row r="1177" spans="1:15" s="1" customFormat="1" ht="13.5" customHeight="1">
      <c r="A1177" s="3" t="s">
        <v>469</v>
      </c>
      <c r="B1177" s="3"/>
      <c r="C1177" s="3"/>
      <c r="D1177" s="5" t="s">
        <v>276</v>
      </c>
      <c r="E1177" s="5" t="s">
        <v>124</v>
      </c>
      <c r="F1177" s="3" t="s">
        <v>4152</v>
      </c>
      <c r="G1177" s="6">
        <f>6.405*L1177</f>
        <v>160.125</v>
      </c>
      <c r="H1177" s="7">
        <v>41738</v>
      </c>
      <c r="I1177" s="6" t="s">
        <v>471</v>
      </c>
      <c r="J1177" s="6" t="s">
        <v>4153</v>
      </c>
      <c r="K1177" s="6" t="s">
        <v>21</v>
      </c>
      <c r="L1177" s="6">
        <v>25</v>
      </c>
      <c r="M1177" s="15" t="s">
        <v>4154</v>
      </c>
      <c r="N1177" s="15" t="s">
        <v>281</v>
      </c>
      <c r="O1177" s="28" t="s">
        <v>4154</v>
      </c>
    </row>
    <row r="1178" spans="1:15" s="1" customFormat="1" ht="13.5" customHeight="1">
      <c r="A1178" s="3" t="s">
        <v>275</v>
      </c>
      <c r="B1178" s="3"/>
      <c r="C1178" s="3"/>
      <c r="D1178" s="5" t="s">
        <v>276</v>
      </c>
      <c r="E1178" s="5" t="s">
        <v>124</v>
      </c>
      <c r="F1178" s="3" t="s">
        <v>4155</v>
      </c>
      <c r="G1178" s="6">
        <f>6.405*L1178</f>
        <v>160.125</v>
      </c>
      <c r="H1178" s="7">
        <v>41738</v>
      </c>
      <c r="I1178" s="6" t="s">
        <v>471</v>
      </c>
      <c r="J1178" s="6" t="s">
        <v>4156</v>
      </c>
      <c r="K1178" s="6" t="s">
        <v>21</v>
      </c>
      <c r="L1178" s="6">
        <v>25</v>
      </c>
      <c r="M1178" s="15" t="s">
        <v>4157</v>
      </c>
      <c r="N1178" s="15" t="s">
        <v>281</v>
      </c>
      <c r="O1178" s="28" t="s">
        <v>4157</v>
      </c>
    </row>
    <row r="1179" spans="1:15" s="1" customFormat="1" ht="13.5" customHeight="1">
      <c r="A1179" s="3" t="s">
        <v>825</v>
      </c>
      <c r="B1179" s="3"/>
      <c r="C1179" s="3"/>
      <c r="D1179" s="5" t="s">
        <v>826</v>
      </c>
      <c r="E1179" s="5" t="s">
        <v>124</v>
      </c>
      <c r="F1179" s="3" t="s">
        <v>4158</v>
      </c>
      <c r="G1179" s="6">
        <v>152.88900000000001</v>
      </c>
      <c r="H1179" s="7">
        <v>41738</v>
      </c>
      <c r="I1179" s="6" t="s">
        <v>209</v>
      </c>
      <c r="J1179" s="6" t="s">
        <v>4159</v>
      </c>
      <c r="K1179" s="6" t="s">
        <v>128</v>
      </c>
      <c r="L1179" s="6" t="s">
        <v>2782</v>
      </c>
      <c r="M1179" s="15" t="s">
        <v>4160</v>
      </c>
      <c r="N1179" s="15" t="s">
        <v>4161</v>
      </c>
      <c r="O1179" s="15" t="s">
        <v>4162</v>
      </c>
    </row>
    <row r="1180" spans="1:15" ht="13.5" customHeight="1">
      <c r="A1180" s="3" t="s">
        <v>1311</v>
      </c>
      <c r="B1180" s="3"/>
      <c r="C1180" s="3"/>
      <c r="D1180" s="5" t="s">
        <v>1312</v>
      </c>
      <c r="E1180" s="5" t="s">
        <v>124</v>
      </c>
      <c r="F1180" s="3" t="s">
        <v>4163</v>
      </c>
      <c r="G1180" s="6">
        <v>87.477000000000004</v>
      </c>
      <c r="H1180" s="7">
        <v>41738</v>
      </c>
      <c r="I1180" s="6" t="s">
        <v>209</v>
      </c>
      <c r="J1180" s="6" t="s">
        <v>4164</v>
      </c>
      <c r="K1180" s="6" t="s">
        <v>128</v>
      </c>
      <c r="L1180" s="6" t="s">
        <v>1850</v>
      </c>
      <c r="M1180" s="15" t="s">
        <v>4165</v>
      </c>
      <c r="N1180" s="15" t="s">
        <v>4166</v>
      </c>
      <c r="O1180" s="28" t="s">
        <v>4167</v>
      </c>
    </row>
    <row r="1181" spans="1:15" s="1" customFormat="1" ht="13.5" customHeight="1">
      <c r="A1181" s="5" t="s">
        <v>1127</v>
      </c>
      <c r="B1181" s="3"/>
      <c r="C1181" s="3"/>
      <c r="D1181" s="5" t="s">
        <v>1128</v>
      </c>
      <c r="E1181" s="5" t="s">
        <v>7026</v>
      </c>
      <c r="F1181" s="3" t="s">
        <v>7734</v>
      </c>
      <c r="G1181" s="6">
        <f t="shared" ref="G1181:G1186" si="42">29.101*L1181</f>
        <v>349.21199999999999</v>
      </c>
      <c r="H1181" s="7">
        <v>41738</v>
      </c>
      <c r="I1181" s="6" t="s">
        <v>178</v>
      </c>
      <c r="J1181" s="6" t="s">
        <v>7735</v>
      </c>
      <c r="K1181" s="6" t="s">
        <v>21</v>
      </c>
      <c r="L1181" s="6">
        <v>12</v>
      </c>
      <c r="M1181" s="15" t="s">
        <v>7736</v>
      </c>
      <c r="N1181" s="15" t="s">
        <v>164</v>
      </c>
      <c r="O1181" s="27"/>
    </row>
    <row r="1182" spans="1:15" ht="13.5" customHeight="1">
      <c r="A1182" s="5" t="s">
        <v>1127</v>
      </c>
      <c r="B1182" s="3"/>
      <c r="C1182" s="3"/>
      <c r="D1182" s="5" t="s">
        <v>1128</v>
      </c>
      <c r="E1182" s="5" t="s">
        <v>7026</v>
      </c>
      <c r="F1182" s="3" t="s">
        <v>7737</v>
      </c>
      <c r="G1182" s="6">
        <f t="shared" si="42"/>
        <v>378.31299999999999</v>
      </c>
      <c r="H1182" s="7">
        <v>41738</v>
      </c>
      <c r="I1182" s="6" t="s">
        <v>178</v>
      </c>
      <c r="J1182" s="6" t="s">
        <v>7738</v>
      </c>
      <c r="K1182" s="6" t="s">
        <v>21</v>
      </c>
      <c r="L1182" s="6">
        <v>13</v>
      </c>
      <c r="M1182" s="15" t="s">
        <v>7736</v>
      </c>
      <c r="N1182" s="15" t="s">
        <v>167</v>
      </c>
      <c r="O1182" s="27"/>
    </row>
    <row r="1183" spans="1:15" s="1" customFormat="1" ht="13.5" customHeight="1">
      <c r="A1183" s="5" t="s">
        <v>1127</v>
      </c>
      <c r="B1183" s="3"/>
      <c r="C1183" s="3"/>
      <c r="D1183" s="5" t="s">
        <v>1128</v>
      </c>
      <c r="E1183" s="5" t="s">
        <v>7026</v>
      </c>
      <c r="F1183" s="3" t="s">
        <v>7739</v>
      </c>
      <c r="G1183" s="6">
        <f t="shared" si="42"/>
        <v>349.21199999999999</v>
      </c>
      <c r="H1183" s="7">
        <v>41738</v>
      </c>
      <c r="I1183" s="6" t="s">
        <v>178</v>
      </c>
      <c r="J1183" s="6" t="s">
        <v>7740</v>
      </c>
      <c r="K1183" s="6" t="s">
        <v>21</v>
      </c>
      <c r="L1183" s="6">
        <v>12</v>
      </c>
      <c r="M1183" s="15" t="s">
        <v>7741</v>
      </c>
      <c r="N1183" s="15" t="s">
        <v>164</v>
      </c>
      <c r="O1183" s="27"/>
    </row>
    <row r="1184" spans="1:15" ht="13.5" customHeight="1">
      <c r="A1184" s="5" t="s">
        <v>1127</v>
      </c>
      <c r="B1184" s="3"/>
      <c r="C1184" s="3"/>
      <c r="D1184" s="5" t="s">
        <v>1128</v>
      </c>
      <c r="E1184" s="5" t="s">
        <v>7026</v>
      </c>
      <c r="F1184" s="3" t="s">
        <v>7742</v>
      </c>
      <c r="G1184" s="6">
        <f t="shared" si="42"/>
        <v>378.31299999999999</v>
      </c>
      <c r="H1184" s="7">
        <v>41738</v>
      </c>
      <c r="I1184" s="6" t="s">
        <v>178</v>
      </c>
      <c r="J1184" s="6" t="s">
        <v>7743</v>
      </c>
      <c r="K1184" s="6" t="s">
        <v>21</v>
      </c>
      <c r="L1184" s="6">
        <v>13</v>
      </c>
      <c r="M1184" s="15" t="s">
        <v>7741</v>
      </c>
      <c r="N1184" s="15" t="s">
        <v>167</v>
      </c>
      <c r="O1184" s="27"/>
    </row>
    <row r="1185" spans="1:15" ht="13.5" customHeight="1">
      <c r="A1185" s="5" t="s">
        <v>1127</v>
      </c>
      <c r="B1185" s="3"/>
      <c r="C1185" s="3"/>
      <c r="D1185" s="5" t="s">
        <v>1128</v>
      </c>
      <c r="E1185" s="5" t="s">
        <v>7026</v>
      </c>
      <c r="F1185" s="3" t="s">
        <v>7744</v>
      </c>
      <c r="G1185" s="6">
        <f t="shared" si="42"/>
        <v>349.21199999999999</v>
      </c>
      <c r="H1185" s="7">
        <v>41738</v>
      </c>
      <c r="I1185" s="6" t="s">
        <v>178</v>
      </c>
      <c r="J1185" s="6" t="s">
        <v>7745</v>
      </c>
      <c r="K1185" s="6" t="s">
        <v>21</v>
      </c>
      <c r="L1185" s="6">
        <v>12</v>
      </c>
      <c r="M1185" s="15" t="s">
        <v>7746</v>
      </c>
      <c r="N1185" s="15" t="s">
        <v>164</v>
      </c>
      <c r="O1185" s="27"/>
    </row>
    <row r="1186" spans="1:15" ht="13.5" customHeight="1">
      <c r="A1186" s="5" t="s">
        <v>1127</v>
      </c>
      <c r="B1186" s="3"/>
      <c r="C1186" s="3"/>
      <c r="D1186" s="5" t="s">
        <v>1128</v>
      </c>
      <c r="E1186" s="5" t="s">
        <v>7026</v>
      </c>
      <c r="F1186" s="3" t="s">
        <v>7747</v>
      </c>
      <c r="G1186" s="6">
        <f t="shared" si="42"/>
        <v>378.31299999999999</v>
      </c>
      <c r="H1186" s="7">
        <v>41738</v>
      </c>
      <c r="I1186" s="6" t="s">
        <v>178</v>
      </c>
      <c r="J1186" s="6" t="s">
        <v>7748</v>
      </c>
      <c r="K1186" s="6" t="s">
        <v>21</v>
      </c>
      <c r="L1186" s="6">
        <v>13</v>
      </c>
      <c r="M1186" s="15" t="s">
        <v>7746</v>
      </c>
      <c r="N1186" s="15" t="s">
        <v>167</v>
      </c>
      <c r="O1186" s="27"/>
    </row>
    <row r="1187" spans="1:15" ht="13.5" customHeight="1">
      <c r="A1187" s="5" t="s">
        <v>918</v>
      </c>
      <c r="B1187" s="3"/>
      <c r="C1187" s="3"/>
      <c r="D1187" s="5" t="s">
        <v>919</v>
      </c>
      <c r="E1187" s="5" t="s">
        <v>7026</v>
      </c>
      <c r="F1187" s="3" t="s">
        <v>7749</v>
      </c>
      <c r="G1187" s="6">
        <f t="shared" ref="G1187:G1192" si="43">17.712*L1187</f>
        <v>212.54399999999998</v>
      </c>
      <c r="H1187" s="7">
        <v>41738</v>
      </c>
      <c r="I1187" s="6" t="s">
        <v>265</v>
      </c>
      <c r="J1187" s="6" t="s">
        <v>7750</v>
      </c>
      <c r="K1187" s="6" t="s">
        <v>21</v>
      </c>
      <c r="L1187" s="6">
        <v>12</v>
      </c>
      <c r="M1187" s="15" t="s">
        <v>7751</v>
      </c>
      <c r="N1187" s="15" t="s">
        <v>164</v>
      </c>
      <c r="O1187" s="27" t="s">
        <v>7752</v>
      </c>
    </row>
    <row r="1188" spans="1:15" ht="13.5" customHeight="1">
      <c r="A1188" s="5" t="s">
        <v>918</v>
      </c>
      <c r="B1188" s="3"/>
      <c r="C1188" s="3"/>
      <c r="D1188" s="5" t="s">
        <v>919</v>
      </c>
      <c r="E1188" s="5" t="s">
        <v>7026</v>
      </c>
      <c r="F1188" s="3" t="s">
        <v>7753</v>
      </c>
      <c r="G1188" s="6">
        <f t="shared" si="43"/>
        <v>230.256</v>
      </c>
      <c r="H1188" s="7">
        <v>41738</v>
      </c>
      <c r="I1188" s="6" t="s">
        <v>265</v>
      </c>
      <c r="J1188" s="6" t="s">
        <v>7754</v>
      </c>
      <c r="K1188" s="6" t="s">
        <v>21</v>
      </c>
      <c r="L1188" s="6">
        <v>13</v>
      </c>
      <c r="M1188" s="15" t="s">
        <v>7751</v>
      </c>
      <c r="N1188" s="15" t="s">
        <v>167</v>
      </c>
      <c r="O1188" s="27" t="s">
        <v>7755</v>
      </c>
    </row>
    <row r="1189" spans="1:15" s="1" customFormat="1" ht="13.5" customHeight="1">
      <c r="A1189" s="5" t="s">
        <v>918</v>
      </c>
      <c r="B1189" s="3"/>
      <c r="C1189" s="3"/>
      <c r="D1189" s="5" t="s">
        <v>919</v>
      </c>
      <c r="E1189" s="5" t="s">
        <v>7026</v>
      </c>
      <c r="F1189" s="3" t="s">
        <v>7756</v>
      </c>
      <c r="G1189" s="6">
        <f t="shared" si="43"/>
        <v>212.54399999999998</v>
      </c>
      <c r="H1189" s="7">
        <v>41738</v>
      </c>
      <c r="I1189" s="6" t="s">
        <v>265</v>
      </c>
      <c r="J1189" s="6" t="s">
        <v>7757</v>
      </c>
      <c r="K1189" s="6" t="s">
        <v>21</v>
      </c>
      <c r="L1189" s="6">
        <v>12</v>
      </c>
      <c r="M1189" s="15" t="s">
        <v>7758</v>
      </c>
      <c r="N1189" s="15" t="s">
        <v>164</v>
      </c>
      <c r="O1189" s="27" t="s">
        <v>7759</v>
      </c>
    </row>
    <row r="1190" spans="1:15" s="1" customFormat="1" ht="13.5" customHeight="1">
      <c r="A1190" s="5" t="s">
        <v>918</v>
      </c>
      <c r="B1190" s="3"/>
      <c r="C1190" s="3"/>
      <c r="D1190" s="5" t="s">
        <v>919</v>
      </c>
      <c r="E1190" s="5" t="s">
        <v>7026</v>
      </c>
      <c r="F1190" s="3" t="s">
        <v>7760</v>
      </c>
      <c r="G1190" s="6">
        <f t="shared" si="43"/>
        <v>230.256</v>
      </c>
      <c r="H1190" s="7">
        <v>41738</v>
      </c>
      <c r="I1190" s="6" t="s">
        <v>265</v>
      </c>
      <c r="J1190" s="6" t="s">
        <v>7761</v>
      </c>
      <c r="K1190" s="6" t="s">
        <v>21</v>
      </c>
      <c r="L1190" s="6">
        <v>13</v>
      </c>
      <c r="M1190" s="15" t="s">
        <v>7758</v>
      </c>
      <c r="N1190" s="15" t="s">
        <v>167</v>
      </c>
      <c r="O1190" s="27" t="s">
        <v>7762</v>
      </c>
    </row>
    <row r="1191" spans="1:15" s="1" customFormat="1" ht="13.5" customHeight="1">
      <c r="A1191" s="5" t="s">
        <v>918</v>
      </c>
      <c r="B1191" s="3"/>
      <c r="C1191" s="3"/>
      <c r="D1191" s="5" t="s">
        <v>919</v>
      </c>
      <c r="E1191" s="5" t="s">
        <v>7026</v>
      </c>
      <c r="F1191" s="3" t="s">
        <v>7763</v>
      </c>
      <c r="G1191" s="6">
        <f t="shared" si="43"/>
        <v>212.54399999999998</v>
      </c>
      <c r="H1191" s="7">
        <v>41738</v>
      </c>
      <c r="I1191" s="6" t="s">
        <v>265</v>
      </c>
      <c r="J1191" s="6" t="s">
        <v>7764</v>
      </c>
      <c r="K1191" s="6" t="s">
        <v>21</v>
      </c>
      <c r="L1191" s="6">
        <v>12</v>
      </c>
      <c r="M1191" s="15" t="s">
        <v>7765</v>
      </c>
      <c r="N1191" s="15" t="s">
        <v>164</v>
      </c>
      <c r="O1191" s="27" t="s">
        <v>7766</v>
      </c>
    </row>
    <row r="1192" spans="1:15" s="1" customFormat="1" ht="13.5" customHeight="1">
      <c r="A1192" s="5" t="s">
        <v>918</v>
      </c>
      <c r="B1192" s="3"/>
      <c r="C1192" s="3"/>
      <c r="D1192" s="5" t="s">
        <v>919</v>
      </c>
      <c r="E1192" s="5" t="s">
        <v>7026</v>
      </c>
      <c r="F1192" s="3" t="s">
        <v>7767</v>
      </c>
      <c r="G1192" s="6">
        <f t="shared" si="43"/>
        <v>194.83199999999999</v>
      </c>
      <c r="H1192" s="7">
        <v>41738</v>
      </c>
      <c r="I1192" s="6" t="s">
        <v>265</v>
      </c>
      <c r="J1192" s="6" t="s">
        <v>7768</v>
      </c>
      <c r="K1192" s="6" t="s">
        <v>21</v>
      </c>
      <c r="L1192" s="6">
        <v>11</v>
      </c>
      <c r="M1192" s="15" t="s">
        <v>7765</v>
      </c>
      <c r="N1192" s="15" t="s">
        <v>5794</v>
      </c>
      <c r="O1192" s="27" t="s">
        <v>7769</v>
      </c>
    </row>
    <row r="1193" spans="1:15" s="1" customFormat="1" ht="13.5" customHeight="1">
      <c r="A1193" s="5" t="s">
        <v>1043</v>
      </c>
      <c r="B1193" s="3"/>
      <c r="C1193" s="3"/>
      <c r="D1193" s="5" t="s">
        <v>443</v>
      </c>
      <c r="E1193" s="5" t="s">
        <v>7026</v>
      </c>
      <c r="F1193" s="3" t="s">
        <v>7770</v>
      </c>
      <c r="G1193" s="6">
        <f>18.708*L1193</f>
        <v>224.49599999999998</v>
      </c>
      <c r="H1193" s="7">
        <v>41738</v>
      </c>
      <c r="I1193" s="6" t="s">
        <v>178</v>
      </c>
      <c r="J1193" s="6" t="s">
        <v>7771</v>
      </c>
      <c r="K1193" s="6" t="s">
        <v>21</v>
      </c>
      <c r="L1193" s="6">
        <v>12</v>
      </c>
      <c r="M1193" s="15" t="s">
        <v>7772</v>
      </c>
      <c r="N1193" s="15" t="s">
        <v>164</v>
      </c>
      <c r="O1193" s="27"/>
    </row>
    <row r="1194" spans="1:15" ht="13.5" customHeight="1">
      <c r="A1194" s="5" t="s">
        <v>1043</v>
      </c>
      <c r="B1194" s="3"/>
      <c r="C1194" s="3"/>
      <c r="D1194" s="5" t="s">
        <v>443</v>
      </c>
      <c r="E1194" s="5" t="s">
        <v>7026</v>
      </c>
      <c r="F1194" s="3" t="s">
        <v>7773</v>
      </c>
      <c r="G1194" s="6">
        <f>18.708*L1194</f>
        <v>243.20399999999998</v>
      </c>
      <c r="H1194" s="7">
        <v>41738</v>
      </c>
      <c r="I1194" s="6" t="s">
        <v>178</v>
      </c>
      <c r="J1194" s="6" t="s">
        <v>7774</v>
      </c>
      <c r="K1194" s="6" t="s">
        <v>21</v>
      </c>
      <c r="L1194" s="6">
        <v>13</v>
      </c>
      <c r="M1194" s="15" t="s">
        <v>7772</v>
      </c>
      <c r="N1194" s="15" t="s">
        <v>167</v>
      </c>
      <c r="O1194" s="27"/>
    </row>
    <row r="1195" spans="1:15" ht="13.5" customHeight="1">
      <c r="A1195" s="5" t="s">
        <v>1127</v>
      </c>
      <c r="B1195" s="3"/>
      <c r="C1195" s="3"/>
      <c r="D1195" s="5" t="s">
        <v>1128</v>
      </c>
      <c r="E1195" s="5" t="s">
        <v>7026</v>
      </c>
      <c r="F1195" s="3" t="s">
        <v>7775</v>
      </c>
      <c r="G1195" s="6">
        <f>29.101*L1195</f>
        <v>349.21199999999999</v>
      </c>
      <c r="H1195" s="7">
        <v>41738</v>
      </c>
      <c r="I1195" s="6" t="s">
        <v>178</v>
      </c>
      <c r="J1195" s="6" t="s">
        <v>7776</v>
      </c>
      <c r="K1195" s="6" t="s">
        <v>21</v>
      </c>
      <c r="L1195" s="6">
        <v>12</v>
      </c>
      <c r="M1195" s="15" t="s">
        <v>7777</v>
      </c>
      <c r="N1195" s="15" t="s">
        <v>164</v>
      </c>
      <c r="O1195" s="27"/>
    </row>
    <row r="1196" spans="1:15" ht="13.5" customHeight="1">
      <c r="A1196" s="5" t="s">
        <v>1127</v>
      </c>
      <c r="B1196" s="3"/>
      <c r="C1196" s="3"/>
      <c r="D1196" s="5" t="s">
        <v>1128</v>
      </c>
      <c r="E1196" s="5" t="s">
        <v>7026</v>
      </c>
      <c r="F1196" s="3" t="s">
        <v>7778</v>
      </c>
      <c r="G1196" s="6">
        <f>29.101*L1196</f>
        <v>378.31299999999999</v>
      </c>
      <c r="H1196" s="7">
        <v>41738</v>
      </c>
      <c r="I1196" s="6" t="s">
        <v>178</v>
      </c>
      <c r="J1196" s="6" t="s">
        <v>7779</v>
      </c>
      <c r="K1196" s="6" t="s">
        <v>21</v>
      </c>
      <c r="L1196" s="6">
        <v>13</v>
      </c>
      <c r="M1196" s="15" t="s">
        <v>7777</v>
      </c>
      <c r="N1196" s="15" t="s">
        <v>167</v>
      </c>
      <c r="O1196" s="27"/>
    </row>
    <row r="1197" spans="1:15" s="1" customFormat="1" ht="13.5" customHeight="1">
      <c r="A1197" s="5" t="s">
        <v>1108</v>
      </c>
      <c r="B1197" s="3"/>
      <c r="C1197" s="3"/>
      <c r="D1197" s="5" t="s">
        <v>391</v>
      </c>
      <c r="E1197" s="5" t="s">
        <v>7026</v>
      </c>
      <c r="F1197" s="3" t="s">
        <v>7780</v>
      </c>
      <c r="G1197" s="6">
        <f>17.712*L1197</f>
        <v>88.56</v>
      </c>
      <c r="H1197" s="7">
        <v>41738</v>
      </c>
      <c r="I1197" s="6" t="s">
        <v>265</v>
      </c>
      <c r="J1197" s="6" t="s">
        <v>7781</v>
      </c>
      <c r="K1197" s="6" t="s">
        <v>21</v>
      </c>
      <c r="L1197" s="6">
        <v>5</v>
      </c>
      <c r="M1197" s="15" t="s">
        <v>7782</v>
      </c>
      <c r="N1197" s="15" t="s">
        <v>59</v>
      </c>
      <c r="O1197" s="27" t="s">
        <v>7783</v>
      </c>
    </row>
    <row r="1198" spans="1:15" s="1" customFormat="1" ht="13.5" customHeight="1">
      <c r="A1198" s="5" t="s">
        <v>1108</v>
      </c>
      <c r="B1198" s="3"/>
      <c r="C1198" s="3"/>
      <c r="D1198" s="5" t="s">
        <v>391</v>
      </c>
      <c r="E1198" s="5" t="s">
        <v>7026</v>
      </c>
      <c r="F1198" s="3" t="s">
        <v>7784</v>
      </c>
      <c r="G1198" s="6">
        <f>17.712*L1198</f>
        <v>212.54399999999998</v>
      </c>
      <c r="H1198" s="7">
        <v>41738</v>
      </c>
      <c r="I1198" s="6" t="s">
        <v>265</v>
      </c>
      <c r="J1198" s="6" t="s">
        <v>7785</v>
      </c>
      <c r="K1198" s="6" t="s">
        <v>21</v>
      </c>
      <c r="L1198" s="6">
        <v>12</v>
      </c>
      <c r="M1198" s="15" t="s">
        <v>7786</v>
      </c>
      <c r="N1198" s="15" t="s">
        <v>78</v>
      </c>
      <c r="O1198" s="27" t="s">
        <v>7787</v>
      </c>
    </row>
    <row r="1199" spans="1:15" s="1" customFormat="1" ht="13.5" customHeight="1">
      <c r="A1199" s="5" t="s">
        <v>1108</v>
      </c>
      <c r="B1199" s="3"/>
      <c r="C1199" s="3"/>
      <c r="D1199" s="5" t="s">
        <v>391</v>
      </c>
      <c r="E1199" s="5" t="s">
        <v>7026</v>
      </c>
      <c r="F1199" s="3" t="s">
        <v>7788</v>
      </c>
      <c r="G1199" s="6">
        <f>17.712*L1199</f>
        <v>230.256</v>
      </c>
      <c r="H1199" s="7">
        <v>41738</v>
      </c>
      <c r="I1199" s="6" t="s">
        <v>265</v>
      </c>
      <c r="J1199" s="6" t="s">
        <v>7789</v>
      </c>
      <c r="K1199" s="6" t="s">
        <v>21</v>
      </c>
      <c r="L1199" s="6">
        <v>13</v>
      </c>
      <c r="M1199" s="15" t="s">
        <v>7786</v>
      </c>
      <c r="N1199" s="15" t="s">
        <v>81</v>
      </c>
      <c r="O1199" s="27" t="s">
        <v>7790</v>
      </c>
    </row>
    <row r="1200" spans="1:15" ht="13.5" customHeight="1">
      <c r="A1200" s="5" t="s">
        <v>1150</v>
      </c>
      <c r="B1200" s="3"/>
      <c r="C1200" s="3"/>
      <c r="D1200" s="5" t="s">
        <v>1151</v>
      </c>
      <c r="E1200" s="5" t="s">
        <v>7026</v>
      </c>
      <c r="F1200" s="3" t="s">
        <v>7791</v>
      </c>
      <c r="G1200" s="6">
        <f>17.712*L1200</f>
        <v>177.12</v>
      </c>
      <c r="H1200" s="7">
        <v>41738</v>
      </c>
      <c r="I1200" s="6" t="s">
        <v>265</v>
      </c>
      <c r="J1200" s="6" t="s">
        <v>7792</v>
      </c>
      <c r="K1200" s="6" t="s">
        <v>21</v>
      </c>
      <c r="L1200" s="6">
        <v>10</v>
      </c>
      <c r="M1200" s="15" t="s">
        <v>7793</v>
      </c>
      <c r="N1200" s="15" t="s">
        <v>4872</v>
      </c>
      <c r="O1200" s="27" t="s">
        <v>7794</v>
      </c>
    </row>
    <row r="1201" spans="1:15" s="1" customFormat="1" ht="13.5" customHeight="1">
      <c r="A1201" s="5" t="s">
        <v>1127</v>
      </c>
      <c r="B1201" s="3"/>
      <c r="C1201" s="3"/>
      <c r="D1201" s="5" t="s">
        <v>1128</v>
      </c>
      <c r="E1201" s="5" t="s">
        <v>7026</v>
      </c>
      <c r="F1201" s="3" t="s">
        <v>7795</v>
      </c>
      <c r="G1201" s="6">
        <f>29.101*L1201</f>
        <v>291.01</v>
      </c>
      <c r="H1201" s="7">
        <v>41739</v>
      </c>
      <c r="I1201" s="6" t="s">
        <v>178</v>
      </c>
      <c r="J1201" s="6" t="s">
        <v>7796</v>
      </c>
      <c r="K1201" s="6" t="s">
        <v>21</v>
      </c>
      <c r="L1201" s="6">
        <v>10</v>
      </c>
      <c r="M1201" s="15" t="s">
        <v>7797</v>
      </c>
      <c r="N1201" s="15" t="s">
        <v>4872</v>
      </c>
      <c r="O1201" s="27"/>
    </row>
    <row r="1202" spans="1:15" s="1" customFormat="1" ht="13.5" customHeight="1">
      <c r="A1202" s="5" t="s">
        <v>1127</v>
      </c>
      <c r="B1202" s="3"/>
      <c r="C1202" s="3"/>
      <c r="D1202" s="5" t="s">
        <v>1128</v>
      </c>
      <c r="E1202" s="5" t="s">
        <v>7026</v>
      </c>
      <c r="F1202" s="3" t="s">
        <v>7798</v>
      </c>
      <c r="G1202" s="6">
        <f>29.101*L1202</f>
        <v>349.21199999999999</v>
      </c>
      <c r="H1202" s="7">
        <v>41739</v>
      </c>
      <c r="I1202" s="6" t="s">
        <v>178</v>
      </c>
      <c r="J1202" s="6" t="s">
        <v>7799</v>
      </c>
      <c r="K1202" s="6" t="s">
        <v>21</v>
      </c>
      <c r="L1202" s="6">
        <v>12</v>
      </c>
      <c r="M1202" s="15" t="s">
        <v>7800</v>
      </c>
      <c r="N1202" s="15" t="s">
        <v>164</v>
      </c>
      <c r="O1202" s="27"/>
    </row>
    <row r="1203" spans="1:15" s="1" customFormat="1" ht="13.5" customHeight="1">
      <c r="A1203" s="5" t="s">
        <v>1127</v>
      </c>
      <c r="B1203" s="3"/>
      <c r="C1203" s="3"/>
      <c r="D1203" s="5" t="s">
        <v>1128</v>
      </c>
      <c r="E1203" s="5" t="s">
        <v>7026</v>
      </c>
      <c r="F1203" s="3" t="s">
        <v>7801</v>
      </c>
      <c r="G1203" s="6">
        <f>29.101*L1203</f>
        <v>378.31299999999999</v>
      </c>
      <c r="H1203" s="7">
        <v>41739</v>
      </c>
      <c r="I1203" s="6" t="s">
        <v>178</v>
      </c>
      <c r="J1203" s="6" t="s">
        <v>7802</v>
      </c>
      <c r="K1203" s="6" t="s">
        <v>21</v>
      </c>
      <c r="L1203" s="6">
        <v>13</v>
      </c>
      <c r="M1203" s="15" t="s">
        <v>7800</v>
      </c>
      <c r="N1203" s="15" t="s">
        <v>167</v>
      </c>
      <c r="O1203" s="27"/>
    </row>
    <row r="1204" spans="1:15" s="1" customFormat="1" ht="13.5" customHeight="1">
      <c r="A1204" s="5" t="s">
        <v>1127</v>
      </c>
      <c r="B1204" s="3"/>
      <c r="C1204" s="3"/>
      <c r="D1204" s="5" t="s">
        <v>1128</v>
      </c>
      <c r="E1204" s="5" t="s">
        <v>7026</v>
      </c>
      <c r="F1204" s="3" t="s">
        <v>7803</v>
      </c>
      <c r="G1204" s="6">
        <f>29.101*L1204</f>
        <v>349.21199999999999</v>
      </c>
      <c r="H1204" s="7">
        <v>41739</v>
      </c>
      <c r="I1204" s="6" t="s">
        <v>178</v>
      </c>
      <c r="J1204" s="6" t="s">
        <v>7804</v>
      </c>
      <c r="K1204" s="6" t="s">
        <v>21</v>
      </c>
      <c r="L1204" s="6">
        <v>12</v>
      </c>
      <c r="M1204" s="15" t="s">
        <v>7805</v>
      </c>
      <c r="N1204" s="15" t="s">
        <v>164</v>
      </c>
      <c r="O1204" s="27"/>
    </row>
    <row r="1205" spans="1:15" s="1" customFormat="1" ht="13.5" customHeight="1">
      <c r="A1205" s="5" t="s">
        <v>1127</v>
      </c>
      <c r="B1205" s="3"/>
      <c r="C1205" s="3"/>
      <c r="D1205" s="5" t="s">
        <v>1128</v>
      </c>
      <c r="E1205" s="5" t="s">
        <v>7026</v>
      </c>
      <c r="F1205" s="3" t="s">
        <v>7806</v>
      </c>
      <c r="G1205" s="6">
        <f>29.101*L1205</f>
        <v>378.31299999999999</v>
      </c>
      <c r="H1205" s="7">
        <v>41739</v>
      </c>
      <c r="I1205" s="6" t="s">
        <v>178</v>
      </c>
      <c r="J1205" s="6" t="s">
        <v>7807</v>
      </c>
      <c r="K1205" s="6" t="s">
        <v>21</v>
      </c>
      <c r="L1205" s="6">
        <v>13</v>
      </c>
      <c r="M1205" s="15" t="s">
        <v>7805</v>
      </c>
      <c r="N1205" s="15" t="s">
        <v>167</v>
      </c>
      <c r="O1205" s="27" t="s">
        <v>7808</v>
      </c>
    </row>
    <row r="1206" spans="1:15" s="1" customFormat="1" ht="13.5" customHeight="1">
      <c r="A1206" s="5" t="s">
        <v>1043</v>
      </c>
      <c r="B1206" s="3"/>
      <c r="C1206" s="3"/>
      <c r="D1206" s="5" t="s">
        <v>443</v>
      </c>
      <c r="E1206" s="5" t="s">
        <v>7026</v>
      </c>
      <c r="F1206" s="3" t="s">
        <v>7809</v>
      </c>
      <c r="G1206" s="6">
        <f>18.708*12</f>
        <v>224.49599999999998</v>
      </c>
      <c r="H1206" s="7">
        <v>41739</v>
      </c>
      <c r="I1206" s="6" t="s">
        <v>178</v>
      </c>
      <c r="J1206" s="6" t="s">
        <v>7810</v>
      </c>
      <c r="K1206" s="6" t="s">
        <v>21</v>
      </c>
      <c r="L1206" s="6">
        <v>12</v>
      </c>
      <c r="M1206" s="15" t="s">
        <v>7811</v>
      </c>
      <c r="N1206" s="15" t="s">
        <v>164</v>
      </c>
      <c r="O1206" s="27" t="s">
        <v>4138</v>
      </c>
    </row>
    <row r="1207" spans="1:15" s="1" customFormat="1" ht="13.5" customHeight="1">
      <c r="A1207" s="5" t="s">
        <v>1043</v>
      </c>
      <c r="B1207" s="3"/>
      <c r="C1207" s="3"/>
      <c r="D1207" s="5" t="s">
        <v>443</v>
      </c>
      <c r="E1207" s="5" t="s">
        <v>7026</v>
      </c>
      <c r="F1207" s="3" t="s">
        <v>7812</v>
      </c>
      <c r="G1207" s="6">
        <f>18.708*13</f>
        <v>243.20399999999998</v>
      </c>
      <c r="H1207" s="7">
        <v>41739</v>
      </c>
      <c r="I1207" s="6" t="s">
        <v>178</v>
      </c>
      <c r="J1207" s="6" t="s">
        <v>7813</v>
      </c>
      <c r="K1207" s="6" t="s">
        <v>21</v>
      </c>
      <c r="L1207" s="6">
        <v>13</v>
      </c>
      <c r="M1207" s="15" t="s">
        <v>7811</v>
      </c>
      <c r="N1207" s="15" t="s">
        <v>167</v>
      </c>
      <c r="O1207" s="27"/>
    </row>
    <row r="1208" spans="1:15" s="1" customFormat="1" ht="13.5" customHeight="1">
      <c r="A1208" s="5" t="s">
        <v>1043</v>
      </c>
      <c r="B1208" s="3"/>
      <c r="C1208" s="3"/>
      <c r="D1208" s="5" t="s">
        <v>443</v>
      </c>
      <c r="E1208" s="5" t="s">
        <v>7026</v>
      </c>
      <c r="F1208" s="3" t="s">
        <v>7814</v>
      </c>
      <c r="G1208" s="6">
        <v>224.49600000000001</v>
      </c>
      <c r="H1208" s="7">
        <v>41739</v>
      </c>
      <c r="I1208" s="6" t="s">
        <v>178</v>
      </c>
      <c r="J1208" s="6" t="s">
        <v>7815</v>
      </c>
      <c r="K1208" s="6" t="s">
        <v>21</v>
      </c>
      <c r="L1208" s="6">
        <v>12</v>
      </c>
      <c r="M1208" s="15" t="s">
        <v>7816</v>
      </c>
      <c r="N1208" s="15" t="s">
        <v>164</v>
      </c>
      <c r="O1208" s="27"/>
    </row>
    <row r="1209" spans="1:15" s="1" customFormat="1" ht="13.5" customHeight="1">
      <c r="A1209" s="5" t="s">
        <v>1043</v>
      </c>
      <c r="B1209" s="3"/>
      <c r="C1209" s="3"/>
      <c r="D1209" s="5" t="s">
        <v>443</v>
      </c>
      <c r="E1209" s="5" t="s">
        <v>7026</v>
      </c>
      <c r="F1209" s="3" t="s">
        <v>7817</v>
      </c>
      <c r="G1209" s="6">
        <v>243.20400000000001</v>
      </c>
      <c r="H1209" s="7">
        <v>41739</v>
      </c>
      <c r="I1209" s="6" t="s">
        <v>178</v>
      </c>
      <c r="J1209" s="6" t="s">
        <v>7818</v>
      </c>
      <c r="K1209" s="6" t="s">
        <v>21</v>
      </c>
      <c r="L1209" s="6">
        <v>13</v>
      </c>
      <c r="M1209" s="15" t="s">
        <v>7816</v>
      </c>
      <c r="N1209" s="15" t="s">
        <v>167</v>
      </c>
      <c r="O1209" s="27"/>
    </row>
    <row r="1210" spans="1:15" ht="13.5" customHeight="1">
      <c r="A1210" s="5" t="s">
        <v>1043</v>
      </c>
      <c r="B1210" s="3"/>
      <c r="C1210" s="3"/>
      <c r="D1210" s="5" t="s">
        <v>443</v>
      </c>
      <c r="E1210" s="5" t="s">
        <v>7026</v>
      </c>
      <c r="F1210" s="3" t="s">
        <v>7819</v>
      </c>
      <c r="G1210" s="6">
        <v>224.49600000000001</v>
      </c>
      <c r="H1210" s="7">
        <v>41739</v>
      </c>
      <c r="I1210" s="6" t="s">
        <v>178</v>
      </c>
      <c r="J1210" s="6" t="s">
        <v>7820</v>
      </c>
      <c r="K1210" s="6" t="s">
        <v>21</v>
      </c>
      <c r="L1210" s="6">
        <v>12</v>
      </c>
      <c r="M1210" s="15" t="s">
        <v>7821</v>
      </c>
      <c r="N1210" s="15" t="s">
        <v>164</v>
      </c>
      <c r="O1210" s="27" t="s">
        <v>7822</v>
      </c>
    </row>
    <row r="1211" spans="1:15" ht="13.5" customHeight="1">
      <c r="A1211" s="5" t="s">
        <v>1043</v>
      </c>
      <c r="B1211" s="3"/>
      <c r="C1211" s="3"/>
      <c r="D1211" s="5" t="s">
        <v>443</v>
      </c>
      <c r="E1211" s="5" t="s">
        <v>7026</v>
      </c>
      <c r="F1211" s="3" t="s">
        <v>7823</v>
      </c>
      <c r="G1211" s="6">
        <v>243.20400000000001</v>
      </c>
      <c r="H1211" s="7">
        <v>41739</v>
      </c>
      <c r="I1211" s="6" t="s">
        <v>178</v>
      </c>
      <c r="J1211" s="6" t="s">
        <v>7824</v>
      </c>
      <c r="K1211" s="6" t="s">
        <v>21</v>
      </c>
      <c r="L1211" s="6">
        <v>13</v>
      </c>
      <c r="M1211" s="15" t="s">
        <v>7821</v>
      </c>
      <c r="N1211" s="15" t="s">
        <v>167</v>
      </c>
      <c r="O1211" s="27"/>
    </row>
    <row r="1212" spans="1:15" ht="13.5" customHeight="1">
      <c r="A1212" s="5" t="s">
        <v>1108</v>
      </c>
      <c r="B1212" s="3"/>
      <c r="C1212" s="3"/>
      <c r="D1212" s="5" t="s">
        <v>391</v>
      </c>
      <c r="E1212" s="5" t="s">
        <v>7026</v>
      </c>
      <c r="F1212" s="3" t="s">
        <v>7825</v>
      </c>
      <c r="G1212" s="6">
        <f>17.712*10</f>
        <v>177.12</v>
      </c>
      <c r="H1212" s="7">
        <v>41739</v>
      </c>
      <c r="I1212" s="6" t="s">
        <v>265</v>
      </c>
      <c r="J1212" s="6" t="s">
        <v>7826</v>
      </c>
      <c r="K1212" s="6" t="s">
        <v>21</v>
      </c>
      <c r="L1212" s="6">
        <v>10</v>
      </c>
      <c r="M1212" s="15" t="s">
        <v>7827</v>
      </c>
      <c r="N1212" s="15" t="s">
        <v>4872</v>
      </c>
      <c r="O1212" s="27" t="s">
        <v>7828</v>
      </c>
    </row>
    <row r="1213" spans="1:15" s="1" customFormat="1" ht="13.5" customHeight="1">
      <c r="A1213" s="5" t="s">
        <v>1259</v>
      </c>
      <c r="B1213" s="3"/>
      <c r="C1213" s="3"/>
      <c r="D1213" s="5" t="s">
        <v>170</v>
      </c>
      <c r="E1213" s="5" t="s">
        <v>7026</v>
      </c>
      <c r="F1213" s="3" t="s">
        <v>7829</v>
      </c>
      <c r="G1213" s="6">
        <f>17.498*12</f>
        <v>209.976</v>
      </c>
      <c r="H1213" s="7">
        <v>41739</v>
      </c>
      <c r="I1213" s="6" t="s">
        <v>265</v>
      </c>
      <c r="J1213" s="6" t="s">
        <v>7830</v>
      </c>
      <c r="K1213" s="6" t="s">
        <v>21</v>
      </c>
      <c r="L1213" s="6">
        <v>12</v>
      </c>
      <c r="M1213" s="15" t="s">
        <v>7831</v>
      </c>
      <c r="N1213" s="15" t="s">
        <v>164</v>
      </c>
      <c r="O1213" s="27"/>
    </row>
    <row r="1214" spans="1:15" s="1" customFormat="1" ht="13.5" customHeight="1">
      <c r="A1214" s="5" t="s">
        <v>1259</v>
      </c>
      <c r="B1214" s="3"/>
      <c r="C1214" s="3"/>
      <c r="D1214" s="5" t="s">
        <v>170</v>
      </c>
      <c r="E1214" s="5" t="s">
        <v>7026</v>
      </c>
      <c r="F1214" s="3" t="s">
        <v>7832</v>
      </c>
      <c r="G1214" s="6">
        <v>227.47399999999999</v>
      </c>
      <c r="H1214" s="7">
        <v>41739</v>
      </c>
      <c r="I1214" s="6" t="s">
        <v>265</v>
      </c>
      <c r="J1214" s="6" t="s">
        <v>7833</v>
      </c>
      <c r="K1214" s="6" t="s">
        <v>21</v>
      </c>
      <c r="L1214" s="6">
        <v>13</v>
      </c>
      <c r="M1214" s="15" t="s">
        <v>7831</v>
      </c>
      <c r="N1214" s="15" t="s">
        <v>167</v>
      </c>
      <c r="O1214" s="27"/>
    </row>
    <row r="1215" spans="1:15" ht="13.5" customHeight="1">
      <c r="A1215" s="5" t="s">
        <v>169</v>
      </c>
      <c r="B1215" s="3"/>
      <c r="C1215" s="3"/>
      <c r="D1215" s="5" t="s">
        <v>170</v>
      </c>
      <c r="E1215" s="5" t="s">
        <v>7026</v>
      </c>
      <c r="F1215" s="3" t="s">
        <v>7834</v>
      </c>
      <c r="G1215" s="6">
        <f>17.498*12</f>
        <v>209.976</v>
      </c>
      <c r="H1215" s="7">
        <v>41739</v>
      </c>
      <c r="I1215" s="6" t="s">
        <v>265</v>
      </c>
      <c r="J1215" s="6" t="s">
        <v>7835</v>
      </c>
      <c r="K1215" s="6" t="s">
        <v>21</v>
      </c>
      <c r="L1215" s="6">
        <v>12</v>
      </c>
      <c r="M1215" s="15" t="s">
        <v>7836</v>
      </c>
      <c r="N1215" s="15" t="s">
        <v>164</v>
      </c>
      <c r="O1215" s="27"/>
    </row>
    <row r="1216" spans="1:15" ht="13.5" customHeight="1">
      <c r="A1216" s="3" t="s">
        <v>514</v>
      </c>
      <c r="B1216" s="3"/>
      <c r="C1216" s="3"/>
      <c r="D1216" s="5" t="s">
        <v>2030</v>
      </c>
      <c r="E1216" s="5" t="s">
        <v>124</v>
      </c>
      <c r="F1216" s="3" t="s">
        <v>4168</v>
      </c>
      <c r="G1216" s="6">
        <f>14.405*L1216</f>
        <v>172.85999999999999</v>
      </c>
      <c r="H1216" s="7">
        <v>41740</v>
      </c>
      <c r="I1216" s="6" t="s">
        <v>265</v>
      </c>
      <c r="J1216" s="6" t="s">
        <v>4169</v>
      </c>
      <c r="K1216" s="6" t="s">
        <v>21</v>
      </c>
      <c r="L1216" s="6">
        <v>12</v>
      </c>
      <c r="M1216" s="15" t="s">
        <v>4170</v>
      </c>
      <c r="N1216" s="15" t="s">
        <v>78</v>
      </c>
      <c r="O1216" s="27" t="s">
        <v>4171</v>
      </c>
    </row>
    <row r="1217" spans="1:15" ht="13.5" customHeight="1">
      <c r="A1217" s="3" t="s">
        <v>514</v>
      </c>
      <c r="B1217" s="3"/>
      <c r="C1217" s="3"/>
      <c r="D1217" s="5" t="s">
        <v>2030</v>
      </c>
      <c r="E1217" s="5" t="s">
        <v>124</v>
      </c>
      <c r="F1217" s="3" t="s">
        <v>4172</v>
      </c>
      <c r="G1217" s="6">
        <f>14.405*L1217</f>
        <v>187.26499999999999</v>
      </c>
      <c r="H1217" s="7">
        <v>41740</v>
      </c>
      <c r="I1217" s="6" t="s">
        <v>265</v>
      </c>
      <c r="J1217" s="6" t="s">
        <v>4173</v>
      </c>
      <c r="K1217" s="6" t="s">
        <v>21</v>
      </c>
      <c r="L1217" s="6">
        <v>13</v>
      </c>
      <c r="M1217" s="15" t="s">
        <v>4170</v>
      </c>
      <c r="N1217" s="15" t="s">
        <v>167</v>
      </c>
      <c r="O1217" s="27" t="s">
        <v>4174</v>
      </c>
    </row>
    <row r="1218" spans="1:15" ht="13.5" customHeight="1">
      <c r="A1218" s="3" t="s">
        <v>1150</v>
      </c>
      <c r="B1218" s="3"/>
      <c r="C1218" s="3"/>
      <c r="D1218" s="5" t="s">
        <v>1151</v>
      </c>
      <c r="E1218" s="5" t="s">
        <v>124</v>
      </c>
      <c r="F1218" s="3" t="s">
        <v>4175</v>
      </c>
      <c r="G1218" s="6">
        <f>17.712*L1218</f>
        <v>123.98399999999999</v>
      </c>
      <c r="H1218" s="7">
        <v>41740</v>
      </c>
      <c r="I1218" s="6" t="s">
        <v>265</v>
      </c>
      <c r="J1218" s="6" t="s">
        <v>4176</v>
      </c>
      <c r="K1218" s="6" t="s">
        <v>21</v>
      </c>
      <c r="L1218" s="6">
        <v>7</v>
      </c>
      <c r="M1218" s="15" t="s">
        <v>4177</v>
      </c>
      <c r="N1218" s="15" t="s">
        <v>4178</v>
      </c>
      <c r="O1218" s="27" t="s">
        <v>4179</v>
      </c>
    </row>
    <row r="1219" spans="1:15" s="1" customFormat="1" ht="13.5" customHeight="1">
      <c r="A1219" s="3" t="s">
        <v>1150</v>
      </c>
      <c r="B1219" s="3"/>
      <c r="C1219" s="3"/>
      <c r="D1219" s="5" t="s">
        <v>1151</v>
      </c>
      <c r="E1219" s="5" t="s">
        <v>124</v>
      </c>
      <c r="F1219" s="3" t="s">
        <v>4180</v>
      </c>
      <c r="G1219" s="6">
        <f>17.712*L1219</f>
        <v>141.696</v>
      </c>
      <c r="H1219" s="7">
        <v>41740</v>
      </c>
      <c r="I1219" s="6" t="s">
        <v>12784</v>
      </c>
      <c r="J1219" s="6" t="s">
        <v>4181</v>
      </c>
      <c r="K1219" s="6" t="s">
        <v>21</v>
      </c>
      <c r="L1219" s="6">
        <v>8</v>
      </c>
      <c r="M1219" s="15" t="s">
        <v>4177</v>
      </c>
      <c r="N1219" s="15" t="s">
        <v>4182</v>
      </c>
      <c r="O1219" s="28" t="s">
        <v>4183</v>
      </c>
    </row>
    <row r="1220" spans="1:15" ht="13.5" customHeight="1">
      <c r="A1220" s="3" t="s">
        <v>846</v>
      </c>
      <c r="B1220" s="3"/>
      <c r="C1220" s="3"/>
      <c r="D1220" s="5" t="s">
        <v>191</v>
      </c>
      <c r="E1220" s="5" t="s">
        <v>124</v>
      </c>
      <c r="F1220" s="3" t="s">
        <v>4184</v>
      </c>
      <c r="G1220" s="6">
        <f>18.708*L1220</f>
        <v>224.49599999999998</v>
      </c>
      <c r="H1220" s="7">
        <v>41740</v>
      </c>
      <c r="I1220" s="6" t="s">
        <v>247</v>
      </c>
      <c r="J1220" s="6" t="s">
        <v>4185</v>
      </c>
      <c r="K1220" s="6" t="s">
        <v>21</v>
      </c>
      <c r="L1220" s="6">
        <v>12</v>
      </c>
      <c r="M1220" s="15" t="s">
        <v>4186</v>
      </c>
      <c r="N1220" s="15" t="s">
        <v>164</v>
      </c>
      <c r="O1220" s="28" t="s">
        <v>4186</v>
      </c>
    </row>
    <row r="1221" spans="1:15" s="1" customFormat="1" ht="13.5" customHeight="1">
      <c r="A1221" s="3" t="s">
        <v>846</v>
      </c>
      <c r="B1221" s="3"/>
      <c r="C1221" s="3"/>
      <c r="D1221" s="5" t="s">
        <v>191</v>
      </c>
      <c r="E1221" s="5" t="s">
        <v>124</v>
      </c>
      <c r="F1221" s="3" t="s">
        <v>4187</v>
      </c>
      <c r="G1221" s="6">
        <f>18.708*L1221</f>
        <v>243.20399999999998</v>
      </c>
      <c r="H1221" s="7">
        <v>41740</v>
      </c>
      <c r="I1221" s="6" t="s">
        <v>247</v>
      </c>
      <c r="J1221" s="6" t="s">
        <v>4188</v>
      </c>
      <c r="K1221" s="6" t="s">
        <v>21</v>
      </c>
      <c r="L1221" s="6">
        <v>13</v>
      </c>
      <c r="M1221" s="15" t="s">
        <v>4186</v>
      </c>
      <c r="N1221" s="15" t="s">
        <v>167</v>
      </c>
      <c r="O1221" s="28" t="s">
        <v>4189</v>
      </c>
    </row>
    <row r="1222" spans="1:15" ht="13.5" customHeight="1">
      <c r="A1222" s="3" t="s">
        <v>1127</v>
      </c>
      <c r="B1222" s="3"/>
      <c r="C1222" s="3"/>
      <c r="D1222" s="5" t="s">
        <v>1128</v>
      </c>
      <c r="E1222" s="5" t="s">
        <v>124</v>
      </c>
      <c r="F1222" s="3" t="s">
        <v>4190</v>
      </c>
      <c r="G1222" s="6">
        <f t="shared" ref="G1222:G1230" si="44">29.101*L1222</f>
        <v>378.31299999999999</v>
      </c>
      <c r="H1222" s="7">
        <v>41744</v>
      </c>
      <c r="I1222" s="6" t="s">
        <v>178</v>
      </c>
      <c r="J1222" s="6" t="s">
        <v>4191</v>
      </c>
      <c r="K1222" s="6" t="s">
        <v>21</v>
      </c>
      <c r="L1222" s="6">
        <v>13</v>
      </c>
      <c r="M1222" s="15" t="s">
        <v>1747</v>
      </c>
      <c r="N1222" s="15" t="s">
        <v>1748</v>
      </c>
      <c r="O1222" s="37" t="s">
        <v>4192</v>
      </c>
    </row>
    <row r="1223" spans="1:15" ht="13.5" customHeight="1">
      <c r="A1223" s="3" t="s">
        <v>1127</v>
      </c>
      <c r="B1223" s="3"/>
      <c r="C1223" s="3"/>
      <c r="D1223" s="5" t="s">
        <v>1128</v>
      </c>
      <c r="E1223" s="5" t="s">
        <v>124</v>
      </c>
      <c r="F1223" s="3" t="s">
        <v>4193</v>
      </c>
      <c r="G1223" s="6">
        <f t="shared" si="44"/>
        <v>232.80799999999999</v>
      </c>
      <c r="H1223" s="7">
        <v>41744</v>
      </c>
      <c r="I1223" s="6" t="s">
        <v>178</v>
      </c>
      <c r="J1223" s="6" t="s">
        <v>4194</v>
      </c>
      <c r="K1223" s="6" t="s">
        <v>21</v>
      </c>
      <c r="L1223" s="6">
        <v>8</v>
      </c>
      <c r="M1223" s="15" t="s">
        <v>1751</v>
      </c>
      <c r="N1223" s="15" t="s">
        <v>1748</v>
      </c>
      <c r="O1223" s="28" t="s">
        <v>4195</v>
      </c>
    </row>
    <row r="1224" spans="1:15" s="1" customFormat="1" ht="13.5" customHeight="1">
      <c r="A1224" s="3" t="s">
        <v>1127</v>
      </c>
      <c r="B1224" s="3"/>
      <c r="C1224" s="3"/>
      <c r="D1224" s="5" t="s">
        <v>1128</v>
      </c>
      <c r="E1224" s="5" t="s">
        <v>124</v>
      </c>
      <c r="F1224" s="3" t="s">
        <v>4196</v>
      </c>
      <c r="G1224" s="6">
        <f t="shared" si="44"/>
        <v>261.90899999999999</v>
      </c>
      <c r="H1224" s="7">
        <v>41744</v>
      </c>
      <c r="I1224" s="6" t="s">
        <v>178</v>
      </c>
      <c r="J1224" s="6" t="s">
        <v>4197</v>
      </c>
      <c r="K1224" s="6" t="s">
        <v>21</v>
      </c>
      <c r="L1224" s="6">
        <v>9</v>
      </c>
      <c r="M1224" s="15" t="s">
        <v>1751</v>
      </c>
      <c r="N1224" s="15" t="s">
        <v>1748</v>
      </c>
      <c r="O1224" s="28" t="s">
        <v>4198</v>
      </c>
    </row>
    <row r="1225" spans="1:15" s="1" customFormat="1" ht="13.5" customHeight="1">
      <c r="A1225" s="3" t="s">
        <v>1127</v>
      </c>
      <c r="B1225" s="3"/>
      <c r="C1225" s="3"/>
      <c r="D1225" s="5" t="s">
        <v>1128</v>
      </c>
      <c r="E1225" s="5" t="s">
        <v>124</v>
      </c>
      <c r="F1225" s="3" t="s">
        <v>4199</v>
      </c>
      <c r="G1225" s="6">
        <f t="shared" si="44"/>
        <v>58.201999999999998</v>
      </c>
      <c r="H1225" s="7">
        <v>41744</v>
      </c>
      <c r="I1225" s="6" t="s">
        <v>178</v>
      </c>
      <c r="J1225" s="6" t="s">
        <v>4200</v>
      </c>
      <c r="K1225" s="6" t="s">
        <v>21</v>
      </c>
      <c r="L1225" s="6">
        <v>2</v>
      </c>
      <c r="M1225" s="15" t="s">
        <v>1754</v>
      </c>
      <c r="N1225" s="15" t="s">
        <v>1748</v>
      </c>
      <c r="O1225" s="37" t="s">
        <v>4201</v>
      </c>
    </row>
    <row r="1226" spans="1:15" s="1" customFormat="1" ht="13.5" customHeight="1">
      <c r="A1226" s="3" t="s">
        <v>1127</v>
      </c>
      <c r="B1226" s="3"/>
      <c r="C1226" s="3"/>
      <c r="D1226" s="5" t="s">
        <v>1128</v>
      </c>
      <c r="E1226" s="5" t="s">
        <v>124</v>
      </c>
      <c r="F1226" s="3" t="s">
        <v>4202</v>
      </c>
      <c r="G1226" s="6">
        <f t="shared" si="44"/>
        <v>261.90899999999999</v>
      </c>
      <c r="H1226" s="7">
        <v>41744</v>
      </c>
      <c r="I1226" s="6" t="s">
        <v>178</v>
      </c>
      <c r="J1226" s="6" t="s">
        <v>4203</v>
      </c>
      <c r="K1226" s="6" t="s">
        <v>21</v>
      </c>
      <c r="L1226" s="6">
        <v>9</v>
      </c>
      <c r="M1226" s="15" t="s">
        <v>1763</v>
      </c>
      <c r="N1226" s="15" t="s">
        <v>1748</v>
      </c>
      <c r="O1226" s="27" t="s">
        <v>4204</v>
      </c>
    </row>
    <row r="1227" spans="1:15" s="1" customFormat="1" ht="13.5" customHeight="1">
      <c r="A1227" s="3" t="s">
        <v>1127</v>
      </c>
      <c r="B1227" s="3"/>
      <c r="C1227" s="3"/>
      <c r="D1227" s="5" t="s">
        <v>1128</v>
      </c>
      <c r="E1227" s="5" t="s">
        <v>124</v>
      </c>
      <c r="F1227" s="3" t="s">
        <v>4205</v>
      </c>
      <c r="G1227" s="6">
        <f t="shared" si="44"/>
        <v>261.90899999999999</v>
      </c>
      <c r="H1227" s="7">
        <v>41744</v>
      </c>
      <c r="I1227" s="6" t="s">
        <v>178</v>
      </c>
      <c r="J1227" s="6" t="s">
        <v>4206</v>
      </c>
      <c r="K1227" s="6" t="s">
        <v>21</v>
      </c>
      <c r="L1227" s="6">
        <v>9</v>
      </c>
      <c r="M1227" s="15" t="s">
        <v>1763</v>
      </c>
      <c r="N1227" s="15" t="s">
        <v>1748</v>
      </c>
      <c r="O1227" s="28" t="s">
        <v>4207</v>
      </c>
    </row>
    <row r="1228" spans="1:15" s="1" customFormat="1" ht="13.5" customHeight="1">
      <c r="A1228" s="3" t="s">
        <v>1127</v>
      </c>
      <c r="B1228" s="3"/>
      <c r="C1228" s="3"/>
      <c r="D1228" s="5" t="s">
        <v>1128</v>
      </c>
      <c r="E1228" s="5" t="s">
        <v>124</v>
      </c>
      <c r="F1228" s="3" t="s">
        <v>4208</v>
      </c>
      <c r="G1228" s="6">
        <f t="shared" si="44"/>
        <v>145.505</v>
      </c>
      <c r="H1228" s="7">
        <v>41744</v>
      </c>
      <c r="I1228" s="6" t="s">
        <v>178</v>
      </c>
      <c r="J1228" s="6" t="s">
        <v>4209</v>
      </c>
      <c r="K1228" s="6" t="s">
        <v>21</v>
      </c>
      <c r="L1228" s="6">
        <v>5</v>
      </c>
      <c r="M1228" s="15" t="s">
        <v>1766</v>
      </c>
      <c r="N1228" s="15" t="s">
        <v>1748</v>
      </c>
      <c r="O1228" s="27" t="s">
        <v>4210</v>
      </c>
    </row>
    <row r="1229" spans="1:15" s="1" customFormat="1" ht="13.5" customHeight="1">
      <c r="A1229" s="3" t="s">
        <v>1127</v>
      </c>
      <c r="B1229" s="3"/>
      <c r="C1229" s="3"/>
      <c r="D1229" s="5" t="s">
        <v>1128</v>
      </c>
      <c r="E1229" s="5" t="s">
        <v>124</v>
      </c>
      <c r="F1229" s="3" t="s">
        <v>4211</v>
      </c>
      <c r="G1229" s="6">
        <f t="shared" si="44"/>
        <v>232.80799999999999</v>
      </c>
      <c r="H1229" s="7">
        <v>41744</v>
      </c>
      <c r="I1229" s="6" t="s">
        <v>178</v>
      </c>
      <c r="J1229" s="6" t="s">
        <v>4212</v>
      </c>
      <c r="K1229" s="6" t="s">
        <v>21</v>
      </c>
      <c r="L1229" s="6">
        <v>8</v>
      </c>
      <c r="M1229" s="15" t="s">
        <v>1772</v>
      </c>
      <c r="N1229" s="15" t="s">
        <v>1748</v>
      </c>
      <c r="O1229" s="28" t="s">
        <v>4213</v>
      </c>
    </row>
    <row r="1230" spans="1:15" s="1" customFormat="1" ht="13.5" customHeight="1">
      <c r="A1230" s="3" t="s">
        <v>1127</v>
      </c>
      <c r="B1230" s="3"/>
      <c r="C1230" s="3"/>
      <c r="D1230" s="5" t="s">
        <v>1128</v>
      </c>
      <c r="E1230" s="5" t="s">
        <v>124</v>
      </c>
      <c r="F1230" s="3" t="s">
        <v>4214</v>
      </c>
      <c r="G1230" s="6">
        <f t="shared" si="44"/>
        <v>261.90899999999999</v>
      </c>
      <c r="H1230" s="7">
        <v>41744</v>
      </c>
      <c r="I1230" s="6" t="s">
        <v>178</v>
      </c>
      <c r="J1230" s="6" t="s">
        <v>4215</v>
      </c>
      <c r="K1230" s="6" t="s">
        <v>21</v>
      </c>
      <c r="L1230" s="6">
        <v>9</v>
      </c>
      <c r="M1230" s="15" t="s">
        <v>1772</v>
      </c>
      <c r="N1230" s="31" t="s">
        <v>1748</v>
      </c>
      <c r="O1230" s="28" t="s">
        <v>4216</v>
      </c>
    </row>
    <row r="1231" spans="1:15" s="1" customFormat="1" ht="13.5" customHeight="1">
      <c r="A1231" s="22" t="s">
        <v>3345</v>
      </c>
      <c r="B1231" s="3" t="s">
        <v>15</v>
      </c>
      <c r="C1231" s="3"/>
      <c r="D1231" s="5" t="s">
        <v>3346</v>
      </c>
      <c r="E1231" s="5" t="s">
        <v>124</v>
      </c>
      <c r="F1231" s="3" t="s">
        <v>4217</v>
      </c>
      <c r="G1231" s="6">
        <f>14.405*3</f>
        <v>43.214999999999996</v>
      </c>
      <c r="H1231" s="7">
        <v>41744</v>
      </c>
      <c r="I1231" s="6" t="s">
        <v>3348</v>
      </c>
      <c r="J1231" s="6" t="s">
        <v>4218</v>
      </c>
      <c r="K1231" s="6" t="s">
        <v>21</v>
      </c>
      <c r="L1231" s="6" t="s">
        <v>3350</v>
      </c>
      <c r="M1231" s="15" t="s">
        <v>4219</v>
      </c>
      <c r="N1231" s="15" t="s">
        <v>4220</v>
      </c>
      <c r="O1231" s="15" t="s">
        <v>4221</v>
      </c>
    </row>
    <row r="1232" spans="1:15" s="1" customFormat="1" ht="13.5" customHeight="1">
      <c r="A1232" s="22" t="s">
        <v>4222</v>
      </c>
      <c r="B1232" s="3" t="s">
        <v>15</v>
      </c>
      <c r="C1232" s="3"/>
      <c r="D1232" s="5" t="s">
        <v>4223</v>
      </c>
      <c r="E1232" s="5" t="s">
        <v>124</v>
      </c>
      <c r="F1232" s="3" t="s">
        <v>4224</v>
      </c>
      <c r="G1232" s="6">
        <f>11.015*L1232</f>
        <v>22.03</v>
      </c>
      <c r="H1232" s="7">
        <v>41744</v>
      </c>
      <c r="I1232" s="6" t="s">
        <v>193</v>
      </c>
      <c r="J1232" s="6" t="s">
        <v>4225</v>
      </c>
      <c r="K1232" s="6" t="s">
        <v>21</v>
      </c>
      <c r="L1232" s="6">
        <v>2</v>
      </c>
      <c r="M1232" s="15" t="s">
        <v>4226</v>
      </c>
      <c r="N1232" s="15" t="s">
        <v>189</v>
      </c>
      <c r="O1232" s="15" t="s">
        <v>4226</v>
      </c>
    </row>
    <row r="1233" spans="1:15" s="1" customFormat="1" ht="13.5" customHeight="1">
      <c r="A1233" s="22" t="s">
        <v>4227</v>
      </c>
      <c r="B1233" s="3" t="s">
        <v>15</v>
      </c>
      <c r="C1233" s="3"/>
      <c r="D1233" s="5" t="s">
        <v>4228</v>
      </c>
      <c r="E1233" s="5" t="s">
        <v>124</v>
      </c>
      <c r="F1233" s="3" t="s">
        <v>4229</v>
      </c>
      <c r="G1233" s="6">
        <f>11.015*L1233</f>
        <v>22.03</v>
      </c>
      <c r="H1233" s="7">
        <v>41744</v>
      </c>
      <c r="I1233" s="6" t="s">
        <v>193</v>
      </c>
      <c r="J1233" s="6" t="s">
        <v>4230</v>
      </c>
      <c r="K1233" s="6" t="s">
        <v>21</v>
      </c>
      <c r="L1233" s="6">
        <v>2</v>
      </c>
      <c r="M1233" s="15" t="s">
        <v>4231</v>
      </c>
      <c r="N1233" s="15" t="s">
        <v>268</v>
      </c>
      <c r="O1233" s="15" t="s">
        <v>4231</v>
      </c>
    </row>
    <row r="1234" spans="1:15" s="1" customFormat="1" ht="13.5" customHeight="1">
      <c r="A1234" s="3" t="s">
        <v>469</v>
      </c>
      <c r="B1234" s="3"/>
      <c r="C1234" s="3"/>
      <c r="D1234" s="5" t="s">
        <v>276</v>
      </c>
      <c r="E1234" s="5" t="s">
        <v>124</v>
      </c>
      <c r="F1234" s="3" t="s">
        <v>4232</v>
      </c>
      <c r="G1234" s="6">
        <f>6.405*L1234</f>
        <v>128.1</v>
      </c>
      <c r="H1234" s="7">
        <v>41744</v>
      </c>
      <c r="I1234" s="6" t="s">
        <v>471</v>
      </c>
      <c r="J1234" s="6" t="s">
        <v>4233</v>
      </c>
      <c r="K1234" s="6" t="s">
        <v>21</v>
      </c>
      <c r="L1234" s="6">
        <v>20</v>
      </c>
      <c r="M1234" s="15" t="s">
        <v>4234</v>
      </c>
      <c r="N1234" s="15" t="s">
        <v>4235</v>
      </c>
      <c r="O1234" s="28" t="s">
        <v>4234</v>
      </c>
    </row>
    <row r="1235" spans="1:15" ht="13.5" customHeight="1">
      <c r="A1235" s="3" t="s">
        <v>469</v>
      </c>
      <c r="B1235" s="3"/>
      <c r="C1235" s="3"/>
      <c r="D1235" s="5" t="s">
        <v>276</v>
      </c>
      <c r="E1235" s="5" t="s">
        <v>124</v>
      </c>
      <c r="F1235" s="3" t="s">
        <v>4236</v>
      </c>
      <c r="G1235" s="6">
        <f>6.405*L1235</f>
        <v>160.125</v>
      </c>
      <c r="H1235" s="7">
        <v>41744</v>
      </c>
      <c r="I1235" s="6" t="s">
        <v>471</v>
      </c>
      <c r="J1235" s="6" t="s">
        <v>4237</v>
      </c>
      <c r="K1235" s="6" t="s">
        <v>21</v>
      </c>
      <c r="L1235" s="6">
        <v>25</v>
      </c>
      <c r="M1235" s="15" t="s">
        <v>4238</v>
      </c>
      <c r="N1235" s="15" t="s">
        <v>4239</v>
      </c>
      <c r="O1235" s="28" t="s">
        <v>4238</v>
      </c>
    </row>
    <row r="1236" spans="1:15" s="1" customFormat="1" ht="13.5" customHeight="1">
      <c r="A1236" s="3" t="s">
        <v>4051</v>
      </c>
      <c r="B1236" s="3"/>
      <c r="C1236" s="3"/>
      <c r="D1236" s="5" t="s">
        <v>4052</v>
      </c>
      <c r="E1236" s="5" t="s">
        <v>124</v>
      </c>
      <c r="F1236" s="3" t="s">
        <v>4240</v>
      </c>
      <c r="G1236" s="6">
        <v>139.98400000000001</v>
      </c>
      <c r="H1236" s="7">
        <v>41744</v>
      </c>
      <c r="I1236" s="6" t="s">
        <v>471</v>
      </c>
      <c r="J1236" s="6" t="s">
        <v>4241</v>
      </c>
      <c r="K1236" s="6" t="s">
        <v>21</v>
      </c>
      <c r="L1236" s="6" t="s">
        <v>4055</v>
      </c>
      <c r="M1236" s="15" t="s">
        <v>4242</v>
      </c>
      <c r="N1236" s="15" t="s">
        <v>4243</v>
      </c>
      <c r="O1236" s="28" t="s">
        <v>4244</v>
      </c>
    </row>
    <row r="1237" spans="1:15" s="1" customFormat="1" ht="13.5" customHeight="1">
      <c r="A1237" s="5" t="s">
        <v>1043</v>
      </c>
      <c r="B1237" s="3"/>
      <c r="C1237" s="3"/>
      <c r="D1237" s="5" t="s">
        <v>443</v>
      </c>
      <c r="E1237" s="5" t="s">
        <v>7026</v>
      </c>
      <c r="F1237" s="3" t="s">
        <v>7837</v>
      </c>
      <c r="G1237" s="6">
        <f>18.708*12</f>
        <v>224.49599999999998</v>
      </c>
      <c r="H1237" s="7">
        <v>41744</v>
      </c>
      <c r="I1237" s="6" t="s">
        <v>178</v>
      </c>
      <c r="J1237" s="6" t="s">
        <v>7838</v>
      </c>
      <c r="K1237" s="6" t="s">
        <v>21</v>
      </c>
      <c r="L1237" s="6">
        <v>12</v>
      </c>
      <c r="M1237" s="15" t="s">
        <v>7839</v>
      </c>
      <c r="N1237" s="15" t="s">
        <v>164</v>
      </c>
      <c r="O1237" s="27" t="s">
        <v>7840</v>
      </c>
    </row>
    <row r="1238" spans="1:15" ht="13.5" customHeight="1">
      <c r="A1238" s="5" t="s">
        <v>1043</v>
      </c>
      <c r="B1238" s="3"/>
      <c r="C1238" s="3"/>
      <c r="D1238" s="5" t="s">
        <v>443</v>
      </c>
      <c r="E1238" s="5" t="s">
        <v>7026</v>
      </c>
      <c r="F1238" s="3" t="s">
        <v>7841</v>
      </c>
      <c r="G1238" s="6">
        <f>18.708*13</f>
        <v>243.20399999999998</v>
      </c>
      <c r="H1238" s="7">
        <v>41744</v>
      </c>
      <c r="I1238" s="6" t="s">
        <v>178</v>
      </c>
      <c r="J1238" s="6" t="s">
        <v>7842</v>
      </c>
      <c r="K1238" s="6" t="s">
        <v>21</v>
      </c>
      <c r="L1238" s="6">
        <v>13</v>
      </c>
      <c r="M1238" s="15" t="s">
        <v>7839</v>
      </c>
      <c r="N1238" s="15" t="s">
        <v>167</v>
      </c>
      <c r="O1238" s="27" t="s">
        <v>4179</v>
      </c>
    </row>
    <row r="1239" spans="1:15" ht="13.5" customHeight="1">
      <c r="A1239" s="5" t="s">
        <v>1043</v>
      </c>
      <c r="B1239" s="3"/>
      <c r="C1239" s="3"/>
      <c r="D1239" s="5" t="s">
        <v>443</v>
      </c>
      <c r="E1239" s="5" t="s">
        <v>7026</v>
      </c>
      <c r="F1239" s="3" t="s">
        <v>7843</v>
      </c>
      <c r="G1239" s="6">
        <f>18.708*12</f>
        <v>224.49599999999998</v>
      </c>
      <c r="H1239" s="7">
        <v>41744</v>
      </c>
      <c r="I1239" s="6" t="s">
        <v>178</v>
      </c>
      <c r="J1239" s="6" t="s">
        <v>7844</v>
      </c>
      <c r="K1239" s="6" t="s">
        <v>21</v>
      </c>
      <c r="L1239" s="6">
        <v>12</v>
      </c>
      <c r="M1239" s="15" t="s">
        <v>7845</v>
      </c>
      <c r="N1239" s="15" t="s">
        <v>164</v>
      </c>
      <c r="O1239" s="27"/>
    </row>
    <row r="1240" spans="1:15" ht="13.5" customHeight="1">
      <c r="A1240" s="5" t="s">
        <v>1043</v>
      </c>
      <c r="B1240" s="3"/>
      <c r="C1240" s="3"/>
      <c r="D1240" s="5" t="s">
        <v>443</v>
      </c>
      <c r="E1240" s="5" t="s">
        <v>7026</v>
      </c>
      <c r="F1240" s="3" t="s">
        <v>7846</v>
      </c>
      <c r="G1240" s="6">
        <f>18.708*13</f>
        <v>243.20399999999998</v>
      </c>
      <c r="H1240" s="7">
        <v>41744</v>
      </c>
      <c r="I1240" s="6" t="s">
        <v>178</v>
      </c>
      <c r="J1240" s="6" t="s">
        <v>7847</v>
      </c>
      <c r="K1240" s="6" t="s">
        <v>21</v>
      </c>
      <c r="L1240" s="6">
        <v>13</v>
      </c>
      <c r="M1240" s="15" t="s">
        <v>7845</v>
      </c>
      <c r="N1240" s="15" t="s">
        <v>167</v>
      </c>
      <c r="O1240" s="27" t="s">
        <v>4174</v>
      </c>
    </row>
    <row r="1241" spans="1:15" s="1" customFormat="1" ht="13.5" customHeight="1">
      <c r="A1241" s="5" t="s">
        <v>1043</v>
      </c>
      <c r="B1241" s="3"/>
      <c r="C1241" s="3"/>
      <c r="D1241" s="5" t="s">
        <v>443</v>
      </c>
      <c r="E1241" s="5" t="s">
        <v>7026</v>
      </c>
      <c r="F1241" s="3" t="s">
        <v>7848</v>
      </c>
      <c r="G1241" s="6">
        <f>18.708*12</f>
        <v>224.49599999999998</v>
      </c>
      <c r="H1241" s="7">
        <v>41744</v>
      </c>
      <c r="I1241" s="6" t="s">
        <v>178</v>
      </c>
      <c r="J1241" s="6" t="s">
        <v>7849</v>
      </c>
      <c r="K1241" s="6" t="s">
        <v>21</v>
      </c>
      <c r="L1241" s="6">
        <v>12</v>
      </c>
      <c r="M1241" s="15" t="s">
        <v>7850</v>
      </c>
      <c r="N1241" s="15" t="s">
        <v>164</v>
      </c>
      <c r="O1241" s="27" t="s">
        <v>7851</v>
      </c>
    </row>
    <row r="1242" spans="1:15" s="1" customFormat="1" ht="13.5" customHeight="1">
      <c r="A1242" s="5" t="s">
        <v>1043</v>
      </c>
      <c r="B1242" s="3"/>
      <c r="C1242" s="3"/>
      <c r="D1242" s="5" t="s">
        <v>443</v>
      </c>
      <c r="E1242" s="5" t="s">
        <v>7026</v>
      </c>
      <c r="F1242" s="3" t="s">
        <v>7852</v>
      </c>
      <c r="G1242" s="6">
        <f>18.708*13</f>
        <v>243.20399999999998</v>
      </c>
      <c r="H1242" s="7">
        <v>41744</v>
      </c>
      <c r="I1242" s="6" t="s">
        <v>178</v>
      </c>
      <c r="J1242" s="6" t="s">
        <v>7853</v>
      </c>
      <c r="K1242" s="6" t="s">
        <v>21</v>
      </c>
      <c r="L1242" s="6">
        <v>13</v>
      </c>
      <c r="M1242" s="15" t="s">
        <v>7850</v>
      </c>
      <c r="N1242" s="15" t="s">
        <v>167</v>
      </c>
      <c r="O1242" s="27" t="s">
        <v>7854</v>
      </c>
    </row>
    <row r="1243" spans="1:15" s="1" customFormat="1" ht="13.5" customHeight="1">
      <c r="A1243" s="5" t="s">
        <v>1043</v>
      </c>
      <c r="B1243" s="3"/>
      <c r="C1243" s="3"/>
      <c r="D1243" s="5" t="s">
        <v>443</v>
      </c>
      <c r="E1243" s="5" t="s">
        <v>7026</v>
      </c>
      <c r="F1243" s="3" t="s">
        <v>7855</v>
      </c>
      <c r="G1243" s="6">
        <f>18.708*12</f>
        <v>224.49599999999998</v>
      </c>
      <c r="H1243" s="7">
        <v>41744</v>
      </c>
      <c r="I1243" s="6" t="s">
        <v>178</v>
      </c>
      <c r="J1243" s="6" t="s">
        <v>7856</v>
      </c>
      <c r="K1243" s="6" t="s">
        <v>21</v>
      </c>
      <c r="L1243" s="6">
        <v>12</v>
      </c>
      <c r="M1243" s="15" t="s">
        <v>7857</v>
      </c>
      <c r="N1243" s="15" t="s">
        <v>164</v>
      </c>
      <c r="O1243" s="27" t="s">
        <v>7858</v>
      </c>
    </row>
    <row r="1244" spans="1:15" s="1" customFormat="1" ht="13.5" customHeight="1">
      <c r="A1244" s="5" t="s">
        <v>1043</v>
      </c>
      <c r="B1244" s="3"/>
      <c r="C1244" s="3"/>
      <c r="D1244" s="5" t="s">
        <v>443</v>
      </c>
      <c r="E1244" s="5" t="s">
        <v>7026</v>
      </c>
      <c r="F1244" s="3" t="s">
        <v>7859</v>
      </c>
      <c r="G1244" s="6">
        <f>18.708*13</f>
        <v>243.20399999999998</v>
      </c>
      <c r="H1244" s="7">
        <v>41744</v>
      </c>
      <c r="I1244" s="6" t="s">
        <v>178</v>
      </c>
      <c r="J1244" s="6" t="s">
        <v>7860</v>
      </c>
      <c r="K1244" s="6" t="s">
        <v>21</v>
      </c>
      <c r="L1244" s="6">
        <v>13</v>
      </c>
      <c r="M1244" s="15" t="s">
        <v>7857</v>
      </c>
      <c r="N1244" s="15" t="s">
        <v>167</v>
      </c>
      <c r="O1244" s="27" t="s">
        <v>4201</v>
      </c>
    </row>
    <row r="1245" spans="1:15" s="1" customFormat="1" ht="13.5" customHeight="1">
      <c r="A1245" s="5" t="s">
        <v>1043</v>
      </c>
      <c r="B1245" s="3"/>
      <c r="C1245" s="3"/>
      <c r="D1245" s="5" t="s">
        <v>443</v>
      </c>
      <c r="E1245" s="5" t="s">
        <v>7026</v>
      </c>
      <c r="F1245" s="3" t="s">
        <v>7861</v>
      </c>
      <c r="G1245" s="6">
        <f>18.708*12</f>
        <v>224.49599999999998</v>
      </c>
      <c r="H1245" s="7">
        <v>41744</v>
      </c>
      <c r="I1245" s="6" t="s">
        <v>178</v>
      </c>
      <c r="J1245" s="6" t="s">
        <v>7862</v>
      </c>
      <c r="K1245" s="6" t="s">
        <v>21</v>
      </c>
      <c r="L1245" s="6">
        <v>12</v>
      </c>
      <c r="M1245" s="15" t="s">
        <v>7863</v>
      </c>
      <c r="N1245" s="15" t="s">
        <v>164</v>
      </c>
      <c r="O1245" s="27" t="s">
        <v>7864</v>
      </c>
    </row>
    <row r="1246" spans="1:15" s="1" customFormat="1" ht="13.5" customHeight="1">
      <c r="A1246" s="5" t="s">
        <v>1043</v>
      </c>
      <c r="B1246" s="3"/>
      <c r="C1246" s="3"/>
      <c r="D1246" s="5" t="s">
        <v>443</v>
      </c>
      <c r="E1246" s="5" t="s">
        <v>7026</v>
      </c>
      <c r="F1246" s="3" t="s">
        <v>7865</v>
      </c>
      <c r="G1246" s="6">
        <f>18.708*13</f>
        <v>243.20399999999998</v>
      </c>
      <c r="H1246" s="7">
        <v>41744</v>
      </c>
      <c r="I1246" s="6" t="s">
        <v>178</v>
      </c>
      <c r="J1246" s="6" t="s">
        <v>7866</v>
      </c>
      <c r="K1246" s="6" t="s">
        <v>21</v>
      </c>
      <c r="L1246" s="6">
        <v>13</v>
      </c>
      <c r="M1246" s="15" t="s">
        <v>7863</v>
      </c>
      <c r="N1246" s="15" t="s">
        <v>167</v>
      </c>
      <c r="O1246" s="27" t="s">
        <v>7867</v>
      </c>
    </row>
    <row r="1247" spans="1:15" s="1" customFormat="1" ht="13.5" customHeight="1">
      <c r="A1247" s="5" t="s">
        <v>1150</v>
      </c>
      <c r="B1247" s="3"/>
      <c r="C1247" s="3"/>
      <c r="D1247" s="5" t="s">
        <v>1151</v>
      </c>
      <c r="E1247" s="5" t="s">
        <v>7026</v>
      </c>
      <c r="F1247" s="3" t="s">
        <v>7868</v>
      </c>
      <c r="G1247" s="6">
        <v>177.12</v>
      </c>
      <c r="H1247" s="7">
        <v>41744</v>
      </c>
      <c r="I1247" s="6" t="s">
        <v>265</v>
      </c>
      <c r="J1247" s="6" t="s">
        <v>7869</v>
      </c>
      <c r="K1247" s="6" t="s">
        <v>21</v>
      </c>
      <c r="L1247" s="6">
        <v>10</v>
      </c>
      <c r="M1247" s="15" t="s">
        <v>7870</v>
      </c>
      <c r="N1247" s="15" t="s">
        <v>4849</v>
      </c>
      <c r="O1247" s="27" t="s">
        <v>7871</v>
      </c>
    </row>
    <row r="1248" spans="1:15" s="1" customFormat="1" ht="13.5" customHeight="1">
      <c r="A1248" s="5" t="s">
        <v>7024</v>
      </c>
      <c r="B1248" s="3"/>
      <c r="C1248" s="3"/>
      <c r="D1248" s="5" t="s">
        <v>7025</v>
      </c>
      <c r="E1248" s="5" t="s">
        <v>7026</v>
      </c>
      <c r="F1248" s="3" t="s">
        <v>7872</v>
      </c>
      <c r="G1248" s="6">
        <f>17.498*12</f>
        <v>209.976</v>
      </c>
      <c r="H1248" s="7">
        <v>41744</v>
      </c>
      <c r="I1248" s="6" t="s">
        <v>265</v>
      </c>
      <c r="J1248" s="6" t="s">
        <v>7873</v>
      </c>
      <c r="K1248" s="6" t="s">
        <v>21</v>
      </c>
      <c r="L1248" s="6">
        <v>12</v>
      </c>
      <c r="M1248" s="15" t="s">
        <v>7874</v>
      </c>
      <c r="N1248" s="15" t="s">
        <v>164</v>
      </c>
      <c r="O1248" s="27"/>
    </row>
    <row r="1249" spans="1:15" s="1" customFormat="1" ht="13.5" customHeight="1">
      <c r="A1249" s="5" t="s">
        <v>7024</v>
      </c>
      <c r="B1249" s="3"/>
      <c r="C1249" s="3"/>
      <c r="D1249" s="5" t="s">
        <v>7025</v>
      </c>
      <c r="E1249" s="5" t="s">
        <v>7026</v>
      </c>
      <c r="F1249" s="3" t="s">
        <v>7875</v>
      </c>
      <c r="G1249" s="6">
        <f>17.498*13</f>
        <v>227.47400000000002</v>
      </c>
      <c r="H1249" s="7">
        <v>41744</v>
      </c>
      <c r="I1249" s="6" t="s">
        <v>265</v>
      </c>
      <c r="J1249" s="6" t="s">
        <v>7876</v>
      </c>
      <c r="K1249" s="6" t="s">
        <v>21</v>
      </c>
      <c r="L1249" s="6">
        <v>13</v>
      </c>
      <c r="M1249" s="15" t="s">
        <v>7874</v>
      </c>
      <c r="N1249" s="15" t="s">
        <v>167</v>
      </c>
      <c r="O1249" s="27"/>
    </row>
    <row r="1250" spans="1:15" s="1" customFormat="1" ht="13.5" customHeight="1">
      <c r="A1250" s="3" t="s">
        <v>1303</v>
      </c>
      <c r="B1250" s="3"/>
      <c r="C1250" s="3"/>
      <c r="D1250" s="5" t="s">
        <v>1304</v>
      </c>
      <c r="E1250" s="5" t="s">
        <v>124</v>
      </c>
      <c r="F1250" s="3" t="s">
        <v>4245</v>
      </c>
      <c r="G1250" s="6">
        <v>207.34899999999999</v>
      </c>
      <c r="H1250" s="7">
        <v>41745</v>
      </c>
      <c r="I1250" s="6" t="s">
        <v>209</v>
      </c>
      <c r="J1250" s="6" t="s">
        <v>4246</v>
      </c>
      <c r="K1250" s="6" t="s">
        <v>128</v>
      </c>
      <c r="L1250" s="6" t="s">
        <v>948</v>
      </c>
      <c r="M1250" s="15" t="s">
        <v>4247</v>
      </c>
      <c r="N1250" s="15" t="s">
        <v>4248</v>
      </c>
      <c r="O1250" s="28" t="s">
        <v>4249</v>
      </c>
    </row>
    <row r="1251" spans="1:15" s="1" customFormat="1" ht="13.5" customHeight="1">
      <c r="A1251" s="3" t="s">
        <v>252</v>
      </c>
      <c r="B1251" s="3"/>
      <c r="C1251" s="3"/>
      <c r="D1251" s="5" t="s">
        <v>245</v>
      </c>
      <c r="E1251" s="5" t="s">
        <v>4250</v>
      </c>
      <c r="F1251" s="3" t="s">
        <v>4251</v>
      </c>
      <c r="G1251" s="6">
        <f>18.708*5</f>
        <v>93.539999999999992</v>
      </c>
      <c r="H1251" s="7">
        <v>41745</v>
      </c>
      <c r="I1251" s="6" t="s">
        <v>247</v>
      </c>
      <c r="J1251" s="6" t="s">
        <v>4252</v>
      </c>
      <c r="K1251" s="6" t="s">
        <v>21</v>
      </c>
      <c r="L1251" s="6">
        <v>5</v>
      </c>
      <c r="M1251" s="15" t="s">
        <v>4253</v>
      </c>
      <c r="N1251" s="15" t="s">
        <v>295</v>
      </c>
      <c r="O1251" s="28" t="s">
        <v>4254</v>
      </c>
    </row>
    <row r="1252" spans="1:15" s="1" customFormat="1" ht="13.5" customHeight="1">
      <c r="A1252" s="3" t="s">
        <v>257</v>
      </c>
      <c r="B1252" s="3"/>
      <c r="C1252" s="3"/>
      <c r="D1252" s="5" t="s">
        <v>245</v>
      </c>
      <c r="E1252" s="5" t="s">
        <v>4250</v>
      </c>
      <c r="F1252" s="3" t="s">
        <v>4255</v>
      </c>
      <c r="G1252" s="6">
        <f>18.708*10</f>
        <v>187.07999999999998</v>
      </c>
      <c r="H1252" s="7">
        <v>41745</v>
      </c>
      <c r="I1252" s="6" t="s">
        <v>178</v>
      </c>
      <c r="J1252" s="6" t="s">
        <v>4256</v>
      </c>
      <c r="K1252" s="6" t="s">
        <v>21</v>
      </c>
      <c r="L1252" s="6">
        <v>10</v>
      </c>
      <c r="M1252" s="15" t="s">
        <v>4253</v>
      </c>
      <c r="N1252" s="15" t="s">
        <v>114</v>
      </c>
      <c r="O1252" s="15" t="s">
        <v>4253</v>
      </c>
    </row>
    <row r="1253" spans="1:15" s="1" customFormat="1" ht="13.5" customHeight="1">
      <c r="A1253" s="3" t="s">
        <v>456</v>
      </c>
      <c r="B1253" s="3"/>
      <c r="C1253" s="3"/>
      <c r="D1253" s="5" t="s">
        <v>403</v>
      </c>
      <c r="E1253" s="5" t="s">
        <v>4250</v>
      </c>
      <c r="F1253" s="3" t="s">
        <v>4257</v>
      </c>
      <c r="G1253" s="6">
        <f>17.498*5</f>
        <v>87.490000000000009</v>
      </c>
      <c r="H1253" s="7">
        <v>41745</v>
      </c>
      <c r="I1253" s="6" t="s">
        <v>471</v>
      </c>
      <c r="J1253" s="6" t="s">
        <v>4258</v>
      </c>
      <c r="K1253" s="6" t="s">
        <v>21</v>
      </c>
      <c r="L1253" s="6">
        <v>5</v>
      </c>
      <c r="M1253" s="15" t="s">
        <v>4259</v>
      </c>
      <c r="N1253" s="15" t="s">
        <v>3822</v>
      </c>
      <c r="O1253" s="27" t="s">
        <v>4259</v>
      </c>
    </row>
    <row r="1254" spans="1:15" s="1" customFormat="1" ht="13.5" customHeight="1">
      <c r="A1254" s="3" t="s">
        <v>819</v>
      </c>
      <c r="B1254" s="3"/>
      <c r="C1254" s="3"/>
      <c r="D1254" s="5" t="s">
        <v>820</v>
      </c>
      <c r="E1254" s="5" t="s">
        <v>4250</v>
      </c>
      <c r="F1254" s="3" t="s">
        <v>4260</v>
      </c>
      <c r="G1254" s="6">
        <f>29.101*L1254</f>
        <v>203.70699999999999</v>
      </c>
      <c r="H1254" s="7">
        <v>41745</v>
      </c>
      <c r="I1254" s="6" t="s">
        <v>178</v>
      </c>
      <c r="J1254" s="6" t="s">
        <v>4261</v>
      </c>
      <c r="K1254" s="6" t="s">
        <v>21</v>
      </c>
      <c r="L1254" s="6">
        <v>7</v>
      </c>
      <c r="M1254" s="15" t="s">
        <v>4262</v>
      </c>
      <c r="N1254" s="15" t="s">
        <v>4263</v>
      </c>
      <c r="O1254" s="28" t="s">
        <v>4262</v>
      </c>
    </row>
    <row r="1255" spans="1:15" s="1" customFormat="1" ht="13.5" customHeight="1">
      <c r="A1255" s="3" t="s">
        <v>1187</v>
      </c>
      <c r="B1255" s="3"/>
      <c r="C1255" s="3"/>
      <c r="D1255" s="5" t="s">
        <v>1188</v>
      </c>
      <c r="E1255" s="5" t="s">
        <v>4250</v>
      </c>
      <c r="F1255" s="3" t="s">
        <v>4264</v>
      </c>
      <c r="G1255" s="6">
        <f>29.101*6</f>
        <v>174.60599999999999</v>
      </c>
      <c r="H1255" s="7">
        <v>41745</v>
      </c>
      <c r="I1255" s="6" t="s">
        <v>178</v>
      </c>
      <c r="J1255" s="6" t="s">
        <v>4265</v>
      </c>
      <c r="K1255" s="6" t="s">
        <v>21</v>
      </c>
      <c r="L1255" s="6">
        <v>6</v>
      </c>
      <c r="M1255" s="15" t="s">
        <v>4266</v>
      </c>
      <c r="N1255" s="15" t="s">
        <v>787</v>
      </c>
      <c r="O1255" s="28" t="s">
        <v>4266</v>
      </c>
    </row>
    <row r="1256" spans="1:15" ht="13.5" customHeight="1">
      <c r="A1256" s="3" t="s">
        <v>1187</v>
      </c>
      <c r="B1256" s="3"/>
      <c r="C1256" s="3"/>
      <c r="D1256" s="5" t="s">
        <v>1188</v>
      </c>
      <c r="E1256" s="5" t="s">
        <v>4250</v>
      </c>
      <c r="F1256" s="3" t="s">
        <v>4267</v>
      </c>
      <c r="G1256" s="6">
        <v>174.60599999999999</v>
      </c>
      <c r="H1256" s="7">
        <v>41745</v>
      </c>
      <c r="I1256" s="6" t="s">
        <v>178</v>
      </c>
      <c r="J1256" s="6" t="s">
        <v>4268</v>
      </c>
      <c r="K1256" s="6" t="s">
        <v>21</v>
      </c>
      <c r="L1256" s="6">
        <v>6</v>
      </c>
      <c r="M1256" s="15" t="s">
        <v>4266</v>
      </c>
      <c r="N1256" s="15" t="s">
        <v>395</v>
      </c>
      <c r="O1256" s="28" t="s">
        <v>4269</v>
      </c>
    </row>
    <row r="1257" spans="1:15" s="1" customFormat="1" ht="13.5" customHeight="1">
      <c r="A1257" s="3" t="s">
        <v>2530</v>
      </c>
      <c r="B1257" s="3"/>
      <c r="C1257" s="3"/>
      <c r="D1257" s="5" t="s">
        <v>1188</v>
      </c>
      <c r="E1257" s="5" t="s">
        <v>4250</v>
      </c>
      <c r="F1257" s="3" t="s">
        <v>4270</v>
      </c>
      <c r="G1257" s="6">
        <f>29.101*6</f>
        <v>174.60599999999999</v>
      </c>
      <c r="H1257" s="7">
        <v>41745</v>
      </c>
      <c r="I1257" s="6" t="s">
        <v>178</v>
      </c>
      <c r="J1257" s="6" t="s">
        <v>4271</v>
      </c>
      <c r="K1257" s="6" t="s">
        <v>21</v>
      </c>
      <c r="L1257" s="6">
        <v>6</v>
      </c>
      <c r="M1257" s="15" t="s">
        <v>4266</v>
      </c>
      <c r="N1257" s="15" t="s">
        <v>1137</v>
      </c>
      <c r="O1257" s="28" t="s">
        <v>4272</v>
      </c>
    </row>
    <row r="1258" spans="1:15" s="1" customFormat="1" ht="13.5" customHeight="1">
      <c r="A1258" s="21" t="s">
        <v>7877</v>
      </c>
      <c r="B1258" s="3"/>
      <c r="C1258" s="3"/>
      <c r="D1258" s="5" t="s">
        <v>7878</v>
      </c>
      <c r="E1258" s="5" t="s">
        <v>7026</v>
      </c>
      <c r="F1258" s="3" t="s">
        <v>7879</v>
      </c>
      <c r="G1258" s="6">
        <f>5.249*L1258</f>
        <v>10.497999999999999</v>
      </c>
      <c r="H1258" s="7">
        <v>41746</v>
      </c>
      <c r="I1258" s="6" t="s">
        <v>7880</v>
      </c>
      <c r="J1258" s="6" t="s">
        <v>7881</v>
      </c>
      <c r="K1258" s="6" t="s">
        <v>21</v>
      </c>
      <c r="L1258" s="6">
        <v>2</v>
      </c>
      <c r="M1258" s="15" t="s">
        <v>7882</v>
      </c>
      <c r="N1258" s="15" t="s">
        <v>189</v>
      </c>
      <c r="O1258" s="27" t="s">
        <v>7883</v>
      </c>
    </row>
    <row r="1259" spans="1:15" s="1" customFormat="1" ht="13.5" customHeight="1">
      <c r="A1259" s="3" t="s">
        <v>1127</v>
      </c>
      <c r="B1259" s="3"/>
      <c r="C1259" s="3"/>
      <c r="D1259" s="5" t="s">
        <v>1128</v>
      </c>
      <c r="E1259" s="5" t="s">
        <v>124</v>
      </c>
      <c r="F1259" s="3" t="s">
        <v>4273</v>
      </c>
      <c r="G1259" s="6">
        <f>29.101*L1259</f>
        <v>87.302999999999997</v>
      </c>
      <c r="H1259" s="7">
        <v>41747</v>
      </c>
      <c r="I1259" s="6" t="s">
        <v>178</v>
      </c>
      <c r="J1259" s="6" t="s">
        <v>4274</v>
      </c>
      <c r="K1259" s="6" t="s">
        <v>21</v>
      </c>
      <c r="L1259" s="6">
        <v>3</v>
      </c>
      <c r="M1259" s="15" t="s">
        <v>1516</v>
      </c>
      <c r="N1259" s="31" t="s">
        <v>1748</v>
      </c>
      <c r="O1259" s="76" t="s">
        <v>4275</v>
      </c>
    </row>
    <row r="1260" spans="1:15" s="1" customFormat="1" ht="13.5" customHeight="1">
      <c r="A1260" s="5" t="s">
        <v>1043</v>
      </c>
      <c r="B1260" s="3"/>
      <c r="C1260" s="3"/>
      <c r="D1260" s="5" t="s">
        <v>443</v>
      </c>
      <c r="E1260" s="5" t="s">
        <v>7026</v>
      </c>
      <c r="F1260" s="3" t="s">
        <v>7884</v>
      </c>
      <c r="G1260" s="6">
        <f>18.708*12</f>
        <v>224.49599999999998</v>
      </c>
      <c r="H1260" s="7">
        <v>41747</v>
      </c>
      <c r="I1260" s="6" t="s">
        <v>178</v>
      </c>
      <c r="J1260" s="6" t="s">
        <v>7885</v>
      </c>
      <c r="K1260" s="6" t="s">
        <v>21</v>
      </c>
      <c r="L1260" s="6">
        <v>12</v>
      </c>
      <c r="M1260" s="15" t="s">
        <v>7886</v>
      </c>
      <c r="N1260" s="15" t="s">
        <v>164</v>
      </c>
      <c r="O1260" s="27" t="s">
        <v>7887</v>
      </c>
    </row>
    <row r="1261" spans="1:15" s="1" customFormat="1" ht="13.5" customHeight="1">
      <c r="A1261" s="5" t="s">
        <v>1043</v>
      </c>
      <c r="B1261" s="3"/>
      <c r="C1261" s="3"/>
      <c r="D1261" s="5" t="s">
        <v>443</v>
      </c>
      <c r="E1261" s="5" t="s">
        <v>7026</v>
      </c>
      <c r="F1261" s="3" t="s">
        <v>7888</v>
      </c>
      <c r="G1261" s="6">
        <f>18.708*13</f>
        <v>243.20399999999998</v>
      </c>
      <c r="H1261" s="7">
        <v>41747</v>
      </c>
      <c r="I1261" s="6" t="s">
        <v>178</v>
      </c>
      <c r="J1261" s="6" t="s">
        <v>7889</v>
      </c>
      <c r="K1261" s="6" t="s">
        <v>21</v>
      </c>
      <c r="L1261" s="6">
        <v>13</v>
      </c>
      <c r="M1261" s="15" t="s">
        <v>7886</v>
      </c>
      <c r="N1261" s="15" t="s">
        <v>167</v>
      </c>
      <c r="O1261" s="27" t="s">
        <v>7890</v>
      </c>
    </row>
    <row r="1262" spans="1:15" s="1" customFormat="1" ht="13.5" customHeight="1">
      <c r="A1262" s="3" t="s">
        <v>3816</v>
      </c>
      <c r="B1262" s="3"/>
      <c r="C1262" s="3"/>
      <c r="D1262" s="5" t="s">
        <v>377</v>
      </c>
      <c r="E1262" s="5" t="s">
        <v>124</v>
      </c>
      <c r="F1262" s="3" t="s">
        <v>4276</v>
      </c>
      <c r="G1262" s="6">
        <f>18.708*L1262</f>
        <v>93.539999999999992</v>
      </c>
      <c r="H1262" s="7">
        <v>41750</v>
      </c>
      <c r="I1262" s="6" t="s">
        <v>265</v>
      </c>
      <c r="J1262" s="6" t="s">
        <v>4277</v>
      </c>
      <c r="K1262" s="6" t="s">
        <v>21</v>
      </c>
      <c r="L1262" s="6">
        <v>5</v>
      </c>
      <c r="M1262" s="15" t="s">
        <v>4278</v>
      </c>
      <c r="N1262" s="15" t="s">
        <v>59</v>
      </c>
      <c r="O1262" s="28" t="s">
        <v>4278</v>
      </c>
    </row>
    <row r="1263" spans="1:15" s="1" customFormat="1" ht="13.5" customHeight="1">
      <c r="A1263" s="3" t="s">
        <v>514</v>
      </c>
      <c r="B1263" s="3"/>
      <c r="C1263" s="3"/>
      <c r="D1263" s="5" t="s">
        <v>2030</v>
      </c>
      <c r="E1263" s="5" t="s">
        <v>124</v>
      </c>
      <c r="F1263" s="3" t="s">
        <v>4279</v>
      </c>
      <c r="G1263" s="6">
        <f>14.405*L1263</f>
        <v>172.85999999999999</v>
      </c>
      <c r="H1263" s="7">
        <v>41750</v>
      </c>
      <c r="I1263" s="6" t="s">
        <v>265</v>
      </c>
      <c r="J1263" s="6" t="s">
        <v>4280</v>
      </c>
      <c r="K1263" s="6" t="s">
        <v>21</v>
      </c>
      <c r="L1263" s="6">
        <v>12</v>
      </c>
      <c r="M1263" s="15" t="s">
        <v>4281</v>
      </c>
      <c r="N1263" s="15" t="s">
        <v>78</v>
      </c>
      <c r="O1263" s="28" t="s">
        <v>4281</v>
      </c>
    </row>
    <row r="1264" spans="1:15" s="1" customFormat="1" ht="13.5" customHeight="1">
      <c r="A1264" s="3" t="s">
        <v>514</v>
      </c>
      <c r="B1264" s="3"/>
      <c r="C1264" s="3"/>
      <c r="D1264" s="5" t="s">
        <v>2030</v>
      </c>
      <c r="E1264" s="5" t="s">
        <v>124</v>
      </c>
      <c r="F1264" s="3" t="s">
        <v>4282</v>
      </c>
      <c r="G1264" s="6">
        <f>14.405*L1264</f>
        <v>187.26499999999999</v>
      </c>
      <c r="H1264" s="7">
        <v>41750</v>
      </c>
      <c r="I1264" s="6" t="s">
        <v>265</v>
      </c>
      <c r="J1264" s="6" t="s">
        <v>4283</v>
      </c>
      <c r="K1264" s="6" t="s">
        <v>21</v>
      </c>
      <c r="L1264" s="6">
        <v>13</v>
      </c>
      <c r="M1264" s="15" t="s">
        <v>4281</v>
      </c>
      <c r="N1264" s="15" t="s">
        <v>167</v>
      </c>
      <c r="O1264" s="28" t="s">
        <v>4284</v>
      </c>
    </row>
    <row r="1265" spans="1:15" s="1" customFormat="1" ht="13.5" customHeight="1">
      <c r="A1265" s="3" t="s">
        <v>3331</v>
      </c>
      <c r="B1265" s="3"/>
      <c r="C1265" s="3"/>
      <c r="D1265" s="5" t="s">
        <v>3332</v>
      </c>
      <c r="E1265" s="5" t="s">
        <v>124</v>
      </c>
      <c r="F1265" s="3" t="s">
        <v>4285</v>
      </c>
      <c r="G1265" s="6">
        <v>34.835999999999999</v>
      </c>
      <c r="H1265" s="7">
        <v>41750</v>
      </c>
      <c r="I1265" s="6" t="s">
        <v>209</v>
      </c>
      <c r="J1265" s="6" t="s">
        <v>4286</v>
      </c>
      <c r="K1265" s="6" t="s">
        <v>21</v>
      </c>
      <c r="L1265" s="6" t="s">
        <v>1635</v>
      </c>
      <c r="M1265" s="15" t="s">
        <v>4287</v>
      </c>
      <c r="N1265" s="15" t="s">
        <v>4288</v>
      </c>
      <c r="O1265" s="28" t="s">
        <v>4289</v>
      </c>
    </row>
    <row r="1266" spans="1:15" s="1" customFormat="1" ht="13.5" customHeight="1">
      <c r="A1266" s="3" t="s">
        <v>469</v>
      </c>
      <c r="B1266" s="3"/>
      <c r="C1266" s="3"/>
      <c r="D1266" s="5" t="s">
        <v>276</v>
      </c>
      <c r="E1266" s="5" t="s">
        <v>124</v>
      </c>
      <c r="F1266" s="3" t="s">
        <v>4290</v>
      </c>
      <c r="G1266" s="6">
        <f>6.405*L1266</f>
        <v>160.125</v>
      </c>
      <c r="H1266" s="7">
        <v>41751</v>
      </c>
      <c r="I1266" s="6" t="s">
        <v>471</v>
      </c>
      <c r="J1266" s="6" t="s">
        <v>4291</v>
      </c>
      <c r="K1266" s="6" t="s">
        <v>21</v>
      </c>
      <c r="L1266" s="6">
        <v>25</v>
      </c>
      <c r="M1266" s="15" t="s">
        <v>4292</v>
      </c>
      <c r="N1266" s="15" t="s">
        <v>4239</v>
      </c>
      <c r="O1266" s="28" t="s">
        <v>4292</v>
      </c>
    </row>
    <row r="1267" spans="1:15" s="1" customFormat="1" ht="13.5" customHeight="1">
      <c r="A1267" s="3" t="s">
        <v>772</v>
      </c>
      <c r="B1267" s="3"/>
      <c r="C1267" s="3"/>
      <c r="D1267" s="5" t="s">
        <v>773</v>
      </c>
      <c r="E1267" s="5" t="s">
        <v>124</v>
      </c>
      <c r="F1267" s="3" t="s">
        <v>4293</v>
      </c>
      <c r="G1267" s="6">
        <f>18.708*L1267</f>
        <v>224.49599999999998</v>
      </c>
      <c r="H1267" s="7">
        <v>41751</v>
      </c>
      <c r="I1267" s="6" t="s">
        <v>265</v>
      </c>
      <c r="J1267" s="6" t="s">
        <v>4294</v>
      </c>
      <c r="K1267" s="6" t="s">
        <v>21</v>
      </c>
      <c r="L1267" s="6">
        <v>12</v>
      </c>
      <c r="M1267" s="15" t="s">
        <v>4295</v>
      </c>
      <c r="N1267" s="15" t="s">
        <v>164</v>
      </c>
      <c r="O1267" s="28" t="s">
        <v>4295</v>
      </c>
    </row>
    <row r="1268" spans="1:15" ht="13.5" customHeight="1">
      <c r="A1268" s="3" t="s">
        <v>918</v>
      </c>
      <c r="B1268" s="3"/>
      <c r="C1268" s="3"/>
      <c r="D1268" s="5" t="s">
        <v>919</v>
      </c>
      <c r="E1268" s="5" t="s">
        <v>124</v>
      </c>
      <c r="F1268" s="3" t="s">
        <v>4296</v>
      </c>
      <c r="G1268" s="6">
        <f>17.712*L1268</f>
        <v>212.54399999999998</v>
      </c>
      <c r="H1268" s="7">
        <v>41751</v>
      </c>
      <c r="I1268" s="6" t="s">
        <v>265</v>
      </c>
      <c r="J1268" s="6" t="s">
        <v>4297</v>
      </c>
      <c r="K1268" s="6" t="s">
        <v>21</v>
      </c>
      <c r="L1268" s="6">
        <v>12</v>
      </c>
      <c r="M1268" s="15" t="s">
        <v>4298</v>
      </c>
      <c r="N1268" s="15" t="s">
        <v>164</v>
      </c>
      <c r="O1268" s="28" t="s">
        <v>4298</v>
      </c>
    </row>
    <row r="1269" spans="1:15" ht="13.5" customHeight="1">
      <c r="A1269" s="3" t="s">
        <v>918</v>
      </c>
      <c r="B1269" s="3"/>
      <c r="C1269" s="3"/>
      <c r="D1269" s="5" t="s">
        <v>919</v>
      </c>
      <c r="E1269" s="5" t="s">
        <v>124</v>
      </c>
      <c r="F1269" s="3" t="s">
        <v>4299</v>
      </c>
      <c r="G1269" s="6">
        <f>17.712*L1269</f>
        <v>230.256</v>
      </c>
      <c r="H1269" s="7">
        <v>41751</v>
      </c>
      <c r="I1269" s="6" t="s">
        <v>265</v>
      </c>
      <c r="J1269" s="6" t="s">
        <v>4300</v>
      </c>
      <c r="K1269" s="6" t="s">
        <v>21</v>
      </c>
      <c r="L1269" s="6">
        <v>13</v>
      </c>
      <c r="M1269" s="15" t="s">
        <v>4298</v>
      </c>
      <c r="N1269" s="15" t="s">
        <v>167</v>
      </c>
      <c r="O1269" s="28" t="s">
        <v>4301</v>
      </c>
    </row>
    <row r="1270" spans="1:15" s="1" customFormat="1" ht="13.5" customHeight="1">
      <c r="A1270" s="3" t="s">
        <v>918</v>
      </c>
      <c r="B1270" s="3"/>
      <c r="C1270" s="3"/>
      <c r="D1270" s="5" t="s">
        <v>919</v>
      </c>
      <c r="E1270" s="5" t="s">
        <v>124</v>
      </c>
      <c r="F1270" s="3" t="s">
        <v>4302</v>
      </c>
      <c r="G1270" s="6">
        <f>17.712*L1270</f>
        <v>212.54399999999998</v>
      </c>
      <c r="H1270" s="7">
        <v>41751</v>
      </c>
      <c r="I1270" s="6" t="s">
        <v>265</v>
      </c>
      <c r="J1270" s="6" t="s">
        <v>4303</v>
      </c>
      <c r="K1270" s="6" t="s">
        <v>21</v>
      </c>
      <c r="L1270" s="6">
        <v>12</v>
      </c>
      <c r="M1270" s="15" t="s">
        <v>4304</v>
      </c>
      <c r="N1270" s="15" t="s">
        <v>164</v>
      </c>
      <c r="O1270" s="28" t="s">
        <v>4304</v>
      </c>
    </row>
    <row r="1271" spans="1:15" s="1" customFormat="1" ht="13.5" customHeight="1">
      <c r="A1271" s="3" t="s">
        <v>918</v>
      </c>
      <c r="B1271" s="3"/>
      <c r="C1271" s="3"/>
      <c r="D1271" s="5" t="s">
        <v>919</v>
      </c>
      <c r="E1271" s="5" t="s">
        <v>124</v>
      </c>
      <c r="F1271" s="3" t="s">
        <v>4305</v>
      </c>
      <c r="G1271" s="6">
        <f>17.712*L1271</f>
        <v>230.256</v>
      </c>
      <c r="H1271" s="7">
        <v>41751</v>
      </c>
      <c r="I1271" s="6" t="s">
        <v>265</v>
      </c>
      <c r="J1271" s="6" t="s">
        <v>4306</v>
      </c>
      <c r="K1271" s="6" t="s">
        <v>21</v>
      </c>
      <c r="L1271" s="6">
        <v>13</v>
      </c>
      <c r="M1271" s="15" t="s">
        <v>4304</v>
      </c>
      <c r="N1271" s="15" t="s">
        <v>167</v>
      </c>
      <c r="O1271" s="15" t="s">
        <v>4307</v>
      </c>
    </row>
    <row r="1272" spans="1:15" s="1" customFormat="1" ht="13.5" customHeight="1">
      <c r="A1272" s="3" t="s">
        <v>252</v>
      </c>
      <c r="B1272" s="3"/>
      <c r="C1272" s="3"/>
      <c r="D1272" s="5" t="s">
        <v>245</v>
      </c>
      <c r="E1272" s="5" t="s">
        <v>124</v>
      </c>
      <c r="F1272" s="3" t="s">
        <v>4308</v>
      </c>
      <c r="G1272" s="6">
        <f>18.708*L1272</f>
        <v>187.07999999999998</v>
      </c>
      <c r="H1272" s="7">
        <v>41751</v>
      </c>
      <c r="I1272" s="6" t="s">
        <v>247</v>
      </c>
      <c r="J1272" s="6" t="s">
        <v>4309</v>
      </c>
      <c r="K1272" s="6" t="s">
        <v>21</v>
      </c>
      <c r="L1272" s="6">
        <v>10</v>
      </c>
      <c r="M1272" s="15" t="s">
        <v>4310</v>
      </c>
      <c r="N1272" s="15" t="s">
        <v>35</v>
      </c>
      <c r="O1272" s="28" t="s">
        <v>4310</v>
      </c>
    </row>
    <row r="1273" spans="1:15" ht="13.5" customHeight="1">
      <c r="A1273" s="3" t="s">
        <v>244</v>
      </c>
      <c r="B1273" s="3"/>
      <c r="C1273" s="3"/>
      <c r="D1273" s="5" t="s">
        <v>245</v>
      </c>
      <c r="E1273" s="5" t="s">
        <v>124</v>
      </c>
      <c r="F1273" s="3" t="s">
        <v>4311</v>
      </c>
      <c r="G1273" s="6">
        <f>18.708*L1273</f>
        <v>74.831999999999994</v>
      </c>
      <c r="H1273" s="7">
        <v>41751</v>
      </c>
      <c r="I1273" s="6" t="s">
        <v>247</v>
      </c>
      <c r="J1273" s="6" t="s">
        <v>4312</v>
      </c>
      <c r="K1273" s="6" t="s">
        <v>21</v>
      </c>
      <c r="L1273" s="6">
        <v>4</v>
      </c>
      <c r="M1273" s="15" t="s">
        <v>4313</v>
      </c>
      <c r="N1273" s="15" t="s">
        <v>4314</v>
      </c>
      <c r="O1273" s="15" t="s">
        <v>4313</v>
      </c>
    </row>
    <row r="1274" spans="1:15" ht="13.5" customHeight="1">
      <c r="A1274" s="3" t="s">
        <v>514</v>
      </c>
      <c r="B1274" s="3"/>
      <c r="C1274" s="3"/>
      <c r="D1274" s="5" t="s">
        <v>2030</v>
      </c>
      <c r="E1274" s="5" t="s">
        <v>124</v>
      </c>
      <c r="F1274" s="3" t="s">
        <v>4315</v>
      </c>
      <c r="G1274" s="6">
        <f>14.405*L1274</f>
        <v>172.85999999999999</v>
      </c>
      <c r="H1274" s="7">
        <v>41751</v>
      </c>
      <c r="I1274" s="6" t="s">
        <v>265</v>
      </c>
      <c r="J1274" s="6" t="s">
        <v>4316</v>
      </c>
      <c r="K1274" s="6" t="s">
        <v>21</v>
      </c>
      <c r="L1274" s="6">
        <v>12</v>
      </c>
      <c r="M1274" s="15" t="s">
        <v>4317</v>
      </c>
      <c r="N1274" s="15" t="s">
        <v>78</v>
      </c>
      <c r="O1274" s="28" t="s">
        <v>4317</v>
      </c>
    </row>
    <row r="1275" spans="1:15" ht="13.5" customHeight="1">
      <c r="A1275" s="3" t="s">
        <v>514</v>
      </c>
      <c r="B1275" s="3"/>
      <c r="C1275" s="3"/>
      <c r="D1275" s="5" t="s">
        <v>2030</v>
      </c>
      <c r="E1275" s="5" t="s">
        <v>124</v>
      </c>
      <c r="F1275" s="3" t="s">
        <v>4318</v>
      </c>
      <c r="G1275" s="6">
        <f>14.405*L1275</f>
        <v>187.26499999999999</v>
      </c>
      <c r="H1275" s="7">
        <v>41751</v>
      </c>
      <c r="I1275" s="6" t="s">
        <v>265</v>
      </c>
      <c r="J1275" s="6" t="s">
        <v>4319</v>
      </c>
      <c r="K1275" s="6" t="s">
        <v>21</v>
      </c>
      <c r="L1275" s="6">
        <v>13</v>
      </c>
      <c r="M1275" s="15" t="s">
        <v>4317</v>
      </c>
      <c r="N1275" s="15" t="s">
        <v>167</v>
      </c>
      <c r="O1275" s="85" t="s">
        <v>4320</v>
      </c>
    </row>
    <row r="1276" spans="1:15" ht="13.5" customHeight="1">
      <c r="A1276" s="3" t="s">
        <v>2546</v>
      </c>
      <c r="B1276" s="3"/>
      <c r="C1276" s="3"/>
      <c r="D1276" s="5" t="s">
        <v>3106</v>
      </c>
      <c r="E1276" s="5" t="s">
        <v>124</v>
      </c>
      <c r="F1276" s="3" t="s">
        <v>4321</v>
      </c>
      <c r="G1276" s="6">
        <f>17.498*L1276</f>
        <v>209.976</v>
      </c>
      <c r="H1276" s="7">
        <v>41751</v>
      </c>
      <c r="I1276" s="6" t="s">
        <v>265</v>
      </c>
      <c r="J1276" s="6" t="s">
        <v>4322</v>
      </c>
      <c r="K1276" s="6" t="s">
        <v>21</v>
      </c>
      <c r="L1276" s="6">
        <v>12</v>
      </c>
      <c r="M1276" s="15" t="s">
        <v>4323</v>
      </c>
      <c r="N1276" s="15" t="s">
        <v>164</v>
      </c>
      <c r="O1276" s="28" t="s">
        <v>4323</v>
      </c>
    </row>
    <row r="1277" spans="1:15" ht="13.5" customHeight="1">
      <c r="A1277" s="3" t="s">
        <v>2546</v>
      </c>
      <c r="B1277" s="3"/>
      <c r="C1277" s="3"/>
      <c r="D1277" s="5" t="s">
        <v>3106</v>
      </c>
      <c r="E1277" s="5" t="s">
        <v>124</v>
      </c>
      <c r="F1277" s="3" t="s">
        <v>4324</v>
      </c>
      <c r="G1277" s="6">
        <f>17.498*L1277</f>
        <v>227.47400000000002</v>
      </c>
      <c r="H1277" s="7">
        <v>41751</v>
      </c>
      <c r="I1277" s="6" t="s">
        <v>265</v>
      </c>
      <c r="J1277" s="6" t="s">
        <v>4325</v>
      </c>
      <c r="K1277" s="6" t="s">
        <v>21</v>
      </c>
      <c r="L1277" s="6">
        <v>13</v>
      </c>
      <c r="M1277" s="15" t="s">
        <v>4323</v>
      </c>
      <c r="N1277" s="15" t="s">
        <v>167</v>
      </c>
      <c r="O1277" s="28" t="s">
        <v>4326</v>
      </c>
    </row>
    <row r="1278" spans="1:15" ht="13.5" customHeight="1">
      <c r="A1278" s="22" t="s">
        <v>4327</v>
      </c>
      <c r="B1278" s="3" t="s">
        <v>15</v>
      </c>
      <c r="C1278" s="3"/>
      <c r="D1278" s="5" t="s">
        <v>4328</v>
      </c>
      <c r="E1278" s="5" t="s">
        <v>124</v>
      </c>
      <c r="F1278" s="3" t="s">
        <v>4329</v>
      </c>
      <c r="G1278" s="6">
        <f>21.523</f>
        <v>21.523</v>
      </c>
      <c r="H1278" s="7">
        <v>41751</v>
      </c>
      <c r="I1278" s="6" t="s">
        <v>419</v>
      </c>
      <c r="J1278" s="6" t="s">
        <v>4330</v>
      </c>
      <c r="K1278" s="6" t="s">
        <v>21</v>
      </c>
      <c r="L1278" s="6">
        <v>1</v>
      </c>
      <c r="M1278" s="15" t="s">
        <v>4331</v>
      </c>
      <c r="N1278" s="15" t="s">
        <v>507</v>
      </c>
      <c r="O1278" s="15" t="s">
        <v>4332</v>
      </c>
    </row>
    <row r="1279" spans="1:15" s="1" customFormat="1" ht="13.5" customHeight="1">
      <c r="A1279" s="22" t="s">
        <v>4333</v>
      </c>
      <c r="B1279" s="3" t="s">
        <v>15</v>
      </c>
      <c r="C1279" s="3"/>
      <c r="D1279" s="5" t="s">
        <v>4334</v>
      </c>
      <c r="E1279" s="5" t="s">
        <v>124</v>
      </c>
      <c r="F1279" s="3" t="s">
        <v>4335</v>
      </c>
      <c r="G1279" s="6">
        <f>21.523*L1279</f>
        <v>86.091999999999999</v>
      </c>
      <c r="H1279" s="7">
        <v>41751</v>
      </c>
      <c r="I1279" s="6" t="s">
        <v>419</v>
      </c>
      <c r="J1279" s="6" t="s">
        <v>4336</v>
      </c>
      <c r="K1279" s="6" t="s">
        <v>21</v>
      </c>
      <c r="L1279" s="6">
        <v>4</v>
      </c>
      <c r="M1279" s="15" t="s">
        <v>4337</v>
      </c>
      <c r="N1279" s="15" t="s">
        <v>3740</v>
      </c>
      <c r="O1279" s="15" t="s">
        <v>4337</v>
      </c>
    </row>
    <row r="1280" spans="1:15" s="1" customFormat="1" ht="13.5" customHeight="1">
      <c r="A1280" s="22" t="s">
        <v>4338</v>
      </c>
      <c r="B1280" s="3" t="s">
        <v>11579</v>
      </c>
      <c r="C1280" s="3"/>
      <c r="D1280" s="28" t="s">
        <v>11580</v>
      </c>
      <c r="E1280" s="5" t="s">
        <v>124</v>
      </c>
      <c r="F1280" s="3" t="s">
        <v>4340</v>
      </c>
      <c r="G1280" s="6">
        <f>29.101*L1280</f>
        <v>58.201999999999998</v>
      </c>
      <c r="H1280" s="7">
        <v>41751</v>
      </c>
      <c r="I1280" s="6" t="s">
        <v>11562</v>
      </c>
      <c r="J1280" s="6" t="s">
        <v>4342</v>
      </c>
      <c r="K1280" s="6" t="s">
        <v>21</v>
      </c>
      <c r="L1280" s="6">
        <v>2</v>
      </c>
      <c r="M1280" s="15" t="s">
        <v>4343</v>
      </c>
      <c r="N1280" s="15" t="s">
        <v>945</v>
      </c>
      <c r="O1280" s="15" t="s">
        <v>4344</v>
      </c>
    </row>
    <row r="1281" spans="1:15" ht="13.5" customHeight="1">
      <c r="A1281" s="22" t="s">
        <v>9180</v>
      </c>
      <c r="B1281" s="3" t="s">
        <v>4059</v>
      </c>
      <c r="C1281" s="3"/>
      <c r="D1281" s="28" t="s">
        <v>9181</v>
      </c>
      <c r="E1281" s="5" t="s">
        <v>124</v>
      </c>
      <c r="F1281" s="3" t="s">
        <v>9182</v>
      </c>
      <c r="G1281" s="6">
        <f>29.101*L1281</f>
        <v>87.302999999999997</v>
      </c>
      <c r="H1281" s="7">
        <v>41751</v>
      </c>
      <c r="I1281" s="6" t="s">
        <v>4341</v>
      </c>
      <c r="J1281" s="6" t="s">
        <v>9183</v>
      </c>
      <c r="K1281" s="6" t="s">
        <v>21</v>
      </c>
      <c r="L1281" s="6">
        <v>3</v>
      </c>
      <c r="M1281" s="15" t="s">
        <v>9184</v>
      </c>
      <c r="N1281" s="15" t="s">
        <v>1977</v>
      </c>
      <c r="O1281" s="15" t="s">
        <v>9185</v>
      </c>
    </row>
    <row r="1282" spans="1:15" ht="13.5" customHeight="1">
      <c r="A1282" s="5" t="s">
        <v>14</v>
      </c>
      <c r="B1282" s="3"/>
      <c r="C1282" s="3"/>
      <c r="D1282" s="5" t="s">
        <v>16</v>
      </c>
      <c r="E1282" s="5" t="s">
        <v>17</v>
      </c>
      <c r="F1282" s="3" t="s">
        <v>43</v>
      </c>
      <c r="G1282" s="6">
        <f>7.451*L1282</f>
        <v>29.803999999999998</v>
      </c>
      <c r="H1282" s="7">
        <v>41752</v>
      </c>
      <c r="I1282" s="6" t="s">
        <v>19</v>
      </c>
      <c r="J1282" s="6" t="s">
        <v>44</v>
      </c>
      <c r="K1282" s="6" t="s">
        <v>21</v>
      </c>
      <c r="L1282" s="6">
        <v>4</v>
      </c>
      <c r="M1282" s="15" t="s">
        <v>45</v>
      </c>
      <c r="N1282" s="15" t="s">
        <v>46</v>
      </c>
      <c r="O1282" s="27"/>
    </row>
    <row r="1283" spans="1:15" ht="13.5" customHeight="1">
      <c r="A1283" s="21" t="s">
        <v>47</v>
      </c>
      <c r="B1283" s="3" t="s">
        <v>15</v>
      </c>
      <c r="C1283" s="3"/>
      <c r="D1283" s="5" t="s">
        <v>48</v>
      </c>
      <c r="E1283" s="5" t="s">
        <v>17</v>
      </c>
      <c r="F1283" s="3" t="s">
        <v>49</v>
      </c>
      <c r="G1283" s="6">
        <f>8.926*L1283</f>
        <v>44.63</v>
      </c>
      <c r="H1283" s="7">
        <v>41752</v>
      </c>
      <c r="I1283" s="6" t="s">
        <v>50</v>
      </c>
      <c r="J1283" s="6" t="s">
        <v>51</v>
      </c>
      <c r="K1283" s="6" t="s">
        <v>21</v>
      </c>
      <c r="L1283" s="6">
        <v>5</v>
      </c>
      <c r="M1283" s="15" t="s">
        <v>52</v>
      </c>
      <c r="N1283" s="15" t="s">
        <v>53</v>
      </c>
      <c r="O1283" s="27"/>
    </row>
    <row r="1284" spans="1:15" ht="13.5" customHeight="1">
      <c r="A1284" s="21" t="s">
        <v>54</v>
      </c>
      <c r="B1284" s="3" t="s">
        <v>15</v>
      </c>
      <c r="C1284" s="3"/>
      <c r="D1284" s="5" t="s">
        <v>55</v>
      </c>
      <c r="E1284" s="5" t="s">
        <v>17</v>
      </c>
      <c r="F1284" s="3" t="s">
        <v>56</v>
      </c>
      <c r="G1284" s="6">
        <f>8.926*L1284</f>
        <v>44.63</v>
      </c>
      <c r="H1284" s="7">
        <v>41752</v>
      </c>
      <c r="I1284" s="6" t="s">
        <v>50</v>
      </c>
      <c r="J1284" s="6" t="s">
        <v>57</v>
      </c>
      <c r="K1284" s="6" t="s">
        <v>21</v>
      </c>
      <c r="L1284" s="6">
        <v>5</v>
      </c>
      <c r="M1284" s="15" t="s">
        <v>58</v>
      </c>
      <c r="N1284" s="15" t="s">
        <v>59</v>
      </c>
      <c r="O1284" s="27"/>
    </row>
    <row r="1285" spans="1:15" ht="13.5" customHeight="1">
      <c r="A1285" s="3" t="s">
        <v>60</v>
      </c>
      <c r="B1285" s="3"/>
      <c r="C1285" s="3"/>
      <c r="D1285" s="5" t="s">
        <v>61</v>
      </c>
      <c r="E1285" s="5" t="s">
        <v>17</v>
      </c>
      <c r="F1285" s="3" t="s">
        <v>62</v>
      </c>
      <c r="G1285" s="6">
        <f>8.137*L1285</f>
        <v>24.411000000000001</v>
      </c>
      <c r="H1285" s="7">
        <v>41752</v>
      </c>
      <c r="I1285" s="6" t="s">
        <v>63</v>
      </c>
      <c r="J1285" s="6" t="s">
        <v>64</v>
      </c>
      <c r="K1285" s="6" t="s">
        <v>21</v>
      </c>
      <c r="L1285" s="6">
        <v>3</v>
      </c>
      <c r="M1285" s="15" t="s">
        <v>65</v>
      </c>
      <c r="N1285" s="15" t="s">
        <v>66</v>
      </c>
      <c r="O1285" s="28"/>
    </row>
    <row r="1286" spans="1:15" s="1" customFormat="1" ht="13.5" customHeight="1">
      <c r="A1286" s="3" t="s">
        <v>846</v>
      </c>
      <c r="B1286" s="3"/>
      <c r="C1286" s="3"/>
      <c r="D1286" s="5" t="s">
        <v>191</v>
      </c>
      <c r="E1286" s="5" t="s">
        <v>124</v>
      </c>
      <c r="F1286" s="3" t="s">
        <v>4345</v>
      </c>
      <c r="G1286" s="6">
        <f t="shared" ref="G1286:G1291" si="45">18.708*L1286</f>
        <v>224.49599999999998</v>
      </c>
      <c r="H1286" s="7">
        <v>41753</v>
      </c>
      <c r="I1286" s="6" t="s">
        <v>247</v>
      </c>
      <c r="J1286" s="6" t="s">
        <v>4346</v>
      </c>
      <c r="K1286" s="6" t="s">
        <v>21</v>
      </c>
      <c r="L1286" s="6">
        <v>12</v>
      </c>
      <c r="M1286" s="15" t="s">
        <v>4347</v>
      </c>
      <c r="N1286" s="15" t="s">
        <v>164</v>
      </c>
      <c r="O1286" s="28" t="s">
        <v>4347</v>
      </c>
    </row>
    <row r="1287" spans="1:15" s="1" customFormat="1" ht="13.5" customHeight="1">
      <c r="A1287" s="3" t="s">
        <v>846</v>
      </c>
      <c r="B1287" s="3"/>
      <c r="C1287" s="3"/>
      <c r="D1287" s="5" t="s">
        <v>191</v>
      </c>
      <c r="E1287" s="5" t="s">
        <v>124</v>
      </c>
      <c r="F1287" s="3" t="s">
        <v>4348</v>
      </c>
      <c r="G1287" s="6">
        <f t="shared" si="45"/>
        <v>243.20399999999998</v>
      </c>
      <c r="H1287" s="7">
        <v>41753</v>
      </c>
      <c r="I1287" s="6" t="s">
        <v>247</v>
      </c>
      <c r="J1287" s="6" t="s">
        <v>4349</v>
      </c>
      <c r="K1287" s="6" t="s">
        <v>21</v>
      </c>
      <c r="L1287" s="6">
        <v>13</v>
      </c>
      <c r="M1287" s="15" t="s">
        <v>4347</v>
      </c>
      <c r="N1287" s="15" t="s">
        <v>167</v>
      </c>
      <c r="O1287" s="28" t="s">
        <v>4350</v>
      </c>
    </row>
    <row r="1288" spans="1:15" ht="13.5" customHeight="1">
      <c r="A1288" s="3" t="s">
        <v>846</v>
      </c>
      <c r="B1288" s="3"/>
      <c r="C1288" s="3"/>
      <c r="D1288" s="5" t="s">
        <v>191</v>
      </c>
      <c r="E1288" s="5" t="s">
        <v>124</v>
      </c>
      <c r="F1288" s="3" t="s">
        <v>4351</v>
      </c>
      <c r="G1288" s="6">
        <f t="shared" si="45"/>
        <v>224.49599999999998</v>
      </c>
      <c r="H1288" s="7">
        <v>41753</v>
      </c>
      <c r="I1288" s="6" t="s">
        <v>247</v>
      </c>
      <c r="J1288" s="6" t="s">
        <v>4352</v>
      </c>
      <c r="K1288" s="6" t="s">
        <v>21</v>
      </c>
      <c r="L1288" s="6">
        <v>12</v>
      </c>
      <c r="M1288" s="15" t="s">
        <v>4353</v>
      </c>
      <c r="N1288" s="15" t="s">
        <v>164</v>
      </c>
      <c r="O1288" s="28" t="s">
        <v>4353</v>
      </c>
    </row>
    <row r="1289" spans="1:15" ht="13.5" customHeight="1">
      <c r="A1289" s="3" t="s">
        <v>846</v>
      </c>
      <c r="B1289" s="3"/>
      <c r="C1289" s="3"/>
      <c r="D1289" s="5" t="s">
        <v>191</v>
      </c>
      <c r="E1289" s="5" t="s">
        <v>124</v>
      </c>
      <c r="F1289" s="3" t="s">
        <v>4354</v>
      </c>
      <c r="G1289" s="6">
        <f t="shared" si="45"/>
        <v>243.20399999999998</v>
      </c>
      <c r="H1289" s="7">
        <v>41753</v>
      </c>
      <c r="I1289" s="6" t="s">
        <v>247</v>
      </c>
      <c r="J1289" s="6" t="s">
        <v>4355</v>
      </c>
      <c r="K1289" s="6" t="s">
        <v>21</v>
      </c>
      <c r="L1289" s="6">
        <v>13</v>
      </c>
      <c r="M1289" s="15" t="s">
        <v>4353</v>
      </c>
      <c r="N1289" s="15" t="s">
        <v>167</v>
      </c>
      <c r="O1289" s="28" t="s">
        <v>4356</v>
      </c>
    </row>
    <row r="1290" spans="1:15" ht="13.5" customHeight="1">
      <c r="A1290" s="3" t="s">
        <v>846</v>
      </c>
      <c r="B1290" s="3"/>
      <c r="C1290" s="3"/>
      <c r="D1290" s="5" t="s">
        <v>191</v>
      </c>
      <c r="E1290" s="5" t="s">
        <v>124</v>
      </c>
      <c r="F1290" s="3" t="s">
        <v>4357</v>
      </c>
      <c r="G1290" s="6">
        <f t="shared" si="45"/>
        <v>243.20399999999998</v>
      </c>
      <c r="H1290" s="7">
        <v>41753</v>
      </c>
      <c r="I1290" s="6" t="s">
        <v>247</v>
      </c>
      <c r="J1290" s="6" t="s">
        <v>4358</v>
      </c>
      <c r="K1290" s="6" t="s">
        <v>21</v>
      </c>
      <c r="L1290" s="6">
        <v>13</v>
      </c>
      <c r="M1290" s="15" t="s">
        <v>4359</v>
      </c>
      <c r="N1290" s="15" t="s">
        <v>167</v>
      </c>
      <c r="O1290" s="28" t="s">
        <v>4359</v>
      </c>
    </row>
    <row r="1291" spans="1:15" ht="13.5" customHeight="1">
      <c r="A1291" s="3" t="s">
        <v>423</v>
      </c>
      <c r="B1291" s="3"/>
      <c r="C1291" s="3"/>
      <c r="D1291" s="5" t="s">
        <v>191</v>
      </c>
      <c r="E1291" s="5" t="s">
        <v>124</v>
      </c>
      <c r="F1291" s="3" t="s">
        <v>4360</v>
      </c>
      <c r="G1291" s="6">
        <f t="shared" si="45"/>
        <v>224.49599999999998</v>
      </c>
      <c r="H1291" s="7">
        <v>41753</v>
      </c>
      <c r="I1291" s="6" t="s">
        <v>247</v>
      </c>
      <c r="J1291" s="6" t="s">
        <v>4361</v>
      </c>
      <c r="K1291" s="6" t="s">
        <v>21</v>
      </c>
      <c r="L1291" s="6">
        <v>12</v>
      </c>
      <c r="M1291" s="15" t="s">
        <v>4359</v>
      </c>
      <c r="N1291" s="15" t="s">
        <v>164</v>
      </c>
      <c r="O1291" s="15" t="s">
        <v>4362</v>
      </c>
    </row>
    <row r="1292" spans="1:15" s="1" customFormat="1" ht="13.5" customHeight="1">
      <c r="A1292" s="3" t="s">
        <v>514</v>
      </c>
      <c r="B1292" s="3"/>
      <c r="C1292" s="3"/>
      <c r="D1292" s="5" t="s">
        <v>2030</v>
      </c>
      <c r="E1292" s="5" t="s">
        <v>124</v>
      </c>
      <c r="F1292" s="3" t="s">
        <v>4363</v>
      </c>
      <c r="G1292" s="6">
        <f>14.405*L1292</f>
        <v>172.85999999999999</v>
      </c>
      <c r="H1292" s="7">
        <v>41753</v>
      </c>
      <c r="I1292" s="6" t="s">
        <v>265</v>
      </c>
      <c r="J1292" s="6" t="s">
        <v>4364</v>
      </c>
      <c r="K1292" s="6" t="s">
        <v>21</v>
      </c>
      <c r="L1292" s="6">
        <v>12</v>
      </c>
      <c r="M1292" s="15" t="s">
        <v>4365</v>
      </c>
      <c r="N1292" s="15" t="s">
        <v>78</v>
      </c>
      <c r="O1292" s="28" t="s">
        <v>4365</v>
      </c>
    </row>
    <row r="1293" spans="1:15" ht="13.5" customHeight="1">
      <c r="A1293" s="3" t="s">
        <v>514</v>
      </c>
      <c r="B1293" s="3"/>
      <c r="C1293" s="3"/>
      <c r="D1293" s="5" t="s">
        <v>2030</v>
      </c>
      <c r="E1293" s="5" t="s">
        <v>124</v>
      </c>
      <c r="F1293" s="3" t="s">
        <v>4366</v>
      </c>
      <c r="G1293" s="6">
        <f>14.405*L1293</f>
        <v>187.26499999999999</v>
      </c>
      <c r="H1293" s="7">
        <v>41753</v>
      </c>
      <c r="I1293" s="6" t="s">
        <v>265</v>
      </c>
      <c r="J1293" s="6" t="s">
        <v>4367</v>
      </c>
      <c r="K1293" s="6" t="s">
        <v>21</v>
      </c>
      <c r="L1293" s="6">
        <v>13</v>
      </c>
      <c r="M1293" s="15" t="s">
        <v>4365</v>
      </c>
      <c r="N1293" s="15" t="s">
        <v>167</v>
      </c>
      <c r="O1293" s="28" t="s">
        <v>4368</v>
      </c>
    </row>
    <row r="1294" spans="1:15" ht="13.5" customHeight="1">
      <c r="A1294" s="3" t="s">
        <v>514</v>
      </c>
      <c r="B1294" s="3"/>
      <c r="C1294" s="3"/>
      <c r="D1294" s="5" t="s">
        <v>2030</v>
      </c>
      <c r="E1294" s="5" t="s">
        <v>124</v>
      </c>
      <c r="F1294" s="3" t="s">
        <v>4369</v>
      </c>
      <c r="G1294" s="6">
        <f>14.405*L1294</f>
        <v>172.85999999999999</v>
      </c>
      <c r="H1294" s="7">
        <v>41753</v>
      </c>
      <c r="I1294" s="6" t="s">
        <v>265</v>
      </c>
      <c r="J1294" s="6" t="s">
        <v>4370</v>
      </c>
      <c r="K1294" s="6" t="s">
        <v>21</v>
      </c>
      <c r="L1294" s="6">
        <v>12</v>
      </c>
      <c r="M1294" s="15" t="s">
        <v>4371</v>
      </c>
      <c r="N1294" s="15" t="s">
        <v>78</v>
      </c>
      <c r="O1294" s="28" t="s">
        <v>4371</v>
      </c>
    </row>
    <row r="1295" spans="1:15" s="1" customFormat="1" ht="13.5" customHeight="1">
      <c r="A1295" s="3" t="s">
        <v>514</v>
      </c>
      <c r="B1295" s="3"/>
      <c r="C1295" s="3"/>
      <c r="D1295" s="5" t="s">
        <v>2030</v>
      </c>
      <c r="E1295" s="5" t="s">
        <v>124</v>
      </c>
      <c r="F1295" s="3" t="s">
        <v>4372</v>
      </c>
      <c r="G1295" s="6">
        <f>14.405*L1295</f>
        <v>187.26499999999999</v>
      </c>
      <c r="H1295" s="7">
        <v>41753</v>
      </c>
      <c r="I1295" s="6" t="s">
        <v>265</v>
      </c>
      <c r="J1295" s="6" t="s">
        <v>4373</v>
      </c>
      <c r="K1295" s="6" t="s">
        <v>21</v>
      </c>
      <c r="L1295" s="6">
        <v>13</v>
      </c>
      <c r="M1295" s="15" t="s">
        <v>4371</v>
      </c>
      <c r="N1295" s="15" t="s">
        <v>167</v>
      </c>
      <c r="O1295" s="28" t="s">
        <v>4374</v>
      </c>
    </row>
    <row r="1296" spans="1:15" ht="13.5" customHeight="1">
      <c r="A1296" s="22" t="s">
        <v>4375</v>
      </c>
      <c r="B1296" s="3"/>
      <c r="C1296" s="3"/>
      <c r="D1296" s="5" t="s">
        <v>1963</v>
      </c>
      <c r="E1296" s="5" t="s">
        <v>124</v>
      </c>
      <c r="F1296" s="3" t="s">
        <v>4376</v>
      </c>
      <c r="G1296" s="6">
        <f>17.712*L1296</f>
        <v>212.54399999999998</v>
      </c>
      <c r="H1296" s="7">
        <v>41753</v>
      </c>
      <c r="I1296" s="6" t="s">
        <v>419</v>
      </c>
      <c r="J1296" s="6" t="s">
        <v>4377</v>
      </c>
      <c r="K1296" s="6" t="s">
        <v>21</v>
      </c>
      <c r="L1296" s="6">
        <v>12</v>
      </c>
      <c r="M1296" s="15" t="s">
        <v>4378</v>
      </c>
      <c r="N1296" s="15" t="s">
        <v>164</v>
      </c>
      <c r="O1296" s="28" t="s">
        <v>4378</v>
      </c>
    </row>
    <row r="1297" spans="1:15" ht="13.5" customHeight="1">
      <c r="A1297" s="22" t="s">
        <v>4375</v>
      </c>
      <c r="B1297" s="3"/>
      <c r="C1297" s="3"/>
      <c r="D1297" s="5" t="s">
        <v>1963</v>
      </c>
      <c r="E1297" s="5" t="s">
        <v>124</v>
      </c>
      <c r="F1297" s="3" t="s">
        <v>4379</v>
      </c>
      <c r="G1297" s="6">
        <f>17.712*L1297</f>
        <v>230.256</v>
      </c>
      <c r="H1297" s="7">
        <v>41753</v>
      </c>
      <c r="I1297" s="6" t="s">
        <v>419</v>
      </c>
      <c r="J1297" s="6" t="s">
        <v>4380</v>
      </c>
      <c r="K1297" s="6" t="s">
        <v>21</v>
      </c>
      <c r="L1297" s="6">
        <v>13</v>
      </c>
      <c r="M1297" s="15" t="s">
        <v>4378</v>
      </c>
      <c r="N1297" s="15" t="s">
        <v>167</v>
      </c>
      <c r="O1297" s="28" t="s">
        <v>4381</v>
      </c>
    </row>
    <row r="1298" spans="1:15" ht="13.5" customHeight="1">
      <c r="A1298" s="5" t="s">
        <v>1127</v>
      </c>
      <c r="B1298" s="3"/>
      <c r="C1298" s="3"/>
      <c r="D1298" s="5" t="s">
        <v>1128</v>
      </c>
      <c r="E1298" s="5" t="s">
        <v>7026</v>
      </c>
      <c r="F1298" s="3" t="s">
        <v>7891</v>
      </c>
      <c r="G1298" s="6">
        <f>29.101*L1298</f>
        <v>349.21199999999999</v>
      </c>
      <c r="H1298" s="7">
        <v>41753</v>
      </c>
      <c r="I1298" s="6" t="s">
        <v>178</v>
      </c>
      <c r="J1298" s="6" t="s">
        <v>7892</v>
      </c>
      <c r="K1298" s="6" t="s">
        <v>21</v>
      </c>
      <c r="L1298" s="6">
        <v>12</v>
      </c>
      <c r="M1298" s="15" t="s">
        <v>7893</v>
      </c>
      <c r="N1298" s="15" t="s">
        <v>4084</v>
      </c>
      <c r="O1298" s="27"/>
    </row>
    <row r="1299" spans="1:15" s="1" customFormat="1" ht="13.5" customHeight="1">
      <c r="A1299" s="5" t="s">
        <v>1127</v>
      </c>
      <c r="B1299" s="3"/>
      <c r="C1299" s="3"/>
      <c r="D1299" s="5" t="s">
        <v>1128</v>
      </c>
      <c r="E1299" s="5" t="s">
        <v>7026</v>
      </c>
      <c r="F1299" s="3" t="s">
        <v>7894</v>
      </c>
      <c r="G1299" s="6">
        <f>29.101*L1299</f>
        <v>349.21199999999999</v>
      </c>
      <c r="H1299" s="7">
        <v>41753</v>
      </c>
      <c r="I1299" s="6" t="s">
        <v>178</v>
      </c>
      <c r="J1299" s="6" t="s">
        <v>7895</v>
      </c>
      <c r="K1299" s="6" t="s">
        <v>21</v>
      </c>
      <c r="L1299" s="6">
        <v>12</v>
      </c>
      <c r="M1299" s="15" t="s">
        <v>7893</v>
      </c>
      <c r="N1299" s="15" t="s">
        <v>1211</v>
      </c>
      <c r="O1299" s="27"/>
    </row>
    <row r="1300" spans="1:15" s="1" customFormat="1" ht="13.5" customHeight="1">
      <c r="A1300" s="5" t="s">
        <v>1043</v>
      </c>
      <c r="B1300" s="3"/>
      <c r="C1300" s="3"/>
      <c r="D1300" s="5" t="s">
        <v>443</v>
      </c>
      <c r="E1300" s="5" t="s">
        <v>7026</v>
      </c>
      <c r="F1300" s="3" t="s">
        <v>7896</v>
      </c>
      <c r="G1300" s="6">
        <f t="shared" ref="G1300:G1309" si="46">18.708*L1300</f>
        <v>224.49599999999998</v>
      </c>
      <c r="H1300" s="7">
        <v>41753</v>
      </c>
      <c r="I1300" s="6" t="s">
        <v>178</v>
      </c>
      <c r="J1300" s="6" t="s">
        <v>7897</v>
      </c>
      <c r="K1300" s="6" t="s">
        <v>21</v>
      </c>
      <c r="L1300" s="6">
        <v>12</v>
      </c>
      <c r="M1300" s="15" t="s">
        <v>7898</v>
      </c>
      <c r="N1300" s="15" t="s">
        <v>164</v>
      </c>
      <c r="O1300" s="27"/>
    </row>
    <row r="1301" spans="1:15" s="1" customFormat="1" ht="13.5" customHeight="1">
      <c r="A1301" s="5" t="s">
        <v>1043</v>
      </c>
      <c r="B1301" s="3"/>
      <c r="C1301" s="3"/>
      <c r="D1301" s="5" t="s">
        <v>443</v>
      </c>
      <c r="E1301" s="5" t="s">
        <v>7026</v>
      </c>
      <c r="F1301" s="3" t="s">
        <v>7899</v>
      </c>
      <c r="G1301" s="6">
        <f t="shared" si="46"/>
        <v>243.20399999999998</v>
      </c>
      <c r="H1301" s="7">
        <v>41753</v>
      </c>
      <c r="I1301" s="6" t="s">
        <v>178</v>
      </c>
      <c r="J1301" s="6" t="s">
        <v>7900</v>
      </c>
      <c r="K1301" s="6" t="s">
        <v>21</v>
      </c>
      <c r="L1301" s="6">
        <v>13</v>
      </c>
      <c r="M1301" s="15" t="s">
        <v>7898</v>
      </c>
      <c r="N1301" s="15" t="s">
        <v>167</v>
      </c>
      <c r="O1301" s="27"/>
    </row>
    <row r="1302" spans="1:15" s="1" customFormat="1" ht="13.5" customHeight="1">
      <c r="A1302" s="5" t="s">
        <v>1043</v>
      </c>
      <c r="B1302" s="3"/>
      <c r="C1302" s="3"/>
      <c r="D1302" s="5" t="s">
        <v>443</v>
      </c>
      <c r="E1302" s="5" t="s">
        <v>7026</v>
      </c>
      <c r="F1302" s="3" t="s">
        <v>7901</v>
      </c>
      <c r="G1302" s="6">
        <f t="shared" si="46"/>
        <v>224.49599999999998</v>
      </c>
      <c r="H1302" s="7">
        <v>41753</v>
      </c>
      <c r="I1302" s="6" t="s">
        <v>178</v>
      </c>
      <c r="J1302" s="6" t="s">
        <v>7902</v>
      </c>
      <c r="K1302" s="6" t="s">
        <v>21</v>
      </c>
      <c r="L1302" s="6">
        <v>12</v>
      </c>
      <c r="M1302" s="15" t="s">
        <v>7903</v>
      </c>
      <c r="N1302" s="15" t="s">
        <v>164</v>
      </c>
      <c r="O1302" s="27"/>
    </row>
    <row r="1303" spans="1:15" s="1" customFormat="1" ht="13.5" customHeight="1">
      <c r="A1303" s="5" t="s">
        <v>1043</v>
      </c>
      <c r="B1303" s="3"/>
      <c r="C1303" s="3"/>
      <c r="D1303" s="5" t="s">
        <v>443</v>
      </c>
      <c r="E1303" s="5" t="s">
        <v>7026</v>
      </c>
      <c r="F1303" s="3" t="s">
        <v>7904</v>
      </c>
      <c r="G1303" s="6">
        <f t="shared" si="46"/>
        <v>243.20399999999998</v>
      </c>
      <c r="H1303" s="7">
        <v>41753</v>
      </c>
      <c r="I1303" s="6" t="s">
        <v>178</v>
      </c>
      <c r="J1303" s="6" t="s">
        <v>7905</v>
      </c>
      <c r="K1303" s="6" t="s">
        <v>21</v>
      </c>
      <c r="L1303" s="6">
        <v>13</v>
      </c>
      <c r="M1303" s="15" t="s">
        <v>7903</v>
      </c>
      <c r="N1303" s="15" t="s">
        <v>167</v>
      </c>
      <c r="O1303" s="27"/>
    </row>
    <row r="1304" spans="1:15" s="1" customFormat="1" ht="13.5" customHeight="1">
      <c r="A1304" s="5" t="s">
        <v>1043</v>
      </c>
      <c r="B1304" s="3"/>
      <c r="C1304" s="3"/>
      <c r="D1304" s="5" t="s">
        <v>443</v>
      </c>
      <c r="E1304" s="5" t="s">
        <v>7026</v>
      </c>
      <c r="F1304" s="3" t="s">
        <v>7906</v>
      </c>
      <c r="G1304" s="6">
        <f t="shared" si="46"/>
        <v>224.49599999999998</v>
      </c>
      <c r="H1304" s="7">
        <v>41753</v>
      </c>
      <c r="I1304" s="6" t="s">
        <v>178</v>
      </c>
      <c r="J1304" s="6" t="s">
        <v>7907</v>
      </c>
      <c r="K1304" s="6" t="s">
        <v>21</v>
      </c>
      <c r="L1304" s="6">
        <v>12</v>
      </c>
      <c r="M1304" s="15" t="s">
        <v>7908</v>
      </c>
      <c r="N1304" s="15" t="s">
        <v>164</v>
      </c>
      <c r="O1304" s="27" t="s">
        <v>7909</v>
      </c>
    </row>
    <row r="1305" spans="1:15" s="1" customFormat="1" ht="13.5" customHeight="1">
      <c r="A1305" s="5" t="s">
        <v>1043</v>
      </c>
      <c r="B1305" s="3"/>
      <c r="C1305" s="3"/>
      <c r="D1305" s="5" t="s">
        <v>443</v>
      </c>
      <c r="E1305" s="5" t="s">
        <v>7026</v>
      </c>
      <c r="F1305" s="3" t="s">
        <v>7910</v>
      </c>
      <c r="G1305" s="6">
        <f t="shared" si="46"/>
        <v>243.20399999999998</v>
      </c>
      <c r="H1305" s="7">
        <v>41753</v>
      </c>
      <c r="I1305" s="6" t="s">
        <v>178</v>
      </c>
      <c r="J1305" s="6" t="s">
        <v>7911</v>
      </c>
      <c r="K1305" s="6" t="s">
        <v>21</v>
      </c>
      <c r="L1305" s="6">
        <v>13</v>
      </c>
      <c r="M1305" s="15" t="s">
        <v>7908</v>
      </c>
      <c r="N1305" s="15" t="s">
        <v>167</v>
      </c>
      <c r="O1305" s="27" t="s">
        <v>7912</v>
      </c>
    </row>
    <row r="1306" spans="1:15" s="1" customFormat="1" ht="13.5" customHeight="1">
      <c r="A1306" s="5" t="s">
        <v>1043</v>
      </c>
      <c r="B1306" s="3"/>
      <c r="C1306" s="3"/>
      <c r="D1306" s="5" t="s">
        <v>443</v>
      </c>
      <c r="E1306" s="5" t="s">
        <v>7026</v>
      </c>
      <c r="F1306" s="3" t="s">
        <v>7913</v>
      </c>
      <c r="G1306" s="6">
        <f t="shared" si="46"/>
        <v>224.49599999999998</v>
      </c>
      <c r="H1306" s="7">
        <v>41753</v>
      </c>
      <c r="I1306" s="6" t="s">
        <v>178</v>
      </c>
      <c r="J1306" s="6" t="s">
        <v>7914</v>
      </c>
      <c r="K1306" s="6" t="s">
        <v>21</v>
      </c>
      <c r="L1306" s="6">
        <v>12</v>
      </c>
      <c r="M1306" s="15" t="s">
        <v>7915</v>
      </c>
      <c r="N1306" s="15" t="s">
        <v>164</v>
      </c>
      <c r="O1306" s="27" t="s">
        <v>7916</v>
      </c>
    </row>
    <row r="1307" spans="1:15" ht="13.5" customHeight="1">
      <c r="A1307" s="5" t="s">
        <v>1043</v>
      </c>
      <c r="B1307" s="3"/>
      <c r="C1307" s="3"/>
      <c r="D1307" s="5" t="s">
        <v>443</v>
      </c>
      <c r="E1307" s="5" t="s">
        <v>7026</v>
      </c>
      <c r="F1307" s="3" t="s">
        <v>7917</v>
      </c>
      <c r="G1307" s="6">
        <f t="shared" si="46"/>
        <v>243.20399999999998</v>
      </c>
      <c r="H1307" s="7">
        <v>41753</v>
      </c>
      <c r="I1307" s="6" t="s">
        <v>178</v>
      </c>
      <c r="J1307" s="6" t="s">
        <v>7918</v>
      </c>
      <c r="K1307" s="6" t="s">
        <v>21</v>
      </c>
      <c r="L1307" s="6">
        <v>13</v>
      </c>
      <c r="M1307" s="15" t="s">
        <v>7915</v>
      </c>
      <c r="N1307" s="15" t="s">
        <v>167</v>
      </c>
      <c r="O1307" s="27" t="s">
        <v>7919</v>
      </c>
    </row>
    <row r="1308" spans="1:15" ht="13.5" customHeight="1">
      <c r="A1308" s="5" t="s">
        <v>1043</v>
      </c>
      <c r="B1308" s="3"/>
      <c r="C1308" s="3"/>
      <c r="D1308" s="5" t="s">
        <v>443</v>
      </c>
      <c r="E1308" s="5" t="s">
        <v>7026</v>
      </c>
      <c r="F1308" s="3" t="s">
        <v>7920</v>
      </c>
      <c r="G1308" s="6">
        <f t="shared" si="46"/>
        <v>224.49599999999998</v>
      </c>
      <c r="H1308" s="7">
        <v>41753</v>
      </c>
      <c r="I1308" s="6" t="s">
        <v>178</v>
      </c>
      <c r="J1308" s="6" t="s">
        <v>7921</v>
      </c>
      <c r="K1308" s="6" t="s">
        <v>21</v>
      </c>
      <c r="L1308" s="6">
        <v>12</v>
      </c>
      <c r="M1308" s="15" t="s">
        <v>7922</v>
      </c>
      <c r="N1308" s="15" t="s">
        <v>164</v>
      </c>
      <c r="O1308" s="27" t="s">
        <v>7923</v>
      </c>
    </row>
    <row r="1309" spans="1:15" s="1" customFormat="1" ht="13.5" customHeight="1">
      <c r="A1309" s="5" t="s">
        <v>1043</v>
      </c>
      <c r="B1309" s="3"/>
      <c r="C1309" s="3"/>
      <c r="D1309" s="5" t="s">
        <v>443</v>
      </c>
      <c r="E1309" s="5" t="s">
        <v>7026</v>
      </c>
      <c r="F1309" s="3" t="s">
        <v>7924</v>
      </c>
      <c r="G1309" s="6">
        <f t="shared" si="46"/>
        <v>243.20399999999998</v>
      </c>
      <c r="H1309" s="7">
        <v>41753</v>
      </c>
      <c r="I1309" s="6" t="s">
        <v>178</v>
      </c>
      <c r="J1309" s="6" t="s">
        <v>7925</v>
      </c>
      <c r="K1309" s="6" t="s">
        <v>21</v>
      </c>
      <c r="L1309" s="6">
        <v>13</v>
      </c>
      <c r="M1309" s="15" t="s">
        <v>7922</v>
      </c>
      <c r="N1309" s="15" t="s">
        <v>167</v>
      </c>
      <c r="O1309" s="27"/>
    </row>
    <row r="1310" spans="1:15" s="1" customFormat="1" ht="13.5" customHeight="1">
      <c r="A1310" s="21" t="s">
        <v>269</v>
      </c>
      <c r="B1310" s="3"/>
      <c r="C1310" s="3"/>
      <c r="D1310" s="5" t="s">
        <v>270</v>
      </c>
      <c r="E1310" s="5" t="s">
        <v>7026</v>
      </c>
      <c r="F1310" s="3" t="s">
        <v>7926</v>
      </c>
      <c r="G1310" s="6">
        <f>17.498*L1310</f>
        <v>17.498000000000001</v>
      </c>
      <c r="H1310" s="7">
        <v>41753</v>
      </c>
      <c r="I1310" s="6" t="s">
        <v>913</v>
      </c>
      <c r="J1310" s="6" t="s">
        <v>7927</v>
      </c>
      <c r="K1310" s="6" t="s">
        <v>21</v>
      </c>
      <c r="L1310" s="6">
        <v>1</v>
      </c>
      <c r="M1310" s="15" t="s">
        <v>7928</v>
      </c>
      <c r="N1310" s="15" t="s">
        <v>315</v>
      </c>
      <c r="O1310" s="27" t="s">
        <v>7929</v>
      </c>
    </row>
    <row r="1311" spans="1:15" ht="13.5" customHeight="1">
      <c r="A1311" s="5" t="s">
        <v>1150</v>
      </c>
      <c r="B1311" s="3"/>
      <c r="C1311" s="3"/>
      <c r="D1311" s="5" t="s">
        <v>1151</v>
      </c>
      <c r="E1311" s="5" t="s">
        <v>7026</v>
      </c>
      <c r="F1311" s="3" t="s">
        <v>7930</v>
      </c>
      <c r="G1311" s="6">
        <f t="shared" ref="G1311:G1318" si="47">17.712*L1311</f>
        <v>212.54399999999998</v>
      </c>
      <c r="H1311" s="7">
        <v>41753</v>
      </c>
      <c r="I1311" s="6" t="s">
        <v>265</v>
      </c>
      <c r="J1311" s="6" t="s">
        <v>7931</v>
      </c>
      <c r="K1311" s="6" t="s">
        <v>21</v>
      </c>
      <c r="L1311" s="6">
        <v>12</v>
      </c>
      <c r="M1311" s="15" t="s">
        <v>7932</v>
      </c>
      <c r="N1311" s="15" t="s">
        <v>164</v>
      </c>
      <c r="O1311" s="27"/>
    </row>
    <row r="1312" spans="1:15" ht="13.5" customHeight="1">
      <c r="A1312" s="5" t="s">
        <v>1150</v>
      </c>
      <c r="B1312" s="3"/>
      <c r="C1312" s="3"/>
      <c r="D1312" s="5" t="s">
        <v>1151</v>
      </c>
      <c r="E1312" s="5" t="s">
        <v>7026</v>
      </c>
      <c r="F1312" s="3" t="s">
        <v>7933</v>
      </c>
      <c r="G1312" s="6">
        <f t="shared" si="47"/>
        <v>230.256</v>
      </c>
      <c r="H1312" s="7">
        <v>41753</v>
      </c>
      <c r="I1312" s="6" t="s">
        <v>265</v>
      </c>
      <c r="J1312" s="6" t="s">
        <v>7934</v>
      </c>
      <c r="K1312" s="6" t="s">
        <v>21</v>
      </c>
      <c r="L1312" s="6">
        <v>13</v>
      </c>
      <c r="M1312" s="15" t="s">
        <v>7932</v>
      </c>
      <c r="N1312" s="15" t="s">
        <v>167</v>
      </c>
      <c r="O1312" s="27"/>
    </row>
    <row r="1313" spans="1:15" s="1" customFormat="1" ht="13.5" customHeight="1">
      <c r="A1313" s="5" t="s">
        <v>1150</v>
      </c>
      <c r="B1313" s="3"/>
      <c r="C1313" s="3"/>
      <c r="D1313" s="5" t="s">
        <v>1151</v>
      </c>
      <c r="E1313" s="5" t="s">
        <v>7026</v>
      </c>
      <c r="F1313" s="3" t="s">
        <v>7935</v>
      </c>
      <c r="G1313" s="6">
        <f t="shared" si="47"/>
        <v>212.54399999999998</v>
      </c>
      <c r="H1313" s="7">
        <v>41753</v>
      </c>
      <c r="I1313" s="6" t="s">
        <v>265</v>
      </c>
      <c r="J1313" s="6" t="s">
        <v>7936</v>
      </c>
      <c r="K1313" s="6" t="s">
        <v>21</v>
      </c>
      <c r="L1313" s="6">
        <v>12</v>
      </c>
      <c r="M1313" s="15" t="s">
        <v>7937</v>
      </c>
      <c r="N1313" s="15" t="s">
        <v>164</v>
      </c>
      <c r="O1313" s="27"/>
    </row>
    <row r="1314" spans="1:15" s="1" customFormat="1" ht="13.5" customHeight="1">
      <c r="A1314" s="5" t="s">
        <v>1150</v>
      </c>
      <c r="B1314" s="3"/>
      <c r="C1314" s="3"/>
      <c r="D1314" s="5" t="s">
        <v>1151</v>
      </c>
      <c r="E1314" s="5" t="s">
        <v>7026</v>
      </c>
      <c r="F1314" s="3" t="s">
        <v>7938</v>
      </c>
      <c r="G1314" s="6">
        <f t="shared" si="47"/>
        <v>230.256</v>
      </c>
      <c r="H1314" s="7">
        <v>41753</v>
      </c>
      <c r="I1314" s="6" t="s">
        <v>265</v>
      </c>
      <c r="J1314" s="6" t="s">
        <v>7939</v>
      </c>
      <c r="K1314" s="6" t="s">
        <v>21</v>
      </c>
      <c r="L1314" s="6">
        <v>13</v>
      </c>
      <c r="M1314" s="15" t="s">
        <v>7937</v>
      </c>
      <c r="N1314" s="15" t="s">
        <v>167</v>
      </c>
      <c r="O1314" s="27"/>
    </row>
    <row r="1315" spans="1:15" s="1" customFormat="1" ht="13.5" customHeight="1">
      <c r="A1315" s="5" t="s">
        <v>1108</v>
      </c>
      <c r="B1315" s="3"/>
      <c r="C1315" s="3"/>
      <c r="D1315" s="5" t="s">
        <v>391</v>
      </c>
      <c r="E1315" s="5" t="s">
        <v>7026</v>
      </c>
      <c r="F1315" s="3" t="s">
        <v>7940</v>
      </c>
      <c r="G1315" s="6">
        <f t="shared" si="47"/>
        <v>212.54399999999998</v>
      </c>
      <c r="H1315" s="7">
        <v>41753</v>
      </c>
      <c r="I1315" s="6" t="s">
        <v>265</v>
      </c>
      <c r="J1315" s="6" t="s">
        <v>7941</v>
      </c>
      <c r="K1315" s="6" t="s">
        <v>21</v>
      </c>
      <c r="L1315" s="6">
        <v>12</v>
      </c>
      <c r="M1315" s="15" t="s">
        <v>7942</v>
      </c>
      <c r="N1315" s="15" t="s">
        <v>78</v>
      </c>
      <c r="O1315" s="27"/>
    </row>
    <row r="1316" spans="1:15" s="1" customFormat="1" ht="13.5" customHeight="1">
      <c r="A1316" s="5" t="s">
        <v>1108</v>
      </c>
      <c r="B1316" s="3"/>
      <c r="C1316" s="3"/>
      <c r="D1316" s="5" t="s">
        <v>391</v>
      </c>
      <c r="E1316" s="5" t="s">
        <v>7026</v>
      </c>
      <c r="F1316" s="3" t="s">
        <v>7943</v>
      </c>
      <c r="G1316" s="6">
        <f t="shared" si="47"/>
        <v>230.256</v>
      </c>
      <c r="H1316" s="7">
        <v>41753</v>
      </c>
      <c r="I1316" s="6" t="s">
        <v>265</v>
      </c>
      <c r="J1316" s="6" t="s">
        <v>7944</v>
      </c>
      <c r="K1316" s="6" t="s">
        <v>21</v>
      </c>
      <c r="L1316" s="6">
        <v>13</v>
      </c>
      <c r="M1316" s="15" t="s">
        <v>7942</v>
      </c>
      <c r="N1316" s="15" t="s">
        <v>81</v>
      </c>
      <c r="O1316" s="27"/>
    </row>
    <row r="1317" spans="1:15" s="1" customFormat="1" ht="13.5" customHeight="1">
      <c r="A1317" s="5" t="s">
        <v>918</v>
      </c>
      <c r="B1317" s="3"/>
      <c r="C1317" s="3"/>
      <c r="D1317" s="5" t="s">
        <v>919</v>
      </c>
      <c r="E1317" s="5" t="s">
        <v>7026</v>
      </c>
      <c r="F1317" s="3" t="s">
        <v>7945</v>
      </c>
      <c r="G1317" s="6">
        <f t="shared" si="47"/>
        <v>212.54399999999998</v>
      </c>
      <c r="H1317" s="7">
        <v>41753</v>
      </c>
      <c r="I1317" s="6" t="s">
        <v>265</v>
      </c>
      <c r="J1317" s="6" t="s">
        <v>7946</v>
      </c>
      <c r="K1317" s="6" t="s">
        <v>21</v>
      </c>
      <c r="L1317" s="6">
        <v>12</v>
      </c>
      <c r="M1317" s="15" t="s">
        <v>7947</v>
      </c>
      <c r="N1317" s="15" t="s">
        <v>164</v>
      </c>
      <c r="O1317" s="27"/>
    </row>
    <row r="1318" spans="1:15" s="1" customFormat="1" ht="13.5" customHeight="1">
      <c r="A1318" s="5" t="s">
        <v>918</v>
      </c>
      <c r="B1318" s="3"/>
      <c r="C1318" s="3"/>
      <c r="D1318" s="5" t="s">
        <v>919</v>
      </c>
      <c r="E1318" s="5" t="s">
        <v>7026</v>
      </c>
      <c r="F1318" s="3" t="s">
        <v>7948</v>
      </c>
      <c r="G1318" s="6">
        <f t="shared" si="47"/>
        <v>230.256</v>
      </c>
      <c r="H1318" s="7">
        <v>41753</v>
      </c>
      <c r="I1318" s="6" t="s">
        <v>265</v>
      </c>
      <c r="J1318" s="6" t="s">
        <v>7949</v>
      </c>
      <c r="K1318" s="6" t="s">
        <v>21</v>
      </c>
      <c r="L1318" s="6">
        <v>13</v>
      </c>
      <c r="M1318" s="15" t="s">
        <v>7947</v>
      </c>
      <c r="N1318" s="15" t="s">
        <v>167</v>
      </c>
      <c r="O1318" s="27"/>
    </row>
    <row r="1319" spans="1:15" s="1" customFormat="1" ht="13.5" customHeight="1">
      <c r="A1319" s="5" t="s">
        <v>7877</v>
      </c>
      <c r="B1319" s="3" t="s">
        <v>15</v>
      </c>
      <c r="C1319" s="3"/>
      <c r="D1319" s="5" t="s">
        <v>7878</v>
      </c>
      <c r="E1319" s="5" t="s">
        <v>7026</v>
      </c>
      <c r="F1319" s="3" t="s">
        <v>7950</v>
      </c>
      <c r="G1319" s="6">
        <f>5.249*L1319</f>
        <v>5.2489999999999997</v>
      </c>
      <c r="H1319" s="7">
        <v>41753</v>
      </c>
      <c r="I1319" s="6" t="s">
        <v>7880</v>
      </c>
      <c r="J1319" s="6" t="s">
        <v>7951</v>
      </c>
      <c r="K1319" s="6" t="s">
        <v>21</v>
      </c>
      <c r="L1319" s="6">
        <v>1</v>
      </c>
      <c r="M1319" s="15" t="s">
        <v>7952</v>
      </c>
      <c r="N1319" s="15" t="s">
        <v>349</v>
      </c>
      <c r="O1319" s="15" t="s">
        <v>7953</v>
      </c>
    </row>
    <row r="1320" spans="1:15" s="1" customFormat="1" ht="13.5" customHeight="1">
      <c r="A1320" s="3" t="s">
        <v>788</v>
      </c>
      <c r="B1320" s="3" t="s">
        <v>4059</v>
      </c>
      <c r="C1320" s="3"/>
      <c r="D1320" s="5" t="s">
        <v>789</v>
      </c>
      <c r="E1320" s="5" t="s">
        <v>124</v>
      </c>
      <c r="F1320" s="3" t="s">
        <v>4382</v>
      </c>
      <c r="G1320" s="6">
        <f>8.606*L1320</f>
        <v>103.27199999999999</v>
      </c>
      <c r="H1320" s="7">
        <v>41754</v>
      </c>
      <c r="I1320" s="6" t="s">
        <v>272</v>
      </c>
      <c r="J1320" s="6" t="s">
        <v>4383</v>
      </c>
      <c r="K1320" s="6" t="s">
        <v>21</v>
      </c>
      <c r="L1320" s="6">
        <v>12</v>
      </c>
      <c r="M1320" s="15" t="s">
        <v>4384</v>
      </c>
      <c r="N1320" s="15" t="s">
        <v>12494</v>
      </c>
      <c r="O1320" s="15" t="s">
        <v>4384</v>
      </c>
    </row>
    <row r="1321" spans="1:15" s="1" customFormat="1" ht="13.5" customHeight="1">
      <c r="A1321" s="3" t="s">
        <v>788</v>
      </c>
      <c r="B1321" s="4" t="s">
        <v>283</v>
      </c>
      <c r="C1321" s="3"/>
      <c r="D1321" s="5" t="s">
        <v>789</v>
      </c>
      <c r="E1321" s="5" t="s">
        <v>124</v>
      </c>
      <c r="F1321" s="3" t="s">
        <v>4385</v>
      </c>
      <c r="G1321" s="6">
        <f>8.606*L1321</f>
        <v>111.878</v>
      </c>
      <c r="H1321" s="7">
        <v>41754</v>
      </c>
      <c r="I1321" s="6" t="s">
        <v>272</v>
      </c>
      <c r="J1321" s="6" t="s">
        <v>4386</v>
      </c>
      <c r="K1321" s="6" t="s">
        <v>21</v>
      </c>
      <c r="L1321" s="6">
        <v>13</v>
      </c>
      <c r="M1321" s="15" t="s">
        <v>4384</v>
      </c>
      <c r="N1321" s="15" t="s">
        <v>12495</v>
      </c>
      <c r="O1321" s="28" t="s">
        <v>4387</v>
      </c>
    </row>
    <row r="1322" spans="1:15" s="1" customFormat="1" ht="13.5" customHeight="1">
      <c r="A1322" s="3" t="s">
        <v>1087</v>
      </c>
      <c r="B1322" s="4" t="s">
        <v>283</v>
      </c>
      <c r="C1322" s="3"/>
      <c r="D1322" s="5" t="s">
        <v>1088</v>
      </c>
      <c r="E1322" s="5" t="s">
        <v>124</v>
      </c>
      <c r="F1322" s="3" t="s">
        <v>4388</v>
      </c>
      <c r="G1322" s="6">
        <f>9.804*L1322</f>
        <v>117.648</v>
      </c>
      <c r="H1322" s="7">
        <v>41754</v>
      </c>
      <c r="I1322" s="6" t="s">
        <v>1090</v>
      </c>
      <c r="J1322" s="6" t="s">
        <v>4389</v>
      </c>
      <c r="K1322" s="6" t="s">
        <v>21</v>
      </c>
      <c r="L1322" s="6">
        <v>12</v>
      </c>
      <c r="M1322" s="15" t="s">
        <v>4390</v>
      </c>
      <c r="N1322" s="15" t="s">
        <v>164</v>
      </c>
      <c r="O1322" s="28" t="s">
        <v>4390</v>
      </c>
    </row>
    <row r="1323" spans="1:15" s="1" customFormat="1" ht="13.5" customHeight="1">
      <c r="A1323" s="3" t="s">
        <v>1087</v>
      </c>
      <c r="B1323" s="4" t="s">
        <v>283</v>
      </c>
      <c r="C1323" s="3"/>
      <c r="D1323" s="5" t="s">
        <v>1088</v>
      </c>
      <c r="E1323" s="5" t="s">
        <v>124</v>
      </c>
      <c r="F1323" s="3" t="s">
        <v>4391</v>
      </c>
      <c r="G1323" s="6">
        <f>9.804*L1323</f>
        <v>127.452</v>
      </c>
      <c r="H1323" s="7">
        <v>41754</v>
      </c>
      <c r="I1323" s="6" t="s">
        <v>1090</v>
      </c>
      <c r="J1323" s="6" t="s">
        <v>4392</v>
      </c>
      <c r="K1323" s="6" t="s">
        <v>21</v>
      </c>
      <c r="L1323" s="6">
        <v>13</v>
      </c>
      <c r="M1323" s="15" t="s">
        <v>4390</v>
      </c>
      <c r="N1323" s="15" t="s">
        <v>167</v>
      </c>
      <c r="O1323" s="28" t="s">
        <v>4393</v>
      </c>
    </row>
    <row r="1324" spans="1:15" ht="14.25" customHeight="1">
      <c r="A1324" s="3" t="s">
        <v>846</v>
      </c>
      <c r="B1324" s="4"/>
      <c r="C1324" s="3"/>
      <c r="D1324" s="5" t="s">
        <v>191</v>
      </c>
      <c r="E1324" s="5" t="s">
        <v>124</v>
      </c>
      <c r="F1324" s="3" t="s">
        <v>4394</v>
      </c>
      <c r="G1324" s="6">
        <f>18.708*L1324</f>
        <v>224.49599999999998</v>
      </c>
      <c r="H1324" s="7">
        <v>41754</v>
      </c>
      <c r="I1324" s="6" t="s">
        <v>247</v>
      </c>
      <c r="J1324" s="6" t="s">
        <v>4395</v>
      </c>
      <c r="K1324" s="6" t="s">
        <v>21</v>
      </c>
      <c r="L1324" s="6">
        <v>12</v>
      </c>
      <c r="M1324" s="15" t="s">
        <v>4396</v>
      </c>
      <c r="N1324" s="15" t="s">
        <v>164</v>
      </c>
      <c r="O1324" s="28" t="s">
        <v>4396</v>
      </c>
    </row>
    <row r="1325" spans="1:15" s="1" customFormat="1" ht="14.25" customHeight="1">
      <c r="A1325" s="3" t="s">
        <v>846</v>
      </c>
      <c r="B1325" s="4"/>
      <c r="C1325" s="3"/>
      <c r="D1325" s="5" t="s">
        <v>191</v>
      </c>
      <c r="E1325" s="5" t="s">
        <v>124</v>
      </c>
      <c r="F1325" s="3" t="s">
        <v>4397</v>
      </c>
      <c r="G1325" s="6">
        <f>18.708*L1325</f>
        <v>243.20399999999998</v>
      </c>
      <c r="H1325" s="7">
        <v>41754</v>
      </c>
      <c r="I1325" s="6" t="s">
        <v>247</v>
      </c>
      <c r="J1325" s="6" t="s">
        <v>4398</v>
      </c>
      <c r="K1325" s="6" t="s">
        <v>21</v>
      </c>
      <c r="L1325" s="6">
        <v>13</v>
      </c>
      <c r="M1325" s="15" t="s">
        <v>4396</v>
      </c>
      <c r="N1325" s="15" t="s">
        <v>167</v>
      </c>
      <c r="O1325" s="28" t="s">
        <v>4399</v>
      </c>
    </row>
    <row r="1326" spans="1:15" ht="14.25" customHeight="1">
      <c r="A1326" s="3" t="s">
        <v>2546</v>
      </c>
      <c r="B1326" s="4"/>
      <c r="C1326" s="3"/>
      <c r="D1326" s="5" t="s">
        <v>3106</v>
      </c>
      <c r="E1326" s="5" t="s">
        <v>124</v>
      </c>
      <c r="F1326" s="3" t="s">
        <v>4400</v>
      </c>
      <c r="G1326" s="6">
        <f>17.498*L1326</f>
        <v>209.976</v>
      </c>
      <c r="H1326" s="7">
        <v>41754</v>
      </c>
      <c r="I1326" s="6" t="s">
        <v>265</v>
      </c>
      <c r="J1326" s="6" t="s">
        <v>4401</v>
      </c>
      <c r="K1326" s="6" t="s">
        <v>21</v>
      </c>
      <c r="L1326" s="6">
        <v>12</v>
      </c>
      <c r="M1326" s="15" t="s">
        <v>4402</v>
      </c>
      <c r="N1326" s="15" t="s">
        <v>164</v>
      </c>
      <c r="O1326" s="28" t="s">
        <v>4402</v>
      </c>
    </row>
    <row r="1327" spans="1:15" s="1" customFormat="1" ht="14.25" customHeight="1">
      <c r="A1327" s="3" t="s">
        <v>2546</v>
      </c>
      <c r="B1327" s="3"/>
      <c r="C1327" s="3"/>
      <c r="D1327" s="5" t="s">
        <v>3106</v>
      </c>
      <c r="E1327" s="5" t="s">
        <v>124</v>
      </c>
      <c r="F1327" s="3" t="s">
        <v>4403</v>
      </c>
      <c r="G1327" s="6">
        <f>17.498*L1327</f>
        <v>227.47400000000002</v>
      </c>
      <c r="H1327" s="7">
        <v>41754</v>
      </c>
      <c r="I1327" s="6" t="s">
        <v>265</v>
      </c>
      <c r="J1327" s="6" t="s">
        <v>4404</v>
      </c>
      <c r="K1327" s="6" t="s">
        <v>21</v>
      </c>
      <c r="L1327" s="6">
        <v>13</v>
      </c>
      <c r="M1327" s="15" t="s">
        <v>4402</v>
      </c>
      <c r="N1327" s="15" t="s">
        <v>167</v>
      </c>
      <c r="O1327" s="15" t="s">
        <v>4405</v>
      </c>
    </row>
    <row r="1328" spans="1:15" s="1" customFormat="1" ht="14.25" customHeight="1">
      <c r="A1328" s="3" t="s">
        <v>3870</v>
      </c>
      <c r="B1328" s="4"/>
      <c r="C1328" s="3"/>
      <c r="D1328" s="5" t="s">
        <v>3871</v>
      </c>
      <c r="E1328" s="5" t="s">
        <v>124</v>
      </c>
      <c r="F1328" s="3" t="s">
        <v>4406</v>
      </c>
      <c r="G1328" s="6">
        <f>13.006*L1328</f>
        <v>156.072</v>
      </c>
      <c r="H1328" s="7">
        <v>41754</v>
      </c>
      <c r="I1328" s="6" t="s">
        <v>3873</v>
      </c>
      <c r="J1328" s="6" t="s">
        <v>4407</v>
      </c>
      <c r="K1328" s="6" t="s">
        <v>21</v>
      </c>
      <c r="L1328" s="6">
        <v>12</v>
      </c>
      <c r="M1328" s="15" t="s">
        <v>4408</v>
      </c>
      <c r="N1328" s="15" t="s">
        <v>4409</v>
      </c>
      <c r="O1328" s="28" t="s">
        <v>4408</v>
      </c>
    </row>
    <row r="1329" spans="1:15" s="1" customFormat="1" ht="14.25" customHeight="1">
      <c r="A1329" s="3" t="s">
        <v>3870</v>
      </c>
      <c r="B1329" s="4"/>
      <c r="C1329" s="3"/>
      <c r="D1329" s="5" t="s">
        <v>3871</v>
      </c>
      <c r="E1329" s="5" t="s">
        <v>124</v>
      </c>
      <c r="F1329" s="3" t="s">
        <v>4410</v>
      </c>
      <c r="G1329" s="6">
        <f>13.006*L1329</f>
        <v>143.066</v>
      </c>
      <c r="H1329" s="7">
        <v>41754</v>
      </c>
      <c r="I1329" s="6" t="s">
        <v>3873</v>
      </c>
      <c r="J1329" s="6" t="s">
        <v>4411</v>
      </c>
      <c r="K1329" s="6" t="s">
        <v>21</v>
      </c>
      <c r="L1329" s="6">
        <v>11</v>
      </c>
      <c r="M1329" s="15" t="s">
        <v>4408</v>
      </c>
      <c r="N1329" s="15" t="s">
        <v>2199</v>
      </c>
      <c r="O1329" s="28" t="s">
        <v>4412</v>
      </c>
    </row>
    <row r="1330" spans="1:15" s="1" customFormat="1" ht="14.25" customHeight="1">
      <c r="A1330" s="22" t="s">
        <v>4413</v>
      </c>
      <c r="B1330" s="3"/>
      <c r="C1330" s="3"/>
      <c r="D1330" s="5" t="s">
        <v>4414</v>
      </c>
      <c r="E1330" s="5" t="s">
        <v>124</v>
      </c>
      <c r="F1330" s="3" t="s">
        <v>4415</v>
      </c>
      <c r="G1330" s="6">
        <f>20.142*L1330</f>
        <v>40.283999999999999</v>
      </c>
      <c r="H1330" s="7">
        <v>41754</v>
      </c>
      <c r="I1330" s="6" t="s">
        <v>265</v>
      </c>
      <c r="J1330" s="6" t="s">
        <v>4416</v>
      </c>
      <c r="K1330" s="6" t="s">
        <v>21</v>
      </c>
      <c r="L1330" s="6">
        <v>2</v>
      </c>
      <c r="M1330" s="15" t="s">
        <v>4417</v>
      </c>
      <c r="N1330" s="15" t="s">
        <v>4418</v>
      </c>
      <c r="O1330" s="15" t="s">
        <v>4417</v>
      </c>
    </row>
    <row r="1331" spans="1:15" s="1" customFormat="1" ht="14.25" customHeight="1">
      <c r="A1331" s="3" t="s">
        <v>4375</v>
      </c>
      <c r="B1331" s="4"/>
      <c r="C1331" s="3"/>
      <c r="D1331" s="5" t="s">
        <v>1963</v>
      </c>
      <c r="E1331" s="5" t="s">
        <v>124</v>
      </c>
      <c r="F1331" s="3" t="s">
        <v>4419</v>
      </c>
      <c r="G1331" s="6">
        <f>17.712*L1331</f>
        <v>212.54399999999998</v>
      </c>
      <c r="H1331" s="7">
        <v>41759</v>
      </c>
      <c r="I1331" s="6" t="s">
        <v>419</v>
      </c>
      <c r="J1331" s="6" t="s">
        <v>4420</v>
      </c>
      <c r="K1331" s="6" t="s">
        <v>21</v>
      </c>
      <c r="L1331" s="6">
        <v>12</v>
      </c>
      <c r="M1331" s="15" t="s">
        <v>4421</v>
      </c>
      <c r="N1331" s="15" t="s">
        <v>164</v>
      </c>
      <c r="O1331" s="28" t="s">
        <v>4421</v>
      </c>
    </row>
    <row r="1332" spans="1:15" s="1" customFormat="1" ht="14.25" customHeight="1">
      <c r="A1332" s="3" t="s">
        <v>4375</v>
      </c>
      <c r="B1332" s="4"/>
      <c r="C1332" s="3"/>
      <c r="D1332" s="5" t="s">
        <v>1963</v>
      </c>
      <c r="E1332" s="5" t="s">
        <v>124</v>
      </c>
      <c r="F1332" s="3" t="s">
        <v>4422</v>
      </c>
      <c r="G1332" s="6">
        <f>17.712*L1332</f>
        <v>230.256</v>
      </c>
      <c r="H1332" s="7">
        <v>41759</v>
      </c>
      <c r="I1332" s="6" t="s">
        <v>419</v>
      </c>
      <c r="J1332" s="6" t="s">
        <v>4423</v>
      </c>
      <c r="K1332" s="6" t="s">
        <v>21</v>
      </c>
      <c r="L1332" s="6">
        <v>13</v>
      </c>
      <c r="M1332" s="15" t="s">
        <v>4421</v>
      </c>
      <c r="N1332" s="15" t="s">
        <v>167</v>
      </c>
      <c r="O1332" s="28" t="s">
        <v>4424</v>
      </c>
    </row>
    <row r="1333" spans="1:15" s="1" customFormat="1" ht="14.25" customHeight="1">
      <c r="A1333" s="3" t="s">
        <v>1498</v>
      </c>
      <c r="B1333" s="4"/>
      <c r="C1333" s="3"/>
      <c r="D1333" s="5" t="s">
        <v>1499</v>
      </c>
      <c r="E1333" s="5" t="s">
        <v>124</v>
      </c>
      <c r="F1333" s="3" t="s">
        <v>4425</v>
      </c>
      <c r="G1333" s="6">
        <f>17.52*L1333</f>
        <v>175.2</v>
      </c>
      <c r="H1333" s="7">
        <v>41759</v>
      </c>
      <c r="I1333" s="6" t="s">
        <v>265</v>
      </c>
      <c r="J1333" s="6" t="s">
        <v>4426</v>
      </c>
      <c r="K1333" s="6" t="s">
        <v>21</v>
      </c>
      <c r="L1333" s="6">
        <v>10</v>
      </c>
      <c r="M1333" s="15" t="s">
        <v>4427</v>
      </c>
      <c r="N1333" s="15" t="s">
        <v>35</v>
      </c>
      <c r="O1333" s="28" t="s">
        <v>4427</v>
      </c>
    </row>
    <row r="1334" spans="1:15" ht="14.25" customHeight="1">
      <c r="A1334" s="3" t="s">
        <v>1773</v>
      </c>
      <c r="B1334" s="4"/>
      <c r="C1334" s="3"/>
      <c r="D1334" s="5" t="s">
        <v>552</v>
      </c>
      <c r="E1334" s="5" t="s">
        <v>124</v>
      </c>
      <c r="F1334" s="3" t="s">
        <v>4428</v>
      </c>
      <c r="G1334" s="6">
        <f>17.52*L1334</f>
        <v>87.6</v>
      </c>
      <c r="H1334" s="7">
        <v>41759</v>
      </c>
      <c r="I1334" s="6" t="s">
        <v>265</v>
      </c>
      <c r="J1334" s="6" t="s">
        <v>4429</v>
      </c>
      <c r="K1334" s="6" t="s">
        <v>21</v>
      </c>
      <c r="L1334" s="6">
        <v>5</v>
      </c>
      <c r="M1334" s="15" t="s">
        <v>4430</v>
      </c>
      <c r="N1334" s="15" t="s">
        <v>3822</v>
      </c>
      <c r="O1334" s="28" t="s">
        <v>4430</v>
      </c>
    </row>
    <row r="1335" spans="1:15" ht="14.25" customHeight="1">
      <c r="A1335" s="22" t="s">
        <v>4431</v>
      </c>
      <c r="B1335" s="4"/>
      <c r="C1335" s="3"/>
      <c r="D1335" s="5" t="s">
        <v>4432</v>
      </c>
      <c r="E1335" s="5" t="s">
        <v>124</v>
      </c>
      <c r="F1335" s="3" t="s">
        <v>4433</v>
      </c>
      <c r="G1335" s="6">
        <f>17.52*L1335</f>
        <v>70.08</v>
      </c>
      <c r="H1335" s="7">
        <v>41759</v>
      </c>
      <c r="I1335" s="6" t="s">
        <v>172</v>
      </c>
      <c r="J1335" s="6" t="s">
        <v>4434</v>
      </c>
      <c r="K1335" s="6" t="s">
        <v>21</v>
      </c>
      <c r="L1335" s="6">
        <v>4</v>
      </c>
      <c r="M1335" s="15" t="s">
        <v>4435</v>
      </c>
      <c r="N1335" s="15" t="s">
        <v>3101</v>
      </c>
      <c r="O1335" s="27" t="s">
        <v>4436</v>
      </c>
    </row>
    <row r="1336" spans="1:15" s="1" customFormat="1" ht="14.25" customHeight="1">
      <c r="A1336" s="3" t="s">
        <v>3816</v>
      </c>
      <c r="B1336" s="4"/>
      <c r="C1336" s="3"/>
      <c r="D1336" s="5" t="s">
        <v>377</v>
      </c>
      <c r="E1336" s="5" t="s">
        <v>124</v>
      </c>
      <c r="F1336" s="3" t="s">
        <v>4437</v>
      </c>
      <c r="G1336" s="6">
        <f>18.708*L1336</f>
        <v>56.123999999999995</v>
      </c>
      <c r="H1336" s="7">
        <v>41759</v>
      </c>
      <c r="I1336" s="6" t="s">
        <v>265</v>
      </c>
      <c r="J1336" s="6" t="s">
        <v>4438</v>
      </c>
      <c r="K1336" s="6" t="s">
        <v>21</v>
      </c>
      <c r="L1336" s="6">
        <v>3</v>
      </c>
      <c r="M1336" s="15" t="s">
        <v>4278</v>
      </c>
      <c r="N1336" s="15" t="s">
        <v>375</v>
      </c>
      <c r="O1336" s="28" t="s">
        <v>4439</v>
      </c>
    </row>
    <row r="1337" spans="1:15" s="1" customFormat="1" ht="14.25" customHeight="1">
      <c r="A1337" s="3" t="s">
        <v>772</v>
      </c>
      <c r="B1337" s="4"/>
      <c r="C1337" s="3"/>
      <c r="D1337" s="5" t="s">
        <v>773</v>
      </c>
      <c r="E1337" s="5" t="s">
        <v>124</v>
      </c>
      <c r="F1337" s="3" t="s">
        <v>4440</v>
      </c>
      <c r="G1337" s="6">
        <f>18.708*L1337</f>
        <v>243.20399999999998</v>
      </c>
      <c r="H1337" s="7">
        <v>41759</v>
      </c>
      <c r="I1337" s="6" t="s">
        <v>265</v>
      </c>
      <c r="J1337" s="6" t="s">
        <v>4441</v>
      </c>
      <c r="K1337" s="6" t="s">
        <v>21</v>
      </c>
      <c r="L1337" s="6">
        <v>13</v>
      </c>
      <c r="M1337" s="15" t="s">
        <v>4295</v>
      </c>
      <c r="N1337" s="15" t="s">
        <v>167</v>
      </c>
      <c r="O1337" s="28" t="s">
        <v>4442</v>
      </c>
    </row>
    <row r="1338" spans="1:15" s="1" customFormat="1" ht="14.25" customHeight="1">
      <c r="A1338" s="3" t="s">
        <v>898</v>
      </c>
      <c r="B1338" s="4"/>
      <c r="C1338" s="3"/>
      <c r="D1338" s="5" t="s">
        <v>899</v>
      </c>
      <c r="E1338" s="5" t="s">
        <v>124</v>
      </c>
      <c r="F1338" s="3" t="s">
        <v>4443</v>
      </c>
      <c r="G1338" s="6">
        <f>18.708*L1338</f>
        <v>74.831999999999994</v>
      </c>
      <c r="H1338" s="7">
        <v>41759</v>
      </c>
      <c r="I1338" s="6" t="s">
        <v>209</v>
      </c>
      <c r="J1338" s="6" t="s">
        <v>4444</v>
      </c>
      <c r="K1338" s="6" t="s">
        <v>21</v>
      </c>
      <c r="L1338" s="6">
        <v>4</v>
      </c>
      <c r="M1338" s="15" t="s">
        <v>4445</v>
      </c>
      <c r="N1338" s="15" t="s">
        <v>4446</v>
      </c>
      <c r="O1338" s="15" t="s">
        <v>4445</v>
      </c>
    </row>
    <row r="1339" spans="1:15" s="1" customFormat="1" ht="14.25" customHeight="1">
      <c r="A1339" s="3" t="s">
        <v>514</v>
      </c>
      <c r="B1339" s="4"/>
      <c r="C1339" s="3"/>
      <c r="D1339" s="5" t="s">
        <v>2030</v>
      </c>
      <c r="E1339" s="5" t="s">
        <v>124</v>
      </c>
      <c r="F1339" s="3" t="s">
        <v>4447</v>
      </c>
      <c r="G1339" s="6">
        <f>14.405*L1339</f>
        <v>172.85999999999999</v>
      </c>
      <c r="H1339" s="7">
        <v>41759</v>
      </c>
      <c r="I1339" s="6" t="s">
        <v>265</v>
      </c>
      <c r="J1339" s="6" t="s">
        <v>4448</v>
      </c>
      <c r="K1339" s="6" t="s">
        <v>21</v>
      </c>
      <c r="L1339" s="6">
        <v>12</v>
      </c>
      <c r="M1339" s="15" t="s">
        <v>4449</v>
      </c>
      <c r="N1339" s="15" t="s">
        <v>78</v>
      </c>
      <c r="O1339" s="28" t="s">
        <v>4449</v>
      </c>
    </row>
    <row r="1340" spans="1:15" s="1" customFormat="1" ht="14.25" customHeight="1">
      <c r="A1340" s="3" t="s">
        <v>514</v>
      </c>
      <c r="B1340" s="4"/>
      <c r="C1340" s="3"/>
      <c r="D1340" s="5" t="s">
        <v>2030</v>
      </c>
      <c r="E1340" s="5" t="s">
        <v>124</v>
      </c>
      <c r="F1340" s="3" t="s">
        <v>4450</v>
      </c>
      <c r="G1340" s="6">
        <f>14.405*L1340</f>
        <v>187.26499999999999</v>
      </c>
      <c r="H1340" s="7">
        <v>41759</v>
      </c>
      <c r="I1340" s="6" t="s">
        <v>265</v>
      </c>
      <c r="J1340" s="6" t="s">
        <v>4451</v>
      </c>
      <c r="K1340" s="6" t="s">
        <v>21</v>
      </c>
      <c r="L1340" s="6">
        <v>13</v>
      </c>
      <c r="M1340" s="15" t="s">
        <v>4449</v>
      </c>
      <c r="N1340" s="15" t="s">
        <v>167</v>
      </c>
      <c r="O1340" s="28" t="s">
        <v>4452</v>
      </c>
    </row>
    <row r="1341" spans="1:15" s="1" customFormat="1" ht="14.25" customHeight="1">
      <c r="A1341" s="22" t="s">
        <v>4453</v>
      </c>
      <c r="B1341" s="4"/>
      <c r="C1341" s="3"/>
      <c r="D1341" s="5" t="s">
        <v>3106</v>
      </c>
      <c r="E1341" s="5" t="s">
        <v>124</v>
      </c>
      <c r="F1341" s="3" t="s">
        <v>4454</v>
      </c>
      <c r="G1341" s="6">
        <f>17.498*L1341</f>
        <v>209.976</v>
      </c>
      <c r="H1341" s="7">
        <v>41759</v>
      </c>
      <c r="I1341" s="6" t="s">
        <v>265</v>
      </c>
      <c r="J1341" s="6" t="s">
        <v>4455</v>
      </c>
      <c r="K1341" s="6" t="s">
        <v>21</v>
      </c>
      <c r="L1341" s="6">
        <v>12</v>
      </c>
      <c r="M1341" s="15" t="s">
        <v>4456</v>
      </c>
      <c r="N1341" s="15" t="s">
        <v>78</v>
      </c>
      <c r="O1341" s="28" t="s">
        <v>4456</v>
      </c>
    </row>
    <row r="1342" spans="1:15" s="1" customFormat="1" ht="14.25" customHeight="1">
      <c r="A1342" s="3" t="s">
        <v>4453</v>
      </c>
      <c r="B1342" s="4"/>
      <c r="C1342" s="3"/>
      <c r="D1342" s="5" t="s">
        <v>3106</v>
      </c>
      <c r="E1342" s="5" t="s">
        <v>124</v>
      </c>
      <c r="F1342" s="3" t="s">
        <v>4457</v>
      </c>
      <c r="G1342" s="6">
        <f>17.498*L1342</f>
        <v>227.47400000000002</v>
      </c>
      <c r="H1342" s="7">
        <v>41759</v>
      </c>
      <c r="I1342" s="6" t="s">
        <v>265</v>
      </c>
      <c r="J1342" s="6" t="s">
        <v>4458</v>
      </c>
      <c r="K1342" s="6" t="s">
        <v>21</v>
      </c>
      <c r="L1342" s="6">
        <v>13</v>
      </c>
      <c r="M1342" s="15" t="s">
        <v>4456</v>
      </c>
      <c r="N1342" s="15" t="s">
        <v>167</v>
      </c>
      <c r="O1342" s="28" t="s">
        <v>4459</v>
      </c>
    </row>
    <row r="1343" spans="1:15" s="1" customFormat="1" ht="14.25" customHeight="1">
      <c r="A1343" s="3" t="s">
        <v>4453</v>
      </c>
      <c r="B1343" s="4"/>
      <c r="C1343" s="3"/>
      <c r="D1343" s="5" t="s">
        <v>3106</v>
      </c>
      <c r="E1343" s="5" t="s">
        <v>124</v>
      </c>
      <c r="F1343" s="3" t="s">
        <v>4460</v>
      </c>
      <c r="G1343" s="6">
        <f>17.498*L1343</f>
        <v>209.976</v>
      </c>
      <c r="H1343" s="7">
        <v>41759</v>
      </c>
      <c r="I1343" s="6" t="s">
        <v>265</v>
      </c>
      <c r="J1343" s="6" t="s">
        <v>4461</v>
      </c>
      <c r="K1343" s="6" t="s">
        <v>21</v>
      </c>
      <c r="L1343" s="6">
        <v>12</v>
      </c>
      <c r="M1343" s="15" t="s">
        <v>4462</v>
      </c>
      <c r="N1343" s="15" t="s">
        <v>78</v>
      </c>
      <c r="O1343" s="28" t="s">
        <v>4462</v>
      </c>
    </row>
    <row r="1344" spans="1:15" s="1" customFormat="1" ht="14.25" customHeight="1">
      <c r="A1344" s="3" t="s">
        <v>4453</v>
      </c>
      <c r="B1344" s="4"/>
      <c r="C1344" s="3"/>
      <c r="D1344" s="5" t="s">
        <v>3106</v>
      </c>
      <c r="E1344" s="5" t="s">
        <v>124</v>
      </c>
      <c r="F1344" s="3" t="s">
        <v>4463</v>
      </c>
      <c r="G1344" s="6">
        <f>17.498*L1344</f>
        <v>227.47400000000002</v>
      </c>
      <c r="H1344" s="7">
        <v>41759</v>
      </c>
      <c r="I1344" s="6" t="s">
        <v>265</v>
      </c>
      <c r="J1344" s="6" t="s">
        <v>4464</v>
      </c>
      <c r="K1344" s="6" t="s">
        <v>21</v>
      </c>
      <c r="L1344" s="6">
        <v>13</v>
      </c>
      <c r="M1344" s="15" t="s">
        <v>4462</v>
      </c>
      <c r="N1344" s="15" t="s">
        <v>167</v>
      </c>
      <c r="O1344" s="28" t="s">
        <v>4465</v>
      </c>
    </row>
    <row r="1345" spans="1:15" ht="14.25" customHeight="1">
      <c r="A1345" s="3" t="s">
        <v>157</v>
      </c>
      <c r="B1345" s="3" t="s">
        <v>4059</v>
      </c>
      <c r="C1345" s="3"/>
      <c r="D1345" s="5" t="s">
        <v>1098</v>
      </c>
      <c r="E1345" s="5" t="s">
        <v>124</v>
      </c>
      <c r="F1345" s="3" t="s">
        <v>9186</v>
      </c>
      <c r="G1345" s="6">
        <f t="shared" ref="G1345:G1350" si="48">9.871*L1345</f>
        <v>118.452</v>
      </c>
      <c r="H1345" s="7">
        <v>41759</v>
      </c>
      <c r="I1345" s="6" t="s">
        <v>161</v>
      </c>
      <c r="J1345" s="6" t="s">
        <v>9187</v>
      </c>
      <c r="K1345" s="6" t="s">
        <v>21</v>
      </c>
      <c r="L1345" s="6">
        <v>12</v>
      </c>
      <c r="M1345" s="15" t="s">
        <v>4468</v>
      </c>
      <c r="N1345" s="15" t="s">
        <v>164</v>
      </c>
      <c r="O1345" s="15" t="s">
        <v>9188</v>
      </c>
    </row>
    <row r="1346" spans="1:15" ht="14.25" customHeight="1">
      <c r="A1346" s="3" t="s">
        <v>157</v>
      </c>
      <c r="B1346" s="4" t="s">
        <v>283</v>
      </c>
      <c r="C1346" s="3"/>
      <c r="D1346" s="5" t="s">
        <v>1098</v>
      </c>
      <c r="E1346" s="5" t="s">
        <v>124</v>
      </c>
      <c r="F1346" s="3" t="s">
        <v>4466</v>
      </c>
      <c r="G1346" s="6">
        <f t="shared" si="48"/>
        <v>128.32300000000001</v>
      </c>
      <c r="H1346" s="7">
        <v>41759</v>
      </c>
      <c r="I1346" s="6" t="s">
        <v>161</v>
      </c>
      <c r="J1346" s="6" t="s">
        <v>4467</v>
      </c>
      <c r="K1346" s="6" t="s">
        <v>21</v>
      </c>
      <c r="L1346" s="6">
        <v>13</v>
      </c>
      <c r="M1346" s="15" t="s">
        <v>4468</v>
      </c>
      <c r="N1346" s="15" t="s">
        <v>167</v>
      </c>
      <c r="O1346" s="28" t="s">
        <v>4468</v>
      </c>
    </row>
    <row r="1347" spans="1:15" ht="14.25" customHeight="1">
      <c r="A1347" s="3" t="s">
        <v>1082</v>
      </c>
      <c r="B1347" s="3" t="s">
        <v>283</v>
      </c>
      <c r="C1347" s="3"/>
      <c r="D1347" s="5" t="s">
        <v>1083</v>
      </c>
      <c r="E1347" s="5" t="s">
        <v>124</v>
      </c>
      <c r="F1347" s="3" t="s">
        <v>4469</v>
      </c>
      <c r="G1347" s="6">
        <f t="shared" si="48"/>
        <v>118.452</v>
      </c>
      <c r="H1347" s="7">
        <v>41759</v>
      </c>
      <c r="I1347" s="6" t="s">
        <v>161</v>
      </c>
      <c r="J1347" s="6" t="s">
        <v>4470</v>
      </c>
      <c r="K1347" s="6" t="s">
        <v>21</v>
      </c>
      <c r="L1347" s="6">
        <v>12</v>
      </c>
      <c r="M1347" s="15" t="s">
        <v>4471</v>
      </c>
      <c r="N1347" s="15" t="s">
        <v>164</v>
      </c>
      <c r="O1347" s="28" t="s">
        <v>4471</v>
      </c>
    </row>
    <row r="1348" spans="1:15" s="1" customFormat="1" ht="14.25" customHeight="1">
      <c r="A1348" s="3" t="s">
        <v>1082</v>
      </c>
      <c r="B1348" s="3" t="s">
        <v>283</v>
      </c>
      <c r="C1348" s="3"/>
      <c r="D1348" s="5" t="s">
        <v>1083</v>
      </c>
      <c r="E1348" s="5" t="s">
        <v>124</v>
      </c>
      <c r="F1348" s="3" t="s">
        <v>4472</v>
      </c>
      <c r="G1348" s="6">
        <f t="shared" si="48"/>
        <v>128.32300000000001</v>
      </c>
      <c r="H1348" s="7">
        <v>41759</v>
      </c>
      <c r="I1348" s="6" t="s">
        <v>161</v>
      </c>
      <c r="J1348" s="6" t="s">
        <v>4473</v>
      </c>
      <c r="K1348" s="6" t="s">
        <v>21</v>
      </c>
      <c r="L1348" s="6">
        <v>13</v>
      </c>
      <c r="M1348" s="15" t="s">
        <v>4471</v>
      </c>
      <c r="N1348" s="15" t="s">
        <v>167</v>
      </c>
      <c r="O1348" s="28" t="s">
        <v>4474</v>
      </c>
    </row>
    <row r="1349" spans="1:15" s="1" customFormat="1" ht="14.25" customHeight="1">
      <c r="A1349" s="3" t="s">
        <v>1082</v>
      </c>
      <c r="B1349" s="3" t="s">
        <v>283</v>
      </c>
      <c r="C1349" s="3"/>
      <c r="D1349" s="5" t="s">
        <v>1083</v>
      </c>
      <c r="E1349" s="5" t="s">
        <v>124</v>
      </c>
      <c r="F1349" s="3" t="s">
        <v>4475</v>
      </c>
      <c r="G1349" s="6">
        <f t="shared" si="48"/>
        <v>118.452</v>
      </c>
      <c r="H1349" s="7">
        <v>41759</v>
      </c>
      <c r="I1349" s="6" t="s">
        <v>161</v>
      </c>
      <c r="J1349" s="6" t="s">
        <v>4476</v>
      </c>
      <c r="K1349" s="6" t="s">
        <v>21</v>
      </c>
      <c r="L1349" s="6">
        <v>12</v>
      </c>
      <c r="M1349" s="15" t="s">
        <v>4477</v>
      </c>
      <c r="N1349" s="15" t="s">
        <v>164</v>
      </c>
      <c r="O1349" s="28" t="s">
        <v>4478</v>
      </c>
    </row>
    <row r="1350" spans="1:15" ht="14.25" customHeight="1">
      <c r="A1350" s="3" t="s">
        <v>1082</v>
      </c>
      <c r="B1350" s="3" t="s">
        <v>283</v>
      </c>
      <c r="C1350" s="3"/>
      <c r="D1350" s="5" t="s">
        <v>1083</v>
      </c>
      <c r="E1350" s="5" t="s">
        <v>124</v>
      </c>
      <c r="F1350" s="3" t="s">
        <v>4479</v>
      </c>
      <c r="G1350" s="6">
        <f t="shared" si="48"/>
        <v>128.32300000000001</v>
      </c>
      <c r="H1350" s="7">
        <v>41759</v>
      </c>
      <c r="I1350" s="6" t="s">
        <v>161</v>
      </c>
      <c r="J1350" s="6" t="s">
        <v>4480</v>
      </c>
      <c r="K1350" s="6" t="s">
        <v>21</v>
      </c>
      <c r="L1350" s="6">
        <v>13</v>
      </c>
      <c r="M1350" s="15" t="s">
        <v>4477</v>
      </c>
      <c r="N1350" s="15" t="s">
        <v>167</v>
      </c>
      <c r="O1350" s="28" t="s">
        <v>4477</v>
      </c>
    </row>
    <row r="1351" spans="1:15" s="1" customFormat="1" ht="14.25" customHeight="1">
      <c r="A1351" s="3" t="s">
        <v>1285</v>
      </c>
      <c r="B1351" s="4" t="s">
        <v>283</v>
      </c>
      <c r="C1351" s="3"/>
      <c r="D1351" s="5" t="s">
        <v>1287</v>
      </c>
      <c r="E1351" s="5" t="s">
        <v>124</v>
      </c>
      <c r="F1351" s="3" t="s">
        <v>4481</v>
      </c>
      <c r="G1351" s="6">
        <f>8.606*L1351</f>
        <v>103.27199999999999</v>
      </c>
      <c r="H1351" s="7">
        <v>41759</v>
      </c>
      <c r="I1351" s="6" t="s">
        <v>272</v>
      </c>
      <c r="J1351" s="6" t="s">
        <v>4482</v>
      </c>
      <c r="K1351" s="6" t="s">
        <v>21</v>
      </c>
      <c r="L1351" s="6">
        <v>12</v>
      </c>
      <c r="M1351" s="15" t="s">
        <v>4483</v>
      </c>
      <c r="N1351" s="15" t="s">
        <v>164</v>
      </c>
      <c r="O1351" s="28" t="s">
        <v>4483</v>
      </c>
    </row>
    <row r="1352" spans="1:15" s="1" customFormat="1" ht="14.25" customHeight="1">
      <c r="A1352" s="3" t="s">
        <v>1285</v>
      </c>
      <c r="B1352" s="4" t="s">
        <v>283</v>
      </c>
      <c r="C1352" s="3"/>
      <c r="D1352" s="5" t="s">
        <v>1287</v>
      </c>
      <c r="E1352" s="5" t="s">
        <v>124</v>
      </c>
      <c r="F1352" s="3" t="s">
        <v>4484</v>
      </c>
      <c r="G1352" s="6">
        <f>8.606*L1352</f>
        <v>111.878</v>
      </c>
      <c r="H1352" s="7">
        <v>41759</v>
      </c>
      <c r="I1352" s="6" t="s">
        <v>272</v>
      </c>
      <c r="J1352" s="6" t="s">
        <v>4485</v>
      </c>
      <c r="K1352" s="6" t="s">
        <v>21</v>
      </c>
      <c r="L1352" s="6">
        <v>13</v>
      </c>
      <c r="M1352" s="15" t="s">
        <v>4483</v>
      </c>
      <c r="N1352" s="15" t="s">
        <v>167</v>
      </c>
      <c r="O1352" s="28" t="s">
        <v>4486</v>
      </c>
    </row>
    <row r="1353" spans="1:15" ht="14.25" customHeight="1">
      <c r="A1353" s="3" t="s">
        <v>1285</v>
      </c>
      <c r="B1353" s="4" t="s">
        <v>283</v>
      </c>
      <c r="C1353" s="3"/>
      <c r="D1353" s="5" t="s">
        <v>1287</v>
      </c>
      <c r="E1353" s="5" t="s">
        <v>124</v>
      </c>
      <c r="F1353" s="3" t="s">
        <v>4487</v>
      </c>
      <c r="G1353" s="6">
        <f>8.606*L1353</f>
        <v>103.27199999999999</v>
      </c>
      <c r="H1353" s="7">
        <v>41759</v>
      </c>
      <c r="I1353" s="6" t="s">
        <v>272</v>
      </c>
      <c r="J1353" s="6" t="s">
        <v>4488</v>
      </c>
      <c r="K1353" s="6" t="s">
        <v>21</v>
      </c>
      <c r="L1353" s="6">
        <v>12</v>
      </c>
      <c r="M1353" s="15" t="s">
        <v>4489</v>
      </c>
      <c r="N1353" s="15" t="s">
        <v>164</v>
      </c>
      <c r="O1353" s="15" t="s">
        <v>4489</v>
      </c>
    </row>
    <row r="1354" spans="1:15" s="1" customFormat="1" ht="14.25" customHeight="1">
      <c r="A1354" s="3" t="s">
        <v>1285</v>
      </c>
      <c r="B1354" s="4" t="s">
        <v>283</v>
      </c>
      <c r="C1354" s="3"/>
      <c r="D1354" s="5" t="s">
        <v>1287</v>
      </c>
      <c r="E1354" s="5" t="s">
        <v>124</v>
      </c>
      <c r="F1354" s="3" t="s">
        <v>4490</v>
      </c>
      <c r="G1354" s="6">
        <f>8.606*L1354</f>
        <v>111.878</v>
      </c>
      <c r="H1354" s="7">
        <v>41759</v>
      </c>
      <c r="I1354" s="6" t="s">
        <v>272</v>
      </c>
      <c r="J1354" s="6" t="s">
        <v>4491</v>
      </c>
      <c r="K1354" s="6" t="s">
        <v>21</v>
      </c>
      <c r="L1354" s="6">
        <v>13</v>
      </c>
      <c r="M1354" s="15" t="s">
        <v>4489</v>
      </c>
      <c r="N1354" s="15" t="s">
        <v>167</v>
      </c>
      <c r="O1354" s="28" t="s">
        <v>4492</v>
      </c>
    </row>
    <row r="1355" spans="1:15" ht="14.25" customHeight="1">
      <c r="A1355" s="3" t="s">
        <v>469</v>
      </c>
      <c r="B1355" s="4"/>
      <c r="C1355" s="3"/>
      <c r="D1355" s="5" t="s">
        <v>276</v>
      </c>
      <c r="E1355" s="5" t="s">
        <v>124</v>
      </c>
      <c r="F1355" s="3" t="s">
        <v>4493</v>
      </c>
      <c r="G1355" s="6">
        <f>6.405*L1355</f>
        <v>160.125</v>
      </c>
      <c r="H1355" s="7">
        <v>41759</v>
      </c>
      <c r="I1355" s="6" t="s">
        <v>471</v>
      </c>
      <c r="J1355" s="6" t="s">
        <v>4494</v>
      </c>
      <c r="K1355" s="6" t="s">
        <v>21</v>
      </c>
      <c r="L1355" s="6">
        <v>25</v>
      </c>
      <c r="M1355" s="15" t="s">
        <v>4495</v>
      </c>
      <c r="N1355" s="15" t="s">
        <v>4239</v>
      </c>
      <c r="O1355" s="28" t="s">
        <v>4495</v>
      </c>
    </row>
    <row r="1356" spans="1:15" ht="14.25" customHeight="1">
      <c r="A1356" s="3" t="s">
        <v>793</v>
      </c>
      <c r="B1356" s="4"/>
      <c r="C1356" s="3"/>
      <c r="D1356" s="5" t="s">
        <v>794</v>
      </c>
      <c r="E1356" s="5" t="s">
        <v>124</v>
      </c>
      <c r="F1356" s="3" t="s">
        <v>4496</v>
      </c>
      <c r="G1356" s="6">
        <f>8.137*L1356</f>
        <v>16.274000000000001</v>
      </c>
      <c r="H1356" s="7">
        <v>41759</v>
      </c>
      <c r="I1356" s="6" t="s">
        <v>186</v>
      </c>
      <c r="J1356" s="6" t="s">
        <v>4497</v>
      </c>
      <c r="K1356" s="6" t="s">
        <v>21</v>
      </c>
      <c r="L1356" s="6">
        <v>2</v>
      </c>
      <c r="M1356" s="15" t="s">
        <v>4498</v>
      </c>
      <c r="N1356" s="15" t="s">
        <v>4499</v>
      </c>
      <c r="O1356" s="28" t="s">
        <v>4500</v>
      </c>
    </row>
    <row r="1357" spans="1:15" ht="14.25" customHeight="1">
      <c r="A1357" s="3" t="s">
        <v>793</v>
      </c>
      <c r="B1357" s="4"/>
      <c r="C1357" s="3"/>
      <c r="D1357" s="5" t="s">
        <v>794</v>
      </c>
      <c r="E1357" s="5" t="s">
        <v>124</v>
      </c>
      <c r="F1357" s="3" t="s">
        <v>4501</v>
      </c>
      <c r="G1357" s="6">
        <f>8.137*L1357</f>
        <v>89.507000000000005</v>
      </c>
      <c r="H1357" s="7">
        <v>41759</v>
      </c>
      <c r="I1357" s="6" t="s">
        <v>186</v>
      </c>
      <c r="J1357" s="6" t="s">
        <v>4502</v>
      </c>
      <c r="K1357" s="6" t="s">
        <v>21</v>
      </c>
      <c r="L1357" s="6">
        <v>11</v>
      </c>
      <c r="M1357" s="15" t="s">
        <v>4503</v>
      </c>
      <c r="N1357" s="15" t="s">
        <v>4504</v>
      </c>
      <c r="O1357" s="28" t="s">
        <v>4503</v>
      </c>
    </row>
    <row r="1358" spans="1:15" ht="14.25" customHeight="1">
      <c r="A1358" s="5" t="s">
        <v>7064</v>
      </c>
      <c r="B1358" s="4"/>
      <c r="C1358" s="3"/>
      <c r="D1358" s="5" t="s">
        <v>7025</v>
      </c>
      <c r="E1358" s="5" t="s">
        <v>7026</v>
      </c>
      <c r="F1358" s="3" t="s">
        <v>13483</v>
      </c>
      <c r="G1358" s="6">
        <f t="shared" ref="G1358:G1367" si="49">17.498*L1358</f>
        <v>209.976</v>
      </c>
      <c r="H1358" s="7">
        <v>41759</v>
      </c>
      <c r="I1358" s="6" t="s">
        <v>265</v>
      </c>
      <c r="J1358" s="6" t="s">
        <v>7954</v>
      </c>
      <c r="K1358" s="6" t="s">
        <v>21</v>
      </c>
      <c r="L1358" s="6">
        <v>12</v>
      </c>
      <c r="M1358" s="15" t="s">
        <v>7955</v>
      </c>
      <c r="N1358" s="15" t="s">
        <v>164</v>
      </c>
      <c r="O1358" s="27" t="s">
        <v>13484</v>
      </c>
    </row>
    <row r="1359" spans="1:15" s="1" customFormat="1" ht="14.25" customHeight="1">
      <c r="A1359" s="5" t="s">
        <v>7064</v>
      </c>
      <c r="B1359" s="4"/>
      <c r="C1359" s="3"/>
      <c r="D1359" s="5" t="s">
        <v>7025</v>
      </c>
      <c r="E1359" s="5" t="s">
        <v>7026</v>
      </c>
      <c r="F1359" s="3" t="s">
        <v>7956</v>
      </c>
      <c r="G1359" s="6">
        <f t="shared" si="49"/>
        <v>227.47400000000002</v>
      </c>
      <c r="H1359" s="7">
        <v>41759</v>
      </c>
      <c r="I1359" s="6" t="s">
        <v>265</v>
      </c>
      <c r="J1359" s="6" t="s">
        <v>7957</v>
      </c>
      <c r="K1359" s="6" t="s">
        <v>21</v>
      </c>
      <c r="L1359" s="6">
        <v>13</v>
      </c>
      <c r="M1359" s="15" t="s">
        <v>7955</v>
      </c>
      <c r="N1359" s="15" t="s">
        <v>167</v>
      </c>
      <c r="O1359" s="15" t="s">
        <v>7958</v>
      </c>
    </row>
    <row r="1360" spans="1:15" ht="14.25" customHeight="1">
      <c r="A1360" s="5" t="s">
        <v>7064</v>
      </c>
      <c r="B1360" s="4"/>
      <c r="C1360" s="3"/>
      <c r="D1360" s="5" t="s">
        <v>7025</v>
      </c>
      <c r="E1360" s="5" t="s">
        <v>7026</v>
      </c>
      <c r="F1360" s="3" t="s">
        <v>7959</v>
      </c>
      <c r="G1360" s="6">
        <f t="shared" si="49"/>
        <v>209.976</v>
      </c>
      <c r="H1360" s="7">
        <v>41759</v>
      </c>
      <c r="I1360" s="6" t="s">
        <v>265</v>
      </c>
      <c r="J1360" s="6" t="s">
        <v>7960</v>
      </c>
      <c r="K1360" s="6" t="s">
        <v>21</v>
      </c>
      <c r="L1360" s="6">
        <v>12</v>
      </c>
      <c r="M1360" s="15" t="s">
        <v>7961</v>
      </c>
      <c r="N1360" s="15" t="s">
        <v>164</v>
      </c>
      <c r="O1360" s="15" t="s">
        <v>7962</v>
      </c>
    </row>
    <row r="1361" spans="1:15" s="1" customFormat="1" ht="14.25" customHeight="1">
      <c r="A1361" s="5" t="s">
        <v>7064</v>
      </c>
      <c r="B1361" s="4"/>
      <c r="C1361" s="3"/>
      <c r="D1361" s="5" t="s">
        <v>7025</v>
      </c>
      <c r="E1361" s="5" t="s">
        <v>7026</v>
      </c>
      <c r="F1361" s="3" t="s">
        <v>13485</v>
      </c>
      <c r="G1361" s="6">
        <f t="shared" si="49"/>
        <v>227.47400000000002</v>
      </c>
      <c r="H1361" s="7">
        <v>41759</v>
      </c>
      <c r="I1361" s="6" t="s">
        <v>265</v>
      </c>
      <c r="J1361" s="6" t="s">
        <v>7963</v>
      </c>
      <c r="K1361" s="6" t="s">
        <v>21</v>
      </c>
      <c r="L1361" s="6">
        <v>13</v>
      </c>
      <c r="M1361" s="15" t="s">
        <v>7961</v>
      </c>
      <c r="N1361" s="15" t="s">
        <v>167</v>
      </c>
      <c r="O1361" s="27" t="s">
        <v>13484</v>
      </c>
    </row>
    <row r="1362" spans="1:15" ht="14.25" customHeight="1">
      <c r="A1362" s="5" t="s">
        <v>1259</v>
      </c>
      <c r="B1362" s="4"/>
      <c r="C1362" s="3"/>
      <c r="D1362" s="5" t="s">
        <v>170</v>
      </c>
      <c r="E1362" s="5" t="s">
        <v>7026</v>
      </c>
      <c r="F1362" s="3" t="s">
        <v>7964</v>
      </c>
      <c r="G1362" s="6">
        <f t="shared" si="49"/>
        <v>209.976</v>
      </c>
      <c r="H1362" s="7">
        <v>41759</v>
      </c>
      <c r="I1362" s="6" t="s">
        <v>265</v>
      </c>
      <c r="J1362" s="6" t="s">
        <v>7965</v>
      </c>
      <c r="K1362" s="6" t="s">
        <v>21</v>
      </c>
      <c r="L1362" s="6">
        <v>12</v>
      </c>
      <c r="M1362" s="15" t="s">
        <v>7966</v>
      </c>
      <c r="N1362" s="15" t="s">
        <v>164</v>
      </c>
      <c r="O1362" s="27"/>
    </row>
    <row r="1363" spans="1:15" ht="14.25" customHeight="1">
      <c r="A1363" s="5" t="s">
        <v>1259</v>
      </c>
      <c r="B1363" s="4"/>
      <c r="C1363" s="3"/>
      <c r="D1363" s="5" t="s">
        <v>170</v>
      </c>
      <c r="E1363" s="5" t="s">
        <v>7026</v>
      </c>
      <c r="F1363" s="3" t="s">
        <v>7967</v>
      </c>
      <c r="G1363" s="6">
        <f t="shared" si="49"/>
        <v>227.47400000000002</v>
      </c>
      <c r="H1363" s="7">
        <v>41759</v>
      </c>
      <c r="I1363" s="6" t="s">
        <v>265</v>
      </c>
      <c r="J1363" s="6" t="s">
        <v>7968</v>
      </c>
      <c r="K1363" s="6" t="s">
        <v>21</v>
      </c>
      <c r="L1363" s="6">
        <v>13</v>
      </c>
      <c r="M1363" s="15" t="s">
        <v>7966</v>
      </c>
      <c r="N1363" s="15" t="s">
        <v>167</v>
      </c>
      <c r="O1363" s="27"/>
    </row>
    <row r="1364" spans="1:15" s="1" customFormat="1" ht="14.25" customHeight="1">
      <c r="A1364" s="5" t="s">
        <v>1259</v>
      </c>
      <c r="B1364" s="4"/>
      <c r="C1364" s="3"/>
      <c r="D1364" s="5" t="s">
        <v>170</v>
      </c>
      <c r="E1364" s="5" t="s">
        <v>7026</v>
      </c>
      <c r="F1364" s="3" t="s">
        <v>7969</v>
      </c>
      <c r="G1364" s="6">
        <f t="shared" si="49"/>
        <v>209.976</v>
      </c>
      <c r="H1364" s="7">
        <v>41759</v>
      </c>
      <c r="I1364" s="6" t="s">
        <v>265</v>
      </c>
      <c r="J1364" s="6" t="s">
        <v>7970</v>
      </c>
      <c r="K1364" s="6" t="s">
        <v>21</v>
      </c>
      <c r="L1364" s="6">
        <v>12</v>
      </c>
      <c r="M1364" s="15" t="s">
        <v>7971</v>
      </c>
      <c r="N1364" s="15" t="s">
        <v>164</v>
      </c>
      <c r="O1364" s="27"/>
    </row>
    <row r="1365" spans="1:15" s="1" customFormat="1" ht="14.25" customHeight="1">
      <c r="A1365" s="5" t="s">
        <v>1259</v>
      </c>
      <c r="B1365" s="4"/>
      <c r="C1365" s="3"/>
      <c r="D1365" s="5" t="s">
        <v>170</v>
      </c>
      <c r="E1365" s="5" t="s">
        <v>7026</v>
      </c>
      <c r="F1365" s="3" t="s">
        <v>7972</v>
      </c>
      <c r="G1365" s="6">
        <f t="shared" si="49"/>
        <v>227.47400000000002</v>
      </c>
      <c r="H1365" s="7">
        <v>41759</v>
      </c>
      <c r="I1365" s="6" t="s">
        <v>265</v>
      </c>
      <c r="J1365" s="6" t="s">
        <v>7973</v>
      </c>
      <c r="K1365" s="6" t="s">
        <v>21</v>
      </c>
      <c r="L1365" s="6">
        <v>13</v>
      </c>
      <c r="M1365" s="15" t="s">
        <v>7971</v>
      </c>
      <c r="N1365" s="15" t="s">
        <v>167</v>
      </c>
      <c r="O1365" s="27"/>
    </row>
    <row r="1366" spans="1:15" s="1" customFormat="1" ht="14.25" customHeight="1">
      <c r="A1366" s="5" t="s">
        <v>7145</v>
      </c>
      <c r="B1366" s="4"/>
      <c r="C1366" s="3"/>
      <c r="D1366" s="5" t="s">
        <v>170</v>
      </c>
      <c r="E1366" s="5" t="s">
        <v>7026</v>
      </c>
      <c r="F1366" s="3" t="s">
        <v>7974</v>
      </c>
      <c r="G1366" s="6">
        <f t="shared" si="49"/>
        <v>209.976</v>
      </c>
      <c r="H1366" s="7">
        <v>41759</v>
      </c>
      <c r="I1366" s="6" t="s">
        <v>265</v>
      </c>
      <c r="J1366" s="6" t="s">
        <v>7975</v>
      </c>
      <c r="K1366" s="6" t="s">
        <v>21</v>
      </c>
      <c r="L1366" s="6">
        <v>12</v>
      </c>
      <c r="M1366" s="15" t="s">
        <v>7976</v>
      </c>
      <c r="N1366" s="15" t="s">
        <v>164</v>
      </c>
      <c r="O1366" s="27"/>
    </row>
    <row r="1367" spans="1:15" s="1" customFormat="1" ht="14.25" customHeight="1">
      <c r="A1367" s="5" t="s">
        <v>7145</v>
      </c>
      <c r="B1367" s="4"/>
      <c r="C1367" s="3"/>
      <c r="D1367" s="5" t="s">
        <v>170</v>
      </c>
      <c r="E1367" s="5" t="s">
        <v>7026</v>
      </c>
      <c r="F1367" s="3" t="s">
        <v>7977</v>
      </c>
      <c r="G1367" s="6">
        <f t="shared" si="49"/>
        <v>227.47400000000002</v>
      </c>
      <c r="H1367" s="7">
        <v>41759</v>
      </c>
      <c r="I1367" s="6" t="s">
        <v>265</v>
      </c>
      <c r="J1367" s="6" t="s">
        <v>7978</v>
      </c>
      <c r="K1367" s="6" t="s">
        <v>21</v>
      </c>
      <c r="L1367" s="6">
        <v>13</v>
      </c>
      <c r="M1367" s="15" t="s">
        <v>7976</v>
      </c>
      <c r="N1367" s="15" t="s">
        <v>167</v>
      </c>
      <c r="O1367" s="27"/>
    </row>
    <row r="1368" spans="1:15" s="1" customFormat="1" ht="14.25" customHeight="1">
      <c r="A1368" s="5" t="s">
        <v>1108</v>
      </c>
      <c r="B1368" s="4"/>
      <c r="C1368" s="3"/>
      <c r="D1368" s="5" t="s">
        <v>391</v>
      </c>
      <c r="E1368" s="5" t="s">
        <v>7026</v>
      </c>
      <c r="F1368" s="3" t="s">
        <v>7979</v>
      </c>
      <c r="G1368" s="6">
        <f t="shared" ref="G1368:G1377" si="50">17.712*L1368</f>
        <v>212.54399999999998</v>
      </c>
      <c r="H1368" s="7">
        <v>41759</v>
      </c>
      <c r="I1368" s="6" t="s">
        <v>265</v>
      </c>
      <c r="J1368" s="6" t="s">
        <v>7980</v>
      </c>
      <c r="K1368" s="6" t="s">
        <v>21</v>
      </c>
      <c r="L1368" s="6">
        <v>12</v>
      </c>
      <c r="M1368" s="15" t="s">
        <v>7981</v>
      </c>
      <c r="N1368" s="15" t="s">
        <v>164</v>
      </c>
      <c r="O1368" s="27"/>
    </row>
    <row r="1369" spans="1:15" s="1" customFormat="1" ht="14.25" customHeight="1">
      <c r="A1369" s="5" t="s">
        <v>1108</v>
      </c>
      <c r="B1369" s="4"/>
      <c r="C1369" s="3"/>
      <c r="D1369" s="5" t="s">
        <v>391</v>
      </c>
      <c r="E1369" s="5" t="s">
        <v>7026</v>
      </c>
      <c r="F1369" s="3" t="s">
        <v>7982</v>
      </c>
      <c r="G1369" s="6">
        <f t="shared" si="50"/>
        <v>230.256</v>
      </c>
      <c r="H1369" s="7">
        <v>41759</v>
      </c>
      <c r="I1369" s="6" t="s">
        <v>265</v>
      </c>
      <c r="J1369" s="6" t="s">
        <v>7983</v>
      </c>
      <c r="K1369" s="6" t="s">
        <v>21</v>
      </c>
      <c r="L1369" s="6">
        <v>13</v>
      </c>
      <c r="M1369" s="15" t="s">
        <v>7981</v>
      </c>
      <c r="N1369" s="15" t="s">
        <v>167</v>
      </c>
      <c r="O1369" s="27"/>
    </row>
    <row r="1370" spans="1:15" s="1" customFormat="1" ht="14.25" customHeight="1">
      <c r="A1370" s="5" t="s">
        <v>1108</v>
      </c>
      <c r="B1370" s="4"/>
      <c r="C1370" s="3"/>
      <c r="D1370" s="5" t="s">
        <v>391</v>
      </c>
      <c r="E1370" s="5" t="s">
        <v>7026</v>
      </c>
      <c r="F1370" s="3" t="s">
        <v>7984</v>
      </c>
      <c r="G1370" s="6">
        <f t="shared" si="50"/>
        <v>212.54399999999998</v>
      </c>
      <c r="H1370" s="7">
        <v>41759</v>
      </c>
      <c r="I1370" s="6" t="s">
        <v>265</v>
      </c>
      <c r="J1370" s="6" t="s">
        <v>7985</v>
      </c>
      <c r="K1370" s="6" t="s">
        <v>21</v>
      </c>
      <c r="L1370" s="6">
        <v>12</v>
      </c>
      <c r="M1370" s="15" t="s">
        <v>7986</v>
      </c>
      <c r="N1370" s="15" t="s">
        <v>164</v>
      </c>
      <c r="O1370" s="27"/>
    </row>
    <row r="1371" spans="1:15" s="1" customFormat="1" ht="14.25" customHeight="1">
      <c r="A1371" s="5" t="s">
        <v>1108</v>
      </c>
      <c r="B1371" s="4"/>
      <c r="C1371" s="3"/>
      <c r="D1371" s="5" t="s">
        <v>391</v>
      </c>
      <c r="E1371" s="5" t="s">
        <v>7026</v>
      </c>
      <c r="F1371" s="3" t="s">
        <v>7987</v>
      </c>
      <c r="G1371" s="6">
        <f t="shared" si="50"/>
        <v>230.256</v>
      </c>
      <c r="H1371" s="7">
        <v>41759</v>
      </c>
      <c r="I1371" s="6" t="s">
        <v>265</v>
      </c>
      <c r="J1371" s="6" t="s">
        <v>7988</v>
      </c>
      <c r="K1371" s="6" t="s">
        <v>21</v>
      </c>
      <c r="L1371" s="6">
        <v>13</v>
      </c>
      <c r="M1371" s="15" t="s">
        <v>7986</v>
      </c>
      <c r="N1371" s="15" t="s">
        <v>167</v>
      </c>
      <c r="O1371" s="15" t="s">
        <v>7989</v>
      </c>
    </row>
    <row r="1372" spans="1:15" s="1" customFormat="1" ht="14.25" customHeight="1">
      <c r="A1372" s="5" t="s">
        <v>1108</v>
      </c>
      <c r="B1372" s="4"/>
      <c r="C1372" s="3"/>
      <c r="D1372" s="5" t="s">
        <v>391</v>
      </c>
      <c r="E1372" s="5" t="s">
        <v>7026</v>
      </c>
      <c r="F1372" s="3" t="s">
        <v>7990</v>
      </c>
      <c r="G1372" s="6">
        <f t="shared" si="50"/>
        <v>212.54399999999998</v>
      </c>
      <c r="H1372" s="7">
        <v>41759</v>
      </c>
      <c r="I1372" s="6" t="s">
        <v>265</v>
      </c>
      <c r="J1372" s="6" t="s">
        <v>7991</v>
      </c>
      <c r="K1372" s="6" t="s">
        <v>21</v>
      </c>
      <c r="L1372" s="6">
        <v>12</v>
      </c>
      <c r="M1372" s="15" t="s">
        <v>7992</v>
      </c>
      <c r="N1372" s="15" t="s">
        <v>164</v>
      </c>
      <c r="O1372" s="27"/>
    </row>
    <row r="1373" spans="1:15" s="1" customFormat="1" ht="14.25" customHeight="1">
      <c r="A1373" s="5" t="s">
        <v>1108</v>
      </c>
      <c r="B1373" s="4"/>
      <c r="C1373" s="3"/>
      <c r="D1373" s="5" t="s">
        <v>391</v>
      </c>
      <c r="E1373" s="5" t="s">
        <v>7026</v>
      </c>
      <c r="F1373" s="3" t="s">
        <v>7993</v>
      </c>
      <c r="G1373" s="6">
        <f t="shared" si="50"/>
        <v>230.256</v>
      </c>
      <c r="H1373" s="7">
        <v>41759</v>
      </c>
      <c r="I1373" s="6" t="s">
        <v>265</v>
      </c>
      <c r="J1373" s="6" t="s">
        <v>7994</v>
      </c>
      <c r="K1373" s="6" t="s">
        <v>21</v>
      </c>
      <c r="L1373" s="6">
        <v>13</v>
      </c>
      <c r="M1373" s="15" t="s">
        <v>7992</v>
      </c>
      <c r="N1373" s="15" t="s">
        <v>167</v>
      </c>
      <c r="O1373" s="27"/>
    </row>
    <row r="1374" spans="1:15" ht="12" customHeight="1">
      <c r="A1374" s="5" t="s">
        <v>1150</v>
      </c>
      <c r="B1374" s="4"/>
      <c r="C1374" s="3"/>
      <c r="D1374" s="5" t="s">
        <v>1151</v>
      </c>
      <c r="E1374" s="5" t="s">
        <v>7026</v>
      </c>
      <c r="F1374" s="3" t="s">
        <v>7995</v>
      </c>
      <c r="G1374" s="6">
        <f t="shared" si="50"/>
        <v>212.54399999999998</v>
      </c>
      <c r="H1374" s="7">
        <v>41759</v>
      </c>
      <c r="I1374" s="6" t="s">
        <v>265</v>
      </c>
      <c r="J1374" s="6" t="s">
        <v>7996</v>
      </c>
      <c r="K1374" s="6" t="s">
        <v>21</v>
      </c>
      <c r="L1374" s="6">
        <v>12</v>
      </c>
      <c r="M1374" s="15" t="s">
        <v>7997</v>
      </c>
      <c r="N1374" s="15" t="s">
        <v>164</v>
      </c>
      <c r="O1374" s="27" t="s">
        <v>7998</v>
      </c>
    </row>
    <row r="1375" spans="1:15" s="1" customFormat="1" ht="14.25" customHeight="1">
      <c r="A1375" s="5" t="s">
        <v>1150</v>
      </c>
      <c r="B1375" s="4"/>
      <c r="C1375" s="3"/>
      <c r="D1375" s="5" t="s">
        <v>1151</v>
      </c>
      <c r="E1375" s="5" t="s">
        <v>7026</v>
      </c>
      <c r="F1375" s="3" t="s">
        <v>7999</v>
      </c>
      <c r="G1375" s="6">
        <f t="shared" si="50"/>
        <v>230.256</v>
      </c>
      <c r="H1375" s="7">
        <v>41759</v>
      </c>
      <c r="I1375" s="6" t="s">
        <v>265</v>
      </c>
      <c r="J1375" s="6" t="s">
        <v>8000</v>
      </c>
      <c r="K1375" s="6" t="s">
        <v>21</v>
      </c>
      <c r="L1375" s="6">
        <v>13</v>
      </c>
      <c r="M1375" s="15" t="s">
        <v>7997</v>
      </c>
      <c r="N1375" s="15" t="s">
        <v>167</v>
      </c>
      <c r="O1375" s="27"/>
    </row>
    <row r="1376" spans="1:15" s="1" customFormat="1" ht="14.25" customHeight="1">
      <c r="A1376" s="5" t="s">
        <v>918</v>
      </c>
      <c r="B1376" s="4"/>
      <c r="C1376" s="3"/>
      <c r="D1376" s="5" t="s">
        <v>919</v>
      </c>
      <c r="E1376" s="5" t="s">
        <v>7026</v>
      </c>
      <c r="F1376" s="3" t="s">
        <v>8001</v>
      </c>
      <c r="G1376" s="6">
        <f t="shared" si="50"/>
        <v>212.54399999999998</v>
      </c>
      <c r="H1376" s="7">
        <v>41759</v>
      </c>
      <c r="I1376" s="6" t="s">
        <v>265</v>
      </c>
      <c r="J1376" s="6" t="s">
        <v>8002</v>
      </c>
      <c r="K1376" s="6" t="s">
        <v>21</v>
      </c>
      <c r="L1376" s="6">
        <v>12</v>
      </c>
      <c r="M1376" s="15" t="s">
        <v>8003</v>
      </c>
      <c r="N1376" s="15" t="s">
        <v>164</v>
      </c>
      <c r="O1376" s="27"/>
    </row>
    <row r="1377" spans="1:15" s="1" customFormat="1" ht="14.25" customHeight="1">
      <c r="A1377" s="5" t="s">
        <v>918</v>
      </c>
      <c r="B1377" s="4"/>
      <c r="C1377" s="3"/>
      <c r="D1377" s="5" t="s">
        <v>919</v>
      </c>
      <c r="E1377" s="5" t="s">
        <v>7026</v>
      </c>
      <c r="F1377" s="3" t="s">
        <v>8004</v>
      </c>
      <c r="G1377" s="6">
        <f t="shared" si="50"/>
        <v>230.256</v>
      </c>
      <c r="H1377" s="7">
        <v>41759</v>
      </c>
      <c r="I1377" s="6" t="s">
        <v>265</v>
      </c>
      <c r="J1377" s="6" t="s">
        <v>8005</v>
      </c>
      <c r="K1377" s="6" t="s">
        <v>21</v>
      </c>
      <c r="L1377" s="6">
        <v>13</v>
      </c>
      <c r="M1377" s="15" t="s">
        <v>8003</v>
      </c>
      <c r="N1377" s="15" t="s">
        <v>167</v>
      </c>
      <c r="O1377" s="27" t="s">
        <v>8006</v>
      </c>
    </row>
    <row r="1378" spans="1:15" s="1" customFormat="1" ht="14.25" customHeight="1">
      <c r="A1378" s="3" t="s">
        <v>1018</v>
      </c>
      <c r="B1378" s="4"/>
      <c r="C1378" s="3"/>
      <c r="D1378" s="5" t="s">
        <v>1019</v>
      </c>
      <c r="E1378" s="5" t="s">
        <v>124</v>
      </c>
      <c r="F1378" s="3" t="s">
        <v>4505</v>
      </c>
      <c r="G1378" s="6">
        <v>174.01900000000001</v>
      </c>
      <c r="H1378" s="7">
        <v>41763</v>
      </c>
      <c r="I1378" s="6" t="s">
        <v>209</v>
      </c>
      <c r="J1378" s="6" t="s">
        <v>4506</v>
      </c>
      <c r="K1378" s="6" t="s">
        <v>128</v>
      </c>
      <c r="L1378" s="6" t="s">
        <v>1708</v>
      </c>
      <c r="M1378" s="15" t="s">
        <v>4507</v>
      </c>
      <c r="N1378" s="15" t="s">
        <v>4508</v>
      </c>
      <c r="O1378" s="27" t="s">
        <v>4509</v>
      </c>
    </row>
    <row r="1379" spans="1:15" ht="14.25" customHeight="1">
      <c r="A1379" s="3" t="s">
        <v>1303</v>
      </c>
      <c r="B1379" s="4"/>
      <c r="C1379" s="3"/>
      <c r="D1379" s="5" t="s">
        <v>1304</v>
      </c>
      <c r="E1379" s="5" t="s">
        <v>124</v>
      </c>
      <c r="F1379" s="3" t="s">
        <v>4510</v>
      </c>
      <c r="G1379" s="6">
        <v>68.768000000000001</v>
      </c>
      <c r="H1379" s="7">
        <v>41763</v>
      </c>
      <c r="I1379" s="6" t="s">
        <v>209</v>
      </c>
      <c r="J1379" s="6" t="s">
        <v>4511</v>
      </c>
      <c r="K1379" s="6" t="s">
        <v>128</v>
      </c>
      <c r="L1379" s="6" t="s">
        <v>1299</v>
      </c>
      <c r="M1379" s="15" t="s">
        <v>4512</v>
      </c>
      <c r="N1379" s="15" t="s">
        <v>4513</v>
      </c>
      <c r="O1379" s="28" t="s">
        <v>4514</v>
      </c>
    </row>
    <row r="1380" spans="1:15" s="1" customFormat="1" ht="14.25" customHeight="1">
      <c r="A1380" s="3" t="s">
        <v>1303</v>
      </c>
      <c r="B1380" s="4"/>
      <c r="C1380" s="3"/>
      <c r="D1380" s="5" t="s">
        <v>1304</v>
      </c>
      <c r="E1380" s="5" t="s">
        <v>124</v>
      </c>
      <c r="F1380" s="3" t="s">
        <v>4515</v>
      </c>
      <c r="G1380" s="6">
        <v>189.381</v>
      </c>
      <c r="H1380" s="7">
        <v>41763</v>
      </c>
      <c r="I1380" s="6" t="s">
        <v>209</v>
      </c>
      <c r="J1380" s="6" t="s">
        <v>4516</v>
      </c>
      <c r="K1380" s="6" t="s">
        <v>128</v>
      </c>
      <c r="L1380" s="6" t="s">
        <v>1722</v>
      </c>
      <c r="M1380" s="15" t="s">
        <v>4517</v>
      </c>
      <c r="N1380" s="15" t="s">
        <v>4518</v>
      </c>
      <c r="O1380" s="28" t="s">
        <v>4519</v>
      </c>
    </row>
    <row r="1381" spans="1:15" ht="14.25" customHeight="1">
      <c r="A1381" s="3" t="s">
        <v>1087</v>
      </c>
      <c r="B1381" s="4" t="s">
        <v>4520</v>
      </c>
      <c r="C1381" s="3"/>
      <c r="D1381" s="5" t="s">
        <v>4521</v>
      </c>
      <c r="E1381" s="5" t="s">
        <v>124</v>
      </c>
      <c r="F1381" s="3" t="s">
        <v>4522</v>
      </c>
      <c r="G1381" s="6">
        <f>9.804*L1381</f>
        <v>117.648</v>
      </c>
      <c r="H1381" s="7">
        <v>41763</v>
      </c>
      <c r="I1381" s="6" t="s">
        <v>1090</v>
      </c>
      <c r="J1381" s="6" t="s">
        <v>4523</v>
      </c>
      <c r="K1381" s="6" t="s">
        <v>21</v>
      </c>
      <c r="L1381" s="6">
        <v>12</v>
      </c>
      <c r="M1381" s="15" t="s">
        <v>4524</v>
      </c>
      <c r="N1381" s="15" t="s">
        <v>164</v>
      </c>
      <c r="O1381" s="27" t="s">
        <v>4524</v>
      </c>
    </row>
    <row r="1382" spans="1:15" s="1" customFormat="1" ht="14.25" customHeight="1">
      <c r="A1382" s="3" t="s">
        <v>1087</v>
      </c>
      <c r="B1382" s="4" t="s">
        <v>4520</v>
      </c>
      <c r="C1382" s="3"/>
      <c r="D1382" s="5" t="s">
        <v>4521</v>
      </c>
      <c r="E1382" s="5" t="s">
        <v>124</v>
      </c>
      <c r="F1382" s="3" t="s">
        <v>4525</v>
      </c>
      <c r="G1382" s="6">
        <f>9.804*L1382</f>
        <v>127.452</v>
      </c>
      <c r="H1382" s="7">
        <v>41763</v>
      </c>
      <c r="I1382" s="6" t="s">
        <v>1090</v>
      </c>
      <c r="J1382" s="6" t="s">
        <v>4526</v>
      </c>
      <c r="K1382" s="6" t="s">
        <v>21</v>
      </c>
      <c r="L1382" s="6">
        <v>13</v>
      </c>
      <c r="M1382" s="15" t="s">
        <v>4524</v>
      </c>
      <c r="N1382" s="15" t="s">
        <v>167</v>
      </c>
      <c r="O1382" s="15" t="s">
        <v>4527</v>
      </c>
    </row>
    <row r="1383" spans="1:15" s="1" customFormat="1" ht="14.25" customHeight="1">
      <c r="A1383" s="3" t="s">
        <v>1082</v>
      </c>
      <c r="B1383" s="4" t="s">
        <v>4520</v>
      </c>
      <c r="C1383" s="3"/>
      <c r="D1383" s="5" t="s">
        <v>1083</v>
      </c>
      <c r="E1383" s="5" t="s">
        <v>124</v>
      </c>
      <c r="F1383" s="3" t="s">
        <v>4528</v>
      </c>
      <c r="G1383" s="6">
        <f>9.871*L1383</f>
        <v>118.452</v>
      </c>
      <c r="H1383" s="7">
        <v>41763</v>
      </c>
      <c r="I1383" s="6" t="s">
        <v>161</v>
      </c>
      <c r="J1383" s="6" t="s">
        <v>4529</v>
      </c>
      <c r="K1383" s="6" t="s">
        <v>21</v>
      </c>
      <c r="L1383" s="6">
        <v>12</v>
      </c>
      <c r="M1383" s="15" t="s">
        <v>4530</v>
      </c>
      <c r="N1383" s="15" t="s">
        <v>164</v>
      </c>
      <c r="O1383" s="27" t="s">
        <v>4531</v>
      </c>
    </row>
    <row r="1384" spans="1:15" s="1" customFormat="1" ht="14.25" customHeight="1">
      <c r="A1384" s="3" t="s">
        <v>1082</v>
      </c>
      <c r="B1384" s="4" t="s">
        <v>4520</v>
      </c>
      <c r="C1384" s="3"/>
      <c r="D1384" s="5" t="s">
        <v>1083</v>
      </c>
      <c r="E1384" s="5" t="s">
        <v>124</v>
      </c>
      <c r="F1384" s="3" t="s">
        <v>4532</v>
      </c>
      <c r="G1384" s="6">
        <f>9.871*L1384</f>
        <v>128.32300000000001</v>
      </c>
      <c r="H1384" s="7">
        <v>41763</v>
      </c>
      <c r="I1384" s="6" t="s">
        <v>161</v>
      </c>
      <c r="J1384" s="6" t="s">
        <v>4533</v>
      </c>
      <c r="K1384" s="6" t="s">
        <v>21</v>
      </c>
      <c r="L1384" s="6">
        <v>13</v>
      </c>
      <c r="M1384" s="15" t="s">
        <v>4530</v>
      </c>
      <c r="N1384" s="15" t="s">
        <v>167</v>
      </c>
      <c r="O1384" s="27" t="s">
        <v>4530</v>
      </c>
    </row>
    <row r="1385" spans="1:15" s="1" customFormat="1" ht="14.25" customHeight="1">
      <c r="A1385" s="3" t="s">
        <v>1082</v>
      </c>
      <c r="B1385" s="4" t="s">
        <v>4520</v>
      </c>
      <c r="C1385" s="3"/>
      <c r="D1385" s="5" t="s">
        <v>1083</v>
      </c>
      <c r="E1385" s="5" t="s">
        <v>124</v>
      </c>
      <c r="F1385" s="3" t="s">
        <v>4534</v>
      </c>
      <c r="G1385" s="6">
        <f>9.871*L1385</f>
        <v>118.452</v>
      </c>
      <c r="H1385" s="7">
        <v>41763</v>
      </c>
      <c r="I1385" s="6" t="s">
        <v>161</v>
      </c>
      <c r="J1385" s="6" t="s">
        <v>4535</v>
      </c>
      <c r="K1385" s="6" t="s">
        <v>21</v>
      </c>
      <c r="L1385" s="6">
        <v>12</v>
      </c>
      <c r="M1385" s="15" t="s">
        <v>4536</v>
      </c>
      <c r="N1385" s="15" t="s">
        <v>164</v>
      </c>
      <c r="O1385" s="28" t="s">
        <v>4536</v>
      </c>
    </row>
    <row r="1386" spans="1:15" s="1" customFormat="1" ht="14.25" customHeight="1">
      <c r="A1386" s="3" t="s">
        <v>1082</v>
      </c>
      <c r="B1386" s="4" t="s">
        <v>4520</v>
      </c>
      <c r="C1386" s="3"/>
      <c r="D1386" s="5" t="s">
        <v>1083</v>
      </c>
      <c r="E1386" s="5" t="s">
        <v>124</v>
      </c>
      <c r="F1386" s="3" t="s">
        <v>4537</v>
      </c>
      <c r="G1386" s="6">
        <f>9.871*L1386</f>
        <v>128.32300000000001</v>
      </c>
      <c r="H1386" s="7">
        <v>41763</v>
      </c>
      <c r="I1386" s="6" t="s">
        <v>161</v>
      </c>
      <c r="J1386" s="6" t="s">
        <v>4538</v>
      </c>
      <c r="K1386" s="6" t="s">
        <v>21</v>
      </c>
      <c r="L1386" s="6">
        <v>13</v>
      </c>
      <c r="M1386" s="15" t="s">
        <v>4536</v>
      </c>
      <c r="N1386" s="15" t="s">
        <v>167</v>
      </c>
      <c r="O1386" s="28" t="s">
        <v>4539</v>
      </c>
    </row>
    <row r="1387" spans="1:15" ht="14.25" customHeight="1">
      <c r="A1387" s="5" t="s">
        <v>918</v>
      </c>
      <c r="B1387" s="4"/>
      <c r="C1387" s="3"/>
      <c r="D1387" s="5" t="s">
        <v>919</v>
      </c>
      <c r="E1387" s="5" t="s">
        <v>7026</v>
      </c>
      <c r="F1387" s="3" t="s">
        <v>8007</v>
      </c>
      <c r="G1387" s="6">
        <f>17.712*L1387</f>
        <v>212.54399999999998</v>
      </c>
      <c r="H1387" s="7">
        <v>41763</v>
      </c>
      <c r="I1387" s="6" t="s">
        <v>265</v>
      </c>
      <c r="J1387" s="6" t="s">
        <v>8008</v>
      </c>
      <c r="K1387" s="6" t="s">
        <v>21</v>
      </c>
      <c r="L1387" s="6">
        <v>12</v>
      </c>
      <c r="M1387" s="15" t="s">
        <v>8009</v>
      </c>
      <c r="N1387" s="15" t="s">
        <v>164</v>
      </c>
      <c r="O1387" s="27"/>
    </row>
    <row r="1388" spans="1:15" s="1" customFormat="1" ht="14.25" customHeight="1">
      <c r="A1388" s="5" t="s">
        <v>918</v>
      </c>
      <c r="B1388" s="4"/>
      <c r="C1388" s="3"/>
      <c r="D1388" s="5" t="s">
        <v>919</v>
      </c>
      <c r="E1388" s="5" t="s">
        <v>7026</v>
      </c>
      <c r="F1388" s="3" t="s">
        <v>8010</v>
      </c>
      <c r="G1388" s="6">
        <f>17.712*L1388</f>
        <v>230.256</v>
      </c>
      <c r="H1388" s="7">
        <v>41763</v>
      </c>
      <c r="I1388" s="6" t="s">
        <v>265</v>
      </c>
      <c r="J1388" s="6" t="s">
        <v>8011</v>
      </c>
      <c r="K1388" s="6" t="s">
        <v>21</v>
      </c>
      <c r="L1388" s="6">
        <v>13</v>
      </c>
      <c r="M1388" s="15" t="s">
        <v>8009</v>
      </c>
      <c r="N1388" s="15" t="s">
        <v>167</v>
      </c>
      <c r="O1388" s="27"/>
    </row>
    <row r="1389" spans="1:15" s="1" customFormat="1" ht="14.25" customHeight="1">
      <c r="A1389" s="5" t="s">
        <v>1043</v>
      </c>
      <c r="B1389" s="4"/>
      <c r="C1389" s="3"/>
      <c r="D1389" s="5" t="s">
        <v>443</v>
      </c>
      <c r="E1389" s="5" t="s">
        <v>7026</v>
      </c>
      <c r="F1389" s="3" t="s">
        <v>8012</v>
      </c>
      <c r="G1389" s="6">
        <f>18.708*L1389</f>
        <v>224.49599999999998</v>
      </c>
      <c r="H1389" s="7">
        <v>41763</v>
      </c>
      <c r="I1389" s="6" t="s">
        <v>178</v>
      </c>
      <c r="J1389" s="6" t="s">
        <v>8013</v>
      </c>
      <c r="K1389" s="6" t="s">
        <v>21</v>
      </c>
      <c r="L1389" s="6">
        <v>12</v>
      </c>
      <c r="M1389" s="15" t="s">
        <v>8014</v>
      </c>
      <c r="N1389" s="15" t="s">
        <v>164</v>
      </c>
      <c r="O1389" s="27"/>
    </row>
    <row r="1390" spans="1:15" ht="14.25" customHeight="1">
      <c r="A1390" s="5" t="s">
        <v>1043</v>
      </c>
      <c r="B1390" s="4"/>
      <c r="C1390" s="3"/>
      <c r="D1390" s="5" t="s">
        <v>443</v>
      </c>
      <c r="E1390" s="5" t="s">
        <v>7026</v>
      </c>
      <c r="F1390" s="3" t="s">
        <v>8015</v>
      </c>
      <c r="G1390" s="6">
        <f>18.708*L1390</f>
        <v>243.20399999999998</v>
      </c>
      <c r="H1390" s="7">
        <v>41763</v>
      </c>
      <c r="I1390" s="6" t="s">
        <v>178</v>
      </c>
      <c r="J1390" s="6" t="s">
        <v>8016</v>
      </c>
      <c r="K1390" s="6" t="s">
        <v>21</v>
      </c>
      <c r="L1390" s="6">
        <v>13</v>
      </c>
      <c r="M1390" s="15" t="s">
        <v>8014</v>
      </c>
      <c r="N1390" s="15" t="s">
        <v>167</v>
      </c>
      <c r="O1390" s="27" t="s">
        <v>8017</v>
      </c>
    </row>
    <row r="1391" spans="1:15" s="1" customFormat="1" ht="14.25" customHeight="1">
      <c r="A1391" s="5" t="s">
        <v>1043</v>
      </c>
      <c r="B1391" s="4"/>
      <c r="C1391" s="3"/>
      <c r="D1391" s="5" t="s">
        <v>443</v>
      </c>
      <c r="E1391" s="5" t="s">
        <v>7026</v>
      </c>
      <c r="F1391" s="3" t="s">
        <v>8018</v>
      </c>
      <c r="G1391" s="6">
        <f>18.708*L1391</f>
        <v>224.49599999999998</v>
      </c>
      <c r="H1391" s="7">
        <v>41763</v>
      </c>
      <c r="I1391" s="6" t="s">
        <v>178</v>
      </c>
      <c r="J1391" s="6" t="s">
        <v>8019</v>
      </c>
      <c r="K1391" s="6" t="s">
        <v>21</v>
      </c>
      <c r="L1391" s="6">
        <v>12</v>
      </c>
      <c r="M1391" s="15" t="s">
        <v>8020</v>
      </c>
      <c r="N1391" s="15" t="s">
        <v>164</v>
      </c>
      <c r="O1391" s="27" t="s">
        <v>8021</v>
      </c>
    </row>
    <row r="1392" spans="1:15" s="1" customFormat="1" ht="14.25" customHeight="1">
      <c r="A1392" s="5" t="s">
        <v>1043</v>
      </c>
      <c r="B1392" s="4"/>
      <c r="C1392" s="3"/>
      <c r="D1392" s="5" t="s">
        <v>443</v>
      </c>
      <c r="E1392" s="5" t="s">
        <v>7026</v>
      </c>
      <c r="F1392" s="3" t="s">
        <v>8022</v>
      </c>
      <c r="G1392" s="6">
        <f>18.708*L1392</f>
        <v>243.20399999999998</v>
      </c>
      <c r="H1392" s="7">
        <v>41763</v>
      </c>
      <c r="I1392" s="6" t="s">
        <v>178</v>
      </c>
      <c r="J1392" s="6" t="s">
        <v>8023</v>
      </c>
      <c r="K1392" s="6" t="s">
        <v>21</v>
      </c>
      <c r="L1392" s="6">
        <v>13</v>
      </c>
      <c r="M1392" s="15" t="s">
        <v>8020</v>
      </c>
      <c r="N1392" s="15" t="s">
        <v>167</v>
      </c>
      <c r="O1392" s="27" t="s">
        <v>8024</v>
      </c>
    </row>
    <row r="1393" spans="1:15" ht="14.25" customHeight="1">
      <c r="A1393" s="5" t="s">
        <v>1108</v>
      </c>
      <c r="B1393" s="4"/>
      <c r="C1393" s="3"/>
      <c r="D1393" s="5" t="s">
        <v>391</v>
      </c>
      <c r="E1393" s="5" t="s">
        <v>7026</v>
      </c>
      <c r="F1393" s="3" t="s">
        <v>8025</v>
      </c>
      <c r="G1393" s="6">
        <f>17.712*L1393</f>
        <v>212.54399999999998</v>
      </c>
      <c r="H1393" s="7">
        <v>41763</v>
      </c>
      <c r="I1393" s="6" t="s">
        <v>265</v>
      </c>
      <c r="J1393" s="6" t="s">
        <v>8026</v>
      </c>
      <c r="K1393" s="6" t="s">
        <v>21</v>
      </c>
      <c r="L1393" s="6">
        <v>12</v>
      </c>
      <c r="M1393" s="15" t="s">
        <v>8027</v>
      </c>
      <c r="N1393" s="15" t="s">
        <v>164</v>
      </c>
      <c r="O1393" s="27"/>
    </row>
    <row r="1394" spans="1:15" ht="14.25" customHeight="1">
      <c r="A1394" s="5" t="s">
        <v>1108</v>
      </c>
      <c r="B1394" s="4"/>
      <c r="C1394" s="3"/>
      <c r="D1394" s="5" t="s">
        <v>391</v>
      </c>
      <c r="E1394" s="5" t="s">
        <v>7026</v>
      </c>
      <c r="F1394" s="3" t="s">
        <v>8028</v>
      </c>
      <c r="G1394" s="6">
        <f>17.712*L1394</f>
        <v>230.256</v>
      </c>
      <c r="H1394" s="7">
        <v>41763</v>
      </c>
      <c r="I1394" s="6" t="s">
        <v>265</v>
      </c>
      <c r="J1394" s="6" t="s">
        <v>8029</v>
      </c>
      <c r="K1394" s="6" t="s">
        <v>21</v>
      </c>
      <c r="L1394" s="6">
        <v>13</v>
      </c>
      <c r="M1394" s="15" t="s">
        <v>8027</v>
      </c>
      <c r="N1394" s="15" t="s">
        <v>167</v>
      </c>
      <c r="O1394" s="27"/>
    </row>
    <row r="1395" spans="1:15" s="1" customFormat="1" ht="14.25" customHeight="1">
      <c r="A1395" s="3" t="s">
        <v>376</v>
      </c>
      <c r="B1395" s="3"/>
      <c r="C1395" s="3"/>
      <c r="D1395" s="5" t="s">
        <v>377</v>
      </c>
      <c r="E1395" s="5" t="s">
        <v>124</v>
      </c>
      <c r="F1395" s="3" t="s">
        <v>9194</v>
      </c>
      <c r="G1395" s="6">
        <f>18.708*L1395</f>
        <v>56.123999999999995</v>
      </c>
      <c r="H1395" s="7">
        <v>41764</v>
      </c>
      <c r="I1395" s="6" t="s">
        <v>379</v>
      </c>
      <c r="J1395" s="6" t="s">
        <v>9195</v>
      </c>
      <c r="K1395" s="6" t="s">
        <v>21</v>
      </c>
      <c r="L1395" s="6">
        <v>3</v>
      </c>
      <c r="M1395" s="15" t="s">
        <v>4278</v>
      </c>
      <c r="N1395" s="15" t="s">
        <v>9196</v>
      </c>
      <c r="O1395" s="15" t="s">
        <v>9197</v>
      </c>
    </row>
    <row r="1396" spans="1:15" s="1" customFormat="1" ht="14.25" customHeight="1">
      <c r="A1396" s="3" t="s">
        <v>701</v>
      </c>
      <c r="B1396" s="4"/>
      <c r="C1396" s="3"/>
      <c r="D1396" s="5" t="s">
        <v>702</v>
      </c>
      <c r="E1396" s="5" t="s">
        <v>124</v>
      </c>
      <c r="F1396" s="3" t="s">
        <v>4540</v>
      </c>
      <c r="G1396" s="6">
        <f>18.708*L1396</f>
        <v>224.49599999999998</v>
      </c>
      <c r="H1396" s="7">
        <v>41764</v>
      </c>
      <c r="I1396" s="6" t="s">
        <v>379</v>
      </c>
      <c r="J1396" s="6" t="s">
        <v>4541</v>
      </c>
      <c r="K1396" s="6" t="s">
        <v>21</v>
      </c>
      <c r="L1396" s="6">
        <v>12</v>
      </c>
      <c r="M1396" s="15" t="s">
        <v>4542</v>
      </c>
      <c r="N1396" s="15" t="s">
        <v>164</v>
      </c>
      <c r="O1396" s="28" t="s">
        <v>4542</v>
      </c>
    </row>
    <row r="1397" spans="1:15" s="1" customFormat="1" ht="14.25" customHeight="1">
      <c r="A1397" s="3" t="s">
        <v>701</v>
      </c>
      <c r="B1397" s="4"/>
      <c r="C1397" s="3"/>
      <c r="D1397" s="5" t="s">
        <v>702</v>
      </c>
      <c r="E1397" s="5" t="s">
        <v>124</v>
      </c>
      <c r="F1397" s="3" t="s">
        <v>4543</v>
      </c>
      <c r="G1397" s="6">
        <f>18.708*L1397</f>
        <v>243.20399999999998</v>
      </c>
      <c r="H1397" s="7">
        <v>41764</v>
      </c>
      <c r="I1397" s="6" t="s">
        <v>379</v>
      </c>
      <c r="J1397" s="6" t="s">
        <v>4544</v>
      </c>
      <c r="K1397" s="6" t="s">
        <v>21</v>
      </c>
      <c r="L1397" s="6">
        <v>13</v>
      </c>
      <c r="M1397" s="15" t="s">
        <v>4542</v>
      </c>
      <c r="N1397" s="15" t="s">
        <v>167</v>
      </c>
      <c r="O1397" s="28" t="s">
        <v>4545</v>
      </c>
    </row>
    <row r="1398" spans="1:15" s="1" customFormat="1" ht="14.25" customHeight="1">
      <c r="A1398" s="3" t="s">
        <v>514</v>
      </c>
      <c r="B1398" s="4"/>
      <c r="C1398" s="3"/>
      <c r="D1398" s="5" t="s">
        <v>2030</v>
      </c>
      <c r="E1398" s="5" t="s">
        <v>124</v>
      </c>
      <c r="F1398" s="3" t="s">
        <v>4546</v>
      </c>
      <c r="G1398" s="6">
        <f>14.405*L1398</f>
        <v>172.85999999999999</v>
      </c>
      <c r="H1398" s="7">
        <v>41764</v>
      </c>
      <c r="I1398" s="6" t="s">
        <v>265</v>
      </c>
      <c r="J1398" s="6" t="s">
        <v>4547</v>
      </c>
      <c r="K1398" s="6" t="s">
        <v>21</v>
      </c>
      <c r="L1398" s="6">
        <v>12</v>
      </c>
      <c r="M1398" s="15" t="s">
        <v>4548</v>
      </c>
      <c r="N1398" s="15" t="s">
        <v>78</v>
      </c>
      <c r="O1398" s="28" t="s">
        <v>4548</v>
      </c>
    </row>
    <row r="1399" spans="1:15" s="1" customFormat="1" ht="14.25" customHeight="1">
      <c r="A1399" s="3" t="s">
        <v>514</v>
      </c>
      <c r="B1399" s="4"/>
      <c r="C1399" s="3"/>
      <c r="D1399" s="5" t="s">
        <v>2030</v>
      </c>
      <c r="E1399" s="5" t="s">
        <v>124</v>
      </c>
      <c r="F1399" s="3" t="s">
        <v>4549</v>
      </c>
      <c r="G1399" s="6">
        <f>14.405*L1399</f>
        <v>187.26499999999999</v>
      </c>
      <c r="H1399" s="7">
        <v>41764</v>
      </c>
      <c r="I1399" s="6" t="s">
        <v>265</v>
      </c>
      <c r="J1399" s="6" t="s">
        <v>4550</v>
      </c>
      <c r="K1399" s="6" t="s">
        <v>21</v>
      </c>
      <c r="L1399" s="6">
        <v>13</v>
      </c>
      <c r="M1399" s="15" t="s">
        <v>4548</v>
      </c>
      <c r="N1399" s="15" t="s">
        <v>167</v>
      </c>
      <c r="O1399" s="28" t="s">
        <v>4551</v>
      </c>
    </row>
    <row r="1400" spans="1:15" s="1" customFormat="1" ht="14.25" customHeight="1">
      <c r="A1400" s="3" t="s">
        <v>514</v>
      </c>
      <c r="B1400" s="4"/>
      <c r="C1400" s="3"/>
      <c r="D1400" s="5" t="s">
        <v>2030</v>
      </c>
      <c r="E1400" s="5" t="s">
        <v>124</v>
      </c>
      <c r="F1400" s="3" t="s">
        <v>4552</v>
      </c>
      <c r="G1400" s="6">
        <f>14.405*L1400</f>
        <v>172.85999999999999</v>
      </c>
      <c r="H1400" s="7">
        <v>41764</v>
      </c>
      <c r="I1400" s="6" t="s">
        <v>265</v>
      </c>
      <c r="J1400" s="6" t="s">
        <v>4553</v>
      </c>
      <c r="K1400" s="6" t="s">
        <v>21</v>
      </c>
      <c r="L1400" s="6">
        <v>12</v>
      </c>
      <c r="M1400" s="15" t="s">
        <v>4554</v>
      </c>
      <c r="N1400" s="15" t="s">
        <v>78</v>
      </c>
      <c r="O1400" s="28" t="s">
        <v>4554</v>
      </c>
    </row>
    <row r="1401" spans="1:15" ht="14.25" customHeight="1">
      <c r="A1401" s="3" t="s">
        <v>514</v>
      </c>
      <c r="B1401" s="4"/>
      <c r="C1401" s="3"/>
      <c r="D1401" s="5" t="s">
        <v>2030</v>
      </c>
      <c r="E1401" s="5" t="s">
        <v>124</v>
      </c>
      <c r="F1401" s="3" t="s">
        <v>4555</v>
      </c>
      <c r="G1401" s="6">
        <f>14.405*L1401</f>
        <v>187.26499999999999</v>
      </c>
      <c r="H1401" s="7">
        <v>41764</v>
      </c>
      <c r="I1401" s="6" t="s">
        <v>265</v>
      </c>
      <c r="J1401" s="6" t="s">
        <v>4556</v>
      </c>
      <c r="K1401" s="6" t="s">
        <v>21</v>
      </c>
      <c r="L1401" s="6">
        <v>13</v>
      </c>
      <c r="M1401" s="15" t="s">
        <v>4554</v>
      </c>
      <c r="N1401" s="15" t="s">
        <v>167</v>
      </c>
      <c r="O1401" s="28" t="s">
        <v>4557</v>
      </c>
    </row>
    <row r="1402" spans="1:15" s="1" customFormat="1" ht="14.25" customHeight="1">
      <c r="A1402" s="3" t="s">
        <v>4375</v>
      </c>
      <c r="B1402" s="4"/>
      <c r="C1402" s="3"/>
      <c r="D1402" s="5" t="s">
        <v>1963</v>
      </c>
      <c r="E1402" s="5" t="s">
        <v>124</v>
      </c>
      <c r="F1402" s="3" t="s">
        <v>4558</v>
      </c>
      <c r="G1402" s="6">
        <f>17.712*L1402</f>
        <v>212.54399999999998</v>
      </c>
      <c r="H1402" s="7">
        <v>41764</v>
      </c>
      <c r="I1402" s="6" t="s">
        <v>419</v>
      </c>
      <c r="J1402" s="6" t="s">
        <v>4559</v>
      </c>
      <c r="K1402" s="6" t="s">
        <v>21</v>
      </c>
      <c r="L1402" s="6">
        <v>12</v>
      </c>
      <c r="M1402" s="15" t="s">
        <v>4560</v>
      </c>
      <c r="N1402" s="15" t="s">
        <v>164</v>
      </c>
      <c r="O1402" s="28" t="s">
        <v>4560</v>
      </c>
    </row>
    <row r="1403" spans="1:15" ht="14.25" customHeight="1">
      <c r="A1403" s="3" t="s">
        <v>4375</v>
      </c>
      <c r="B1403" s="4"/>
      <c r="C1403" s="3"/>
      <c r="D1403" s="5" t="s">
        <v>1963</v>
      </c>
      <c r="E1403" s="5" t="s">
        <v>124</v>
      </c>
      <c r="F1403" s="3" t="s">
        <v>4561</v>
      </c>
      <c r="G1403" s="6">
        <f>17.712*L1403</f>
        <v>230.256</v>
      </c>
      <c r="H1403" s="7">
        <v>41764</v>
      </c>
      <c r="I1403" s="6" t="s">
        <v>419</v>
      </c>
      <c r="J1403" s="6" t="s">
        <v>4562</v>
      </c>
      <c r="K1403" s="6" t="s">
        <v>21</v>
      </c>
      <c r="L1403" s="6">
        <v>13</v>
      </c>
      <c r="M1403" s="15" t="s">
        <v>4560</v>
      </c>
      <c r="N1403" s="15" t="s">
        <v>167</v>
      </c>
      <c r="O1403" s="28" t="s">
        <v>4563</v>
      </c>
    </row>
    <row r="1404" spans="1:15" s="1" customFormat="1" ht="14.25" customHeight="1">
      <c r="A1404" s="3" t="s">
        <v>4375</v>
      </c>
      <c r="B1404" s="4"/>
      <c r="C1404" s="3"/>
      <c r="D1404" s="5" t="s">
        <v>1963</v>
      </c>
      <c r="E1404" s="5" t="s">
        <v>124</v>
      </c>
      <c r="F1404" s="3" t="s">
        <v>4564</v>
      </c>
      <c r="G1404" s="6">
        <f>17.712*L1404</f>
        <v>212.54399999999998</v>
      </c>
      <c r="H1404" s="7">
        <v>41764</v>
      </c>
      <c r="I1404" s="6" t="s">
        <v>419</v>
      </c>
      <c r="J1404" s="6" t="s">
        <v>4565</v>
      </c>
      <c r="K1404" s="6" t="s">
        <v>21</v>
      </c>
      <c r="L1404" s="6">
        <v>12</v>
      </c>
      <c r="M1404" s="15" t="s">
        <v>4566</v>
      </c>
      <c r="N1404" s="15" t="s">
        <v>164</v>
      </c>
      <c r="O1404" s="28" t="s">
        <v>4566</v>
      </c>
    </row>
    <row r="1405" spans="1:15" s="1" customFormat="1" ht="14.25" customHeight="1">
      <c r="A1405" s="3" t="s">
        <v>4375</v>
      </c>
      <c r="B1405" s="4"/>
      <c r="C1405" s="3"/>
      <c r="D1405" s="5" t="s">
        <v>1963</v>
      </c>
      <c r="E1405" s="5" t="s">
        <v>124</v>
      </c>
      <c r="F1405" s="3" t="s">
        <v>4567</v>
      </c>
      <c r="G1405" s="6">
        <f>17.712*L1405</f>
        <v>230.256</v>
      </c>
      <c r="H1405" s="7">
        <v>41764</v>
      </c>
      <c r="I1405" s="6" t="s">
        <v>419</v>
      </c>
      <c r="J1405" s="6" t="s">
        <v>4568</v>
      </c>
      <c r="K1405" s="6" t="s">
        <v>21</v>
      </c>
      <c r="L1405" s="6">
        <v>13</v>
      </c>
      <c r="M1405" s="15" t="s">
        <v>4566</v>
      </c>
      <c r="N1405" s="15" t="s">
        <v>167</v>
      </c>
      <c r="O1405" s="28" t="s">
        <v>4569</v>
      </c>
    </row>
    <row r="1406" spans="1:15" s="1" customFormat="1" ht="14.25" customHeight="1">
      <c r="A1406" s="3" t="s">
        <v>793</v>
      </c>
      <c r="B1406" s="4"/>
      <c r="C1406" s="3"/>
      <c r="D1406" s="5" t="s">
        <v>794</v>
      </c>
      <c r="E1406" s="5" t="s">
        <v>124</v>
      </c>
      <c r="F1406" s="3" t="s">
        <v>4570</v>
      </c>
      <c r="G1406" s="6">
        <f>8.137*L1406</f>
        <v>40.685000000000002</v>
      </c>
      <c r="H1406" s="7">
        <v>41764</v>
      </c>
      <c r="I1406" s="6" t="s">
        <v>186</v>
      </c>
      <c r="J1406" s="6" t="s">
        <v>4571</v>
      </c>
      <c r="K1406" s="6" t="s">
        <v>21</v>
      </c>
      <c r="L1406" s="6">
        <v>5</v>
      </c>
      <c r="M1406" s="15" t="s">
        <v>4572</v>
      </c>
      <c r="N1406" s="15" t="s">
        <v>3085</v>
      </c>
      <c r="O1406" s="28" t="s">
        <v>4572</v>
      </c>
    </row>
    <row r="1407" spans="1:15" s="1" customFormat="1" ht="14.25" customHeight="1">
      <c r="A1407" s="3" t="s">
        <v>1810</v>
      </c>
      <c r="B1407" s="4"/>
      <c r="C1407" s="3"/>
      <c r="D1407" s="5" t="s">
        <v>717</v>
      </c>
      <c r="E1407" s="5" t="s">
        <v>124</v>
      </c>
      <c r="F1407" s="3" t="s">
        <v>4573</v>
      </c>
      <c r="G1407" s="6">
        <v>155.589</v>
      </c>
      <c r="H1407" s="7">
        <v>41764</v>
      </c>
      <c r="I1407" s="6" t="s">
        <v>209</v>
      </c>
      <c r="J1407" s="6" t="s">
        <v>4574</v>
      </c>
      <c r="K1407" s="6" t="s">
        <v>128</v>
      </c>
      <c r="L1407" s="6" t="s">
        <v>2782</v>
      </c>
      <c r="M1407" s="15" t="s">
        <v>4575</v>
      </c>
      <c r="N1407" s="15" t="s">
        <v>4576</v>
      </c>
      <c r="O1407" s="28" t="s">
        <v>4577</v>
      </c>
    </row>
    <row r="1408" spans="1:15" ht="14.25" customHeight="1">
      <c r="A1408" s="3" t="s">
        <v>1810</v>
      </c>
      <c r="B1408" s="4"/>
      <c r="C1408" s="3"/>
      <c r="D1408" s="5" t="s">
        <v>717</v>
      </c>
      <c r="E1408" s="5" t="s">
        <v>124</v>
      </c>
      <c r="F1408" s="3" t="s">
        <v>4578</v>
      </c>
      <c r="G1408" s="6">
        <v>278.87200000000001</v>
      </c>
      <c r="H1408" s="7">
        <v>41764</v>
      </c>
      <c r="I1408" s="6" t="s">
        <v>209</v>
      </c>
      <c r="J1408" s="6" t="s">
        <v>4579</v>
      </c>
      <c r="K1408" s="6" t="s">
        <v>128</v>
      </c>
      <c r="L1408" s="6" t="s">
        <v>4580</v>
      </c>
      <c r="M1408" s="15" t="s">
        <v>4581</v>
      </c>
      <c r="N1408" s="15" t="s">
        <v>4582</v>
      </c>
      <c r="O1408" s="28" t="s">
        <v>4583</v>
      </c>
    </row>
    <row r="1409" spans="1:15" s="1" customFormat="1" ht="14.25" customHeight="1">
      <c r="A1409" s="3" t="s">
        <v>1810</v>
      </c>
      <c r="B1409" s="4"/>
      <c r="C1409" s="3"/>
      <c r="D1409" s="5" t="s">
        <v>717</v>
      </c>
      <c r="E1409" s="5" t="s">
        <v>124</v>
      </c>
      <c r="F1409" s="3" t="s">
        <v>4584</v>
      </c>
      <c r="G1409" s="6">
        <v>279.07799999999997</v>
      </c>
      <c r="H1409" s="7">
        <v>41764</v>
      </c>
      <c r="I1409" s="6" t="s">
        <v>209</v>
      </c>
      <c r="J1409" s="6" t="s">
        <v>4585</v>
      </c>
      <c r="K1409" s="6" t="s">
        <v>128</v>
      </c>
      <c r="L1409" s="6" t="s">
        <v>4580</v>
      </c>
      <c r="M1409" s="15" t="s">
        <v>4586</v>
      </c>
      <c r="N1409" s="15" t="s">
        <v>4587</v>
      </c>
      <c r="O1409" s="28" t="s">
        <v>4588</v>
      </c>
    </row>
    <row r="1410" spans="1:15" s="1" customFormat="1" ht="14.25" customHeight="1">
      <c r="A1410" s="3" t="s">
        <v>1018</v>
      </c>
      <c r="B1410" s="4"/>
      <c r="C1410" s="3"/>
      <c r="D1410" s="5" t="s">
        <v>1019</v>
      </c>
      <c r="E1410" s="5" t="s">
        <v>124</v>
      </c>
      <c r="F1410" s="3" t="s">
        <v>4589</v>
      </c>
      <c r="G1410" s="6">
        <v>207.70400000000001</v>
      </c>
      <c r="H1410" s="7">
        <v>41764</v>
      </c>
      <c r="I1410" s="6" t="s">
        <v>209</v>
      </c>
      <c r="J1410" s="6" t="s">
        <v>4590</v>
      </c>
      <c r="K1410" s="6" t="s">
        <v>128</v>
      </c>
      <c r="L1410" s="6" t="s">
        <v>948</v>
      </c>
      <c r="M1410" s="15" t="s">
        <v>4591</v>
      </c>
      <c r="N1410" s="15" t="s">
        <v>4592</v>
      </c>
      <c r="O1410" s="28" t="s">
        <v>4593</v>
      </c>
    </row>
    <row r="1411" spans="1:15" s="1" customFormat="1" ht="14.25" customHeight="1">
      <c r="A1411" s="3" t="s">
        <v>1018</v>
      </c>
      <c r="B1411" s="4"/>
      <c r="C1411" s="3"/>
      <c r="D1411" s="5" t="s">
        <v>1019</v>
      </c>
      <c r="E1411" s="5" t="s">
        <v>124</v>
      </c>
      <c r="F1411" s="3" t="s">
        <v>4594</v>
      </c>
      <c r="G1411" s="6">
        <v>224.59200000000001</v>
      </c>
      <c r="H1411" s="7">
        <v>41764</v>
      </c>
      <c r="I1411" s="6" t="s">
        <v>209</v>
      </c>
      <c r="J1411" s="6" t="s">
        <v>4595</v>
      </c>
      <c r="K1411" s="6" t="s">
        <v>128</v>
      </c>
      <c r="L1411" s="6" t="s">
        <v>954</v>
      </c>
      <c r="M1411" s="15" t="s">
        <v>4596</v>
      </c>
      <c r="N1411" s="15" t="s">
        <v>4597</v>
      </c>
      <c r="O1411" s="28" t="s">
        <v>4598</v>
      </c>
    </row>
    <row r="1412" spans="1:15" s="1" customFormat="1" ht="14.25" customHeight="1">
      <c r="A1412" s="3" t="s">
        <v>659</v>
      </c>
      <c r="B1412" s="3"/>
      <c r="C1412" s="3"/>
      <c r="D1412" s="5" t="s">
        <v>191</v>
      </c>
      <c r="E1412" s="5" t="s">
        <v>124</v>
      </c>
      <c r="F1412" s="3" t="s">
        <v>4599</v>
      </c>
      <c r="G1412" s="6">
        <f>18.708*L1412</f>
        <v>93.539999999999992</v>
      </c>
      <c r="H1412" s="7">
        <v>41765</v>
      </c>
      <c r="I1412" s="6" t="s">
        <v>178</v>
      </c>
      <c r="J1412" s="6" t="s">
        <v>4600</v>
      </c>
      <c r="K1412" s="6" t="s">
        <v>21</v>
      </c>
      <c r="L1412" s="6">
        <v>5</v>
      </c>
      <c r="M1412" s="15" t="s">
        <v>4601</v>
      </c>
      <c r="N1412" s="15" t="s">
        <v>4602</v>
      </c>
      <c r="O1412" s="15" t="s">
        <v>4601</v>
      </c>
    </row>
    <row r="1413" spans="1:15" s="1" customFormat="1" ht="14.25" customHeight="1">
      <c r="A1413" s="3" t="s">
        <v>514</v>
      </c>
      <c r="B1413" s="4"/>
      <c r="C1413" s="3"/>
      <c r="D1413" s="5" t="s">
        <v>2030</v>
      </c>
      <c r="E1413" s="5" t="s">
        <v>124</v>
      </c>
      <c r="F1413" s="3" t="s">
        <v>4603</v>
      </c>
      <c r="G1413" s="6">
        <f>14.405*L1413</f>
        <v>172.85999999999999</v>
      </c>
      <c r="H1413" s="7">
        <v>41765</v>
      </c>
      <c r="I1413" s="6" t="s">
        <v>265</v>
      </c>
      <c r="J1413" s="6" t="s">
        <v>4604</v>
      </c>
      <c r="K1413" s="6" t="s">
        <v>21</v>
      </c>
      <c r="L1413" s="6">
        <v>12</v>
      </c>
      <c r="M1413" s="15" t="s">
        <v>4605</v>
      </c>
      <c r="N1413" s="15" t="s">
        <v>78</v>
      </c>
      <c r="O1413" s="28" t="s">
        <v>4605</v>
      </c>
    </row>
    <row r="1414" spans="1:15" ht="14.25" customHeight="1">
      <c r="A1414" s="3" t="s">
        <v>514</v>
      </c>
      <c r="B1414" s="4"/>
      <c r="C1414" s="3"/>
      <c r="D1414" s="5" t="s">
        <v>2030</v>
      </c>
      <c r="E1414" s="5" t="s">
        <v>124</v>
      </c>
      <c r="F1414" s="3" t="s">
        <v>4606</v>
      </c>
      <c r="G1414" s="6">
        <f>14.405*L1414</f>
        <v>187.26499999999999</v>
      </c>
      <c r="H1414" s="7">
        <v>41765</v>
      </c>
      <c r="I1414" s="6" t="s">
        <v>265</v>
      </c>
      <c r="J1414" s="6" t="s">
        <v>4607</v>
      </c>
      <c r="K1414" s="6" t="s">
        <v>21</v>
      </c>
      <c r="L1414" s="6">
        <v>13</v>
      </c>
      <c r="M1414" s="15" t="s">
        <v>4605</v>
      </c>
      <c r="N1414" s="15" t="s">
        <v>167</v>
      </c>
      <c r="O1414" s="28" t="s">
        <v>4608</v>
      </c>
    </row>
    <row r="1415" spans="1:15" ht="14.25" customHeight="1">
      <c r="A1415" s="3" t="s">
        <v>514</v>
      </c>
      <c r="B1415" s="4"/>
      <c r="C1415" s="3"/>
      <c r="D1415" s="5" t="s">
        <v>2030</v>
      </c>
      <c r="E1415" s="5" t="s">
        <v>124</v>
      </c>
      <c r="F1415" s="3" t="s">
        <v>4609</v>
      </c>
      <c r="G1415" s="6">
        <f>14.405*L1415</f>
        <v>172.85999999999999</v>
      </c>
      <c r="H1415" s="7">
        <v>41765</v>
      </c>
      <c r="I1415" s="6" t="s">
        <v>265</v>
      </c>
      <c r="J1415" s="6" t="s">
        <v>4610</v>
      </c>
      <c r="K1415" s="6" t="s">
        <v>21</v>
      </c>
      <c r="L1415" s="6">
        <v>12</v>
      </c>
      <c r="M1415" s="15" t="s">
        <v>4611</v>
      </c>
      <c r="N1415" s="15" t="s">
        <v>78</v>
      </c>
      <c r="O1415" s="28" t="s">
        <v>4611</v>
      </c>
    </row>
    <row r="1416" spans="1:15" s="1" customFormat="1" ht="14.25" customHeight="1">
      <c r="A1416" s="3" t="s">
        <v>514</v>
      </c>
      <c r="B1416" s="4"/>
      <c r="C1416" s="3"/>
      <c r="D1416" s="5" t="s">
        <v>2030</v>
      </c>
      <c r="E1416" s="5" t="s">
        <v>124</v>
      </c>
      <c r="F1416" s="3" t="s">
        <v>4612</v>
      </c>
      <c r="G1416" s="6">
        <f>14.405*L1416</f>
        <v>187.26499999999999</v>
      </c>
      <c r="H1416" s="7">
        <v>41765</v>
      </c>
      <c r="I1416" s="6" t="s">
        <v>265</v>
      </c>
      <c r="J1416" s="6" t="s">
        <v>4613</v>
      </c>
      <c r="K1416" s="6" t="s">
        <v>21</v>
      </c>
      <c r="L1416" s="6">
        <v>13</v>
      </c>
      <c r="M1416" s="15" t="s">
        <v>4611</v>
      </c>
      <c r="N1416" s="15" t="s">
        <v>167</v>
      </c>
      <c r="O1416" s="28" t="s">
        <v>4614</v>
      </c>
    </row>
    <row r="1417" spans="1:15" s="1" customFormat="1" ht="14.25" customHeight="1">
      <c r="A1417" s="3" t="s">
        <v>4453</v>
      </c>
      <c r="B1417" s="4"/>
      <c r="C1417" s="3"/>
      <c r="D1417" s="5" t="s">
        <v>3106</v>
      </c>
      <c r="E1417" s="5" t="s">
        <v>124</v>
      </c>
      <c r="F1417" s="3" t="s">
        <v>4615</v>
      </c>
      <c r="G1417" s="6">
        <f>17.498*L1417</f>
        <v>209.976</v>
      </c>
      <c r="H1417" s="7">
        <v>41765</v>
      </c>
      <c r="I1417" s="6" t="s">
        <v>265</v>
      </c>
      <c r="J1417" s="6" t="s">
        <v>4616</v>
      </c>
      <c r="K1417" s="6" t="s">
        <v>21</v>
      </c>
      <c r="L1417" s="6">
        <v>12</v>
      </c>
      <c r="M1417" s="15" t="s">
        <v>4617</v>
      </c>
      <c r="N1417" s="15" t="s">
        <v>78</v>
      </c>
      <c r="O1417" s="28" t="s">
        <v>4617</v>
      </c>
    </row>
    <row r="1418" spans="1:15" s="1" customFormat="1" ht="14.25" customHeight="1">
      <c r="A1418" s="3" t="s">
        <v>4453</v>
      </c>
      <c r="B1418" s="4"/>
      <c r="C1418" s="3"/>
      <c r="D1418" s="5" t="s">
        <v>3106</v>
      </c>
      <c r="E1418" s="5" t="s">
        <v>124</v>
      </c>
      <c r="F1418" s="3" t="s">
        <v>4618</v>
      </c>
      <c r="G1418" s="6">
        <f>17.498*L1418</f>
        <v>227.47400000000002</v>
      </c>
      <c r="H1418" s="7">
        <v>41765</v>
      </c>
      <c r="I1418" s="6" t="s">
        <v>265</v>
      </c>
      <c r="J1418" s="6" t="s">
        <v>4619</v>
      </c>
      <c r="K1418" s="6" t="s">
        <v>21</v>
      </c>
      <c r="L1418" s="6">
        <v>13</v>
      </c>
      <c r="M1418" s="15" t="s">
        <v>4617</v>
      </c>
      <c r="N1418" s="15" t="s">
        <v>167</v>
      </c>
      <c r="O1418" s="28" t="s">
        <v>4620</v>
      </c>
    </row>
    <row r="1419" spans="1:15" s="1" customFormat="1" ht="14.25" customHeight="1">
      <c r="A1419" s="3" t="s">
        <v>3157</v>
      </c>
      <c r="B1419" s="3" t="s">
        <v>283</v>
      </c>
      <c r="C1419" s="3"/>
      <c r="D1419" s="5" t="s">
        <v>1083</v>
      </c>
      <c r="E1419" s="5" t="s">
        <v>124</v>
      </c>
      <c r="F1419" s="3" t="s">
        <v>4621</v>
      </c>
      <c r="G1419" s="6">
        <f t="shared" ref="G1419:G1428" si="51">9.871*L1419</f>
        <v>118.452</v>
      </c>
      <c r="H1419" s="7">
        <v>41765</v>
      </c>
      <c r="I1419" s="6" t="s">
        <v>161</v>
      </c>
      <c r="J1419" s="6" t="s">
        <v>4622</v>
      </c>
      <c r="K1419" s="6" t="s">
        <v>21</v>
      </c>
      <c r="L1419" s="6">
        <v>12</v>
      </c>
      <c r="M1419" s="15" t="s">
        <v>4623</v>
      </c>
      <c r="N1419" s="15" t="s">
        <v>164</v>
      </c>
      <c r="O1419" s="6" t="s">
        <v>4624</v>
      </c>
    </row>
    <row r="1420" spans="1:15" s="1" customFormat="1" ht="14.25" customHeight="1">
      <c r="A1420" s="3" t="s">
        <v>3157</v>
      </c>
      <c r="B1420" s="3" t="s">
        <v>283</v>
      </c>
      <c r="C1420" s="3"/>
      <c r="D1420" s="5" t="s">
        <v>1083</v>
      </c>
      <c r="E1420" s="5" t="s">
        <v>124</v>
      </c>
      <c r="F1420" s="3" t="s">
        <v>4625</v>
      </c>
      <c r="G1420" s="6">
        <f t="shared" si="51"/>
        <v>128.32300000000001</v>
      </c>
      <c r="H1420" s="7">
        <v>41765</v>
      </c>
      <c r="I1420" s="6" t="s">
        <v>161</v>
      </c>
      <c r="J1420" s="6" t="s">
        <v>4626</v>
      </c>
      <c r="K1420" s="6" t="s">
        <v>21</v>
      </c>
      <c r="L1420" s="6">
        <v>13</v>
      </c>
      <c r="M1420" s="15" t="s">
        <v>4623</v>
      </c>
      <c r="N1420" s="15" t="s">
        <v>167</v>
      </c>
      <c r="O1420" s="6" t="s">
        <v>4623</v>
      </c>
    </row>
    <row r="1421" spans="1:15" s="1" customFormat="1" ht="14.25" customHeight="1">
      <c r="A1421" s="3" t="s">
        <v>1082</v>
      </c>
      <c r="B1421" s="3" t="s">
        <v>283</v>
      </c>
      <c r="C1421" s="3"/>
      <c r="D1421" s="5" t="s">
        <v>1083</v>
      </c>
      <c r="E1421" s="5" t="s">
        <v>124</v>
      </c>
      <c r="F1421" s="3" t="s">
        <v>4627</v>
      </c>
      <c r="G1421" s="6">
        <f t="shared" si="51"/>
        <v>118.452</v>
      </c>
      <c r="H1421" s="7">
        <v>41765</v>
      </c>
      <c r="I1421" s="6" t="s">
        <v>161</v>
      </c>
      <c r="J1421" s="6" t="s">
        <v>4628</v>
      </c>
      <c r="K1421" s="6" t="s">
        <v>21</v>
      </c>
      <c r="L1421" s="6">
        <v>12</v>
      </c>
      <c r="M1421" s="15" t="s">
        <v>4629</v>
      </c>
      <c r="N1421" s="15" t="s">
        <v>164</v>
      </c>
      <c r="O1421" s="6" t="s">
        <v>4629</v>
      </c>
    </row>
    <row r="1422" spans="1:15" s="1" customFormat="1" ht="14.25" customHeight="1">
      <c r="A1422" s="3" t="s">
        <v>1082</v>
      </c>
      <c r="B1422" s="3" t="s">
        <v>283</v>
      </c>
      <c r="C1422" s="3"/>
      <c r="D1422" s="5" t="s">
        <v>1083</v>
      </c>
      <c r="E1422" s="5" t="s">
        <v>124</v>
      </c>
      <c r="F1422" s="3" t="s">
        <v>4630</v>
      </c>
      <c r="G1422" s="6">
        <f t="shared" si="51"/>
        <v>128.32300000000001</v>
      </c>
      <c r="H1422" s="7">
        <v>41765</v>
      </c>
      <c r="I1422" s="6" t="s">
        <v>161</v>
      </c>
      <c r="J1422" s="6" t="s">
        <v>4631</v>
      </c>
      <c r="K1422" s="6" t="s">
        <v>21</v>
      </c>
      <c r="L1422" s="6">
        <v>13</v>
      </c>
      <c r="M1422" s="15" t="s">
        <v>4629</v>
      </c>
      <c r="N1422" s="15" t="s">
        <v>167</v>
      </c>
      <c r="O1422" s="6" t="s">
        <v>4632</v>
      </c>
    </row>
    <row r="1423" spans="1:15" s="1" customFormat="1" ht="14.25" customHeight="1">
      <c r="A1423" s="3" t="s">
        <v>1082</v>
      </c>
      <c r="B1423" s="3" t="s">
        <v>283</v>
      </c>
      <c r="C1423" s="3"/>
      <c r="D1423" s="5" t="s">
        <v>1083</v>
      </c>
      <c r="E1423" s="5" t="s">
        <v>124</v>
      </c>
      <c r="F1423" s="3" t="s">
        <v>4633</v>
      </c>
      <c r="G1423" s="6">
        <f t="shared" si="51"/>
        <v>118.452</v>
      </c>
      <c r="H1423" s="7">
        <v>41765</v>
      </c>
      <c r="I1423" s="6" t="s">
        <v>161</v>
      </c>
      <c r="J1423" s="6" t="s">
        <v>4634</v>
      </c>
      <c r="K1423" s="6" t="s">
        <v>21</v>
      </c>
      <c r="L1423" s="6">
        <v>12</v>
      </c>
      <c r="M1423" s="15" t="s">
        <v>4635</v>
      </c>
      <c r="N1423" s="15" t="s">
        <v>164</v>
      </c>
      <c r="O1423" s="6" t="s">
        <v>4635</v>
      </c>
    </row>
    <row r="1424" spans="1:15" s="1" customFormat="1" ht="14.25" customHeight="1">
      <c r="A1424" s="3" t="s">
        <v>1082</v>
      </c>
      <c r="B1424" s="3" t="s">
        <v>283</v>
      </c>
      <c r="C1424" s="3"/>
      <c r="D1424" s="5" t="s">
        <v>1083</v>
      </c>
      <c r="E1424" s="5" t="s">
        <v>124</v>
      </c>
      <c r="F1424" s="3" t="s">
        <v>4636</v>
      </c>
      <c r="G1424" s="6">
        <f t="shared" si="51"/>
        <v>128.32300000000001</v>
      </c>
      <c r="H1424" s="7">
        <v>41765</v>
      </c>
      <c r="I1424" s="6" t="s">
        <v>161</v>
      </c>
      <c r="J1424" s="6" t="s">
        <v>4637</v>
      </c>
      <c r="K1424" s="6" t="s">
        <v>21</v>
      </c>
      <c r="L1424" s="6">
        <v>13</v>
      </c>
      <c r="M1424" s="15" t="s">
        <v>4635</v>
      </c>
      <c r="N1424" s="15" t="s">
        <v>167</v>
      </c>
      <c r="O1424" s="6" t="s">
        <v>4638</v>
      </c>
    </row>
    <row r="1425" spans="1:15" s="1" customFormat="1" ht="14.25" customHeight="1">
      <c r="A1425" s="3" t="s">
        <v>1082</v>
      </c>
      <c r="B1425" s="3" t="s">
        <v>283</v>
      </c>
      <c r="C1425" s="3"/>
      <c r="D1425" s="5" t="s">
        <v>1083</v>
      </c>
      <c r="E1425" s="5" t="s">
        <v>124</v>
      </c>
      <c r="F1425" s="3" t="s">
        <v>4639</v>
      </c>
      <c r="G1425" s="6">
        <f t="shared" si="51"/>
        <v>118.452</v>
      </c>
      <c r="H1425" s="7">
        <v>41765</v>
      </c>
      <c r="I1425" s="6" t="s">
        <v>161</v>
      </c>
      <c r="J1425" s="6" t="s">
        <v>4640</v>
      </c>
      <c r="K1425" s="6" t="s">
        <v>21</v>
      </c>
      <c r="L1425" s="6">
        <v>12</v>
      </c>
      <c r="M1425" s="15" t="s">
        <v>4641</v>
      </c>
      <c r="N1425" s="15" t="s">
        <v>164</v>
      </c>
      <c r="O1425" s="6" t="s">
        <v>4642</v>
      </c>
    </row>
    <row r="1426" spans="1:15" s="1" customFormat="1" ht="14.25" customHeight="1">
      <c r="A1426" s="3" t="s">
        <v>1082</v>
      </c>
      <c r="B1426" s="3" t="s">
        <v>283</v>
      </c>
      <c r="C1426" s="3"/>
      <c r="D1426" s="5" t="s">
        <v>1083</v>
      </c>
      <c r="E1426" s="5" t="s">
        <v>124</v>
      </c>
      <c r="F1426" s="3" t="s">
        <v>4643</v>
      </c>
      <c r="G1426" s="6">
        <f t="shared" si="51"/>
        <v>128.32300000000001</v>
      </c>
      <c r="H1426" s="7">
        <v>41765</v>
      </c>
      <c r="I1426" s="6" t="s">
        <v>161</v>
      </c>
      <c r="J1426" s="6" t="s">
        <v>4644</v>
      </c>
      <c r="K1426" s="6" t="s">
        <v>21</v>
      </c>
      <c r="L1426" s="6">
        <v>13</v>
      </c>
      <c r="M1426" s="15" t="s">
        <v>4641</v>
      </c>
      <c r="N1426" s="15" t="s">
        <v>167</v>
      </c>
      <c r="O1426" s="6" t="s">
        <v>4641</v>
      </c>
    </row>
    <row r="1427" spans="1:15" ht="14.25" customHeight="1">
      <c r="A1427" s="3" t="s">
        <v>1082</v>
      </c>
      <c r="B1427" s="3" t="s">
        <v>283</v>
      </c>
      <c r="C1427" s="3"/>
      <c r="D1427" s="5" t="s">
        <v>1083</v>
      </c>
      <c r="E1427" s="5" t="s">
        <v>124</v>
      </c>
      <c r="F1427" s="3" t="s">
        <v>4645</v>
      </c>
      <c r="G1427" s="6">
        <f t="shared" si="51"/>
        <v>118.452</v>
      </c>
      <c r="H1427" s="7">
        <v>41765</v>
      </c>
      <c r="I1427" s="6" t="s">
        <v>161</v>
      </c>
      <c r="J1427" s="6" t="s">
        <v>4646</v>
      </c>
      <c r="K1427" s="6" t="s">
        <v>21</v>
      </c>
      <c r="L1427" s="6">
        <v>12</v>
      </c>
      <c r="M1427" s="15" t="s">
        <v>4647</v>
      </c>
      <c r="N1427" s="15" t="s">
        <v>164</v>
      </c>
      <c r="O1427" s="6" t="s">
        <v>4647</v>
      </c>
    </row>
    <row r="1428" spans="1:15" ht="14.25" customHeight="1">
      <c r="A1428" s="3" t="s">
        <v>1082</v>
      </c>
      <c r="B1428" s="3" t="s">
        <v>283</v>
      </c>
      <c r="C1428" s="3"/>
      <c r="D1428" s="5" t="s">
        <v>1083</v>
      </c>
      <c r="E1428" s="5" t="s">
        <v>124</v>
      </c>
      <c r="F1428" s="3" t="s">
        <v>4648</v>
      </c>
      <c r="G1428" s="6">
        <f t="shared" si="51"/>
        <v>128.32300000000001</v>
      </c>
      <c r="H1428" s="7">
        <v>41765</v>
      </c>
      <c r="I1428" s="6" t="s">
        <v>161</v>
      </c>
      <c r="J1428" s="6" t="s">
        <v>4649</v>
      </c>
      <c r="K1428" s="6" t="s">
        <v>21</v>
      </c>
      <c r="L1428" s="6">
        <v>13</v>
      </c>
      <c r="M1428" s="15" t="s">
        <v>4647</v>
      </c>
      <c r="N1428" s="15" t="s">
        <v>167</v>
      </c>
      <c r="O1428" s="6" t="s">
        <v>4650</v>
      </c>
    </row>
    <row r="1429" spans="1:15" s="1" customFormat="1" ht="14.25" customHeight="1">
      <c r="A1429" s="3" t="s">
        <v>1285</v>
      </c>
      <c r="B1429" s="3" t="s">
        <v>283</v>
      </c>
      <c r="C1429" s="3"/>
      <c r="D1429" s="5" t="s">
        <v>1287</v>
      </c>
      <c r="E1429" s="5" t="s">
        <v>124</v>
      </c>
      <c r="F1429" s="3" t="s">
        <v>4651</v>
      </c>
      <c r="G1429" s="6">
        <f>8.606*L1429</f>
        <v>103.27199999999999</v>
      </c>
      <c r="H1429" s="7">
        <v>41765</v>
      </c>
      <c r="I1429" s="6" t="s">
        <v>272</v>
      </c>
      <c r="J1429" s="6" t="s">
        <v>4652</v>
      </c>
      <c r="K1429" s="6" t="s">
        <v>21</v>
      </c>
      <c r="L1429" s="6">
        <v>12</v>
      </c>
      <c r="M1429" s="15" t="s">
        <v>4653</v>
      </c>
      <c r="N1429" s="15" t="s">
        <v>164</v>
      </c>
      <c r="O1429" s="3" t="s">
        <v>4653</v>
      </c>
    </row>
    <row r="1430" spans="1:15" s="1" customFormat="1" ht="14.25" customHeight="1">
      <c r="A1430" s="3" t="s">
        <v>1285</v>
      </c>
      <c r="B1430" s="3" t="s">
        <v>283</v>
      </c>
      <c r="C1430" s="3"/>
      <c r="D1430" s="5" t="s">
        <v>1287</v>
      </c>
      <c r="E1430" s="5" t="s">
        <v>124</v>
      </c>
      <c r="F1430" s="3" t="s">
        <v>4654</v>
      </c>
      <c r="G1430" s="6">
        <f>8.606*L1430</f>
        <v>111.878</v>
      </c>
      <c r="H1430" s="7">
        <v>41765</v>
      </c>
      <c r="I1430" s="6" t="s">
        <v>272</v>
      </c>
      <c r="J1430" s="6" t="s">
        <v>4655</v>
      </c>
      <c r="K1430" s="6" t="s">
        <v>21</v>
      </c>
      <c r="L1430" s="6">
        <v>13</v>
      </c>
      <c r="M1430" s="15" t="s">
        <v>4653</v>
      </c>
      <c r="N1430" s="15" t="s">
        <v>167</v>
      </c>
      <c r="O1430" s="6" t="s">
        <v>4656</v>
      </c>
    </row>
    <row r="1431" spans="1:15" s="1" customFormat="1" ht="14.25" customHeight="1">
      <c r="A1431" s="3" t="s">
        <v>494</v>
      </c>
      <c r="B1431" s="4"/>
      <c r="C1431" s="3"/>
      <c r="D1431" s="5" t="s">
        <v>495</v>
      </c>
      <c r="E1431" s="5" t="s">
        <v>124</v>
      </c>
      <c r="F1431" s="3" t="s">
        <v>4657</v>
      </c>
      <c r="G1431" s="6">
        <f>12.838*L1431</f>
        <v>218.24599999999998</v>
      </c>
      <c r="H1431" s="7">
        <v>41765</v>
      </c>
      <c r="I1431" s="6" t="s">
        <v>471</v>
      </c>
      <c r="J1431" s="6" t="s">
        <v>4658</v>
      </c>
      <c r="K1431" s="6" t="s">
        <v>21</v>
      </c>
      <c r="L1431" s="6">
        <v>17</v>
      </c>
      <c r="M1431" s="15" t="s">
        <v>4151</v>
      </c>
      <c r="N1431" s="15" t="s">
        <v>4659</v>
      </c>
      <c r="O1431" s="28" t="s">
        <v>4660</v>
      </c>
    </row>
    <row r="1432" spans="1:15" ht="14.25" customHeight="1">
      <c r="A1432" s="3" t="s">
        <v>3653</v>
      </c>
      <c r="B1432" s="3"/>
      <c r="C1432" s="3"/>
      <c r="D1432" s="5" t="s">
        <v>495</v>
      </c>
      <c r="E1432" s="5" t="s">
        <v>124</v>
      </c>
      <c r="F1432" s="3" t="s">
        <v>4661</v>
      </c>
      <c r="G1432" s="6">
        <f>12.838*L1432</f>
        <v>102.70399999999999</v>
      </c>
      <c r="H1432" s="7">
        <v>41765</v>
      </c>
      <c r="I1432" s="6" t="s">
        <v>471</v>
      </c>
      <c r="J1432" s="6" t="s">
        <v>4662</v>
      </c>
      <c r="K1432" s="6" t="s">
        <v>21</v>
      </c>
      <c r="L1432" s="6">
        <v>8</v>
      </c>
      <c r="M1432" s="15" t="s">
        <v>4663</v>
      </c>
      <c r="N1432" s="15" t="s">
        <v>1463</v>
      </c>
      <c r="O1432" s="15" t="s">
        <v>4663</v>
      </c>
    </row>
    <row r="1433" spans="1:15" ht="14.25" customHeight="1">
      <c r="A1433" s="3" t="s">
        <v>765</v>
      </c>
      <c r="B1433" s="4"/>
      <c r="C1433" s="3"/>
      <c r="D1433" s="5" t="s">
        <v>207</v>
      </c>
      <c r="E1433" s="5" t="s">
        <v>124</v>
      </c>
      <c r="F1433" s="3" t="s">
        <v>4664</v>
      </c>
      <c r="G1433" s="6">
        <v>223.09800000000001</v>
      </c>
      <c r="H1433" s="7">
        <v>41765</v>
      </c>
      <c r="I1433" s="6" t="s">
        <v>209</v>
      </c>
      <c r="J1433" s="6" t="s">
        <v>4665</v>
      </c>
      <c r="K1433" s="6" t="s">
        <v>128</v>
      </c>
      <c r="L1433" s="6" t="s">
        <v>954</v>
      </c>
      <c r="M1433" s="15" t="s">
        <v>4666</v>
      </c>
      <c r="N1433" s="15" t="s">
        <v>4667</v>
      </c>
      <c r="O1433" s="28" t="s">
        <v>4668</v>
      </c>
    </row>
    <row r="1434" spans="1:15" s="1" customFormat="1" ht="14.25" customHeight="1">
      <c r="A1434" s="3" t="s">
        <v>1018</v>
      </c>
      <c r="B1434" s="4"/>
      <c r="C1434" s="3"/>
      <c r="D1434" s="5" t="s">
        <v>1019</v>
      </c>
      <c r="E1434" s="5" t="s">
        <v>124</v>
      </c>
      <c r="F1434" s="3" t="s">
        <v>4669</v>
      </c>
      <c r="G1434" s="6">
        <v>208.48</v>
      </c>
      <c r="H1434" s="7">
        <v>41765</v>
      </c>
      <c r="I1434" s="6" t="s">
        <v>209</v>
      </c>
      <c r="J1434" s="6" t="s">
        <v>4670</v>
      </c>
      <c r="K1434" s="6" t="s">
        <v>128</v>
      </c>
      <c r="L1434" s="6" t="s">
        <v>948</v>
      </c>
      <c r="M1434" s="15" t="s">
        <v>4671</v>
      </c>
      <c r="N1434" s="15" t="s">
        <v>4592</v>
      </c>
      <c r="O1434" s="28" t="s">
        <v>4672</v>
      </c>
    </row>
    <row r="1435" spans="1:15" s="1" customFormat="1" ht="14.25" customHeight="1">
      <c r="A1435" s="3" t="s">
        <v>1018</v>
      </c>
      <c r="B1435" s="4"/>
      <c r="C1435" s="3"/>
      <c r="D1435" s="5" t="s">
        <v>1019</v>
      </c>
      <c r="E1435" s="5" t="s">
        <v>124</v>
      </c>
      <c r="F1435" s="3" t="s">
        <v>4673</v>
      </c>
      <c r="G1435" s="6">
        <v>221.59800000000001</v>
      </c>
      <c r="H1435" s="7">
        <v>41765</v>
      </c>
      <c r="I1435" s="6" t="s">
        <v>209</v>
      </c>
      <c r="J1435" s="6" t="s">
        <v>4674</v>
      </c>
      <c r="K1435" s="6" t="s">
        <v>128</v>
      </c>
      <c r="L1435" s="6" t="s">
        <v>954</v>
      </c>
      <c r="M1435" s="15" t="s">
        <v>4675</v>
      </c>
      <c r="N1435" s="15" t="s">
        <v>4597</v>
      </c>
      <c r="O1435" s="28" t="s">
        <v>4676</v>
      </c>
    </row>
    <row r="1436" spans="1:15" s="1" customFormat="1" ht="14.25" customHeight="1">
      <c r="A1436" s="3" t="s">
        <v>469</v>
      </c>
      <c r="B1436" s="4"/>
      <c r="C1436" s="3"/>
      <c r="D1436" s="5" t="s">
        <v>276</v>
      </c>
      <c r="E1436" s="5" t="s">
        <v>124</v>
      </c>
      <c r="F1436" s="3" t="s">
        <v>4677</v>
      </c>
      <c r="G1436" s="6">
        <f>6.405*L1436</f>
        <v>134.505</v>
      </c>
      <c r="H1436" s="7">
        <v>41766</v>
      </c>
      <c r="I1436" s="6" t="s">
        <v>471</v>
      </c>
      <c r="J1436" s="6" t="s">
        <v>4678</v>
      </c>
      <c r="K1436" s="6" t="s">
        <v>21</v>
      </c>
      <c r="L1436" s="6">
        <v>21</v>
      </c>
      <c r="M1436" s="15" t="s">
        <v>4679</v>
      </c>
      <c r="N1436" s="15" t="s">
        <v>4680</v>
      </c>
      <c r="O1436" s="28" t="s">
        <v>4679</v>
      </c>
    </row>
    <row r="1437" spans="1:15" s="1" customFormat="1" ht="14.25" customHeight="1">
      <c r="A1437" s="22" t="s">
        <v>4681</v>
      </c>
      <c r="B1437" s="3"/>
      <c r="C1437" s="3"/>
      <c r="D1437" s="5" t="s">
        <v>4414</v>
      </c>
      <c r="E1437" s="5" t="s">
        <v>124</v>
      </c>
      <c r="F1437" s="3" t="s">
        <v>4682</v>
      </c>
      <c r="G1437" s="6">
        <f>20.142*L1437</f>
        <v>80.567999999999998</v>
      </c>
      <c r="H1437" s="7">
        <v>41766</v>
      </c>
      <c r="I1437" s="6" t="s">
        <v>265</v>
      </c>
      <c r="J1437" s="6" t="s">
        <v>4683</v>
      </c>
      <c r="K1437" s="6" t="s">
        <v>21</v>
      </c>
      <c r="L1437" s="6">
        <v>4</v>
      </c>
      <c r="M1437" s="15" t="s">
        <v>4684</v>
      </c>
      <c r="N1437" s="15" t="s">
        <v>4685</v>
      </c>
      <c r="O1437" s="15" t="s">
        <v>4684</v>
      </c>
    </row>
    <row r="1438" spans="1:15" ht="14.25" customHeight="1">
      <c r="A1438" s="3" t="s">
        <v>1854</v>
      </c>
      <c r="B1438" s="4"/>
      <c r="C1438" s="3"/>
      <c r="D1438" s="5" t="s">
        <v>1855</v>
      </c>
      <c r="E1438" s="5" t="s">
        <v>124</v>
      </c>
      <c r="F1438" s="3" t="s">
        <v>4686</v>
      </c>
      <c r="G1438" s="6">
        <v>66.882999999999996</v>
      </c>
      <c r="H1438" s="7">
        <v>41766</v>
      </c>
      <c r="I1438" s="6" t="s">
        <v>209</v>
      </c>
      <c r="J1438" s="6" t="s">
        <v>4687</v>
      </c>
      <c r="K1438" s="6" t="s">
        <v>128</v>
      </c>
      <c r="L1438" s="6" t="s">
        <v>3967</v>
      </c>
      <c r="M1438" s="15" t="s">
        <v>4688</v>
      </c>
      <c r="N1438" s="15" t="s">
        <v>4689</v>
      </c>
      <c r="O1438" s="28" t="s">
        <v>4690</v>
      </c>
    </row>
    <row r="1439" spans="1:15" ht="14.25" customHeight="1">
      <c r="A1439" s="5" t="s">
        <v>1127</v>
      </c>
      <c r="B1439" s="4"/>
      <c r="C1439" s="3"/>
      <c r="D1439" s="5" t="s">
        <v>1128</v>
      </c>
      <c r="E1439" s="5" t="s">
        <v>7026</v>
      </c>
      <c r="F1439" s="3" t="s">
        <v>8030</v>
      </c>
      <c r="G1439" s="6">
        <f>29.101*L1439</f>
        <v>349.21199999999999</v>
      </c>
      <c r="H1439" s="7">
        <v>41766</v>
      </c>
      <c r="I1439" s="6" t="s">
        <v>178</v>
      </c>
      <c r="J1439" s="6" t="s">
        <v>8031</v>
      </c>
      <c r="K1439" s="6" t="s">
        <v>21</v>
      </c>
      <c r="L1439" s="6">
        <v>12</v>
      </c>
      <c r="M1439" s="15" t="s">
        <v>8032</v>
      </c>
      <c r="N1439" s="15" t="s">
        <v>164</v>
      </c>
      <c r="O1439" s="27"/>
    </row>
    <row r="1440" spans="1:15" ht="14.25" customHeight="1">
      <c r="A1440" s="5" t="s">
        <v>1127</v>
      </c>
      <c r="B1440" s="4"/>
      <c r="C1440" s="3"/>
      <c r="D1440" s="5" t="s">
        <v>1128</v>
      </c>
      <c r="E1440" s="5" t="s">
        <v>7026</v>
      </c>
      <c r="F1440" s="3" t="s">
        <v>8033</v>
      </c>
      <c r="G1440" s="6">
        <f>29.101*L1440</f>
        <v>378.31299999999999</v>
      </c>
      <c r="H1440" s="7">
        <v>41766</v>
      </c>
      <c r="I1440" s="6" t="s">
        <v>178</v>
      </c>
      <c r="J1440" s="6" t="s">
        <v>8034</v>
      </c>
      <c r="K1440" s="6" t="s">
        <v>21</v>
      </c>
      <c r="L1440" s="6">
        <v>13</v>
      </c>
      <c r="M1440" s="15" t="s">
        <v>8032</v>
      </c>
      <c r="N1440" s="15" t="s">
        <v>167</v>
      </c>
      <c r="O1440" s="27"/>
    </row>
    <row r="1441" spans="1:15" s="1" customFormat="1" ht="14.25" customHeight="1">
      <c r="A1441" s="5" t="s">
        <v>1108</v>
      </c>
      <c r="B1441" s="4"/>
      <c r="C1441" s="3"/>
      <c r="D1441" s="5" t="s">
        <v>391</v>
      </c>
      <c r="E1441" s="5" t="s">
        <v>7026</v>
      </c>
      <c r="F1441" s="3" t="s">
        <v>8035</v>
      </c>
      <c r="G1441" s="6">
        <f>17.712*L1441</f>
        <v>212.54399999999998</v>
      </c>
      <c r="H1441" s="7">
        <v>41766</v>
      </c>
      <c r="I1441" s="6" t="s">
        <v>265</v>
      </c>
      <c r="J1441" s="6" t="s">
        <v>8036</v>
      </c>
      <c r="K1441" s="6" t="s">
        <v>21</v>
      </c>
      <c r="L1441" s="6">
        <v>12</v>
      </c>
      <c r="M1441" s="15" t="s">
        <v>8037</v>
      </c>
      <c r="N1441" s="15" t="s">
        <v>164</v>
      </c>
      <c r="O1441" s="27" t="s">
        <v>8038</v>
      </c>
    </row>
    <row r="1442" spans="1:15" ht="14.25" customHeight="1">
      <c r="A1442" s="5" t="s">
        <v>1108</v>
      </c>
      <c r="B1442" s="4"/>
      <c r="C1442" s="3"/>
      <c r="D1442" s="5" t="s">
        <v>391</v>
      </c>
      <c r="E1442" s="5" t="s">
        <v>7026</v>
      </c>
      <c r="F1442" s="3" t="s">
        <v>8039</v>
      </c>
      <c r="G1442" s="6">
        <f>17.712*L1442</f>
        <v>230.256</v>
      </c>
      <c r="H1442" s="7">
        <v>41766</v>
      </c>
      <c r="I1442" s="6" t="s">
        <v>265</v>
      </c>
      <c r="J1442" s="6" t="s">
        <v>8040</v>
      </c>
      <c r="K1442" s="6" t="s">
        <v>21</v>
      </c>
      <c r="L1442" s="6">
        <v>13</v>
      </c>
      <c r="M1442" s="15" t="s">
        <v>8037</v>
      </c>
      <c r="N1442" s="15" t="s">
        <v>167</v>
      </c>
      <c r="O1442" s="15" t="s">
        <v>8041</v>
      </c>
    </row>
    <row r="1443" spans="1:15" s="1" customFormat="1" ht="14.25" customHeight="1">
      <c r="A1443" s="5" t="s">
        <v>7145</v>
      </c>
      <c r="B1443" s="4"/>
      <c r="C1443" s="3"/>
      <c r="D1443" s="5" t="s">
        <v>170</v>
      </c>
      <c r="E1443" s="5" t="s">
        <v>7026</v>
      </c>
      <c r="F1443" s="3" t="s">
        <v>8042</v>
      </c>
      <c r="G1443" s="6">
        <f>17.498*L1443</f>
        <v>227.47400000000002</v>
      </c>
      <c r="H1443" s="7">
        <v>41766</v>
      </c>
      <c r="I1443" s="6" t="s">
        <v>265</v>
      </c>
      <c r="J1443" s="6" t="s">
        <v>8043</v>
      </c>
      <c r="K1443" s="6" t="s">
        <v>21</v>
      </c>
      <c r="L1443" s="6">
        <v>13</v>
      </c>
      <c r="M1443" s="15" t="s">
        <v>7836</v>
      </c>
      <c r="N1443" s="15" t="s">
        <v>167</v>
      </c>
      <c r="O1443" s="27"/>
    </row>
    <row r="1444" spans="1:15" s="1" customFormat="1" ht="14.25" customHeight="1">
      <c r="A1444" s="5" t="s">
        <v>7145</v>
      </c>
      <c r="B1444" s="4"/>
      <c r="C1444" s="3"/>
      <c r="D1444" s="5" t="s">
        <v>170</v>
      </c>
      <c r="E1444" s="5" t="s">
        <v>7026</v>
      </c>
      <c r="F1444" s="3" t="s">
        <v>8044</v>
      </c>
      <c r="G1444" s="6">
        <f>17.498*L1444</f>
        <v>104.988</v>
      </c>
      <c r="H1444" s="7">
        <v>41766</v>
      </c>
      <c r="I1444" s="6" t="s">
        <v>265</v>
      </c>
      <c r="J1444" s="6" t="s">
        <v>8045</v>
      </c>
      <c r="K1444" s="6" t="s">
        <v>21</v>
      </c>
      <c r="L1444" s="41">
        <v>6</v>
      </c>
      <c r="M1444" s="15" t="s">
        <v>8046</v>
      </c>
      <c r="N1444" s="15" t="s">
        <v>787</v>
      </c>
      <c r="O1444" s="27" t="s">
        <v>8047</v>
      </c>
    </row>
    <row r="1445" spans="1:15" s="1" customFormat="1" ht="14.25" customHeight="1">
      <c r="A1445" s="5" t="s">
        <v>169</v>
      </c>
      <c r="B1445" s="4"/>
      <c r="C1445" s="3"/>
      <c r="D1445" s="5" t="s">
        <v>170</v>
      </c>
      <c r="E1445" s="5" t="s">
        <v>7026</v>
      </c>
      <c r="F1445" s="3" t="s">
        <v>8048</v>
      </c>
      <c r="G1445" s="6">
        <f>17.498*L1445</f>
        <v>104.988</v>
      </c>
      <c r="H1445" s="7">
        <v>41766</v>
      </c>
      <c r="I1445" s="6" t="s">
        <v>265</v>
      </c>
      <c r="J1445" s="6" t="s">
        <v>8049</v>
      </c>
      <c r="K1445" s="42" t="s">
        <v>21</v>
      </c>
      <c r="L1445" s="6">
        <v>6</v>
      </c>
      <c r="M1445" s="15" t="s">
        <v>8046</v>
      </c>
      <c r="N1445" s="15" t="s">
        <v>395</v>
      </c>
      <c r="O1445" s="27"/>
    </row>
    <row r="1446" spans="1:15" s="1" customFormat="1" ht="14.25" customHeight="1">
      <c r="A1446" s="5" t="s">
        <v>1150</v>
      </c>
      <c r="B1446" s="4"/>
      <c r="C1446" s="3"/>
      <c r="D1446" s="5" t="s">
        <v>1151</v>
      </c>
      <c r="E1446" s="5" t="s">
        <v>7026</v>
      </c>
      <c r="F1446" s="3" t="s">
        <v>8050</v>
      </c>
      <c r="G1446" s="6">
        <f>17.712*L1446</f>
        <v>212.54399999999998</v>
      </c>
      <c r="H1446" s="7">
        <v>41766</v>
      </c>
      <c r="I1446" s="6" t="s">
        <v>265</v>
      </c>
      <c r="J1446" s="6" t="s">
        <v>8051</v>
      </c>
      <c r="K1446" s="42" t="s">
        <v>21</v>
      </c>
      <c r="L1446" s="43">
        <v>12</v>
      </c>
      <c r="M1446" s="15" t="s">
        <v>8052</v>
      </c>
      <c r="N1446" s="15" t="s">
        <v>164</v>
      </c>
      <c r="O1446" s="27" t="s">
        <v>8053</v>
      </c>
    </row>
    <row r="1447" spans="1:15" s="1" customFormat="1" ht="14.25" customHeight="1">
      <c r="A1447" s="5" t="s">
        <v>1150</v>
      </c>
      <c r="B1447" s="4"/>
      <c r="C1447" s="3"/>
      <c r="D1447" s="5" t="s">
        <v>1151</v>
      </c>
      <c r="E1447" s="5" t="s">
        <v>7026</v>
      </c>
      <c r="F1447" s="3" t="s">
        <v>8054</v>
      </c>
      <c r="G1447" s="6">
        <f>17.712*L1447</f>
        <v>230.256</v>
      </c>
      <c r="H1447" s="7">
        <v>41766</v>
      </c>
      <c r="I1447" s="6" t="s">
        <v>265</v>
      </c>
      <c r="J1447" s="6" t="s">
        <v>8055</v>
      </c>
      <c r="K1447" s="6" t="s">
        <v>21</v>
      </c>
      <c r="L1447" s="6">
        <v>13</v>
      </c>
      <c r="M1447" s="15" t="s">
        <v>8052</v>
      </c>
      <c r="N1447" s="15" t="s">
        <v>167</v>
      </c>
      <c r="O1447" s="15" t="s">
        <v>8056</v>
      </c>
    </row>
    <row r="1448" spans="1:15" s="1" customFormat="1" ht="14.25" customHeight="1">
      <c r="A1448" s="5" t="s">
        <v>1150</v>
      </c>
      <c r="B1448" s="4"/>
      <c r="C1448" s="3"/>
      <c r="D1448" s="5" t="s">
        <v>1151</v>
      </c>
      <c r="E1448" s="5" t="s">
        <v>7026</v>
      </c>
      <c r="F1448" s="3" t="s">
        <v>8057</v>
      </c>
      <c r="G1448" s="6">
        <f>17.712*L1448</f>
        <v>212.54399999999998</v>
      </c>
      <c r="H1448" s="7">
        <v>41766</v>
      </c>
      <c r="I1448" s="6" t="s">
        <v>265</v>
      </c>
      <c r="J1448" s="6" t="s">
        <v>8058</v>
      </c>
      <c r="K1448" s="6" t="s">
        <v>21</v>
      </c>
      <c r="L1448" s="6">
        <v>12</v>
      </c>
      <c r="M1448" s="15" t="s">
        <v>8059</v>
      </c>
      <c r="N1448" s="15" t="s">
        <v>164</v>
      </c>
      <c r="O1448" s="27"/>
    </row>
    <row r="1449" spans="1:15" ht="14.25" customHeight="1">
      <c r="A1449" s="5" t="s">
        <v>1150</v>
      </c>
      <c r="B1449" s="4"/>
      <c r="C1449" s="3"/>
      <c r="D1449" s="5" t="s">
        <v>1151</v>
      </c>
      <c r="E1449" s="5" t="s">
        <v>7026</v>
      </c>
      <c r="F1449" s="3" t="s">
        <v>8060</v>
      </c>
      <c r="G1449" s="6">
        <f>17.712*L1449</f>
        <v>230.256</v>
      </c>
      <c r="H1449" s="7">
        <v>41766</v>
      </c>
      <c r="I1449" s="6" t="s">
        <v>265</v>
      </c>
      <c r="J1449" s="6" t="s">
        <v>8061</v>
      </c>
      <c r="K1449" s="6" t="s">
        <v>21</v>
      </c>
      <c r="L1449" s="6">
        <v>13</v>
      </c>
      <c r="M1449" s="15" t="s">
        <v>8059</v>
      </c>
      <c r="N1449" s="15" t="s">
        <v>167</v>
      </c>
      <c r="O1449" s="27"/>
    </row>
    <row r="1450" spans="1:15" s="1" customFormat="1" ht="14.25" customHeight="1">
      <c r="A1450" s="3" t="s">
        <v>1072</v>
      </c>
      <c r="B1450" s="3"/>
      <c r="C1450" s="3"/>
      <c r="D1450" s="5" t="s">
        <v>1963</v>
      </c>
      <c r="E1450" s="5" t="s">
        <v>124</v>
      </c>
      <c r="F1450" s="3" t="s">
        <v>9198</v>
      </c>
      <c r="G1450" s="6">
        <f>17.712*L1450</f>
        <v>88.56</v>
      </c>
      <c r="H1450" s="7">
        <v>41766</v>
      </c>
      <c r="I1450" s="6" t="s">
        <v>265</v>
      </c>
      <c r="J1450" s="6" t="s">
        <v>9199</v>
      </c>
      <c r="K1450" s="6" t="s">
        <v>21</v>
      </c>
      <c r="L1450" s="6">
        <v>5</v>
      </c>
      <c r="M1450" s="15" t="s">
        <v>9200</v>
      </c>
      <c r="N1450" s="15" t="s">
        <v>5969</v>
      </c>
      <c r="O1450" s="15" t="s">
        <v>9200</v>
      </c>
    </row>
    <row r="1451" spans="1:15" s="1" customFormat="1" ht="14.25" customHeight="1">
      <c r="A1451" s="3" t="s">
        <v>1355</v>
      </c>
      <c r="B1451" s="5" t="s">
        <v>4691</v>
      </c>
      <c r="C1451" s="3"/>
      <c r="D1451" s="5"/>
      <c r="E1451" s="5" t="s">
        <v>124</v>
      </c>
      <c r="F1451" s="3" t="s">
        <v>4692</v>
      </c>
      <c r="G1451" s="6">
        <v>150</v>
      </c>
      <c r="H1451" s="7">
        <v>41767</v>
      </c>
      <c r="I1451" s="6" t="s">
        <v>209</v>
      </c>
      <c r="J1451" s="6"/>
      <c r="K1451" s="6"/>
      <c r="L1451" s="6"/>
      <c r="M1451" s="15"/>
      <c r="N1451" s="15"/>
      <c r="O1451" s="27" t="s">
        <v>1918</v>
      </c>
    </row>
    <row r="1452" spans="1:15" s="1" customFormat="1" ht="14.25" customHeight="1">
      <c r="A1452" s="3" t="s">
        <v>382</v>
      </c>
      <c r="B1452" s="5" t="s">
        <v>4693</v>
      </c>
      <c r="C1452" s="3"/>
      <c r="D1452" s="5"/>
      <c r="E1452" s="5" t="s">
        <v>124</v>
      </c>
      <c r="F1452" s="3" t="s">
        <v>4694</v>
      </c>
      <c r="G1452" s="6">
        <v>205</v>
      </c>
      <c r="H1452" s="7">
        <v>41767</v>
      </c>
      <c r="I1452" s="6" t="s">
        <v>209</v>
      </c>
      <c r="J1452" s="6"/>
      <c r="K1452" s="6"/>
      <c r="L1452" s="6"/>
      <c r="M1452" s="15"/>
      <c r="N1452" s="15"/>
      <c r="O1452" s="27" t="s">
        <v>1918</v>
      </c>
    </row>
    <row r="1453" spans="1:15" ht="14.25" customHeight="1">
      <c r="A1453" s="3" t="s">
        <v>1498</v>
      </c>
      <c r="B1453" s="4"/>
      <c r="C1453" s="3"/>
      <c r="D1453" s="5" t="s">
        <v>1499</v>
      </c>
      <c r="E1453" s="5" t="s">
        <v>124</v>
      </c>
      <c r="F1453" s="3" t="s">
        <v>4695</v>
      </c>
      <c r="G1453" s="6">
        <f>17.52*L1453</f>
        <v>210.24</v>
      </c>
      <c r="H1453" s="7">
        <v>41767</v>
      </c>
      <c r="I1453" s="6" t="s">
        <v>265</v>
      </c>
      <c r="J1453" s="6" t="s">
        <v>4696</v>
      </c>
      <c r="K1453" s="6" t="s">
        <v>21</v>
      </c>
      <c r="L1453" s="6">
        <v>12</v>
      </c>
      <c r="M1453" s="15" t="s">
        <v>4697</v>
      </c>
      <c r="N1453" s="15" t="s">
        <v>164</v>
      </c>
      <c r="O1453" s="28" t="s">
        <v>4697</v>
      </c>
    </row>
    <row r="1454" spans="1:15" ht="14.25" customHeight="1">
      <c r="A1454" s="3" t="s">
        <v>1498</v>
      </c>
      <c r="B1454" s="4"/>
      <c r="C1454" s="3"/>
      <c r="D1454" s="5" t="s">
        <v>1499</v>
      </c>
      <c r="E1454" s="5" t="s">
        <v>124</v>
      </c>
      <c r="F1454" s="3" t="s">
        <v>4698</v>
      </c>
      <c r="G1454" s="6">
        <f>17.52*L1454</f>
        <v>227.76</v>
      </c>
      <c r="H1454" s="7">
        <v>41767</v>
      </c>
      <c r="I1454" s="6" t="s">
        <v>265</v>
      </c>
      <c r="J1454" s="6" t="s">
        <v>4699</v>
      </c>
      <c r="K1454" s="6" t="s">
        <v>21</v>
      </c>
      <c r="L1454" s="6">
        <v>13</v>
      </c>
      <c r="M1454" s="15" t="s">
        <v>4697</v>
      </c>
      <c r="N1454" s="15" t="s">
        <v>167</v>
      </c>
      <c r="O1454" s="28" t="s">
        <v>4700</v>
      </c>
    </row>
    <row r="1455" spans="1:15" s="1" customFormat="1" ht="14.25" customHeight="1">
      <c r="A1455" s="3" t="s">
        <v>1072</v>
      </c>
      <c r="B1455" s="4"/>
      <c r="C1455" s="3"/>
      <c r="D1455" s="5" t="s">
        <v>1963</v>
      </c>
      <c r="E1455" s="5" t="s">
        <v>124</v>
      </c>
      <c r="F1455" s="3" t="s">
        <v>4701</v>
      </c>
      <c r="G1455" s="6">
        <f>17.712*L1455</f>
        <v>212.54399999999998</v>
      </c>
      <c r="H1455" s="7">
        <v>41767</v>
      </c>
      <c r="I1455" s="6" t="s">
        <v>265</v>
      </c>
      <c r="J1455" s="6" t="s">
        <v>4702</v>
      </c>
      <c r="K1455" s="6" t="s">
        <v>21</v>
      </c>
      <c r="L1455" s="6">
        <v>12</v>
      </c>
      <c r="M1455" s="15" t="s">
        <v>4703</v>
      </c>
      <c r="N1455" s="15" t="s">
        <v>164</v>
      </c>
      <c r="O1455" s="28" t="s">
        <v>4703</v>
      </c>
    </row>
    <row r="1456" spans="1:15" ht="14.25" customHeight="1">
      <c r="A1456" s="3" t="s">
        <v>465</v>
      </c>
      <c r="B1456" s="4"/>
      <c r="C1456" s="3"/>
      <c r="D1456" s="5" t="s">
        <v>391</v>
      </c>
      <c r="E1456" s="5" t="s">
        <v>124</v>
      </c>
      <c r="F1456" s="3" t="s">
        <v>4704</v>
      </c>
      <c r="G1456" s="6">
        <f>17.712*L1456</f>
        <v>177.12</v>
      </c>
      <c r="H1456" s="7">
        <v>41767</v>
      </c>
      <c r="I1456" s="6" t="s">
        <v>265</v>
      </c>
      <c r="J1456" s="6" t="s">
        <v>4705</v>
      </c>
      <c r="K1456" s="6" t="s">
        <v>21</v>
      </c>
      <c r="L1456" s="6">
        <v>10</v>
      </c>
      <c r="M1456" s="15" t="s">
        <v>4706</v>
      </c>
      <c r="N1456" s="15" t="s">
        <v>35</v>
      </c>
      <c r="O1456" s="28" t="s">
        <v>4706</v>
      </c>
    </row>
    <row r="1457" spans="1:15" s="1" customFormat="1" ht="14.25" customHeight="1">
      <c r="A1457" s="3" t="s">
        <v>465</v>
      </c>
      <c r="B1457" s="4"/>
      <c r="C1457" s="3"/>
      <c r="D1457" s="5" t="s">
        <v>391</v>
      </c>
      <c r="E1457" s="5" t="s">
        <v>124</v>
      </c>
      <c r="F1457" s="3" t="s">
        <v>4707</v>
      </c>
      <c r="G1457" s="6">
        <f>17.712*L1457</f>
        <v>177.12</v>
      </c>
      <c r="H1457" s="7">
        <v>41767</v>
      </c>
      <c r="I1457" s="6" t="s">
        <v>265</v>
      </c>
      <c r="J1457" s="6" t="s">
        <v>4708</v>
      </c>
      <c r="K1457" s="6" t="s">
        <v>21</v>
      </c>
      <c r="L1457" s="6">
        <v>10</v>
      </c>
      <c r="M1457" s="15" t="s">
        <v>4706</v>
      </c>
      <c r="N1457" s="15" t="s">
        <v>556</v>
      </c>
      <c r="O1457" s="28" t="s">
        <v>4709</v>
      </c>
    </row>
    <row r="1458" spans="1:15" ht="14.25" customHeight="1">
      <c r="A1458" s="5" t="s">
        <v>269</v>
      </c>
      <c r="B1458" s="4"/>
      <c r="C1458" s="3"/>
      <c r="D1458" s="5" t="s">
        <v>270</v>
      </c>
      <c r="E1458" s="5" t="s">
        <v>7026</v>
      </c>
      <c r="F1458" s="3" t="s">
        <v>8062</v>
      </c>
      <c r="G1458" s="6">
        <f>17.498*L1458</f>
        <v>209.976</v>
      </c>
      <c r="H1458" s="7">
        <v>41767</v>
      </c>
      <c r="I1458" s="6" t="s">
        <v>913</v>
      </c>
      <c r="J1458" s="6" t="s">
        <v>8063</v>
      </c>
      <c r="K1458" s="6" t="s">
        <v>21</v>
      </c>
      <c r="L1458" s="6">
        <v>12</v>
      </c>
      <c r="M1458" s="15" t="s">
        <v>7928</v>
      </c>
      <c r="N1458" s="15" t="s">
        <v>8064</v>
      </c>
      <c r="O1458" s="27" t="s">
        <v>8065</v>
      </c>
    </row>
    <row r="1459" spans="1:15" ht="14.25" customHeight="1">
      <c r="A1459" s="5" t="s">
        <v>269</v>
      </c>
      <c r="B1459" s="4"/>
      <c r="C1459" s="3"/>
      <c r="D1459" s="5" t="s">
        <v>270</v>
      </c>
      <c r="E1459" s="5" t="s">
        <v>7026</v>
      </c>
      <c r="F1459" s="3" t="s">
        <v>8066</v>
      </c>
      <c r="G1459" s="6">
        <f>17.498*L1459</f>
        <v>209.976</v>
      </c>
      <c r="H1459" s="7">
        <v>41767</v>
      </c>
      <c r="I1459" s="6" t="s">
        <v>913</v>
      </c>
      <c r="J1459" s="6" t="s">
        <v>8067</v>
      </c>
      <c r="K1459" s="6" t="s">
        <v>21</v>
      </c>
      <c r="L1459" s="6">
        <v>12</v>
      </c>
      <c r="M1459" s="15" t="s">
        <v>7928</v>
      </c>
      <c r="N1459" s="15" t="s">
        <v>5860</v>
      </c>
      <c r="O1459" s="27"/>
    </row>
    <row r="1460" spans="1:15" s="1" customFormat="1" ht="14.25" customHeight="1">
      <c r="A1460" s="22" t="s">
        <v>812</v>
      </c>
      <c r="B1460" s="4"/>
      <c r="C1460" s="3"/>
      <c r="D1460" s="5" t="s">
        <v>3759</v>
      </c>
      <c r="E1460" s="5" t="s">
        <v>124</v>
      </c>
      <c r="F1460" s="3" t="s">
        <v>4710</v>
      </c>
      <c r="G1460" s="6">
        <v>118.82599999999999</v>
      </c>
      <c r="H1460" s="7">
        <v>41768</v>
      </c>
      <c r="I1460" s="6" t="s">
        <v>209</v>
      </c>
      <c r="J1460" s="6" t="s">
        <v>4711</v>
      </c>
      <c r="K1460" s="6" t="s">
        <v>128</v>
      </c>
      <c r="L1460" s="6" t="s">
        <v>4712</v>
      </c>
      <c r="M1460" s="15" t="s">
        <v>4713</v>
      </c>
      <c r="N1460" s="15" t="s">
        <v>4714</v>
      </c>
      <c r="O1460" s="15" t="s">
        <v>4715</v>
      </c>
    </row>
    <row r="1461" spans="1:15" s="1" customFormat="1" ht="14.25" customHeight="1">
      <c r="A1461" s="3" t="s">
        <v>1006</v>
      </c>
      <c r="B1461" s="4"/>
      <c r="C1461" s="3"/>
      <c r="D1461" s="5" t="s">
        <v>383</v>
      </c>
      <c r="E1461" s="5" t="s">
        <v>124</v>
      </c>
      <c r="F1461" s="3" t="s">
        <v>4716</v>
      </c>
      <c r="G1461" s="6">
        <v>77.195999999999998</v>
      </c>
      <c r="H1461" s="7">
        <v>41768</v>
      </c>
      <c r="I1461" s="6" t="s">
        <v>209</v>
      </c>
      <c r="J1461" s="6" t="s">
        <v>4717</v>
      </c>
      <c r="K1461" s="6" t="s">
        <v>128</v>
      </c>
      <c r="L1461" s="6" t="s">
        <v>720</v>
      </c>
      <c r="M1461" s="15" t="s">
        <v>4718</v>
      </c>
      <c r="N1461" s="15" t="s">
        <v>4719</v>
      </c>
      <c r="O1461" s="15" t="s">
        <v>4720</v>
      </c>
    </row>
    <row r="1462" spans="1:15" s="1" customFormat="1" ht="14.25" customHeight="1">
      <c r="A1462" s="3" t="s">
        <v>1006</v>
      </c>
      <c r="B1462" s="4"/>
      <c r="C1462" s="3"/>
      <c r="D1462" s="5" t="s">
        <v>383</v>
      </c>
      <c r="E1462" s="5" t="s">
        <v>124</v>
      </c>
      <c r="F1462" s="3" t="s">
        <v>4721</v>
      </c>
      <c r="G1462" s="6">
        <v>262.06200000000001</v>
      </c>
      <c r="H1462" s="7">
        <v>41768</v>
      </c>
      <c r="I1462" s="6" t="s">
        <v>209</v>
      </c>
      <c r="J1462" s="6" t="s">
        <v>4722</v>
      </c>
      <c r="K1462" s="6" t="s">
        <v>128</v>
      </c>
      <c r="L1462" s="6" t="s">
        <v>4723</v>
      </c>
      <c r="M1462" s="15" t="s">
        <v>4724</v>
      </c>
      <c r="N1462" s="15" t="s">
        <v>4725</v>
      </c>
      <c r="O1462" s="28" t="s">
        <v>4726</v>
      </c>
    </row>
    <row r="1463" spans="1:15" s="1" customFormat="1" ht="14.25" customHeight="1">
      <c r="A1463" s="3" t="s">
        <v>1006</v>
      </c>
      <c r="B1463" s="4"/>
      <c r="C1463" s="3"/>
      <c r="D1463" s="5" t="s">
        <v>383</v>
      </c>
      <c r="E1463" s="5" t="s">
        <v>124</v>
      </c>
      <c r="F1463" s="3" t="s">
        <v>4727</v>
      </c>
      <c r="G1463" s="6">
        <v>122.64</v>
      </c>
      <c r="H1463" s="7">
        <v>41768</v>
      </c>
      <c r="I1463" s="6" t="s">
        <v>209</v>
      </c>
      <c r="J1463" s="6" t="s">
        <v>4728</v>
      </c>
      <c r="K1463" s="6" t="s">
        <v>128</v>
      </c>
      <c r="L1463" s="6" t="s">
        <v>4729</v>
      </c>
      <c r="M1463" s="15" t="s">
        <v>4730</v>
      </c>
      <c r="N1463" s="15" t="s">
        <v>4731</v>
      </c>
      <c r="O1463" s="15" t="s">
        <v>4732</v>
      </c>
    </row>
    <row r="1464" spans="1:15" ht="14.25" customHeight="1">
      <c r="A1464" s="3" t="s">
        <v>1006</v>
      </c>
      <c r="B1464" s="4"/>
      <c r="C1464" s="3"/>
      <c r="D1464" s="5" t="s">
        <v>383</v>
      </c>
      <c r="E1464" s="5" t="s">
        <v>124</v>
      </c>
      <c r="F1464" s="3" t="s">
        <v>4733</v>
      </c>
      <c r="G1464" s="6">
        <v>155.059</v>
      </c>
      <c r="H1464" s="7">
        <v>41768</v>
      </c>
      <c r="I1464" s="6" t="s">
        <v>209</v>
      </c>
      <c r="J1464" s="6" t="s">
        <v>4734</v>
      </c>
      <c r="K1464" s="6" t="s">
        <v>128</v>
      </c>
      <c r="L1464" s="6" t="s">
        <v>2782</v>
      </c>
      <c r="M1464" s="15" t="s">
        <v>4735</v>
      </c>
      <c r="N1464" s="15" t="s">
        <v>4736</v>
      </c>
      <c r="O1464" s="15" t="s">
        <v>4737</v>
      </c>
    </row>
    <row r="1465" spans="1:15" s="1" customFormat="1" ht="14.25" customHeight="1">
      <c r="A1465" s="3" t="s">
        <v>1006</v>
      </c>
      <c r="B1465" s="4"/>
      <c r="C1465" s="3"/>
      <c r="D1465" s="5" t="s">
        <v>383</v>
      </c>
      <c r="E1465" s="5" t="s">
        <v>124</v>
      </c>
      <c r="F1465" s="3" t="s">
        <v>4738</v>
      </c>
      <c r="G1465" s="6">
        <v>155.036</v>
      </c>
      <c r="H1465" s="7">
        <v>41768</v>
      </c>
      <c r="I1465" s="6" t="s">
        <v>209</v>
      </c>
      <c r="J1465" s="6" t="s">
        <v>4739</v>
      </c>
      <c r="K1465" s="6" t="s">
        <v>128</v>
      </c>
      <c r="L1465" s="6" t="s">
        <v>2782</v>
      </c>
      <c r="M1465" s="15" t="s">
        <v>4740</v>
      </c>
      <c r="N1465" s="15" t="s">
        <v>4741</v>
      </c>
      <c r="O1465" s="15" t="s">
        <v>4742</v>
      </c>
    </row>
    <row r="1466" spans="1:15" s="1" customFormat="1" ht="14.25" customHeight="1">
      <c r="A1466" s="3" t="s">
        <v>1498</v>
      </c>
      <c r="B1466" s="4"/>
      <c r="C1466" s="3"/>
      <c r="D1466" s="5" t="s">
        <v>1499</v>
      </c>
      <c r="E1466" s="5" t="s">
        <v>124</v>
      </c>
      <c r="F1466" s="3" t="s">
        <v>4743</v>
      </c>
      <c r="G1466" s="6">
        <f>17.52*L1466</f>
        <v>87.6</v>
      </c>
      <c r="H1466" s="7">
        <v>41768</v>
      </c>
      <c r="I1466" s="6" t="s">
        <v>265</v>
      </c>
      <c r="J1466" s="6" t="s">
        <v>4744</v>
      </c>
      <c r="K1466" s="6" t="s">
        <v>21</v>
      </c>
      <c r="L1466" s="6">
        <v>5</v>
      </c>
      <c r="M1466" s="5" t="s">
        <v>4745</v>
      </c>
      <c r="N1466" s="15" t="s">
        <v>59</v>
      </c>
      <c r="O1466" s="3" t="s">
        <v>4745</v>
      </c>
    </row>
    <row r="1467" spans="1:15" s="1" customFormat="1" ht="14.25" customHeight="1">
      <c r="A1467" s="3" t="s">
        <v>793</v>
      </c>
      <c r="B1467" s="4"/>
      <c r="C1467" s="3"/>
      <c r="D1467" s="5" t="s">
        <v>794</v>
      </c>
      <c r="E1467" s="5" t="s">
        <v>124</v>
      </c>
      <c r="F1467" s="3" t="s">
        <v>4746</v>
      </c>
      <c r="G1467" s="6">
        <f>8.137*L1467</f>
        <v>203.42500000000001</v>
      </c>
      <c r="H1467" s="7">
        <v>41768</v>
      </c>
      <c r="I1467" s="6" t="s">
        <v>186</v>
      </c>
      <c r="J1467" s="6" t="s">
        <v>4747</v>
      </c>
      <c r="K1467" s="6" t="s">
        <v>21</v>
      </c>
      <c r="L1467" s="6">
        <v>25</v>
      </c>
      <c r="M1467" s="5" t="s">
        <v>4748</v>
      </c>
      <c r="N1467" s="15" t="s">
        <v>281</v>
      </c>
      <c r="O1467" s="6" t="s">
        <v>4748</v>
      </c>
    </row>
    <row r="1468" spans="1:15" s="1" customFormat="1" ht="14.25" customHeight="1">
      <c r="A1468" s="5" t="s">
        <v>1127</v>
      </c>
      <c r="B1468" s="4"/>
      <c r="C1468" s="3"/>
      <c r="D1468" s="5" t="s">
        <v>1128</v>
      </c>
      <c r="E1468" s="5" t="s">
        <v>7026</v>
      </c>
      <c r="F1468" s="3" t="s">
        <v>8068</v>
      </c>
      <c r="G1468" s="6">
        <f>29.101*L1468</f>
        <v>378.31299999999999</v>
      </c>
      <c r="H1468" s="7">
        <v>41768</v>
      </c>
      <c r="I1468" s="6" t="s">
        <v>178</v>
      </c>
      <c r="J1468" s="6" t="s">
        <v>8069</v>
      </c>
      <c r="K1468" s="6" t="s">
        <v>21</v>
      </c>
      <c r="L1468" s="6">
        <v>13</v>
      </c>
      <c r="M1468" s="28" t="s">
        <v>8070</v>
      </c>
      <c r="N1468" s="15" t="s">
        <v>1215</v>
      </c>
      <c r="O1468" s="27"/>
    </row>
    <row r="1469" spans="1:15" ht="14.25" customHeight="1">
      <c r="A1469" s="5" t="s">
        <v>1127</v>
      </c>
      <c r="B1469" s="4"/>
      <c r="C1469" s="3"/>
      <c r="D1469" s="5" t="s">
        <v>1128</v>
      </c>
      <c r="E1469" s="5" t="s">
        <v>7026</v>
      </c>
      <c r="F1469" s="3" t="s">
        <v>8071</v>
      </c>
      <c r="G1469" s="6">
        <f>29.101*L1469</f>
        <v>349.21199999999999</v>
      </c>
      <c r="H1469" s="7">
        <v>41768</v>
      </c>
      <c r="I1469" s="6" t="s">
        <v>178</v>
      </c>
      <c r="J1469" s="6" t="s">
        <v>8072</v>
      </c>
      <c r="K1469" s="6" t="s">
        <v>21</v>
      </c>
      <c r="L1469" s="6">
        <v>12</v>
      </c>
      <c r="M1469" s="28" t="s">
        <v>8073</v>
      </c>
      <c r="N1469" s="15" t="s">
        <v>164</v>
      </c>
      <c r="O1469" s="27"/>
    </row>
    <row r="1470" spans="1:15" ht="14.25" customHeight="1">
      <c r="A1470" s="5" t="s">
        <v>1127</v>
      </c>
      <c r="B1470" s="4"/>
      <c r="C1470" s="3"/>
      <c r="D1470" s="5" t="s">
        <v>1128</v>
      </c>
      <c r="E1470" s="5" t="s">
        <v>7026</v>
      </c>
      <c r="F1470" s="3" t="s">
        <v>8074</v>
      </c>
      <c r="G1470" s="6">
        <f>29.101*L1470</f>
        <v>378.31299999999999</v>
      </c>
      <c r="H1470" s="7">
        <v>41768</v>
      </c>
      <c r="I1470" s="6" t="s">
        <v>178</v>
      </c>
      <c r="J1470" s="6" t="s">
        <v>8075</v>
      </c>
      <c r="K1470" s="6" t="s">
        <v>21</v>
      </c>
      <c r="L1470" s="6">
        <v>13</v>
      </c>
      <c r="M1470" s="28" t="s">
        <v>8073</v>
      </c>
      <c r="N1470" s="15" t="s">
        <v>167</v>
      </c>
      <c r="O1470" s="27"/>
    </row>
    <row r="1471" spans="1:15" s="1" customFormat="1" ht="14.25" customHeight="1">
      <c r="A1471" s="5" t="s">
        <v>1127</v>
      </c>
      <c r="B1471" s="4"/>
      <c r="C1471" s="3"/>
      <c r="D1471" s="5" t="s">
        <v>1128</v>
      </c>
      <c r="E1471" s="5" t="s">
        <v>7026</v>
      </c>
      <c r="F1471" s="3" t="s">
        <v>8076</v>
      </c>
      <c r="G1471" s="6">
        <f>29.101*L1471</f>
        <v>349.21199999999999</v>
      </c>
      <c r="H1471" s="7">
        <v>41768</v>
      </c>
      <c r="I1471" s="6" t="s">
        <v>178</v>
      </c>
      <c r="J1471" s="6" t="s">
        <v>8077</v>
      </c>
      <c r="K1471" s="6" t="s">
        <v>21</v>
      </c>
      <c r="L1471" s="6">
        <v>12</v>
      </c>
      <c r="M1471" s="28" t="s">
        <v>8078</v>
      </c>
      <c r="N1471" s="15" t="s">
        <v>164</v>
      </c>
      <c r="O1471" s="27"/>
    </row>
    <row r="1472" spans="1:15" ht="14.25" customHeight="1">
      <c r="A1472" s="5" t="s">
        <v>1127</v>
      </c>
      <c r="B1472" s="4"/>
      <c r="C1472" s="3"/>
      <c r="D1472" s="5" t="s">
        <v>1128</v>
      </c>
      <c r="E1472" s="5" t="s">
        <v>7026</v>
      </c>
      <c r="F1472" s="3" t="s">
        <v>8079</v>
      </c>
      <c r="G1472" s="6">
        <f>29.101*L1472</f>
        <v>378.31299999999999</v>
      </c>
      <c r="H1472" s="7">
        <v>41768</v>
      </c>
      <c r="I1472" s="6" t="s">
        <v>178</v>
      </c>
      <c r="J1472" s="6" t="s">
        <v>8080</v>
      </c>
      <c r="K1472" s="6" t="s">
        <v>21</v>
      </c>
      <c r="L1472" s="6">
        <v>13</v>
      </c>
      <c r="M1472" s="28" t="s">
        <v>8078</v>
      </c>
      <c r="N1472" s="15" t="s">
        <v>167</v>
      </c>
      <c r="O1472" s="27"/>
    </row>
    <row r="1473" spans="1:15" s="1" customFormat="1" ht="14.25" customHeight="1">
      <c r="A1473" s="3" t="s">
        <v>1498</v>
      </c>
      <c r="B1473" s="4"/>
      <c r="C1473" s="3"/>
      <c r="D1473" s="5" t="s">
        <v>1499</v>
      </c>
      <c r="E1473" s="5" t="s">
        <v>124</v>
      </c>
      <c r="F1473" s="3" t="s">
        <v>4749</v>
      </c>
      <c r="G1473" s="6">
        <f>17.52*L1473</f>
        <v>87.6</v>
      </c>
      <c r="H1473" s="7">
        <v>41772</v>
      </c>
      <c r="I1473" s="6" t="s">
        <v>265</v>
      </c>
      <c r="J1473" s="6" t="s">
        <v>4750</v>
      </c>
      <c r="K1473" s="6" t="s">
        <v>21</v>
      </c>
      <c r="L1473" s="6">
        <v>5</v>
      </c>
      <c r="M1473" s="15" t="s">
        <v>4751</v>
      </c>
      <c r="N1473" s="15" t="s">
        <v>4752</v>
      </c>
      <c r="O1473" s="28" t="s">
        <v>4751</v>
      </c>
    </row>
    <row r="1474" spans="1:15" s="1" customFormat="1" ht="14.25" customHeight="1">
      <c r="A1474" s="3" t="s">
        <v>596</v>
      </c>
      <c r="B1474" s="4"/>
      <c r="C1474" s="3"/>
      <c r="D1474" s="5" t="s">
        <v>598</v>
      </c>
      <c r="E1474" s="5" t="s">
        <v>124</v>
      </c>
      <c r="F1474" s="3" t="s">
        <v>4753</v>
      </c>
      <c r="G1474" s="6">
        <f>17.52*L1474</f>
        <v>87.6</v>
      </c>
      <c r="H1474" s="7">
        <v>41772</v>
      </c>
      <c r="I1474" s="6" t="s">
        <v>265</v>
      </c>
      <c r="J1474" s="6" t="s">
        <v>4754</v>
      </c>
      <c r="K1474" s="6" t="s">
        <v>21</v>
      </c>
      <c r="L1474" s="6">
        <v>5</v>
      </c>
      <c r="M1474" s="15" t="s">
        <v>4755</v>
      </c>
      <c r="N1474" s="15" t="s">
        <v>1284</v>
      </c>
      <c r="O1474" s="28" t="s">
        <v>4755</v>
      </c>
    </row>
    <row r="1475" spans="1:15" s="1" customFormat="1" ht="14.25" customHeight="1">
      <c r="A1475" s="3" t="s">
        <v>753</v>
      </c>
      <c r="B1475" s="4"/>
      <c r="C1475" s="3"/>
      <c r="D1475" s="5" t="s">
        <v>754</v>
      </c>
      <c r="E1475" s="5" t="s">
        <v>124</v>
      </c>
      <c r="F1475" s="3" t="s">
        <v>4756</v>
      </c>
      <c r="G1475" s="6">
        <f>17.52*L1475</f>
        <v>262.8</v>
      </c>
      <c r="H1475" s="7">
        <v>41772</v>
      </c>
      <c r="I1475" s="6" t="s">
        <v>265</v>
      </c>
      <c r="J1475" s="6" t="s">
        <v>4757</v>
      </c>
      <c r="K1475" s="6" t="s">
        <v>21</v>
      </c>
      <c r="L1475" s="6">
        <v>15</v>
      </c>
      <c r="M1475" s="15" t="s">
        <v>4758</v>
      </c>
      <c r="N1475" s="15" t="s">
        <v>4759</v>
      </c>
      <c r="O1475" s="28" t="s">
        <v>4758</v>
      </c>
    </row>
    <row r="1476" spans="1:15" s="1" customFormat="1" ht="14.25" customHeight="1">
      <c r="A1476" s="3" t="s">
        <v>514</v>
      </c>
      <c r="B1476" s="4"/>
      <c r="C1476" s="3"/>
      <c r="D1476" s="5" t="s">
        <v>2030</v>
      </c>
      <c r="E1476" s="5" t="s">
        <v>124</v>
      </c>
      <c r="F1476" s="3" t="s">
        <v>4760</v>
      </c>
      <c r="G1476" s="6">
        <f>14.405*L1476</f>
        <v>172.85999999999999</v>
      </c>
      <c r="H1476" s="7">
        <v>41772</v>
      </c>
      <c r="I1476" s="6" t="s">
        <v>265</v>
      </c>
      <c r="J1476" s="6" t="s">
        <v>4761</v>
      </c>
      <c r="K1476" s="6" t="s">
        <v>21</v>
      </c>
      <c r="L1476" s="6">
        <v>12</v>
      </c>
      <c r="M1476" s="15" t="s">
        <v>4762</v>
      </c>
      <c r="N1476" s="15" t="s">
        <v>78</v>
      </c>
      <c r="O1476" s="28" t="s">
        <v>4762</v>
      </c>
    </row>
    <row r="1477" spans="1:15" ht="14.25" customHeight="1">
      <c r="A1477" s="3" t="s">
        <v>514</v>
      </c>
      <c r="B1477" s="4"/>
      <c r="C1477" s="3"/>
      <c r="D1477" s="5" t="s">
        <v>2030</v>
      </c>
      <c r="E1477" s="5" t="s">
        <v>124</v>
      </c>
      <c r="F1477" s="3" t="s">
        <v>4763</v>
      </c>
      <c r="G1477" s="6">
        <f>14.405*L1477</f>
        <v>187.26499999999999</v>
      </c>
      <c r="H1477" s="7">
        <v>41772</v>
      </c>
      <c r="I1477" s="6" t="s">
        <v>265</v>
      </c>
      <c r="J1477" s="6" t="s">
        <v>4764</v>
      </c>
      <c r="K1477" s="6" t="s">
        <v>21</v>
      </c>
      <c r="L1477" s="6">
        <v>13</v>
      </c>
      <c r="M1477" s="15" t="s">
        <v>4762</v>
      </c>
      <c r="N1477" s="15" t="s">
        <v>167</v>
      </c>
      <c r="O1477" s="28" t="s">
        <v>4765</v>
      </c>
    </row>
    <row r="1478" spans="1:15" s="1" customFormat="1" ht="14.25" customHeight="1">
      <c r="A1478" s="3" t="s">
        <v>4453</v>
      </c>
      <c r="B1478" s="3"/>
      <c r="C1478" s="3"/>
      <c r="D1478" s="5" t="s">
        <v>3106</v>
      </c>
      <c r="E1478" s="5" t="s">
        <v>124</v>
      </c>
      <c r="F1478" s="3" t="s">
        <v>4766</v>
      </c>
      <c r="G1478" s="6">
        <f t="shared" ref="G1478:G1485" si="52">17.498*L1478</f>
        <v>209.976</v>
      </c>
      <c r="H1478" s="7">
        <v>41772</v>
      </c>
      <c r="I1478" s="6" t="s">
        <v>265</v>
      </c>
      <c r="J1478" s="6" t="s">
        <v>4767</v>
      </c>
      <c r="K1478" s="6" t="s">
        <v>21</v>
      </c>
      <c r="L1478" s="6">
        <v>12</v>
      </c>
      <c r="M1478" s="15" t="s">
        <v>4768</v>
      </c>
      <c r="N1478" s="15" t="s">
        <v>78</v>
      </c>
      <c r="O1478" s="15" t="s">
        <v>4768</v>
      </c>
    </row>
    <row r="1479" spans="1:15" s="1" customFormat="1" ht="14.25" customHeight="1">
      <c r="A1479" s="3" t="s">
        <v>4453</v>
      </c>
      <c r="B1479" s="4"/>
      <c r="C1479" s="3"/>
      <c r="D1479" s="5" t="s">
        <v>3106</v>
      </c>
      <c r="E1479" s="5" t="s">
        <v>124</v>
      </c>
      <c r="F1479" s="3" t="s">
        <v>4769</v>
      </c>
      <c r="G1479" s="6">
        <f t="shared" si="52"/>
        <v>227.47400000000002</v>
      </c>
      <c r="H1479" s="7">
        <v>41772</v>
      </c>
      <c r="I1479" s="6" t="s">
        <v>265</v>
      </c>
      <c r="J1479" s="6" t="s">
        <v>4770</v>
      </c>
      <c r="K1479" s="6" t="s">
        <v>21</v>
      </c>
      <c r="L1479" s="6">
        <v>13</v>
      </c>
      <c r="M1479" s="15" t="s">
        <v>4768</v>
      </c>
      <c r="N1479" s="15" t="s">
        <v>167</v>
      </c>
      <c r="O1479" s="28" t="s">
        <v>4771</v>
      </c>
    </row>
    <row r="1480" spans="1:15" s="1" customFormat="1" ht="14.25" customHeight="1">
      <c r="A1480" s="3" t="s">
        <v>4453</v>
      </c>
      <c r="B1480" s="4"/>
      <c r="C1480" s="3"/>
      <c r="D1480" s="5" t="s">
        <v>3106</v>
      </c>
      <c r="E1480" s="5" t="s">
        <v>124</v>
      </c>
      <c r="F1480" s="3" t="s">
        <v>4772</v>
      </c>
      <c r="G1480" s="6">
        <f t="shared" si="52"/>
        <v>209.976</v>
      </c>
      <c r="H1480" s="7">
        <v>41772</v>
      </c>
      <c r="I1480" s="6" t="s">
        <v>265</v>
      </c>
      <c r="J1480" s="6" t="s">
        <v>4773</v>
      </c>
      <c r="K1480" s="6" t="s">
        <v>21</v>
      </c>
      <c r="L1480" s="6">
        <v>12</v>
      </c>
      <c r="M1480" s="15" t="s">
        <v>4774</v>
      </c>
      <c r="N1480" s="15" t="s">
        <v>78</v>
      </c>
      <c r="O1480" s="28" t="s">
        <v>4774</v>
      </c>
    </row>
    <row r="1481" spans="1:15" s="1" customFormat="1" ht="14.25" customHeight="1">
      <c r="A1481" s="3" t="s">
        <v>4453</v>
      </c>
      <c r="B1481" s="4"/>
      <c r="C1481" s="3"/>
      <c r="D1481" s="5" t="s">
        <v>3106</v>
      </c>
      <c r="E1481" s="5" t="s">
        <v>124</v>
      </c>
      <c r="F1481" s="3" t="s">
        <v>4775</v>
      </c>
      <c r="G1481" s="6">
        <f t="shared" si="52"/>
        <v>227.47400000000002</v>
      </c>
      <c r="H1481" s="7">
        <v>41772</v>
      </c>
      <c r="I1481" s="6" t="s">
        <v>265</v>
      </c>
      <c r="J1481" s="6" t="s">
        <v>4776</v>
      </c>
      <c r="K1481" s="6" t="s">
        <v>21</v>
      </c>
      <c r="L1481" s="6">
        <v>13</v>
      </c>
      <c r="M1481" s="15" t="s">
        <v>4774</v>
      </c>
      <c r="N1481" s="15" t="s">
        <v>167</v>
      </c>
      <c r="O1481" s="28" t="s">
        <v>4777</v>
      </c>
    </row>
    <row r="1482" spans="1:15" s="1" customFormat="1" ht="14.25" customHeight="1">
      <c r="A1482" s="3" t="s">
        <v>4453</v>
      </c>
      <c r="B1482" s="4"/>
      <c r="C1482" s="3"/>
      <c r="D1482" s="5" t="s">
        <v>3106</v>
      </c>
      <c r="E1482" s="5" t="s">
        <v>124</v>
      </c>
      <c r="F1482" s="3" t="s">
        <v>4778</v>
      </c>
      <c r="G1482" s="6">
        <f t="shared" si="52"/>
        <v>209.976</v>
      </c>
      <c r="H1482" s="7">
        <v>41772</v>
      </c>
      <c r="I1482" s="6" t="s">
        <v>265</v>
      </c>
      <c r="J1482" s="6" t="s">
        <v>4779</v>
      </c>
      <c r="K1482" s="6" t="s">
        <v>21</v>
      </c>
      <c r="L1482" s="6">
        <v>12</v>
      </c>
      <c r="M1482" s="15" t="s">
        <v>4780</v>
      </c>
      <c r="N1482" s="15" t="s">
        <v>78</v>
      </c>
      <c r="O1482" s="28" t="s">
        <v>4780</v>
      </c>
    </row>
    <row r="1483" spans="1:15" s="1" customFormat="1" ht="14.25" customHeight="1">
      <c r="A1483" s="3" t="s">
        <v>4453</v>
      </c>
      <c r="B1483" s="4"/>
      <c r="C1483" s="3"/>
      <c r="D1483" s="5" t="s">
        <v>3106</v>
      </c>
      <c r="E1483" s="5" t="s">
        <v>124</v>
      </c>
      <c r="F1483" s="3" t="s">
        <v>4781</v>
      </c>
      <c r="G1483" s="6">
        <f t="shared" si="52"/>
        <v>227.47400000000002</v>
      </c>
      <c r="H1483" s="7">
        <v>41772</v>
      </c>
      <c r="I1483" s="6" t="s">
        <v>265</v>
      </c>
      <c r="J1483" s="6" t="s">
        <v>4782</v>
      </c>
      <c r="K1483" s="6" t="s">
        <v>21</v>
      </c>
      <c r="L1483" s="6">
        <v>13</v>
      </c>
      <c r="M1483" s="15" t="s">
        <v>4780</v>
      </c>
      <c r="N1483" s="15" t="s">
        <v>167</v>
      </c>
      <c r="O1483" s="28" t="s">
        <v>4783</v>
      </c>
    </row>
    <row r="1484" spans="1:15" s="1" customFormat="1" ht="14.25" customHeight="1">
      <c r="A1484" s="3" t="s">
        <v>4453</v>
      </c>
      <c r="B1484" s="4"/>
      <c r="C1484" s="3"/>
      <c r="D1484" s="5" t="s">
        <v>3106</v>
      </c>
      <c r="E1484" s="5" t="s">
        <v>124</v>
      </c>
      <c r="F1484" s="3" t="s">
        <v>4784</v>
      </c>
      <c r="G1484" s="6">
        <f t="shared" si="52"/>
        <v>209.976</v>
      </c>
      <c r="H1484" s="7">
        <v>41772</v>
      </c>
      <c r="I1484" s="6" t="s">
        <v>265</v>
      </c>
      <c r="J1484" s="6" t="s">
        <v>4785</v>
      </c>
      <c r="K1484" s="6" t="s">
        <v>21</v>
      </c>
      <c r="L1484" s="6">
        <v>12</v>
      </c>
      <c r="M1484" s="15" t="s">
        <v>4786</v>
      </c>
      <c r="N1484" s="15" t="s">
        <v>78</v>
      </c>
      <c r="O1484" s="28" t="s">
        <v>4786</v>
      </c>
    </row>
    <row r="1485" spans="1:15" s="1" customFormat="1" ht="14.25" customHeight="1">
      <c r="A1485" s="3" t="s">
        <v>4453</v>
      </c>
      <c r="B1485" s="4"/>
      <c r="C1485" s="3"/>
      <c r="D1485" s="5" t="s">
        <v>3106</v>
      </c>
      <c r="E1485" s="5" t="s">
        <v>124</v>
      </c>
      <c r="F1485" s="3" t="s">
        <v>4787</v>
      </c>
      <c r="G1485" s="6">
        <f t="shared" si="52"/>
        <v>227.47400000000002</v>
      </c>
      <c r="H1485" s="7">
        <v>41772</v>
      </c>
      <c r="I1485" s="6" t="s">
        <v>265</v>
      </c>
      <c r="J1485" s="6" t="s">
        <v>4788</v>
      </c>
      <c r="K1485" s="6" t="s">
        <v>21</v>
      </c>
      <c r="L1485" s="6">
        <v>13</v>
      </c>
      <c r="M1485" s="15" t="s">
        <v>4786</v>
      </c>
      <c r="N1485" s="15" t="s">
        <v>167</v>
      </c>
      <c r="O1485" s="28" t="s">
        <v>4789</v>
      </c>
    </row>
    <row r="1486" spans="1:15" ht="14.25" customHeight="1">
      <c r="A1486" s="3" t="s">
        <v>157</v>
      </c>
      <c r="B1486" s="3" t="s">
        <v>283</v>
      </c>
      <c r="C1486" s="3"/>
      <c r="D1486" s="5" t="s">
        <v>1098</v>
      </c>
      <c r="E1486" s="5" t="s">
        <v>124</v>
      </c>
      <c r="F1486" s="3" t="s">
        <v>9212</v>
      </c>
      <c r="G1486" s="6">
        <f>9.871*L1486</f>
        <v>98.710000000000008</v>
      </c>
      <c r="H1486" s="7">
        <v>41772</v>
      </c>
      <c r="I1486" s="6" t="s">
        <v>161</v>
      </c>
      <c r="J1486" s="6" t="s">
        <v>9213</v>
      </c>
      <c r="K1486" s="6" t="s">
        <v>21</v>
      </c>
      <c r="L1486" s="6">
        <v>10</v>
      </c>
      <c r="M1486" s="15" t="s">
        <v>9214</v>
      </c>
      <c r="N1486" s="15" t="s">
        <v>114</v>
      </c>
      <c r="O1486" s="15" t="s">
        <v>9214</v>
      </c>
    </row>
    <row r="1487" spans="1:15" ht="14.25" customHeight="1">
      <c r="A1487" s="3" t="s">
        <v>1285</v>
      </c>
      <c r="B1487" s="3" t="s">
        <v>4520</v>
      </c>
      <c r="C1487" s="3"/>
      <c r="D1487" s="5" t="s">
        <v>1287</v>
      </c>
      <c r="E1487" s="5" t="s">
        <v>124</v>
      </c>
      <c r="F1487" s="3" t="s">
        <v>4790</v>
      </c>
      <c r="G1487" s="6">
        <f>8.606*L1487</f>
        <v>103.27199999999999</v>
      </c>
      <c r="H1487" s="7">
        <v>41772</v>
      </c>
      <c r="I1487" s="6" t="s">
        <v>272</v>
      </c>
      <c r="J1487" s="6" t="s">
        <v>4791</v>
      </c>
      <c r="K1487" s="6" t="s">
        <v>21</v>
      </c>
      <c r="L1487" s="6">
        <v>12</v>
      </c>
      <c r="M1487" s="15" t="s">
        <v>4792</v>
      </c>
      <c r="N1487" s="15" t="s">
        <v>164</v>
      </c>
      <c r="O1487" s="28" t="s">
        <v>4792</v>
      </c>
    </row>
    <row r="1488" spans="1:15" s="1" customFormat="1" ht="14.25" customHeight="1">
      <c r="A1488" s="3" t="s">
        <v>1285</v>
      </c>
      <c r="B1488" s="3" t="s">
        <v>4520</v>
      </c>
      <c r="C1488" s="3"/>
      <c r="D1488" s="5" t="s">
        <v>1287</v>
      </c>
      <c r="E1488" s="5" t="s">
        <v>124</v>
      </c>
      <c r="F1488" s="3" t="s">
        <v>4793</v>
      </c>
      <c r="G1488" s="6">
        <f>8.606*L1488</f>
        <v>111.878</v>
      </c>
      <c r="H1488" s="7">
        <v>41772</v>
      </c>
      <c r="I1488" s="6" t="s">
        <v>272</v>
      </c>
      <c r="J1488" s="6" t="s">
        <v>4794</v>
      </c>
      <c r="K1488" s="6" t="s">
        <v>21</v>
      </c>
      <c r="L1488" s="6">
        <v>13</v>
      </c>
      <c r="M1488" s="15" t="s">
        <v>4792</v>
      </c>
      <c r="N1488" s="15" t="s">
        <v>167</v>
      </c>
      <c r="O1488" s="28" t="s">
        <v>4795</v>
      </c>
    </row>
    <row r="1489" spans="1:15" ht="14.25" customHeight="1">
      <c r="A1489" s="3" t="s">
        <v>793</v>
      </c>
      <c r="B1489" s="4"/>
      <c r="C1489" s="3"/>
      <c r="D1489" s="5" t="s">
        <v>794</v>
      </c>
      <c r="E1489" s="5" t="s">
        <v>124</v>
      </c>
      <c r="F1489" s="3" t="s">
        <v>4796</v>
      </c>
      <c r="G1489" s="6">
        <f>8.137*L1489</f>
        <v>122.05500000000001</v>
      </c>
      <c r="H1489" s="7">
        <v>41772</v>
      </c>
      <c r="I1489" s="6" t="s">
        <v>186</v>
      </c>
      <c r="J1489" s="6" t="s">
        <v>4797</v>
      </c>
      <c r="K1489" s="6" t="s">
        <v>21</v>
      </c>
      <c r="L1489" s="6">
        <v>15</v>
      </c>
      <c r="M1489" s="15" t="s">
        <v>4798</v>
      </c>
      <c r="N1489" s="15" t="s">
        <v>2771</v>
      </c>
      <c r="O1489" s="28" t="s">
        <v>4798</v>
      </c>
    </row>
    <row r="1490" spans="1:15" s="1" customFormat="1" ht="14.25" customHeight="1">
      <c r="A1490" s="3" t="s">
        <v>1908</v>
      </c>
      <c r="B1490" s="4"/>
      <c r="C1490" s="3"/>
      <c r="D1490" s="5" t="s">
        <v>2497</v>
      </c>
      <c r="E1490" s="5" t="s">
        <v>124</v>
      </c>
      <c r="F1490" s="3" t="s">
        <v>4799</v>
      </c>
      <c r="G1490" s="6">
        <f>27.688*L1490</f>
        <v>193.816</v>
      </c>
      <c r="H1490" s="7">
        <v>41772</v>
      </c>
      <c r="I1490" s="6" t="s">
        <v>907</v>
      </c>
      <c r="J1490" s="6" t="s">
        <v>4800</v>
      </c>
      <c r="K1490" s="6" t="s">
        <v>21</v>
      </c>
      <c r="L1490" s="6">
        <v>7</v>
      </c>
      <c r="M1490" s="15" t="s">
        <v>4801</v>
      </c>
      <c r="N1490" s="15" t="s">
        <v>1460</v>
      </c>
      <c r="O1490" s="28" t="s">
        <v>4801</v>
      </c>
    </row>
    <row r="1491" spans="1:15" ht="14.25" customHeight="1">
      <c r="A1491" s="3" t="s">
        <v>1810</v>
      </c>
      <c r="B1491" s="4"/>
      <c r="C1491" s="3"/>
      <c r="D1491" s="5" t="s">
        <v>717</v>
      </c>
      <c r="E1491" s="5" t="s">
        <v>124</v>
      </c>
      <c r="F1491" s="3" t="s">
        <v>4802</v>
      </c>
      <c r="G1491" s="6">
        <v>154.44300000000001</v>
      </c>
      <c r="H1491" s="7">
        <v>41773</v>
      </c>
      <c r="I1491" s="6" t="s">
        <v>209</v>
      </c>
      <c r="J1491" s="6" t="s">
        <v>4803</v>
      </c>
      <c r="K1491" s="6" t="s">
        <v>128</v>
      </c>
      <c r="L1491" s="6" t="s">
        <v>2782</v>
      </c>
      <c r="M1491" s="15" t="s">
        <v>4804</v>
      </c>
      <c r="N1491" s="15" t="s">
        <v>4805</v>
      </c>
      <c r="O1491" s="28" t="s">
        <v>4806</v>
      </c>
    </row>
    <row r="1492" spans="1:15" s="1" customFormat="1" ht="14.25" customHeight="1">
      <c r="A1492" s="3" t="s">
        <v>1810</v>
      </c>
      <c r="B1492" s="4"/>
      <c r="C1492" s="3"/>
      <c r="D1492" s="5" t="s">
        <v>717</v>
      </c>
      <c r="E1492" s="5" t="s">
        <v>124</v>
      </c>
      <c r="F1492" s="3" t="s">
        <v>4807</v>
      </c>
      <c r="G1492" s="6">
        <v>154.89699999999999</v>
      </c>
      <c r="H1492" s="7">
        <v>41773</v>
      </c>
      <c r="I1492" s="6" t="s">
        <v>209</v>
      </c>
      <c r="J1492" s="6" t="s">
        <v>4808</v>
      </c>
      <c r="K1492" s="6" t="s">
        <v>128</v>
      </c>
      <c r="L1492" s="6" t="s">
        <v>2782</v>
      </c>
      <c r="M1492" s="15" t="s">
        <v>4809</v>
      </c>
      <c r="N1492" s="15" t="s">
        <v>4810</v>
      </c>
      <c r="O1492" s="28" t="s">
        <v>4811</v>
      </c>
    </row>
    <row r="1493" spans="1:15" ht="14.25" customHeight="1">
      <c r="A1493" s="3" t="s">
        <v>1303</v>
      </c>
      <c r="B1493" s="4"/>
      <c r="C1493" s="3"/>
      <c r="D1493" s="5" t="s">
        <v>1304</v>
      </c>
      <c r="E1493" s="5" t="s">
        <v>124</v>
      </c>
      <c r="F1493" s="3" t="s">
        <v>4812</v>
      </c>
      <c r="G1493" s="6">
        <v>204.51499999999999</v>
      </c>
      <c r="H1493" s="7">
        <v>41773</v>
      </c>
      <c r="I1493" s="6" t="s">
        <v>209</v>
      </c>
      <c r="J1493" s="6" t="s">
        <v>4813</v>
      </c>
      <c r="K1493" s="6" t="s">
        <v>128</v>
      </c>
      <c r="L1493" s="6" t="s">
        <v>948</v>
      </c>
      <c r="M1493" s="15" t="s">
        <v>4814</v>
      </c>
      <c r="N1493" s="15" t="s">
        <v>4592</v>
      </c>
      <c r="O1493" s="28" t="s">
        <v>4815</v>
      </c>
    </row>
    <row r="1494" spans="1:15" s="1" customFormat="1" ht="14.25" customHeight="1">
      <c r="A1494" s="3" t="s">
        <v>1303</v>
      </c>
      <c r="B1494" s="4"/>
      <c r="C1494" s="3"/>
      <c r="D1494" s="5" t="s">
        <v>1304</v>
      </c>
      <c r="E1494" s="5" t="s">
        <v>124</v>
      </c>
      <c r="F1494" s="3" t="s">
        <v>4816</v>
      </c>
      <c r="G1494" s="6">
        <v>224.41800000000001</v>
      </c>
      <c r="H1494" s="7">
        <v>41773</v>
      </c>
      <c r="I1494" s="6" t="s">
        <v>209</v>
      </c>
      <c r="J1494" s="6" t="s">
        <v>4817</v>
      </c>
      <c r="K1494" s="6" t="s">
        <v>128</v>
      </c>
      <c r="L1494" s="6" t="s">
        <v>954</v>
      </c>
      <c r="M1494" s="15" t="s">
        <v>4818</v>
      </c>
      <c r="N1494" s="15" t="s">
        <v>4597</v>
      </c>
      <c r="O1494" s="28" t="s">
        <v>4819</v>
      </c>
    </row>
    <row r="1495" spans="1:15" s="1" customFormat="1" ht="14.25" customHeight="1">
      <c r="A1495" s="3" t="s">
        <v>514</v>
      </c>
      <c r="B1495" s="4"/>
      <c r="C1495" s="3"/>
      <c r="D1495" s="5" t="s">
        <v>2030</v>
      </c>
      <c r="E1495" s="5" t="s">
        <v>124</v>
      </c>
      <c r="F1495" s="3" t="s">
        <v>4820</v>
      </c>
      <c r="G1495" s="6">
        <f>14.405*L1495</f>
        <v>172.85999999999999</v>
      </c>
      <c r="H1495" s="7">
        <v>41773</v>
      </c>
      <c r="I1495" s="6" t="s">
        <v>265</v>
      </c>
      <c r="J1495" s="6" t="s">
        <v>4821</v>
      </c>
      <c r="K1495" s="6" t="s">
        <v>21</v>
      </c>
      <c r="L1495" s="6">
        <v>12</v>
      </c>
      <c r="M1495" s="15" t="s">
        <v>4822</v>
      </c>
      <c r="N1495" s="15" t="s">
        <v>78</v>
      </c>
      <c r="O1495" s="28" t="s">
        <v>4822</v>
      </c>
    </row>
    <row r="1496" spans="1:15" s="1" customFormat="1" ht="14.25" customHeight="1">
      <c r="A1496" s="3" t="s">
        <v>514</v>
      </c>
      <c r="B1496" s="4"/>
      <c r="C1496" s="3"/>
      <c r="D1496" s="5" t="s">
        <v>2030</v>
      </c>
      <c r="E1496" s="5" t="s">
        <v>124</v>
      </c>
      <c r="F1496" s="3" t="s">
        <v>4823</v>
      </c>
      <c r="G1496" s="6">
        <f>14.405*L1496</f>
        <v>187.26499999999999</v>
      </c>
      <c r="H1496" s="7">
        <v>41773</v>
      </c>
      <c r="I1496" s="6" t="s">
        <v>265</v>
      </c>
      <c r="J1496" s="6" t="s">
        <v>4824</v>
      </c>
      <c r="K1496" s="6" t="s">
        <v>21</v>
      </c>
      <c r="L1496" s="6">
        <v>13</v>
      </c>
      <c r="M1496" s="15" t="s">
        <v>4822</v>
      </c>
      <c r="N1496" s="15" t="s">
        <v>167</v>
      </c>
      <c r="O1496" s="28" t="s">
        <v>4825</v>
      </c>
    </row>
    <row r="1497" spans="1:15" ht="14.25" customHeight="1">
      <c r="A1497" s="5" t="s">
        <v>1127</v>
      </c>
      <c r="B1497" s="4"/>
      <c r="C1497" s="3"/>
      <c r="D1497" s="5" t="s">
        <v>1128</v>
      </c>
      <c r="E1497" s="5" t="s">
        <v>7026</v>
      </c>
      <c r="F1497" s="3" t="s">
        <v>8081</v>
      </c>
      <c r="G1497" s="6">
        <f t="shared" ref="G1497:G1505" si="53">29.101*L1497</f>
        <v>349.21199999999999</v>
      </c>
      <c r="H1497" s="7">
        <v>41773</v>
      </c>
      <c r="I1497" s="6" t="s">
        <v>178</v>
      </c>
      <c r="J1497" s="6" t="s">
        <v>8082</v>
      </c>
      <c r="K1497" s="6" t="s">
        <v>21</v>
      </c>
      <c r="L1497" s="6">
        <v>12</v>
      </c>
      <c r="M1497" s="15" t="s">
        <v>8083</v>
      </c>
      <c r="N1497" s="15" t="s">
        <v>164</v>
      </c>
      <c r="O1497" s="27" t="s">
        <v>8084</v>
      </c>
    </row>
    <row r="1498" spans="1:15" s="1" customFormat="1" ht="14.25" customHeight="1">
      <c r="A1498" s="5" t="s">
        <v>1127</v>
      </c>
      <c r="B1498" s="4"/>
      <c r="C1498" s="3"/>
      <c r="D1498" s="5" t="s">
        <v>1128</v>
      </c>
      <c r="E1498" s="5" t="s">
        <v>7026</v>
      </c>
      <c r="F1498" s="3" t="s">
        <v>8085</v>
      </c>
      <c r="G1498" s="6">
        <f t="shared" si="53"/>
        <v>378.31299999999999</v>
      </c>
      <c r="H1498" s="7">
        <v>41773</v>
      </c>
      <c r="I1498" s="6" t="s">
        <v>178</v>
      </c>
      <c r="J1498" s="6" t="s">
        <v>8086</v>
      </c>
      <c r="K1498" s="6" t="s">
        <v>21</v>
      </c>
      <c r="L1498" s="6">
        <v>13</v>
      </c>
      <c r="M1498" s="15" t="s">
        <v>8083</v>
      </c>
      <c r="N1498" s="15" t="s">
        <v>167</v>
      </c>
      <c r="O1498" s="27"/>
    </row>
    <row r="1499" spans="1:15" ht="14.25" customHeight="1">
      <c r="A1499" s="5" t="s">
        <v>1127</v>
      </c>
      <c r="B1499" s="4"/>
      <c r="C1499" s="3"/>
      <c r="D1499" s="5" t="s">
        <v>1128</v>
      </c>
      <c r="E1499" s="5" t="s">
        <v>7026</v>
      </c>
      <c r="F1499" s="3" t="s">
        <v>8087</v>
      </c>
      <c r="G1499" s="6">
        <f t="shared" si="53"/>
        <v>349.21199999999999</v>
      </c>
      <c r="H1499" s="7">
        <v>41773</v>
      </c>
      <c r="I1499" s="6" t="s">
        <v>178</v>
      </c>
      <c r="J1499" s="6" t="s">
        <v>8088</v>
      </c>
      <c r="K1499" s="6" t="s">
        <v>21</v>
      </c>
      <c r="L1499" s="6">
        <v>12</v>
      </c>
      <c r="M1499" s="15" t="s">
        <v>8089</v>
      </c>
      <c r="N1499" s="15" t="s">
        <v>164</v>
      </c>
      <c r="O1499" s="27"/>
    </row>
    <row r="1500" spans="1:15" s="1" customFormat="1" ht="14.25" customHeight="1">
      <c r="A1500" s="5" t="s">
        <v>1127</v>
      </c>
      <c r="B1500" s="4"/>
      <c r="C1500" s="3"/>
      <c r="D1500" s="5" t="s">
        <v>1128</v>
      </c>
      <c r="E1500" s="5" t="s">
        <v>7026</v>
      </c>
      <c r="F1500" s="3" t="s">
        <v>8090</v>
      </c>
      <c r="G1500" s="6">
        <f t="shared" si="53"/>
        <v>378.31299999999999</v>
      </c>
      <c r="H1500" s="7">
        <v>41773</v>
      </c>
      <c r="I1500" s="6" t="s">
        <v>178</v>
      </c>
      <c r="J1500" s="6" t="s">
        <v>8091</v>
      </c>
      <c r="K1500" s="6" t="s">
        <v>21</v>
      </c>
      <c r="L1500" s="6">
        <v>13</v>
      </c>
      <c r="M1500" s="15" t="s">
        <v>8089</v>
      </c>
      <c r="N1500" s="15" t="s">
        <v>167</v>
      </c>
      <c r="O1500" s="27"/>
    </row>
    <row r="1501" spans="1:15" ht="14.25" customHeight="1">
      <c r="A1501" s="5" t="s">
        <v>1127</v>
      </c>
      <c r="B1501" s="4"/>
      <c r="C1501" s="3"/>
      <c r="D1501" s="5" t="s">
        <v>1128</v>
      </c>
      <c r="E1501" s="5" t="s">
        <v>7026</v>
      </c>
      <c r="F1501" s="3" t="s">
        <v>8092</v>
      </c>
      <c r="G1501" s="6">
        <f t="shared" si="53"/>
        <v>349.21199999999999</v>
      </c>
      <c r="H1501" s="7">
        <v>41773</v>
      </c>
      <c r="I1501" s="6" t="s">
        <v>178</v>
      </c>
      <c r="J1501" s="6" t="s">
        <v>8093</v>
      </c>
      <c r="K1501" s="6" t="s">
        <v>21</v>
      </c>
      <c r="L1501" s="6">
        <v>12</v>
      </c>
      <c r="M1501" s="15" t="s">
        <v>8094</v>
      </c>
      <c r="N1501" s="15" t="s">
        <v>164</v>
      </c>
      <c r="O1501" s="27"/>
    </row>
    <row r="1502" spans="1:15" s="1" customFormat="1" ht="14.25" customHeight="1">
      <c r="A1502" s="5" t="s">
        <v>1127</v>
      </c>
      <c r="B1502" s="4"/>
      <c r="C1502" s="3"/>
      <c r="D1502" s="5" t="s">
        <v>1128</v>
      </c>
      <c r="E1502" s="5" t="s">
        <v>7026</v>
      </c>
      <c r="F1502" s="3" t="s">
        <v>8095</v>
      </c>
      <c r="G1502" s="6">
        <f t="shared" si="53"/>
        <v>378.31299999999999</v>
      </c>
      <c r="H1502" s="7">
        <v>41773</v>
      </c>
      <c r="I1502" s="6" t="s">
        <v>178</v>
      </c>
      <c r="J1502" s="6" t="s">
        <v>8096</v>
      </c>
      <c r="K1502" s="6" t="s">
        <v>21</v>
      </c>
      <c r="L1502" s="6">
        <v>13</v>
      </c>
      <c r="M1502" s="15" t="s">
        <v>8094</v>
      </c>
      <c r="N1502" s="15" t="s">
        <v>167</v>
      </c>
      <c r="O1502" s="27"/>
    </row>
    <row r="1503" spans="1:15" s="1" customFormat="1" ht="14.25" customHeight="1">
      <c r="A1503" s="5" t="s">
        <v>1127</v>
      </c>
      <c r="B1503" s="4"/>
      <c r="C1503" s="3"/>
      <c r="D1503" s="5" t="s">
        <v>1128</v>
      </c>
      <c r="E1503" s="5" t="s">
        <v>7026</v>
      </c>
      <c r="F1503" s="3" t="s">
        <v>8097</v>
      </c>
      <c r="G1503" s="6">
        <f t="shared" si="53"/>
        <v>203.70699999999999</v>
      </c>
      <c r="H1503" s="7">
        <v>41773</v>
      </c>
      <c r="I1503" s="6" t="s">
        <v>178</v>
      </c>
      <c r="J1503" s="6" t="s">
        <v>8098</v>
      </c>
      <c r="K1503" s="6" t="s">
        <v>21</v>
      </c>
      <c r="L1503" s="6">
        <v>7</v>
      </c>
      <c r="M1503" s="15" t="s">
        <v>8099</v>
      </c>
      <c r="N1503" s="15" t="s">
        <v>4178</v>
      </c>
      <c r="O1503" s="27"/>
    </row>
    <row r="1504" spans="1:15" s="1" customFormat="1" ht="14.25" customHeight="1">
      <c r="A1504" s="5" t="s">
        <v>1127</v>
      </c>
      <c r="B1504" s="4"/>
      <c r="C1504" s="3"/>
      <c r="D1504" s="5" t="s">
        <v>1128</v>
      </c>
      <c r="E1504" s="5" t="s">
        <v>7026</v>
      </c>
      <c r="F1504" s="3" t="s">
        <v>8100</v>
      </c>
      <c r="G1504" s="6">
        <f t="shared" si="53"/>
        <v>232.80799999999999</v>
      </c>
      <c r="H1504" s="7">
        <v>41773</v>
      </c>
      <c r="I1504" s="6" t="s">
        <v>178</v>
      </c>
      <c r="J1504" s="6" t="s">
        <v>8101</v>
      </c>
      <c r="K1504" s="6" t="s">
        <v>21</v>
      </c>
      <c r="L1504" s="43">
        <v>8</v>
      </c>
      <c r="M1504" s="15" t="s">
        <v>8099</v>
      </c>
      <c r="N1504" s="15" t="s">
        <v>892</v>
      </c>
      <c r="O1504" s="27"/>
    </row>
    <row r="1505" spans="1:15" ht="14.25" customHeight="1">
      <c r="A1505" s="5" t="s">
        <v>1127</v>
      </c>
      <c r="B1505" s="4"/>
      <c r="C1505" s="3"/>
      <c r="D1505" s="5" t="s">
        <v>1128</v>
      </c>
      <c r="E1505" s="5" t="s">
        <v>7026</v>
      </c>
      <c r="F1505" s="3" t="s">
        <v>8102</v>
      </c>
      <c r="G1505" s="6">
        <f t="shared" si="53"/>
        <v>232.80799999999999</v>
      </c>
      <c r="H1505" s="7">
        <v>41773</v>
      </c>
      <c r="I1505" s="6" t="s">
        <v>178</v>
      </c>
      <c r="J1505" s="6" t="s">
        <v>8103</v>
      </c>
      <c r="K1505" s="6" t="s">
        <v>21</v>
      </c>
      <c r="L1505" s="6">
        <v>8</v>
      </c>
      <c r="M1505" s="15" t="s">
        <v>8099</v>
      </c>
      <c r="N1505" s="15" t="s">
        <v>1096</v>
      </c>
      <c r="O1505" s="27" t="s">
        <v>8104</v>
      </c>
    </row>
    <row r="1506" spans="1:15" s="1" customFormat="1" ht="14.25" customHeight="1">
      <c r="A1506" s="3" t="s">
        <v>3664</v>
      </c>
      <c r="B1506" s="4"/>
      <c r="C1506" s="3"/>
      <c r="D1506" s="5" t="s">
        <v>672</v>
      </c>
      <c r="E1506" s="5" t="s">
        <v>124</v>
      </c>
      <c r="F1506" s="3" t="s">
        <v>4826</v>
      </c>
      <c r="G1506" s="6">
        <v>154.941</v>
      </c>
      <c r="H1506" s="7">
        <v>41775</v>
      </c>
      <c r="I1506" s="6" t="s">
        <v>209</v>
      </c>
      <c r="J1506" s="6" t="s">
        <v>4827</v>
      </c>
      <c r="K1506" s="6" t="s">
        <v>128</v>
      </c>
      <c r="L1506" s="6" t="s">
        <v>808</v>
      </c>
      <c r="M1506" s="15" t="s">
        <v>4828</v>
      </c>
      <c r="N1506" s="15" t="s">
        <v>4829</v>
      </c>
      <c r="O1506" s="28" t="s">
        <v>4830</v>
      </c>
    </row>
    <row r="1507" spans="1:15" s="1" customFormat="1" ht="14.25" customHeight="1">
      <c r="A1507" s="3" t="s">
        <v>3664</v>
      </c>
      <c r="B1507" s="4"/>
      <c r="C1507" s="3"/>
      <c r="D1507" s="5" t="s">
        <v>672</v>
      </c>
      <c r="E1507" s="5" t="s">
        <v>124</v>
      </c>
      <c r="F1507" s="3" t="s">
        <v>4831</v>
      </c>
      <c r="G1507" s="6">
        <v>31.297000000000001</v>
      </c>
      <c r="H1507" s="7">
        <v>41775</v>
      </c>
      <c r="I1507" s="6" t="s">
        <v>209</v>
      </c>
      <c r="J1507" s="6" t="s">
        <v>4832</v>
      </c>
      <c r="K1507" s="6" t="s">
        <v>128</v>
      </c>
      <c r="L1507" s="6" t="s">
        <v>301</v>
      </c>
      <c r="M1507" s="15" t="s">
        <v>4833</v>
      </c>
      <c r="N1507" s="15" t="s">
        <v>4834</v>
      </c>
      <c r="O1507" s="28" t="s">
        <v>4835</v>
      </c>
    </row>
    <row r="1508" spans="1:15" s="1" customFormat="1" ht="14.25" customHeight="1">
      <c r="A1508" s="3" t="s">
        <v>1018</v>
      </c>
      <c r="B1508" s="4"/>
      <c r="C1508" s="3"/>
      <c r="D1508" s="5" t="s">
        <v>1019</v>
      </c>
      <c r="E1508" s="5" t="s">
        <v>124</v>
      </c>
      <c r="F1508" s="3" t="s">
        <v>4836</v>
      </c>
      <c r="G1508" s="6">
        <v>208.136</v>
      </c>
      <c r="H1508" s="7">
        <v>41775</v>
      </c>
      <c r="I1508" s="6" t="s">
        <v>209</v>
      </c>
      <c r="J1508" s="6" t="s">
        <v>4837</v>
      </c>
      <c r="K1508" s="6" t="s">
        <v>128</v>
      </c>
      <c r="L1508" s="6" t="s">
        <v>948</v>
      </c>
      <c r="M1508" s="15" t="s">
        <v>4838</v>
      </c>
      <c r="N1508" s="15" t="s">
        <v>4839</v>
      </c>
      <c r="O1508" s="28" t="s">
        <v>4840</v>
      </c>
    </row>
    <row r="1509" spans="1:15" s="1" customFormat="1" ht="14.25" customHeight="1">
      <c r="A1509" s="3" t="s">
        <v>1082</v>
      </c>
      <c r="B1509" s="3" t="s">
        <v>283</v>
      </c>
      <c r="C1509" s="3"/>
      <c r="D1509" s="5" t="s">
        <v>1083</v>
      </c>
      <c r="E1509" s="5" t="s">
        <v>124</v>
      </c>
      <c r="F1509" s="3" t="s">
        <v>4841</v>
      </c>
      <c r="G1509" s="6">
        <f>9.871*L1509</f>
        <v>69.097000000000008</v>
      </c>
      <c r="H1509" s="7">
        <v>41775</v>
      </c>
      <c r="I1509" s="6" t="s">
        <v>161</v>
      </c>
      <c r="J1509" s="6" t="s">
        <v>4842</v>
      </c>
      <c r="K1509" s="6" t="s">
        <v>21</v>
      </c>
      <c r="L1509" s="6">
        <v>7</v>
      </c>
      <c r="M1509" s="15" t="s">
        <v>4843</v>
      </c>
      <c r="N1509" s="15" t="s">
        <v>4178</v>
      </c>
      <c r="O1509" s="28" t="s">
        <v>4843</v>
      </c>
    </row>
    <row r="1510" spans="1:15" s="1" customFormat="1" ht="14.25" customHeight="1">
      <c r="A1510" s="3" t="s">
        <v>1082</v>
      </c>
      <c r="B1510" s="3" t="s">
        <v>283</v>
      </c>
      <c r="C1510" s="3"/>
      <c r="D1510" s="5" t="s">
        <v>1083</v>
      </c>
      <c r="E1510" s="5" t="s">
        <v>124</v>
      </c>
      <c r="F1510" s="3" t="s">
        <v>4844</v>
      </c>
      <c r="G1510" s="6">
        <f>9.871*L1510</f>
        <v>78.968000000000004</v>
      </c>
      <c r="H1510" s="7">
        <v>41775</v>
      </c>
      <c r="I1510" s="6" t="s">
        <v>161</v>
      </c>
      <c r="J1510" s="6" t="s">
        <v>4845</v>
      </c>
      <c r="K1510" s="6" t="s">
        <v>21</v>
      </c>
      <c r="L1510" s="41">
        <v>8</v>
      </c>
      <c r="M1510" s="15" t="s">
        <v>4843</v>
      </c>
      <c r="N1510" s="15" t="s">
        <v>4182</v>
      </c>
      <c r="O1510" s="28" t="s">
        <v>4846</v>
      </c>
    </row>
    <row r="1511" spans="1:15" s="1" customFormat="1" ht="14.25" customHeight="1">
      <c r="A1511" s="3" t="s">
        <v>846</v>
      </c>
      <c r="B1511" s="4"/>
      <c r="C1511" s="3"/>
      <c r="D1511" s="5" t="s">
        <v>191</v>
      </c>
      <c r="E1511" s="5" t="s">
        <v>124</v>
      </c>
      <c r="F1511" s="3" t="s">
        <v>4847</v>
      </c>
      <c r="G1511" s="6">
        <f t="shared" ref="G1511:G1518" si="54">18.708*L1511</f>
        <v>187.07999999999998</v>
      </c>
      <c r="H1511" s="7">
        <v>41779</v>
      </c>
      <c r="I1511" s="6" t="s">
        <v>247</v>
      </c>
      <c r="J1511" s="6" t="s">
        <v>4848</v>
      </c>
      <c r="K1511" s="6" t="s">
        <v>21</v>
      </c>
      <c r="L1511" s="6">
        <v>10</v>
      </c>
      <c r="M1511" s="15" t="s">
        <v>4601</v>
      </c>
      <c r="N1511" s="15" t="s">
        <v>4849</v>
      </c>
      <c r="O1511" s="28" t="s">
        <v>4850</v>
      </c>
    </row>
    <row r="1512" spans="1:15" s="1" customFormat="1" ht="14.25" customHeight="1">
      <c r="A1512" s="3" t="s">
        <v>846</v>
      </c>
      <c r="B1512" s="4"/>
      <c r="C1512" s="3"/>
      <c r="D1512" s="5" t="s">
        <v>191</v>
      </c>
      <c r="E1512" s="5" t="s">
        <v>124</v>
      </c>
      <c r="F1512" s="3" t="s">
        <v>4851</v>
      </c>
      <c r="G1512" s="6">
        <f t="shared" si="54"/>
        <v>224.49599999999998</v>
      </c>
      <c r="H1512" s="7">
        <v>41779</v>
      </c>
      <c r="I1512" s="6" t="s">
        <v>247</v>
      </c>
      <c r="J1512" s="6" t="s">
        <v>4852</v>
      </c>
      <c r="K1512" s="6" t="s">
        <v>21</v>
      </c>
      <c r="L1512" s="6">
        <v>12</v>
      </c>
      <c r="M1512" s="15" t="s">
        <v>4853</v>
      </c>
      <c r="N1512" s="15" t="s">
        <v>164</v>
      </c>
      <c r="O1512" s="28" t="s">
        <v>4853</v>
      </c>
    </row>
    <row r="1513" spans="1:15" s="1" customFormat="1" ht="14.25" customHeight="1">
      <c r="A1513" s="3" t="s">
        <v>846</v>
      </c>
      <c r="B1513" s="4"/>
      <c r="C1513" s="3"/>
      <c r="D1513" s="5" t="s">
        <v>191</v>
      </c>
      <c r="E1513" s="5" t="s">
        <v>124</v>
      </c>
      <c r="F1513" s="3" t="s">
        <v>4854</v>
      </c>
      <c r="G1513" s="6">
        <f t="shared" si="54"/>
        <v>243.20399999999998</v>
      </c>
      <c r="H1513" s="7">
        <v>41779</v>
      </c>
      <c r="I1513" s="6" t="s">
        <v>247</v>
      </c>
      <c r="J1513" s="6" t="s">
        <v>4855</v>
      </c>
      <c r="K1513" s="6" t="s">
        <v>21</v>
      </c>
      <c r="L1513" s="6">
        <v>13</v>
      </c>
      <c r="M1513" s="15" t="s">
        <v>4853</v>
      </c>
      <c r="N1513" s="15" t="s">
        <v>167</v>
      </c>
      <c r="O1513" s="28" t="s">
        <v>4856</v>
      </c>
    </row>
    <row r="1514" spans="1:15" ht="14.25" customHeight="1">
      <c r="A1514" s="3" t="s">
        <v>846</v>
      </c>
      <c r="B1514" s="4"/>
      <c r="C1514" s="3"/>
      <c r="D1514" s="5" t="s">
        <v>191</v>
      </c>
      <c r="E1514" s="5" t="s">
        <v>124</v>
      </c>
      <c r="F1514" s="3" t="s">
        <v>4857</v>
      </c>
      <c r="G1514" s="6">
        <f t="shared" si="54"/>
        <v>224.49599999999998</v>
      </c>
      <c r="H1514" s="7">
        <v>41779</v>
      </c>
      <c r="I1514" s="6" t="s">
        <v>247</v>
      </c>
      <c r="J1514" s="6" t="s">
        <v>4858</v>
      </c>
      <c r="K1514" s="6" t="s">
        <v>21</v>
      </c>
      <c r="L1514" s="6">
        <v>12</v>
      </c>
      <c r="M1514" s="15" t="s">
        <v>4859</v>
      </c>
      <c r="N1514" s="15" t="s">
        <v>164</v>
      </c>
      <c r="O1514" s="28" t="s">
        <v>4859</v>
      </c>
    </row>
    <row r="1515" spans="1:15" s="1" customFormat="1" ht="14.25" customHeight="1">
      <c r="A1515" s="3" t="s">
        <v>846</v>
      </c>
      <c r="B1515" s="4"/>
      <c r="C1515" s="3"/>
      <c r="D1515" s="5" t="s">
        <v>191</v>
      </c>
      <c r="E1515" s="5" t="s">
        <v>124</v>
      </c>
      <c r="F1515" s="3" t="s">
        <v>4860</v>
      </c>
      <c r="G1515" s="6">
        <f t="shared" si="54"/>
        <v>243.20399999999998</v>
      </c>
      <c r="H1515" s="7">
        <v>41779</v>
      </c>
      <c r="I1515" s="6" t="s">
        <v>247</v>
      </c>
      <c r="J1515" s="6" t="s">
        <v>4861</v>
      </c>
      <c r="K1515" s="6" t="s">
        <v>21</v>
      </c>
      <c r="L1515" s="6">
        <v>13</v>
      </c>
      <c r="M1515" s="15" t="s">
        <v>4859</v>
      </c>
      <c r="N1515" s="15" t="s">
        <v>167</v>
      </c>
      <c r="O1515" s="28" t="s">
        <v>4862</v>
      </c>
    </row>
    <row r="1516" spans="1:15" s="1" customFormat="1" ht="14.25" customHeight="1">
      <c r="A1516" s="3" t="s">
        <v>846</v>
      </c>
      <c r="B1516" s="4"/>
      <c r="C1516" s="3"/>
      <c r="D1516" s="5" t="s">
        <v>191</v>
      </c>
      <c r="E1516" s="5" t="s">
        <v>124</v>
      </c>
      <c r="F1516" s="3" t="s">
        <v>4863</v>
      </c>
      <c r="G1516" s="6">
        <f t="shared" si="54"/>
        <v>224.49599999999998</v>
      </c>
      <c r="H1516" s="7">
        <v>41779</v>
      </c>
      <c r="I1516" s="6" t="s">
        <v>247</v>
      </c>
      <c r="J1516" s="6" t="s">
        <v>4864</v>
      </c>
      <c r="K1516" s="6" t="s">
        <v>21</v>
      </c>
      <c r="L1516" s="6">
        <v>12</v>
      </c>
      <c r="M1516" s="15" t="s">
        <v>4865</v>
      </c>
      <c r="N1516" s="15" t="s">
        <v>164</v>
      </c>
      <c r="O1516" s="28" t="s">
        <v>4865</v>
      </c>
    </row>
    <row r="1517" spans="1:15" s="1" customFormat="1">
      <c r="A1517" s="3" t="s">
        <v>846</v>
      </c>
      <c r="B1517" s="4"/>
      <c r="C1517" s="3"/>
      <c r="D1517" s="5" t="s">
        <v>191</v>
      </c>
      <c r="E1517" s="5" t="s">
        <v>124</v>
      </c>
      <c r="F1517" s="3" t="s">
        <v>4866</v>
      </c>
      <c r="G1517" s="6">
        <f t="shared" si="54"/>
        <v>243.20399999999998</v>
      </c>
      <c r="H1517" s="7">
        <v>41779</v>
      </c>
      <c r="I1517" s="6" t="s">
        <v>247</v>
      </c>
      <c r="J1517" s="6" t="s">
        <v>4867</v>
      </c>
      <c r="K1517" s="6" t="s">
        <v>21</v>
      </c>
      <c r="L1517" s="6">
        <v>13</v>
      </c>
      <c r="M1517" s="15" t="s">
        <v>4865</v>
      </c>
      <c r="N1517" s="15" t="s">
        <v>167</v>
      </c>
      <c r="O1517" s="28" t="s">
        <v>4868</v>
      </c>
    </row>
    <row r="1518" spans="1:15" s="1" customFormat="1" ht="14.25" customHeight="1">
      <c r="A1518" s="3" t="s">
        <v>701</v>
      </c>
      <c r="B1518" s="4"/>
      <c r="C1518" s="3"/>
      <c r="D1518" s="5" t="s">
        <v>702</v>
      </c>
      <c r="E1518" s="5" t="s">
        <v>124</v>
      </c>
      <c r="F1518" s="3" t="s">
        <v>4869</v>
      </c>
      <c r="G1518" s="6">
        <f t="shared" si="54"/>
        <v>187.07999999999998</v>
      </c>
      <c r="H1518" s="7">
        <v>41779</v>
      </c>
      <c r="I1518" s="6" t="s">
        <v>379</v>
      </c>
      <c r="J1518" s="6" t="s">
        <v>4870</v>
      </c>
      <c r="K1518" s="6" t="s">
        <v>21</v>
      </c>
      <c r="L1518" s="6">
        <v>10</v>
      </c>
      <c r="M1518" s="15" t="s">
        <v>4871</v>
      </c>
      <c r="N1518" s="15" t="s">
        <v>4872</v>
      </c>
      <c r="O1518" s="15" t="s">
        <v>4871</v>
      </c>
    </row>
    <row r="1519" spans="1:15" ht="14.25" customHeight="1">
      <c r="A1519" s="3" t="s">
        <v>1087</v>
      </c>
      <c r="B1519" s="3" t="s">
        <v>283</v>
      </c>
      <c r="C1519" s="3"/>
      <c r="D1519" s="5" t="s">
        <v>1088</v>
      </c>
      <c r="E1519" s="5" t="s">
        <v>124</v>
      </c>
      <c r="F1519" s="3" t="s">
        <v>4873</v>
      </c>
      <c r="G1519" s="6">
        <f>9.804*L1519</f>
        <v>29.411999999999999</v>
      </c>
      <c r="H1519" s="7">
        <v>41779</v>
      </c>
      <c r="I1519" s="6" t="s">
        <v>1090</v>
      </c>
      <c r="J1519" s="6" t="s">
        <v>4874</v>
      </c>
      <c r="K1519" s="6" t="s">
        <v>21</v>
      </c>
      <c r="L1519" s="6">
        <v>3</v>
      </c>
      <c r="M1519" s="15" t="s">
        <v>4875</v>
      </c>
      <c r="N1519" s="15" t="s">
        <v>4876</v>
      </c>
      <c r="O1519" s="15" t="s">
        <v>4875</v>
      </c>
    </row>
    <row r="1520" spans="1:15" s="1" customFormat="1" ht="14.25" customHeight="1">
      <c r="A1520" s="3" t="s">
        <v>1082</v>
      </c>
      <c r="B1520" s="3" t="s">
        <v>4520</v>
      </c>
      <c r="C1520" s="3"/>
      <c r="D1520" s="5" t="s">
        <v>1083</v>
      </c>
      <c r="E1520" s="5" t="s">
        <v>124</v>
      </c>
      <c r="F1520" s="3" t="s">
        <v>4877</v>
      </c>
      <c r="G1520" s="6">
        <f>9.871*L1520</f>
        <v>118.452</v>
      </c>
      <c r="H1520" s="7">
        <v>41779</v>
      </c>
      <c r="I1520" s="6" t="s">
        <v>161</v>
      </c>
      <c r="J1520" s="6" t="s">
        <v>4878</v>
      </c>
      <c r="K1520" s="6" t="s">
        <v>21</v>
      </c>
      <c r="L1520" s="6">
        <v>12</v>
      </c>
      <c r="M1520" s="15" t="s">
        <v>4879</v>
      </c>
      <c r="N1520" s="15" t="s">
        <v>164</v>
      </c>
      <c r="O1520" s="28" t="s">
        <v>4879</v>
      </c>
    </row>
    <row r="1521" spans="1:15" s="1" customFormat="1" ht="14.25" customHeight="1">
      <c r="A1521" s="3" t="s">
        <v>1082</v>
      </c>
      <c r="B1521" s="3" t="s">
        <v>4520</v>
      </c>
      <c r="C1521" s="3"/>
      <c r="D1521" s="5" t="s">
        <v>1083</v>
      </c>
      <c r="E1521" s="5" t="s">
        <v>124</v>
      </c>
      <c r="F1521" s="3" t="s">
        <v>4880</v>
      </c>
      <c r="G1521" s="6">
        <f>9.871*L1521</f>
        <v>128.32300000000001</v>
      </c>
      <c r="H1521" s="7">
        <v>41779</v>
      </c>
      <c r="I1521" s="6" t="s">
        <v>161</v>
      </c>
      <c r="J1521" s="6" t="s">
        <v>4881</v>
      </c>
      <c r="K1521" s="6" t="s">
        <v>21</v>
      </c>
      <c r="L1521" s="6">
        <v>13</v>
      </c>
      <c r="M1521" s="15" t="s">
        <v>4879</v>
      </c>
      <c r="N1521" s="15" t="s">
        <v>167</v>
      </c>
      <c r="O1521" s="28" t="s">
        <v>4882</v>
      </c>
    </row>
    <row r="1522" spans="1:15" ht="14.25" customHeight="1">
      <c r="A1522" s="3" t="s">
        <v>465</v>
      </c>
      <c r="B1522" s="4"/>
      <c r="C1522" s="3"/>
      <c r="D1522" s="5" t="s">
        <v>391</v>
      </c>
      <c r="E1522" s="5" t="s">
        <v>124</v>
      </c>
      <c r="F1522" s="3" t="s">
        <v>4883</v>
      </c>
      <c r="G1522" s="6">
        <f>17.712*L1522</f>
        <v>230.256</v>
      </c>
      <c r="H1522" s="7">
        <v>41779</v>
      </c>
      <c r="I1522" s="6" t="s">
        <v>265</v>
      </c>
      <c r="J1522" s="6" t="s">
        <v>4884</v>
      </c>
      <c r="K1522" s="6" t="s">
        <v>21</v>
      </c>
      <c r="L1522" s="6">
        <v>13</v>
      </c>
      <c r="M1522" s="15" t="s">
        <v>4885</v>
      </c>
      <c r="N1522" s="15" t="s">
        <v>1215</v>
      </c>
      <c r="O1522" s="28" t="s">
        <v>4885</v>
      </c>
    </row>
    <row r="1523" spans="1:15" s="1" customFormat="1" ht="14.25" customHeight="1">
      <c r="A1523" s="3" t="s">
        <v>1066</v>
      </c>
      <c r="B1523" s="4"/>
      <c r="C1523" s="3"/>
      <c r="D1523" s="5" t="s">
        <v>391</v>
      </c>
      <c r="E1523" s="5" t="s">
        <v>124</v>
      </c>
      <c r="F1523" s="3" t="s">
        <v>4886</v>
      </c>
      <c r="G1523" s="6">
        <f>17.712*L1523</f>
        <v>212.54399999999998</v>
      </c>
      <c r="H1523" s="7">
        <v>41779</v>
      </c>
      <c r="I1523" s="6" t="s">
        <v>265</v>
      </c>
      <c r="J1523" s="6" t="s">
        <v>4887</v>
      </c>
      <c r="K1523" s="6" t="s">
        <v>21</v>
      </c>
      <c r="L1523" s="6">
        <v>12</v>
      </c>
      <c r="M1523" s="15" t="s">
        <v>4885</v>
      </c>
      <c r="N1523" s="15" t="s">
        <v>1211</v>
      </c>
      <c r="O1523" s="15" t="s">
        <v>4888</v>
      </c>
    </row>
    <row r="1524" spans="1:15" s="1" customFormat="1" ht="13.5" customHeight="1">
      <c r="A1524" s="3" t="s">
        <v>4375</v>
      </c>
      <c r="B1524" s="3"/>
      <c r="C1524" s="3"/>
      <c r="D1524" s="5" t="s">
        <v>1963</v>
      </c>
      <c r="E1524" s="5" t="s">
        <v>124</v>
      </c>
      <c r="F1524" s="3" t="s">
        <v>4889</v>
      </c>
      <c r="G1524" s="6">
        <f>17.712*L1524</f>
        <v>230.256</v>
      </c>
      <c r="H1524" s="7">
        <v>41779</v>
      </c>
      <c r="I1524" s="6" t="s">
        <v>419</v>
      </c>
      <c r="J1524" s="6" t="s">
        <v>4890</v>
      </c>
      <c r="K1524" s="6" t="s">
        <v>21</v>
      </c>
      <c r="L1524" s="6">
        <v>13</v>
      </c>
      <c r="M1524" s="15" t="s">
        <v>4703</v>
      </c>
      <c r="N1524" s="15" t="s">
        <v>167</v>
      </c>
      <c r="O1524" s="15" t="s">
        <v>4891</v>
      </c>
    </row>
    <row r="1525" spans="1:15" ht="14.25" customHeight="1">
      <c r="A1525" s="3" t="s">
        <v>469</v>
      </c>
      <c r="B1525" s="4"/>
      <c r="C1525" s="3"/>
      <c r="D1525" s="5" t="s">
        <v>276</v>
      </c>
      <c r="E1525" s="5" t="s">
        <v>124</v>
      </c>
      <c r="F1525" s="3" t="s">
        <v>4892</v>
      </c>
      <c r="G1525" s="6">
        <f>6.405*L1525</f>
        <v>25.62</v>
      </c>
      <c r="H1525" s="7">
        <v>41779</v>
      </c>
      <c r="I1525" s="6" t="s">
        <v>471</v>
      </c>
      <c r="J1525" s="6" t="s">
        <v>4893</v>
      </c>
      <c r="K1525" s="6" t="s">
        <v>21</v>
      </c>
      <c r="L1525" s="6">
        <v>4</v>
      </c>
      <c r="M1525" s="15" t="s">
        <v>4894</v>
      </c>
      <c r="N1525" s="15" t="s">
        <v>3740</v>
      </c>
      <c r="O1525" s="28" t="s">
        <v>4894</v>
      </c>
    </row>
    <row r="1526" spans="1:15" s="1" customFormat="1" ht="14.25" customHeight="1">
      <c r="A1526" s="3" t="s">
        <v>793</v>
      </c>
      <c r="B1526" s="4"/>
      <c r="C1526" s="3"/>
      <c r="D1526" s="5" t="s">
        <v>794</v>
      </c>
      <c r="E1526" s="5" t="s">
        <v>124</v>
      </c>
      <c r="F1526" s="3" t="s">
        <v>4895</v>
      </c>
      <c r="G1526" s="6">
        <f>8.137*L1526</f>
        <v>81.37</v>
      </c>
      <c r="H1526" s="7">
        <v>41779</v>
      </c>
      <c r="I1526" s="6" t="s">
        <v>186</v>
      </c>
      <c r="J1526" s="6" t="s">
        <v>4896</v>
      </c>
      <c r="K1526" s="6" t="s">
        <v>21</v>
      </c>
      <c r="L1526" s="6">
        <v>10</v>
      </c>
      <c r="M1526" s="15" t="s">
        <v>4897</v>
      </c>
      <c r="N1526" s="15" t="s">
        <v>35</v>
      </c>
      <c r="O1526" s="15" t="s">
        <v>4897</v>
      </c>
    </row>
    <row r="1527" spans="1:15" s="1" customFormat="1" ht="14.25" customHeight="1">
      <c r="A1527" s="5" t="s">
        <v>1127</v>
      </c>
      <c r="B1527" s="4"/>
      <c r="C1527" s="3"/>
      <c r="D1527" s="5" t="s">
        <v>1128</v>
      </c>
      <c r="E1527" s="5" t="s">
        <v>7026</v>
      </c>
      <c r="F1527" s="3" t="s">
        <v>8105</v>
      </c>
      <c r="G1527" s="6">
        <f t="shared" ref="G1527:G1532" si="55">29.101*L1527</f>
        <v>349.21199999999999</v>
      </c>
      <c r="H1527" s="7">
        <v>41780</v>
      </c>
      <c r="I1527" s="6" t="s">
        <v>178</v>
      </c>
      <c r="J1527" s="6" t="s">
        <v>8106</v>
      </c>
      <c r="K1527" s="6" t="s">
        <v>21</v>
      </c>
      <c r="L1527" s="6">
        <v>12</v>
      </c>
      <c r="M1527" s="15" t="s">
        <v>8107</v>
      </c>
      <c r="N1527" s="15" t="s">
        <v>164</v>
      </c>
      <c r="O1527" s="27" t="s">
        <v>8108</v>
      </c>
    </row>
    <row r="1528" spans="1:15" ht="14.25" customHeight="1">
      <c r="A1528" s="5" t="s">
        <v>1127</v>
      </c>
      <c r="B1528" s="4"/>
      <c r="C1528" s="3"/>
      <c r="D1528" s="5" t="s">
        <v>1128</v>
      </c>
      <c r="E1528" s="5" t="s">
        <v>7026</v>
      </c>
      <c r="F1528" s="3" t="s">
        <v>8109</v>
      </c>
      <c r="G1528" s="6">
        <f t="shared" si="55"/>
        <v>378.31299999999999</v>
      </c>
      <c r="H1528" s="7">
        <v>41780</v>
      </c>
      <c r="I1528" s="6" t="s">
        <v>178</v>
      </c>
      <c r="J1528" s="6" t="s">
        <v>8110</v>
      </c>
      <c r="K1528" s="6" t="s">
        <v>21</v>
      </c>
      <c r="L1528" s="6">
        <v>13</v>
      </c>
      <c r="M1528" s="15" t="s">
        <v>8107</v>
      </c>
      <c r="N1528" s="15" t="s">
        <v>167</v>
      </c>
      <c r="O1528" s="27" t="s">
        <v>8111</v>
      </c>
    </row>
    <row r="1529" spans="1:15" ht="14.25" customHeight="1">
      <c r="A1529" s="5" t="s">
        <v>1127</v>
      </c>
      <c r="B1529" s="4"/>
      <c r="C1529" s="3"/>
      <c r="D1529" s="5" t="s">
        <v>1128</v>
      </c>
      <c r="E1529" s="5" t="s">
        <v>7026</v>
      </c>
      <c r="F1529" s="3" t="s">
        <v>8112</v>
      </c>
      <c r="G1529" s="6">
        <f t="shared" si="55"/>
        <v>349.21199999999999</v>
      </c>
      <c r="H1529" s="7">
        <v>41780</v>
      </c>
      <c r="I1529" s="6" t="s">
        <v>178</v>
      </c>
      <c r="J1529" s="6" t="s">
        <v>8113</v>
      </c>
      <c r="K1529" s="6" t="s">
        <v>21</v>
      </c>
      <c r="L1529" s="6">
        <v>12</v>
      </c>
      <c r="M1529" s="15" t="s">
        <v>8114</v>
      </c>
      <c r="N1529" s="15" t="s">
        <v>164</v>
      </c>
      <c r="O1529" s="27" t="s">
        <v>8115</v>
      </c>
    </row>
    <row r="1530" spans="1:15" ht="14.25" customHeight="1">
      <c r="A1530" s="5" t="s">
        <v>1127</v>
      </c>
      <c r="B1530" s="4"/>
      <c r="C1530" s="3"/>
      <c r="D1530" s="5" t="s">
        <v>1128</v>
      </c>
      <c r="E1530" s="5" t="s">
        <v>7026</v>
      </c>
      <c r="F1530" s="3" t="s">
        <v>8116</v>
      </c>
      <c r="G1530" s="6">
        <f t="shared" si="55"/>
        <v>378.31299999999999</v>
      </c>
      <c r="H1530" s="7">
        <v>41780</v>
      </c>
      <c r="I1530" s="6" t="s">
        <v>178</v>
      </c>
      <c r="J1530" s="6" t="s">
        <v>8117</v>
      </c>
      <c r="K1530" s="6" t="s">
        <v>21</v>
      </c>
      <c r="L1530" s="6">
        <v>13</v>
      </c>
      <c r="M1530" s="15" t="s">
        <v>8114</v>
      </c>
      <c r="N1530" s="15" t="s">
        <v>167</v>
      </c>
      <c r="O1530" s="27" t="s">
        <v>8118</v>
      </c>
    </row>
    <row r="1531" spans="1:15" s="1" customFormat="1" ht="14.25" customHeight="1">
      <c r="A1531" s="5" t="s">
        <v>1127</v>
      </c>
      <c r="B1531" s="4"/>
      <c r="C1531" s="3"/>
      <c r="D1531" s="5" t="s">
        <v>1128</v>
      </c>
      <c r="E1531" s="5" t="s">
        <v>7026</v>
      </c>
      <c r="F1531" s="3" t="s">
        <v>8119</v>
      </c>
      <c r="G1531" s="6">
        <f t="shared" si="55"/>
        <v>349.21199999999999</v>
      </c>
      <c r="H1531" s="7">
        <v>41780</v>
      </c>
      <c r="I1531" s="6" t="s">
        <v>178</v>
      </c>
      <c r="J1531" s="6" t="s">
        <v>8120</v>
      </c>
      <c r="K1531" s="6" t="s">
        <v>21</v>
      </c>
      <c r="L1531" s="6">
        <v>12</v>
      </c>
      <c r="M1531" s="15" t="s">
        <v>8121</v>
      </c>
      <c r="N1531" s="15" t="s">
        <v>164</v>
      </c>
      <c r="O1531" s="27" t="s">
        <v>8122</v>
      </c>
    </row>
    <row r="1532" spans="1:15" s="1" customFormat="1" ht="14.25" customHeight="1">
      <c r="A1532" s="5" t="s">
        <v>1127</v>
      </c>
      <c r="B1532" s="4"/>
      <c r="C1532" s="3"/>
      <c r="D1532" s="5" t="s">
        <v>1128</v>
      </c>
      <c r="E1532" s="5" t="s">
        <v>7026</v>
      </c>
      <c r="F1532" s="3" t="s">
        <v>8123</v>
      </c>
      <c r="G1532" s="6">
        <f t="shared" si="55"/>
        <v>378.31299999999999</v>
      </c>
      <c r="H1532" s="7">
        <v>41780</v>
      </c>
      <c r="I1532" s="6" t="s">
        <v>178</v>
      </c>
      <c r="J1532" s="6" t="s">
        <v>8124</v>
      </c>
      <c r="K1532" s="6" t="s">
        <v>21</v>
      </c>
      <c r="L1532" s="6">
        <v>13</v>
      </c>
      <c r="M1532" s="15" t="s">
        <v>8121</v>
      </c>
      <c r="N1532" s="15" t="s">
        <v>167</v>
      </c>
      <c r="O1532" s="27" t="s">
        <v>8125</v>
      </c>
    </row>
    <row r="1533" spans="1:15" s="1" customFormat="1" ht="14.25" customHeight="1">
      <c r="A1533" s="5" t="s">
        <v>1043</v>
      </c>
      <c r="B1533" s="4"/>
      <c r="C1533" s="3"/>
      <c r="D1533" s="5" t="s">
        <v>443</v>
      </c>
      <c r="E1533" s="5" t="s">
        <v>7026</v>
      </c>
      <c r="F1533" s="3" t="s">
        <v>8126</v>
      </c>
      <c r="G1533" s="6">
        <f t="shared" ref="G1533:G1540" si="56">18.708*L1533</f>
        <v>224.49599999999998</v>
      </c>
      <c r="H1533" s="7">
        <v>41780</v>
      </c>
      <c r="I1533" s="6" t="s">
        <v>178</v>
      </c>
      <c r="J1533" s="6" t="s">
        <v>8127</v>
      </c>
      <c r="K1533" s="6" t="s">
        <v>21</v>
      </c>
      <c r="L1533" s="6">
        <v>12</v>
      </c>
      <c r="M1533" s="15" t="s">
        <v>8128</v>
      </c>
      <c r="N1533" s="15" t="s">
        <v>164</v>
      </c>
      <c r="O1533" s="27" t="s">
        <v>8129</v>
      </c>
    </row>
    <row r="1534" spans="1:15" ht="14.25" customHeight="1">
      <c r="A1534" s="5" t="s">
        <v>1043</v>
      </c>
      <c r="B1534" s="4"/>
      <c r="C1534" s="3"/>
      <c r="D1534" s="5" t="s">
        <v>443</v>
      </c>
      <c r="E1534" s="5" t="s">
        <v>7026</v>
      </c>
      <c r="F1534" s="3" t="s">
        <v>8130</v>
      </c>
      <c r="G1534" s="6">
        <f t="shared" si="56"/>
        <v>243.20399999999998</v>
      </c>
      <c r="H1534" s="7">
        <v>41780</v>
      </c>
      <c r="I1534" s="6" t="s">
        <v>178</v>
      </c>
      <c r="J1534" s="6" t="s">
        <v>8131</v>
      </c>
      <c r="K1534" s="6" t="s">
        <v>21</v>
      </c>
      <c r="L1534" s="6">
        <v>13</v>
      </c>
      <c r="M1534" s="15" t="s">
        <v>8128</v>
      </c>
      <c r="N1534" s="15" t="s">
        <v>167</v>
      </c>
      <c r="O1534" s="27" t="s">
        <v>8132</v>
      </c>
    </row>
    <row r="1535" spans="1:15" s="1" customFormat="1" ht="14.25" customHeight="1">
      <c r="A1535" s="5" t="s">
        <v>1043</v>
      </c>
      <c r="B1535" s="4"/>
      <c r="C1535" s="3"/>
      <c r="D1535" s="5" t="s">
        <v>443</v>
      </c>
      <c r="E1535" s="5" t="s">
        <v>7026</v>
      </c>
      <c r="F1535" s="3" t="s">
        <v>8133</v>
      </c>
      <c r="G1535" s="6">
        <f t="shared" si="56"/>
        <v>224.49599999999998</v>
      </c>
      <c r="H1535" s="7">
        <v>41780</v>
      </c>
      <c r="I1535" s="6" t="s">
        <v>178</v>
      </c>
      <c r="J1535" s="6" t="s">
        <v>8134</v>
      </c>
      <c r="K1535" s="6" t="s">
        <v>21</v>
      </c>
      <c r="L1535" s="41">
        <v>12</v>
      </c>
      <c r="M1535" s="15" t="s">
        <v>8135</v>
      </c>
      <c r="N1535" s="15" t="s">
        <v>164</v>
      </c>
      <c r="O1535" s="27"/>
    </row>
    <row r="1536" spans="1:15" s="1" customFormat="1" ht="14.25" customHeight="1">
      <c r="A1536" s="5" t="s">
        <v>1043</v>
      </c>
      <c r="B1536" s="3"/>
      <c r="C1536" s="3"/>
      <c r="D1536" s="5" t="s">
        <v>443</v>
      </c>
      <c r="E1536" s="5" t="s">
        <v>7026</v>
      </c>
      <c r="F1536" s="3" t="s">
        <v>8136</v>
      </c>
      <c r="G1536" s="6">
        <f t="shared" si="56"/>
        <v>243.20399999999998</v>
      </c>
      <c r="H1536" s="7">
        <v>41780</v>
      </c>
      <c r="I1536" s="6" t="s">
        <v>178</v>
      </c>
      <c r="J1536" s="6" t="s">
        <v>8137</v>
      </c>
      <c r="K1536" s="6" t="s">
        <v>21</v>
      </c>
      <c r="L1536" s="41">
        <v>13</v>
      </c>
      <c r="M1536" s="15" t="s">
        <v>8135</v>
      </c>
      <c r="N1536" s="15" t="s">
        <v>167</v>
      </c>
      <c r="O1536" s="15" t="s">
        <v>8138</v>
      </c>
    </row>
    <row r="1537" spans="1:15" ht="14.25" customHeight="1">
      <c r="A1537" s="5" t="s">
        <v>1043</v>
      </c>
      <c r="B1537" s="4"/>
      <c r="C1537" s="3"/>
      <c r="D1537" s="5" t="s">
        <v>443</v>
      </c>
      <c r="E1537" s="5" t="s">
        <v>7026</v>
      </c>
      <c r="F1537" s="3" t="s">
        <v>8139</v>
      </c>
      <c r="G1537" s="6">
        <f t="shared" si="56"/>
        <v>224.49599999999998</v>
      </c>
      <c r="H1537" s="7">
        <v>41780</v>
      </c>
      <c r="I1537" s="6" t="s">
        <v>178</v>
      </c>
      <c r="J1537" s="6" t="s">
        <v>8140</v>
      </c>
      <c r="K1537" s="6" t="s">
        <v>21</v>
      </c>
      <c r="L1537" s="41">
        <v>12</v>
      </c>
      <c r="M1537" s="15" t="s">
        <v>8141</v>
      </c>
      <c r="N1537" s="15" t="s">
        <v>164</v>
      </c>
      <c r="O1537" s="27" t="s">
        <v>8142</v>
      </c>
    </row>
    <row r="1538" spans="1:15" ht="14.25" customHeight="1">
      <c r="A1538" s="5" t="s">
        <v>1043</v>
      </c>
      <c r="B1538" s="4"/>
      <c r="C1538" s="3"/>
      <c r="D1538" s="5" t="s">
        <v>443</v>
      </c>
      <c r="E1538" s="5" t="s">
        <v>7026</v>
      </c>
      <c r="F1538" s="3" t="s">
        <v>8143</v>
      </c>
      <c r="G1538" s="6">
        <f t="shared" si="56"/>
        <v>243.20399999999998</v>
      </c>
      <c r="H1538" s="7">
        <v>41780</v>
      </c>
      <c r="I1538" s="6" t="s">
        <v>178</v>
      </c>
      <c r="J1538" s="6" t="s">
        <v>8144</v>
      </c>
      <c r="K1538" s="6" t="s">
        <v>21</v>
      </c>
      <c r="L1538" s="41">
        <v>13</v>
      </c>
      <c r="M1538" s="15" t="s">
        <v>8141</v>
      </c>
      <c r="N1538" s="15" t="s">
        <v>167</v>
      </c>
      <c r="O1538" s="27" t="s">
        <v>8145</v>
      </c>
    </row>
    <row r="1539" spans="1:15" s="1" customFormat="1" ht="14.25" customHeight="1">
      <c r="A1539" s="5" t="s">
        <v>1043</v>
      </c>
      <c r="B1539" s="4"/>
      <c r="C1539" s="3"/>
      <c r="D1539" s="5" t="s">
        <v>443</v>
      </c>
      <c r="E1539" s="5" t="s">
        <v>7026</v>
      </c>
      <c r="F1539" s="3" t="s">
        <v>8146</v>
      </c>
      <c r="G1539" s="6">
        <f t="shared" si="56"/>
        <v>224.49599999999998</v>
      </c>
      <c r="H1539" s="7">
        <v>41780</v>
      </c>
      <c r="I1539" s="6" t="s">
        <v>178</v>
      </c>
      <c r="J1539" s="6" t="s">
        <v>8147</v>
      </c>
      <c r="K1539" s="6" t="s">
        <v>21</v>
      </c>
      <c r="L1539" s="41">
        <v>12</v>
      </c>
      <c r="M1539" s="15" t="s">
        <v>8148</v>
      </c>
      <c r="N1539" s="15" t="s">
        <v>164</v>
      </c>
      <c r="O1539" s="27" t="s">
        <v>8149</v>
      </c>
    </row>
    <row r="1540" spans="1:15" s="1" customFormat="1" ht="14.25" customHeight="1">
      <c r="A1540" s="5" t="s">
        <v>1043</v>
      </c>
      <c r="B1540" s="4"/>
      <c r="C1540" s="3"/>
      <c r="D1540" s="5" t="s">
        <v>443</v>
      </c>
      <c r="E1540" s="5" t="s">
        <v>7026</v>
      </c>
      <c r="F1540" s="3" t="s">
        <v>8150</v>
      </c>
      <c r="G1540" s="6">
        <f t="shared" si="56"/>
        <v>243.20399999999998</v>
      </c>
      <c r="H1540" s="7">
        <v>41780</v>
      </c>
      <c r="I1540" s="6" t="s">
        <v>178</v>
      </c>
      <c r="J1540" s="6" t="s">
        <v>8151</v>
      </c>
      <c r="K1540" s="6" t="s">
        <v>21</v>
      </c>
      <c r="L1540" s="41">
        <v>13</v>
      </c>
      <c r="M1540" s="15" t="s">
        <v>8148</v>
      </c>
      <c r="N1540" s="15" t="s">
        <v>167</v>
      </c>
      <c r="O1540" s="27" t="s">
        <v>8152</v>
      </c>
    </row>
    <row r="1541" spans="1:15" s="1" customFormat="1" ht="14.25" customHeight="1">
      <c r="A1541" s="5" t="s">
        <v>269</v>
      </c>
      <c r="B1541" s="4"/>
      <c r="C1541" s="3"/>
      <c r="D1541" s="5" t="s">
        <v>270</v>
      </c>
      <c r="E1541" s="5" t="s">
        <v>7026</v>
      </c>
      <c r="F1541" s="3" t="s">
        <v>8153</v>
      </c>
      <c r="G1541" s="6">
        <f>17.498*L1541</f>
        <v>52.494</v>
      </c>
      <c r="H1541" s="7">
        <v>41780</v>
      </c>
      <c r="I1541" s="6" t="s">
        <v>913</v>
      </c>
      <c r="J1541" s="6" t="s">
        <v>8154</v>
      </c>
      <c r="K1541" s="6" t="s">
        <v>21</v>
      </c>
      <c r="L1541" s="6">
        <v>3</v>
      </c>
      <c r="M1541" s="15" t="s">
        <v>8155</v>
      </c>
      <c r="N1541" s="15" t="s">
        <v>8156</v>
      </c>
      <c r="O1541" s="27" t="s">
        <v>8157</v>
      </c>
    </row>
    <row r="1542" spans="1:15" ht="14.25" customHeight="1">
      <c r="A1542" s="5" t="s">
        <v>1150</v>
      </c>
      <c r="B1542" s="4"/>
      <c r="C1542" s="3"/>
      <c r="D1542" s="5" t="s">
        <v>1151</v>
      </c>
      <c r="E1542" s="5" t="s">
        <v>7026</v>
      </c>
      <c r="F1542" s="3" t="s">
        <v>8158</v>
      </c>
      <c r="G1542" s="6">
        <f t="shared" ref="G1542:G1550" si="57">17.712*L1542</f>
        <v>212.54399999999998</v>
      </c>
      <c r="H1542" s="7">
        <v>41780</v>
      </c>
      <c r="I1542" s="6" t="s">
        <v>265</v>
      </c>
      <c r="J1542" s="6" t="s">
        <v>8159</v>
      </c>
      <c r="K1542" s="6" t="s">
        <v>21</v>
      </c>
      <c r="L1542" s="6">
        <v>12</v>
      </c>
      <c r="M1542" s="15" t="s">
        <v>8160</v>
      </c>
      <c r="N1542" s="15" t="s">
        <v>164</v>
      </c>
      <c r="O1542" s="27" t="s">
        <v>8161</v>
      </c>
    </row>
    <row r="1543" spans="1:15" ht="14.25" customHeight="1">
      <c r="A1543" s="5" t="s">
        <v>1150</v>
      </c>
      <c r="B1543" s="4"/>
      <c r="C1543" s="3"/>
      <c r="D1543" s="5" t="s">
        <v>1151</v>
      </c>
      <c r="E1543" s="5" t="s">
        <v>7026</v>
      </c>
      <c r="F1543" s="3" t="s">
        <v>8162</v>
      </c>
      <c r="G1543" s="6">
        <f t="shared" si="57"/>
        <v>230.256</v>
      </c>
      <c r="H1543" s="7">
        <v>41780</v>
      </c>
      <c r="I1543" s="6" t="s">
        <v>265</v>
      </c>
      <c r="J1543" s="6" t="s">
        <v>8163</v>
      </c>
      <c r="K1543" s="6" t="s">
        <v>21</v>
      </c>
      <c r="L1543" s="6">
        <v>13</v>
      </c>
      <c r="M1543" s="15" t="s">
        <v>8160</v>
      </c>
      <c r="N1543" s="15" t="s">
        <v>167</v>
      </c>
      <c r="O1543" s="27"/>
    </row>
    <row r="1544" spans="1:15" ht="14.25" customHeight="1">
      <c r="A1544" s="5" t="s">
        <v>1150</v>
      </c>
      <c r="B1544" s="4"/>
      <c r="C1544" s="3"/>
      <c r="D1544" s="5" t="s">
        <v>1151</v>
      </c>
      <c r="E1544" s="5" t="s">
        <v>7026</v>
      </c>
      <c r="F1544" s="3" t="s">
        <v>8164</v>
      </c>
      <c r="G1544" s="6">
        <f t="shared" si="57"/>
        <v>212.54399999999998</v>
      </c>
      <c r="H1544" s="7">
        <v>41780</v>
      </c>
      <c r="I1544" s="6" t="s">
        <v>265</v>
      </c>
      <c r="J1544" s="6" t="s">
        <v>8165</v>
      </c>
      <c r="K1544" s="6" t="s">
        <v>21</v>
      </c>
      <c r="L1544" s="6">
        <v>12</v>
      </c>
      <c r="M1544" s="15" t="s">
        <v>8166</v>
      </c>
      <c r="N1544" s="15" t="s">
        <v>164</v>
      </c>
      <c r="O1544" s="15" t="s">
        <v>8167</v>
      </c>
    </row>
    <row r="1545" spans="1:15" s="1" customFormat="1" ht="14.25" customHeight="1">
      <c r="A1545" s="5" t="s">
        <v>1150</v>
      </c>
      <c r="B1545" s="4"/>
      <c r="C1545" s="3"/>
      <c r="D1545" s="5" t="s">
        <v>1151</v>
      </c>
      <c r="E1545" s="5" t="s">
        <v>7026</v>
      </c>
      <c r="F1545" s="3" t="s">
        <v>8168</v>
      </c>
      <c r="G1545" s="6">
        <f t="shared" si="57"/>
        <v>230.256</v>
      </c>
      <c r="H1545" s="7">
        <v>41780</v>
      </c>
      <c r="I1545" s="6" t="s">
        <v>265</v>
      </c>
      <c r="J1545" s="6" t="s">
        <v>8169</v>
      </c>
      <c r="K1545" s="6" t="s">
        <v>21</v>
      </c>
      <c r="L1545" s="6">
        <v>13</v>
      </c>
      <c r="M1545" s="15" t="s">
        <v>8166</v>
      </c>
      <c r="N1545" s="15" t="s">
        <v>167</v>
      </c>
      <c r="O1545" s="27"/>
    </row>
    <row r="1546" spans="1:15" s="1" customFormat="1" ht="14.25" customHeight="1">
      <c r="A1546" s="5" t="s">
        <v>1150</v>
      </c>
      <c r="B1546" s="4"/>
      <c r="C1546" s="3"/>
      <c r="D1546" s="5" t="s">
        <v>1151</v>
      </c>
      <c r="E1546" s="5" t="s">
        <v>7026</v>
      </c>
      <c r="F1546" s="3" t="s">
        <v>8170</v>
      </c>
      <c r="G1546" s="6">
        <f t="shared" si="57"/>
        <v>212.54399999999998</v>
      </c>
      <c r="H1546" s="7">
        <v>41780</v>
      </c>
      <c r="I1546" s="6" t="s">
        <v>265</v>
      </c>
      <c r="J1546" s="6" t="s">
        <v>8171</v>
      </c>
      <c r="K1546" s="6" t="s">
        <v>21</v>
      </c>
      <c r="L1546" s="6">
        <v>12</v>
      </c>
      <c r="M1546" s="15" t="s">
        <v>8172</v>
      </c>
      <c r="N1546" s="15" t="s">
        <v>164</v>
      </c>
      <c r="O1546" s="15"/>
    </row>
    <row r="1547" spans="1:15" s="1" customFormat="1" ht="14.25" customHeight="1">
      <c r="A1547" s="5" t="s">
        <v>1150</v>
      </c>
      <c r="B1547" s="4"/>
      <c r="C1547" s="3"/>
      <c r="D1547" s="5" t="s">
        <v>1151</v>
      </c>
      <c r="E1547" s="5" t="s">
        <v>7026</v>
      </c>
      <c r="F1547" s="3" t="s">
        <v>8173</v>
      </c>
      <c r="G1547" s="6">
        <f t="shared" si="57"/>
        <v>230.256</v>
      </c>
      <c r="H1547" s="7">
        <v>41780</v>
      </c>
      <c r="I1547" s="6" t="s">
        <v>265</v>
      </c>
      <c r="J1547" s="6" t="s">
        <v>8174</v>
      </c>
      <c r="K1547" s="6" t="s">
        <v>21</v>
      </c>
      <c r="L1547" s="6">
        <v>13</v>
      </c>
      <c r="M1547" s="15" t="s">
        <v>8172</v>
      </c>
      <c r="N1547" s="15" t="s">
        <v>167</v>
      </c>
      <c r="O1547" s="27"/>
    </row>
    <row r="1548" spans="1:15" s="1" customFormat="1" ht="14.25" customHeight="1">
      <c r="A1548" s="5" t="s">
        <v>918</v>
      </c>
      <c r="B1548" s="4"/>
      <c r="C1548" s="3"/>
      <c r="D1548" s="5" t="s">
        <v>919</v>
      </c>
      <c r="E1548" s="5" t="s">
        <v>7026</v>
      </c>
      <c r="F1548" s="3" t="s">
        <v>8175</v>
      </c>
      <c r="G1548" s="6">
        <f t="shared" si="57"/>
        <v>177.12</v>
      </c>
      <c r="H1548" s="7">
        <v>41780</v>
      </c>
      <c r="I1548" s="6" t="s">
        <v>265</v>
      </c>
      <c r="J1548" s="6" t="s">
        <v>8176</v>
      </c>
      <c r="K1548" s="6" t="s">
        <v>21</v>
      </c>
      <c r="L1548" s="6">
        <v>10</v>
      </c>
      <c r="M1548" s="15" t="s">
        <v>8177</v>
      </c>
      <c r="N1548" s="15" t="s">
        <v>35</v>
      </c>
      <c r="O1548" s="27" t="s">
        <v>8178</v>
      </c>
    </row>
    <row r="1549" spans="1:15" s="1" customFormat="1" ht="14.25" customHeight="1">
      <c r="A1549" s="5" t="s">
        <v>918</v>
      </c>
      <c r="B1549" s="4"/>
      <c r="C1549" s="3"/>
      <c r="D1549" s="5" t="s">
        <v>919</v>
      </c>
      <c r="E1549" s="5" t="s">
        <v>7026</v>
      </c>
      <c r="F1549" s="3" t="s">
        <v>8179</v>
      </c>
      <c r="G1549" s="6">
        <f t="shared" si="57"/>
        <v>230.256</v>
      </c>
      <c r="H1549" s="7">
        <v>41780</v>
      </c>
      <c r="I1549" s="6" t="s">
        <v>265</v>
      </c>
      <c r="J1549" s="6" t="s">
        <v>8180</v>
      </c>
      <c r="K1549" s="6" t="s">
        <v>21</v>
      </c>
      <c r="L1549" s="6">
        <v>13</v>
      </c>
      <c r="M1549" s="15" t="s">
        <v>8177</v>
      </c>
      <c r="N1549" s="15" t="s">
        <v>167</v>
      </c>
      <c r="O1549" s="27" t="s">
        <v>8181</v>
      </c>
    </row>
    <row r="1550" spans="1:15" s="1" customFormat="1" ht="14.25" customHeight="1">
      <c r="A1550" s="5" t="s">
        <v>918</v>
      </c>
      <c r="B1550" s="4"/>
      <c r="C1550" s="3"/>
      <c r="D1550" s="5" t="s">
        <v>919</v>
      </c>
      <c r="E1550" s="5" t="s">
        <v>7026</v>
      </c>
      <c r="F1550" s="3" t="s">
        <v>8182</v>
      </c>
      <c r="G1550" s="6">
        <f t="shared" si="57"/>
        <v>35.423999999999999</v>
      </c>
      <c r="H1550" s="7">
        <v>41780</v>
      </c>
      <c r="I1550" s="6" t="s">
        <v>265</v>
      </c>
      <c r="J1550" s="6" t="s">
        <v>8183</v>
      </c>
      <c r="K1550" s="6" t="s">
        <v>21</v>
      </c>
      <c r="L1550" s="6">
        <v>2</v>
      </c>
      <c r="M1550" s="15" t="s">
        <v>8184</v>
      </c>
      <c r="N1550" s="15" t="s">
        <v>8185</v>
      </c>
      <c r="O1550" s="15" t="s">
        <v>8186</v>
      </c>
    </row>
    <row r="1551" spans="1:15" s="1" customFormat="1" ht="14.25" customHeight="1">
      <c r="A1551" s="3" t="s">
        <v>12680</v>
      </c>
      <c r="B1551" s="3" t="s">
        <v>13498</v>
      </c>
      <c r="C1551" s="3"/>
      <c r="D1551" s="5" t="s">
        <v>13499</v>
      </c>
      <c r="E1551" s="5" t="s">
        <v>124</v>
      </c>
      <c r="F1551" s="3" t="s">
        <v>4898</v>
      </c>
      <c r="G1551" s="6">
        <f>9.871*L1551</f>
        <v>128.32300000000001</v>
      </c>
      <c r="H1551" s="7">
        <v>41782</v>
      </c>
      <c r="I1551" s="6" t="s">
        <v>161</v>
      </c>
      <c r="J1551" s="6" t="s">
        <v>4899</v>
      </c>
      <c r="K1551" s="6" t="s">
        <v>21</v>
      </c>
      <c r="L1551" s="6">
        <v>13</v>
      </c>
      <c r="M1551" s="15" t="s">
        <v>4900</v>
      </c>
      <c r="N1551" s="15" t="s">
        <v>1215</v>
      </c>
      <c r="O1551" s="15" t="s">
        <v>4900</v>
      </c>
    </row>
    <row r="1552" spans="1:15" ht="14.25" customHeight="1">
      <c r="A1552" s="3" t="s">
        <v>465</v>
      </c>
      <c r="B1552" s="4"/>
      <c r="C1552" s="3"/>
      <c r="D1552" s="5" t="s">
        <v>391</v>
      </c>
      <c r="E1552" s="5" t="s">
        <v>124</v>
      </c>
      <c r="F1552" s="3" t="s">
        <v>4901</v>
      </c>
      <c r="G1552" s="6">
        <f>17.712*L1552</f>
        <v>212.54399999999998</v>
      </c>
      <c r="H1552" s="7">
        <v>41782</v>
      </c>
      <c r="I1552" s="6" t="s">
        <v>265</v>
      </c>
      <c r="J1552" s="6" t="s">
        <v>4902</v>
      </c>
      <c r="K1552" s="6" t="s">
        <v>21</v>
      </c>
      <c r="L1552" s="6">
        <v>12</v>
      </c>
      <c r="M1552" s="15" t="s">
        <v>4903</v>
      </c>
      <c r="N1552" s="15" t="s">
        <v>164</v>
      </c>
      <c r="O1552" s="28" t="s">
        <v>4903</v>
      </c>
    </row>
    <row r="1553" spans="1:15" s="1" customFormat="1" ht="14.25" customHeight="1">
      <c r="A1553" s="3" t="s">
        <v>465</v>
      </c>
      <c r="B1553" s="4"/>
      <c r="C1553" s="3"/>
      <c r="D1553" s="5" t="s">
        <v>391</v>
      </c>
      <c r="E1553" s="5" t="s">
        <v>124</v>
      </c>
      <c r="F1553" s="3" t="s">
        <v>4904</v>
      </c>
      <c r="G1553" s="6">
        <f>17.712*L1553</f>
        <v>230.256</v>
      </c>
      <c r="H1553" s="7">
        <v>41782</v>
      </c>
      <c r="I1553" s="6" t="s">
        <v>265</v>
      </c>
      <c r="J1553" s="6" t="s">
        <v>4905</v>
      </c>
      <c r="K1553" s="6" t="s">
        <v>21</v>
      </c>
      <c r="L1553" s="6">
        <v>13</v>
      </c>
      <c r="M1553" s="15" t="s">
        <v>4903</v>
      </c>
      <c r="N1553" s="15" t="s">
        <v>167</v>
      </c>
      <c r="O1553" s="28" t="s">
        <v>4906</v>
      </c>
    </row>
    <row r="1554" spans="1:15" s="1" customFormat="1" ht="14.25" customHeight="1">
      <c r="A1554" s="3" t="s">
        <v>465</v>
      </c>
      <c r="B1554" s="4"/>
      <c r="C1554" s="3"/>
      <c r="D1554" s="5" t="s">
        <v>391</v>
      </c>
      <c r="E1554" s="5" t="s">
        <v>124</v>
      </c>
      <c r="F1554" s="3" t="s">
        <v>4907</v>
      </c>
      <c r="G1554" s="6">
        <f>17.712*L1554</f>
        <v>159.40799999999999</v>
      </c>
      <c r="H1554" s="7">
        <v>41782</v>
      </c>
      <c r="I1554" s="6" t="s">
        <v>265</v>
      </c>
      <c r="J1554" s="6" t="s">
        <v>4908</v>
      </c>
      <c r="K1554" s="6" t="s">
        <v>21</v>
      </c>
      <c r="L1554" s="6">
        <v>9</v>
      </c>
      <c r="M1554" s="15" t="s">
        <v>4909</v>
      </c>
      <c r="N1554" s="15" t="s">
        <v>486</v>
      </c>
      <c r="O1554" s="28" t="s">
        <v>4909</v>
      </c>
    </row>
    <row r="1555" spans="1:15" s="1" customFormat="1" ht="14.25" customHeight="1">
      <c r="A1555" s="3" t="s">
        <v>465</v>
      </c>
      <c r="B1555" s="4"/>
      <c r="C1555" s="3"/>
      <c r="D1555" s="5" t="s">
        <v>391</v>
      </c>
      <c r="E1555" s="5" t="s">
        <v>124</v>
      </c>
      <c r="F1555" s="3" t="s">
        <v>4910</v>
      </c>
      <c r="G1555" s="6">
        <f>17.712*L1555</f>
        <v>177.12</v>
      </c>
      <c r="H1555" s="7">
        <v>41782</v>
      </c>
      <c r="I1555" s="6" t="s">
        <v>265</v>
      </c>
      <c r="J1555" s="6" t="s">
        <v>4911</v>
      </c>
      <c r="K1555" s="6" t="s">
        <v>21</v>
      </c>
      <c r="L1555" s="6">
        <v>10</v>
      </c>
      <c r="M1555" s="15" t="s">
        <v>4909</v>
      </c>
      <c r="N1555" s="15" t="s">
        <v>3359</v>
      </c>
      <c r="O1555" s="28" t="s">
        <v>4912</v>
      </c>
    </row>
    <row r="1556" spans="1:15" ht="14.25" customHeight="1">
      <c r="A1556" s="3" t="s">
        <v>1066</v>
      </c>
      <c r="B1556" s="4"/>
      <c r="C1556" s="3"/>
      <c r="D1556" s="5" t="s">
        <v>391</v>
      </c>
      <c r="E1556" s="5" t="s">
        <v>124</v>
      </c>
      <c r="F1556" s="3" t="s">
        <v>4913</v>
      </c>
      <c r="G1556" s="6">
        <f>17.712*L1556</f>
        <v>106.27199999999999</v>
      </c>
      <c r="H1556" s="7">
        <v>41782</v>
      </c>
      <c r="I1556" s="6" t="s">
        <v>265</v>
      </c>
      <c r="J1556" s="6" t="s">
        <v>4914</v>
      </c>
      <c r="K1556" s="6" t="s">
        <v>21</v>
      </c>
      <c r="L1556" s="6">
        <v>6</v>
      </c>
      <c r="M1556" s="15" t="s">
        <v>4909</v>
      </c>
      <c r="N1556" s="15" t="s">
        <v>4915</v>
      </c>
      <c r="O1556" s="15" t="s">
        <v>4916</v>
      </c>
    </row>
    <row r="1557" spans="1:15" ht="14.25" customHeight="1">
      <c r="A1557" s="3" t="s">
        <v>664</v>
      </c>
      <c r="B1557" s="4"/>
      <c r="C1557" s="3"/>
      <c r="D1557" s="5" t="s">
        <v>665</v>
      </c>
      <c r="E1557" s="5" t="s">
        <v>124</v>
      </c>
      <c r="F1557" s="3" t="s">
        <v>4917</v>
      </c>
      <c r="G1557" s="6">
        <v>103.81</v>
      </c>
      <c r="H1557" s="7">
        <v>41782</v>
      </c>
      <c r="I1557" s="6" t="s">
        <v>209</v>
      </c>
      <c r="J1557" s="6" t="s">
        <v>4918</v>
      </c>
      <c r="K1557" s="6" t="s">
        <v>128</v>
      </c>
      <c r="L1557" s="6" t="s">
        <v>240</v>
      </c>
      <c r="M1557" s="15" t="s">
        <v>4919</v>
      </c>
      <c r="N1557" s="15" t="s">
        <v>4920</v>
      </c>
      <c r="O1557" s="28" t="s">
        <v>4921</v>
      </c>
    </row>
    <row r="1558" spans="1:15" s="1" customFormat="1" ht="14.25" customHeight="1">
      <c r="A1558" s="3" t="s">
        <v>514</v>
      </c>
      <c r="B1558" s="3"/>
      <c r="C1558" s="3"/>
      <c r="D1558" s="5" t="s">
        <v>2030</v>
      </c>
      <c r="E1558" s="5" t="s">
        <v>124</v>
      </c>
      <c r="F1558" s="3" t="s">
        <v>4922</v>
      </c>
      <c r="G1558" s="6">
        <f>14.405*L1558</f>
        <v>172.85999999999999</v>
      </c>
      <c r="H1558" s="7">
        <v>41782</v>
      </c>
      <c r="I1558" s="6" t="s">
        <v>265</v>
      </c>
      <c r="J1558" s="6" t="s">
        <v>4923</v>
      </c>
      <c r="K1558" s="6" t="s">
        <v>21</v>
      </c>
      <c r="L1558" s="6">
        <v>12</v>
      </c>
      <c r="M1558" s="15" t="s">
        <v>4924</v>
      </c>
      <c r="N1558" s="15" t="s">
        <v>78</v>
      </c>
      <c r="O1558" s="15" t="s">
        <v>4924</v>
      </c>
    </row>
    <row r="1559" spans="1:15" s="1" customFormat="1" ht="14.25" customHeight="1">
      <c r="A1559" s="3" t="s">
        <v>514</v>
      </c>
      <c r="B1559" s="3"/>
      <c r="C1559" s="3"/>
      <c r="D1559" s="5" t="s">
        <v>2030</v>
      </c>
      <c r="E1559" s="5" t="s">
        <v>124</v>
      </c>
      <c r="F1559" s="3" t="s">
        <v>4925</v>
      </c>
      <c r="G1559" s="6">
        <f>14.405*L1559</f>
        <v>187.26499999999999</v>
      </c>
      <c r="H1559" s="7">
        <v>41782</v>
      </c>
      <c r="I1559" s="6" t="s">
        <v>265</v>
      </c>
      <c r="J1559" s="6" t="s">
        <v>4926</v>
      </c>
      <c r="K1559" s="6" t="s">
        <v>21</v>
      </c>
      <c r="L1559" s="6">
        <v>13</v>
      </c>
      <c r="M1559" s="15" t="s">
        <v>4924</v>
      </c>
      <c r="N1559" s="15" t="s">
        <v>167</v>
      </c>
      <c r="O1559" s="15" t="s">
        <v>4927</v>
      </c>
    </row>
    <row r="1560" spans="1:15" s="1" customFormat="1" ht="13.5" customHeight="1">
      <c r="A1560" s="3" t="s">
        <v>514</v>
      </c>
      <c r="B1560" s="3"/>
      <c r="C1560" s="3"/>
      <c r="D1560" s="5" t="s">
        <v>2030</v>
      </c>
      <c r="E1560" s="5" t="s">
        <v>124</v>
      </c>
      <c r="F1560" s="3" t="s">
        <v>9228</v>
      </c>
      <c r="G1560" s="6">
        <f>14.405*L1560</f>
        <v>187.26499999999999</v>
      </c>
      <c r="H1560" s="7">
        <v>41782</v>
      </c>
      <c r="I1560" s="6" t="s">
        <v>265</v>
      </c>
      <c r="J1560" s="6" t="s">
        <v>9229</v>
      </c>
      <c r="K1560" s="6" t="s">
        <v>21</v>
      </c>
      <c r="L1560" s="6">
        <v>13</v>
      </c>
      <c r="M1560" s="15" t="s">
        <v>9227</v>
      </c>
      <c r="N1560" s="15" t="s">
        <v>167</v>
      </c>
      <c r="O1560" s="15" t="s">
        <v>9230</v>
      </c>
    </row>
    <row r="1561" spans="1:15" s="1" customFormat="1" ht="13.5" customHeight="1">
      <c r="A1561" s="3" t="s">
        <v>514</v>
      </c>
      <c r="B1561" s="3"/>
      <c r="C1561" s="3"/>
      <c r="D1561" s="5" t="s">
        <v>2030</v>
      </c>
      <c r="E1561" s="5" t="s">
        <v>124</v>
      </c>
      <c r="F1561" s="3" t="s">
        <v>9231</v>
      </c>
      <c r="G1561" s="6">
        <f>14.405*L1561</f>
        <v>172.85999999999999</v>
      </c>
      <c r="H1561" s="7">
        <v>41782</v>
      </c>
      <c r="I1561" s="6" t="s">
        <v>265</v>
      </c>
      <c r="J1561" s="6" t="s">
        <v>9232</v>
      </c>
      <c r="K1561" s="6" t="s">
        <v>21</v>
      </c>
      <c r="L1561" s="6">
        <v>12</v>
      </c>
      <c r="M1561" s="15" t="s">
        <v>4930</v>
      </c>
      <c r="N1561" s="15" t="s">
        <v>78</v>
      </c>
      <c r="O1561" s="15" t="s">
        <v>4930</v>
      </c>
    </row>
    <row r="1562" spans="1:15" s="1" customFormat="1" ht="13.5" customHeight="1">
      <c r="A1562" s="3" t="s">
        <v>514</v>
      </c>
      <c r="B1562" s="3"/>
      <c r="C1562" s="3"/>
      <c r="D1562" s="5" t="s">
        <v>2030</v>
      </c>
      <c r="E1562" s="5" t="s">
        <v>124</v>
      </c>
      <c r="F1562" s="3" t="s">
        <v>4928</v>
      </c>
      <c r="G1562" s="6">
        <f>14.405*L1562</f>
        <v>187.26499999999999</v>
      </c>
      <c r="H1562" s="7">
        <v>41782</v>
      </c>
      <c r="I1562" s="6" t="s">
        <v>265</v>
      </c>
      <c r="J1562" s="6" t="s">
        <v>4929</v>
      </c>
      <c r="K1562" s="6" t="s">
        <v>21</v>
      </c>
      <c r="L1562" s="6">
        <v>13</v>
      </c>
      <c r="M1562" s="15" t="s">
        <v>4930</v>
      </c>
      <c r="N1562" s="15" t="s">
        <v>167</v>
      </c>
      <c r="O1562" s="15" t="s">
        <v>4931</v>
      </c>
    </row>
    <row r="1563" spans="1:15" ht="13.5" customHeight="1">
      <c r="A1563" s="22" t="s">
        <v>4932</v>
      </c>
      <c r="B1563" s="3" t="s">
        <v>158</v>
      </c>
      <c r="C1563" s="3"/>
      <c r="D1563" s="5" t="s">
        <v>4933</v>
      </c>
      <c r="E1563" s="5" t="s">
        <v>124</v>
      </c>
      <c r="F1563" s="3" t="s">
        <v>4934</v>
      </c>
      <c r="G1563" s="6">
        <v>16.055</v>
      </c>
      <c r="H1563" s="7">
        <v>41782</v>
      </c>
      <c r="I1563" s="6" t="s">
        <v>4935</v>
      </c>
      <c r="J1563" s="6" t="s">
        <v>4936</v>
      </c>
      <c r="K1563" s="6" t="s">
        <v>21</v>
      </c>
      <c r="L1563" s="6">
        <v>1</v>
      </c>
      <c r="M1563" s="15" t="s">
        <v>4937</v>
      </c>
      <c r="N1563" s="15" t="s">
        <v>4938</v>
      </c>
      <c r="O1563" s="15" t="s">
        <v>4939</v>
      </c>
    </row>
    <row r="1564" spans="1:15" s="1" customFormat="1" ht="13.5" customHeight="1">
      <c r="A1564" s="3" t="s">
        <v>1810</v>
      </c>
      <c r="B1564" s="3"/>
      <c r="C1564" s="3"/>
      <c r="D1564" s="5" t="s">
        <v>717</v>
      </c>
      <c r="E1564" s="5" t="s">
        <v>124</v>
      </c>
      <c r="F1564" s="3" t="s">
        <v>9220</v>
      </c>
      <c r="G1564" s="6">
        <v>279.36500000000001</v>
      </c>
      <c r="H1564" s="7">
        <v>41782</v>
      </c>
      <c r="I1564" s="6" t="s">
        <v>209</v>
      </c>
      <c r="J1564" s="6" t="s">
        <v>9221</v>
      </c>
      <c r="K1564" s="6" t="s">
        <v>128</v>
      </c>
      <c r="L1564" s="6" t="s">
        <v>4580</v>
      </c>
      <c r="M1564" s="15" t="s">
        <v>9222</v>
      </c>
      <c r="N1564" s="15" t="s">
        <v>9223</v>
      </c>
      <c r="O1564" s="15" t="s">
        <v>9224</v>
      </c>
    </row>
    <row r="1565" spans="1:15" ht="14.25" customHeight="1">
      <c r="A1565" s="3" t="s">
        <v>514</v>
      </c>
      <c r="B1565" s="3"/>
      <c r="C1565" s="3"/>
      <c r="D1565" s="5" t="s">
        <v>2030</v>
      </c>
      <c r="E1565" s="5" t="s">
        <v>124</v>
      </c>
      <c r="F1565" s="3" t="s">
        <v>9225</v>
      </c>
      <c r="G1565" s="6">
        <f>14.405*L1565</f>
        <v>172.85999999999999</v>
      </c>
      <c r="H1565" s="7">
        <v>41782</v>
      </c>
      <c r="I1565" s="6" t="s">
        <v>265</v>
      </c>
      <c r="J1565" s="6" t="s">
        <v>9226</v>
      </c>
      <c r="K1565" s="6" t="s">
        <v>21</v>
      </c>
      <c r="L1565" s="6">
        <v>12</v>
      </c>
      <c r="M1565" s="15" t="s">
        <v>9227</v>
      </c>
      <c r="N1565" s="15" t="s">
        <v>78</v>
      </c>
      <c r="O1565" s="15" t="s">
        <v>9227</v>
      </c>
    </row>
    <row r="1566" spans="1:15" s="1" customFormat="1" ht="14.25" customHeight="1">
      <c r="A1566" s="5" t="s">
        <v>1127</v>
      </c>
      <c r="B1566" s="4"/>
      <c r="C1566" s="3"/>
      <c r="D1566" s="5" t="s">
        <v>1128</v>
      </c>
      <c r="E1566" s="5" t="s">
        <v>7026</v>
      </c>
      <c r="F1566" s="3" t="s">
        <v>8187</v>
      </c>
      <c r="G1566" s="6">
        <f t="shared" ref="G1566:G1577" si="58">29.101*L1566</f>
        <v>349.21199999999999</v>
      </c>
      <c r="H1566" s="7">
        <v>41787</v>
      </c>
      <c r="I1566" s="6" t="s">
        <v>178</v>
      </c>
      <c r="J1566" s="6" t="s">
        <v>8188</v>
      </c>
      <c r="K1566" s="6" t="s">
        <v>21</v>
      </c>
      <c r="L1566" s="6">
        <v>12</v>
      </c>
      <c r="M1566" s="15" t="s">
        <v>8189</v>
      </c>
      <c r="N1566" s="15" t="s">
        <v>164</v>
      </c>
      <c r="O1566" s="27" t="s">
        <v>8190</v>
      </c>
    </row>
    <row r="1567" spans="1:15" ht="13.5" customHeight="1">
      <c r="A1567" s="5" t="s">
        <v>1127</v>
      </c>
      <c r="B1567" s="4"/>
      <c r="C1567" s="3"/>
      <c r="D1567" s="5" t="s">
        <v>1128</v>
      </c>
      <c r="E1567" s="5" t="s">
        <v>7026</v>
      </c>
      <c r="F1567" s="3" t="s">
        <v>8191</v>
      </c>
      <c r="G1567" s="6">
        <f t="shared" si="58"/>
        <v>378.31299999999999</v>
      </c>
      <c r="H1567" s="7">
        <v>41787</v>
      </c>
      <c r="I1567" s="6" t="s">
        <v>178</v>
      </c>
      <c r="J1567" s="6" t="s">
        <v>8192</v>
      </c>
      <c r="K1567" s="6" t="s">
        <v>21</v>
      </c>
      <c r="L1567" s="6">
        <v>13</v>
      </c>
      <c r="M1567" s="15" t="s">
        <v>8189</v>
      </c>
      <c r="N1567" s="15" t="s">
        <v>167</v>
      </c>
      <c r="O1567" s="27" t="s">
        <v>8193</v>
      </c>
    </row>
    <row r="1568" spans="1:15" s="1" customFormat="1" ht="14.25" customHeight="1">
      <c r="A1568" s="5" t="s">
        <v>1127</v>
      </c>
      <c r="B1568" s="4"/>
      <c r="C1568" s="3"/>
      <c r="D1568" s="5" t="s">
        <v>1128</v>
      </c>
      <c r="E1568" s="5" t="s">
        <v>7026</v>
      </c>
      <c r="F1568" s="3" t="s">
        <v>8194</v>
      </c>
      <c r="G1568" s="6">
        <f t="shared" si="58"/>
        <v>349.21199999999999</v>
      </c>
      <c r="H1568" s="7">
        <v>41787</v>
      </c>
      <c r="I1568" s="6" t="s">
        <v>178</v>
      </c>
      <c r="J1568" s="6" t="s">
        <v>8195</v>
      </c>
      <c r="K1568" s="6" t="s">
        <v>21</v>
      </c>
      <c r="L1568" s="6">
        <v>12</v>
      </c>
      <c r="M1568" s="15" t="s">
        <v>8196</v>
      </c>
      <c r="N1568" s="15" t="s">
        <v>164</v>
      </c>
      <c r="O1568" s="27" t="s">
        <v>8197</v>
      </c>
    </row>
    <row r="1569" spans="1:15" s="1" customFormat="1" ht="14.25" customHeight="1">
      <c r="A1569" s="5" t="s">
        <v>1127</v>
      </c>
      <c r="B1569" s="4"/>
      <c r="C1569" s="3"/>
      <c r="D1569" s="5" t="s">
        <v>1128</v>
      </c>
      <c r="E1569" s="5" t="s">
        <v>7026</v>
      </c>
      <c r="F1569" s="3" t="s">
        <v>8198</v>
      </c>
      <c r="G1569" s="6">
        <f t="shared" si="58"/>
        <v>378.31299999999999</v>
      </c>
      <c r="H1569" s="7">
        <v>41787</v>
      </c>
      <c r="I1569" s="6" t="s">
        <v>178</v>
      </c>
      <c r="J1569" s="6" t="s">
        <v>8199</v>
      </c>
      <c r="K1569" s="6" t="s">
        <v>21</v>
      </c>
      <c r="L1569" s="6">
        <v>13</v>
      </c>
      <c r="M1569" s="15" t="s">
        <v>8196</v>
      </c>
      <c r="N1569" s="15" t="s">
        <v>167</v>
      </c>
      <c r="O1569" s="27" t="s">
        <v>8200</v>
      </c>
    </row>
    <row r="1570" spans="1:15" s="1" customFormat="1" ht="14.25" customHeight="1">
      <c r="A1570" s="5" t="s">
        <v>1127</v>
      </c>
      <c r="B1570" s="4"/>
      <c r="C1570" s="3"/>
      <c r="D1570" s="5" t="s">
        <v>1128</v>
      </c>
      <c r="E1570" s="5" t="s">
        <v>7026</v>
      </c>
      <c r="F1570" s="3" t="s">
        <v>8201</v>
      </c>
      <c r="G1570" s="6">
        <f t="shared" si="58"/>
        <v>349.21199999999999</v>
      </c>
      <c r="H1570" s="7">
        <v>41787</v>
      </c>
      <c r="I1570" s="6" t="s">
        <v>178</v>
      </c>
      <c r="J1570" s="6" t="s">
        <v>8202</v>
      </c>
      <c r="K1570" s="6" t="s">
        <v>21</v>
      </c>
      <c r="L1570" s="6">
        <v>12</v>
      </c>
      <c r="M1570" s="15" t="s">
        <v>8203</v>
      </c>
      <c r="N1570" s="15" t="s">
        <v>164</v>
      </c>
      <c r="O1570" s="27" t="s">
        <v>8204</v>
      </c>
    </row>
    <row r="1571" spans="1:15" ht="14.25" customHeight="1">
      <c r="A1571" s="5" t="s">
        <v>1127</v>
      </c>
      <c r="B1571" s="4"/>
      <c r="C1571" s="3"/>
      <c r="D1571" s="5" t="s">
        <v>1128</v>
      </c>
      <c r="E1571" s="5" t="s">
        <v>7026</v>
      </c>
      <c r="F1571" s="3" t="s">
        <v>8205</v>
      </c>
      <c r="G1571" s="6">
        <f t="shared" si="58"/>
        <v>378.31299999999999</v>
      </c>
      <c r="H1571" s="7">
        <v>41787</v>
      </c>
      <c r="I1571" s="6" t="s">
        <v>178</v>
      </c>
      <c r="J1571" s="6" t="s">
        <v>8206</v>
      </c>
      <c r="K1571" s="6" t="s">
        <v>21</v>
      </c>
      <c r="L1571" s="6">
        <v>13</v>
      </c>
      <c r="M1571" s="15" t="s">
        <v>8203</v>
      </c>
      <c r="N1571" s="15" t="s">
        <v>167</v>
      </c>
      <c r="O1571" s="27" t="s">
        <v>8207</v>
      </c>
    </row>
    <row r="1572" spans="1:15" ht="14.25" customHeight="1">
      <c r="A1572" s="5" t="s">
        <v>1127</v>
      </c>
      <c r="B1572" s="4"/>
      <c r="C1572" s="3"/>
      <c r="D1572" s="5" t="s">
        <v>1128</v>
      </c>
      <c r="E1572" s="5" t="s">
        <v>7026</v>
      </c>
      <c r="F1572" s="3" t="s">
        <v>8208</v>
      </c>
      <c r="G1572" s="6">
        <f t="shared" si="58"/>
        <v>349.21199999999999</v>
      </c>
      <c r="H1572" s="7">
        <v>41787</v>
      </c>
      <c r="I1572" s="6" t="s">
        <v>178</v>
      </c>
      <c r="J1572" s="6" t="s">
        <v>8209</v>
      </c>
      <c r="K1572" s="6" t="s">
        <v>21</v>
      </c>
      <c r="L1572" s="6">
        <v>12</v>
      </c>
      <c r="M1572" s="15" t="s">
        <v>8210</v>
      </c>
      <c r="N1572" s="15" t="s">
        <v>164</v>
      </c>
      <c r="O1572" s="27" t="s">
        <v>8211</v>
      </c>
    </row>
    <row r="1573" spans="1:15" ht="14.25" customHeight="1">
      <c r="A1573" s="5" t="s">
        <v>1127</v>
      </c>
      <c r="B1573" s="4"/>
      <c r="C1573" s="3"/>
      <c r="D1573" s="5" t="s">
        <v>1128</v>
      </c>
      <c r="E1573" s="5" t="s">
        <v>7026</v>
      </c>
      <c r="F1573" s="3" t="s">
        <v>8212</v>
      </c>
      <c r="G1573" s="6">
        <f t="shared" si="58"/>
        <v>378.31299999999999</v>
      </c>
      <c r="H1573" s="7">
        <v>41787</v>
      </c>
      <c r="I1573" s="6" t="s">
        <v>178</v>
      </c>
      <c r="J1573" s="6" t="s">
        <v>8213</v>
      </c>
      <c r="K1573" s="6" t="s">
        <v>21</v>
      </c>
      <c r="L1573" s="6">
        <v>13</v>
      </c>
      <c r="M1573" s="15" t="s">
        <v>8210</v>
      </c>
      <c r="N1573" s="15" t="s">
        <v>167</v>
      </c>
      <c r="O1573" s="27" t="s">
        <v>8214</v>
      </c>
    </row>
    <row r="1574" spans="1:15" ht="14.25" customHeight="1">
      <c r="A1574" s="5" t="s">
        <v>1127</v>
      </c>
      <c r="B1574" s="4"/>
      <c r="C1574" s="3"/>
      <c r="D1574" s="5" t="s">
        <v>1128</v>
      </c>
      <c r="E1574" s="5" t="s">
        <v>7026</v>
      </c>
      <c r="F1574" s="3" t="s">
        <v>8215</v>
      </c>
      <c r="G1574" s="6">
        <f t="shared" si="58"/>
        <v>349.21199999999999</v>
      </c>
      <c r="H1574" s="7">
        <v>41787</v>
      </c>
      <c r="I1574" s="40" t="s">
        <v>5753</v>
      </c>
      <c r="J1574" s="6" t="s">
        <v>8216</v>
      </c>
      <c r="K1574" s="6" t="s">
        <v>21</v>
      </c>
      <c r="L1574" s="41">
        <v>12</v>
      </c>
      <c r="M1574" s="15" t="s">
        <v>8217</v>
      </c>
      <c r="N1574" s="15" t="s">
        <v>164</v>
      </c>
      <c r="O1574" s="27" t="s">
        <v>8218</v>
      </c>
    </row>
    <row r="1575" spans="1:15" ht="14.25" customHeight="1">
      <c r="A1575" s="5" t="s">
        <v>1127</v>
      </c>
      <c r="B1575" s="4"/>
      <c r="C1575" s="3"/>
      <c r="D1575" s="5" t="s">
        <v>1128</v>
      </c>
      <c r="E1575" s="5" t="s">
        <v>7026</v>
      </c>
      <c r="F1575" s="3" t="s">
        <v>8219</v>
      </c>
      <c r="G1575" s="6">
        <f t="shared" si="58"/>
        <v>378.31299999999999</v>
      </c>
      <c r="H1575" s="7">
        <v>41787</v>
      </c>
      <c r="I1575" s="40" t="s">
        <v>5753</v>
      </c>
      <c r="J1575" s="6" t="s">
        <v>8220</v>
      </c>
      <c r="K1575" s="6" t="s">
        <v>21</v>
      </c>
      <c r="L1575" s="41">
        <v>13</v>
      </c>
      <c r="M1575" s="15" t="s">
        <v>8217</v>
      </c>
      <c r="N1575" s="15" t="s">
        <v>167</v>
      </c>
      <c r="O1575" s="27" t="s">
        <v>8221</v>
      </c>
    </row>
    <row r="1576" spans="1:15" s="1" customFormat="1" ht="14.25" customHeight="1">
      <c r="A1576" s="5" t="s">
        <v>1127</v>
      </c>
      <c r="B1576" s="4"/>
      <c r="C1576" s="3"/>
      <c r="D1576" s="5" t="s">
        <v>1128</v>
      </c>
      <c r="E1576" s="5" t="s">
        <v>7026</v>
      </c>
      <c r="F1576" s="3" t="s">
        <v>8222</v>
      </c>
      <c r="G1576" s="6">
        <f t="shared" si="58"/>
        <v>349.21199999999999</v>
      </c>
      <c r="H1576" s="7">
        <v>41787</v>
      </c>
      <c r="I1576" s="6" t="s">
        <v>178</v>
      </c>
      <c r="J1576" s="6" t="s">
        <v>8223</v>
      </c>
      <c r="K1576" s="6" t="s">
        <v>21</v>
      </c>
      <c r="L1576" s="41">
        <v>12</v>
      </c>
      <c r="M1576" s="15" t="s">
        <v>8224</v>
      </c>
      <c r="N1576" s="15" t="s">
        <v>164</v>
      </c>
      <c r="O1576" s="27" t="s">
        <v>8225</v>
      </c>
    </row>
    <row r="1577" spans="1:15" ht="14.25" customHeight="1">
      <c r="A1577" s="5" t="s">
        <v>1127</v>
      </c>
      <c r="B1577" s="4"/>
      <c r="C1577" s="3"/>
      <c r="D1577" s="5" t="s">
        <v>1128</v>
      </c>
      <c r="E1577" s="5" t="s">
        <v>7026</v>
      </c>
      <c r="F1577" s="3" t="s">
        <v>8226</v>
      </c>
      <c r="G1577" s="6">
        <f t="shared" si="58"/>
        <v>378.31299999999999</v>
      </c>
      <c r="H1577" s="7">
        <v>41787</v>
      </c>
      <c r="I1577" s="6" t="s">
        <v>178</v>
      </c>
      <c r="J1577" s="6" t="s">
        <v>8227</v>
      </c>
      <c r="K1577" s="6" t="s">
        <v>21</v>
      </c>
      <c r="L1577" s="41">
        <v>13</v>
      </c>
      <c r="M1577" s="15" t="s">
        <v>8224</v>
      </c>
      <c r="N1577" s="15" t="s">
        <v>167</v>
      </c>
      <c r="O1577" s="27" t="s">
        <v>8228</v>
      </c>
    </row>
    <row r="1578" spans="1:15" ht="14.25" customHeight="1">
      <c r="A1578" s="5" t="s">
        <v>1259</v>
      </c>
      <c r="B1578" s="4"/>
      <c r="C1578" s="3"/>
      <c r="D1578" s="5" t="s">
        <v>170</v>
      </c>
      <c r="E1578" s="5" t="s">
        <v>7026</v>
      </c>
      <c r="F1578" s="3" t="s">
        <v>8229</v>
      </c>
      <c r="G1578" s="6">
        <f>17.498*L1578</f>
        <v>227.47400000000002</v>
      </c>
      <c r="H1578" s="7">
        <v>41787</v>
      </c>
      <c r="I1578" s="6" t="s">
        <v>265</v>
      </c>
      <c r="J1578" s="6" t="s">
        <v>8230</v>
      </c>
      <c r="K1578" s="6" t="s">
        <v>21</v>
      </c>
      <c r="L1578" s="41">
        <v>13</v>
      </c>
      <c r="M1578" s="15" t="s">
        <v>8046</v>
      </c>
      <c r="N1578" s="15" t="s">
        <v>167</v>
      </c>
      <c r="O1578" s="15"/>
    </row>
    <row r="1579" spans="1:15" s="1" customFormat="1" ht="14.25" customHeight="1">
      <c r="A1579" s="5" t="s">
        <v>1259</v>
      </c>
      <c r="B1579" s="4"/>
      <c r="C1579" s="3"/>
      <c r="D1579" s="5" t="s">
        <v>170</v>
      </c>
      <c r="E1579" s="5" t="s">
        <v>7026</v>
      </c>
      <c r="F1579" s="3" t="s">
        <v>8231</v>
      </c>
      <c r="G1579" s="6">
        <f>17.498*L1579</f>
        <v>209.976</v>
      </c>
      <c r="H1579" s="7">
        <v>41787</v>
      </c>
      <c r="I1579" s="6" t="s">
        <v>265</v>
      </c>
      <c r="J1579" s="6" t="s">
        <v>8232</v>
      </c>
      <c r="K1579" s="6" t="s">
        <v>21</v>
      </c>
      <c r="L1579" s="41">
        <v>12</v>
      </c>
      <c r="M1579" s="15" t="s">
        <v>8233</v>
      </c>
      <c r="N1579" s="15" t="s">
        <v>164</v>
      </c>
      <c r="O1579" s="27"/>
    </row>
    <row r="1580" spans="1:15" ht="14.25" customHeight="1">
      <c r="A1580" s="5" t="s">
        <v>1259</v>
      </c>
      <c r="B1580" s="4"/>
      <c r="C1580" s="3"/>
      <c r="D1580" s="5" t="s">
        <v>170</v>
      </c>
      <c r="E1580" s="5" t="s">
        <v>7026</v>
      </c>
      <c r="F1580" s="3" t="s">
        <v>8234</v>
      </c>
      <c r="G1580" s="6">
        <f>17.498*L1580</f>
        <v>227.47400000000002</v>
      </c>
      <c r="H1580" s="7">
        <v>41787</v>
      </c>
      <c r="I1580" s="6" t="s">
        <v>265</v>
      </c>
      <c r="J1580" s="6" t="s">
        <v>8235</v>
      </c>
      <c r="K1580" s="6" t="s">
        <v>21</v>
      </c>
      <c r="L1580" s="41">
        <v>13</v>
      </c>
      <c r="M1580" s="15" t="s">
        <v>8233</v>
      </c>
      <c r="N1580" s="15" t="s">
        <v>167</v>
      </c>
      <c r="O1580" s="27"/>
    </row>
    <row r="1581" spans="1:15" ht="14.25" customHeight="1">
      <c r="A1581" s="5" t="s">
        <v>1108</v>
      </c>
      <c r="B1581" s="4"/>
      <c r="C1581" s="3"/>
      <c r="D1581" s="5" t="s">
        <v>391</v>
      </c>
      <c r="E1581" s="5" t="s">
        <v>7026</v>
      </c>
      <c r="F1581" s="3" t="s">
        <v>8236</v>
      </c>
      <c r="G1581" s="6">
        <f t="shared" ref="G1581:G1586" si="59">17.712*L1581</f>
        <v>212.54399999999998</v>
      </c>
      <c r="H1581" s="7">
        <v>41787</v>
      </c>
      <c r="I1581" s="6" t="s">
        <v>265</v>
      </c>
      <c r="J1581" s="6" t="s">
        <v>8237</v>
      </c>
      <c r="K1581" s="6" t="s">
        <v>21</v>
      </c>
      <c r="L1581" s="41">
        <v>12</v>
      </c>
      <c r="M1581" s="15" t="s">
        <v>8238</v>
      </c>
      <c r="N1581" s="15" t="s">
        <v>164</v>
      </c>
      <c r="O1581" s="15" t="s">
        <v>8239</v>
      </c>
    </row>
    <row r="1582" spans="1:15" s="1" customFormat="1" ht="14.25" customHeight="1">
      <c r="A1582" s="5" t="s">
        <v>1108</v>
      </c>
      <c r="B1582" s="4"/>
      <c r="C1582" s="3"/>
      <c r="D1582" s="5" t="s">
        <v>391</v>
      </c>
      <c r="E1582" s="5" t="s">
        <v>7026</v>
      </c>
      <c r="F1582" s="3" t="s">
        <v>8240</v>
      </c>
      <c r="G1582" s="6">
        <f t="shared" si="59"/>
        <v>230.256</v>
      </c>
      <c r="H1582" s="7">
        <v>41787</v>
      </c>
      <c r="I1582" s="6" t="s">
        <v>265</v>
      </c>
      <c r="J1582" s="6" t="s">
        <v>8241</v>
      </c>
      <c r="K1582" s="6" t="s">
        <v>21</v>
      </c>
      <c r="L1582" s="41">
        <v>13</v>
      </c>
      <c r="M1582" s="15" t="s">
        <v>8238</v>
      </c>
      <c r="N1582" s="15" t="s">
        <v>167</v>
      </c>
      <c r="O1582" s="15" t="s">
        <v>8242</v>
      </c>
    </row>
    <row r="1583" spans="1:15" ht="14.25" customHeight="1">
      <c r="A1583" s="5" t="s">
        <v>1108</v>
      </c>
      <c r="B1583" s="4"/>
      <c r="C1583" s="3"/>
      <c r="D1583" s="5" t="s">
        <v>391</v>
      </c>
      <c r="E1583" s="5" t="s">
        <v>7026</v>
      </c>
      <c r="F1583" s="3" t="s">
        <v>8243</v>
      </c>
      <c r="G1583" s="6">
        <f t="shared" si="59"/>
        <v>212.54399999999998</v>
      </c>
      <c r="H1583" s="7">
        <v>41787</v>
      </c>
      <c r="I1583" s="6" t="s">
        <v>265</v>
      </c>
      <c r="J1583" s="6" t="s">
        <v>8244</v>
      </c>
      <c r="K1583" s="6" t="s">
        <v>21</v>
      </c>
      <c r="L1583" s="41">
        <v>12</v>
      </c>
      <c r="M1583" s="15" t="s">
        <v>8245</v>
      </c>
      <c r="N1583" s="15" t="s">
        <v>164</v>
      </c>
      <c r="O1583" s="15" t="s">
        <v>8246</v>
      </c>
    </row>
    <row r="1584" spans="1:15" s="1" customFormat="1" ht="14.25" customHeight="1">
      <c r="A1584" s="5" t="s">
        <v>1108</v>
      </c>
      <c r="B1584" s="3"/>
      <c r="C1584" s="3"/>
      <c r="D1584" s="5" t="s">
        <v>391</v>
      </c>
      <c r="E1584" s="5" t="s">
        <v>7026</v>
      </c>
      <c r="F1584" s="3" t="s">
        <v>8247</v>
      </c>
      <c r="G1584" s="6">
        <f t="shared" si="59"/>
        <v>230.256</v>
      </c>
      <c r="H1584" s="7">
        <v>41787</v>
      </c>
      <c r="I1584" s="6" t="s">
        <v>265</v>
      </c>
      <c r="J1584" s="6" t="s">
        <v>8248</v>
      </c>
      <c r="K1584" s="6" t="s">
        <v>21</v>
      </c>
      <c r="L1584" s="41">
        <v>13</v>
      </c>
      <c r="M1584" s="15" t="s">
        <v>8245</v>
      </c>
      <c r="N1584" s="15" t="s">
        <v>167</v>
      </c>
      <c r="O1584" s="15" t="s">
        <v>8249</v>
      </c>
    </row>
    <row r="1585" spans="1:15" ht="14.25" customHeight="1">
      <c r="A1585" s="5" t="s">
        <v>918</v>
      </c>
      <c r="B1585" s="4"/>
      <c r="C1585" s="3"/>
      <c r="D1585" s="5" t="s">
        <v>919</v>
      </c>
      <c r="E1585" s="5" t="s">
        <v>7026</v>
      </c>
      <c r="F1585" s="3" t="s">
        <v>8250</v>
      </c>
      <c r="G1585" s="6">
        <f t="shared" si="59"/>
        <v>212.54399999999998</v>
      </c>
      <c r="H1585" s="7">
        <v>41787</v>
      </c>
      <c r="I1585" s="6" t="s">
        <v>265</v>
      </c>
      <c r="J1585" s="6" t="s">
        <v>8251</v>
      </c>
      <c r="K1585" s="6" t="s">
        <v>21</v>
      </c>
      <c r="L1585" s="6">
        <v>12</v>
      </c>
      <c r="M1585" s="15" t="s">
        <v>8252</v>
      </c>
      <c r="N1585" s="15" t="s">
        <v>8253</v>
      </c>
      <c r="O1585" s="27" t="s">
        <v>8254</v>
      </c>
    </row>
    <row r="1586" spans="1:15" s="1" customFormat="1" ht="14.25" customHeight="1">
      <c r="A1586" s="5" t="s">
        <v>918</v>
      </c>
      <c r="B1586" s="4"/>
      <c r="C1586" s="3"/>
      <c r="D1586" s="5" t="s">
        <v>919</v>
      </c>
      <c r="E1586" s="5" t="s">
        <v>7026</v>
      </c>
      <c r="F1586" s="3" t="s">
        <v>8255</v>
      </c>
      <c r="G1586" s="6">
        <f t="shared" si="59"/>
        <v>230.256</v>
      </c>
      <c r="H1586" s="7">
        <v>41787</v>
      </c>
      <c r="I1586" s="6" t="s">
        <v>265</v>
      </c>
      <c r="J1586" s="6" t="s">
        <v>8256</v>
      </c>
      <c r="K1586" s="6" t="s">
        <v>21</v>
      </c>
      <c r="L1586" s="6">
        <v>13</v>
      </c>
      <c r="M1586" s="15" t="s">
        <v>8252</v>
      </c>
      <c r="N1586" s="15" t="s">
        <v>8257</v>
      </c>
      <c r="O1586" s="27" t="s">
        <v>8258</v>
      </c>
    </row>
    <row r="1587" spans="1:15" s="1" customFormat="1" ht="14.25" customHeight="1">
      <c r="A1587" s="21" t="s">
        <v>68</v>
      </c>
      <c r="B1587" s="3"/>
      <c r="C1587" s="3"/>
      <c r="D1587" s="5" t="s">
        <v>69</v>
      </c>
      <c r="E1587" s="5" t="s">
        <v>17</v>
      </c>
      <c r="F1587" s="3" t="s">
        <v>70</v>
      </c>
      <c r="G1587" s="6">
        <f>9.175*L1587</f>
        <v>55.050000000000004</v>
      </c>
      <c r="H1587" s="7">
        <v>41789</v>
      </c>
      <c r="I1587" s="6" t="s">
        <v>71</v>
      </c>
      <c r="J1587" s="6" t="s">
        <v>72</v>
      </c>
      <c r="K1587" s="6" t="s">
        <v>21</v>
      </c>
      <c r="L1587" s="6">
        <v>6</v>
      </c>
      <c r="M1587" s="15" t="s">
        <v>73</v>
      </c>
      <c r="N1587" s="15" t="s">
        <v>74</v>
      </c>
      <c r="O1587" s="27"/>
    </row>
    <row r="1588" spans="1:15" s="1" customFormat="1" ht="14.25" customHeight="1">
      <c r="A1588" s="21" t="s">
        <v>68</v>
      </c>
      <c r="B1588" s="3"/>
      <c r="C1588" s="3"/>
      <c r="D1588" s="5" t="s">
        <v>69</v>
      </c>
      <c r="E1588" s="5" t="s">
        <v>17</v>
      </c>
      <c r="F1588" s="3" t="s">
        <v>75</v>
      </c>
      <c r="G1588" s="6">
        <f>9.175*L1588</f>
        <v>110.10000000000001</v>
      </c>
      <c r="H1588" s="7">
        <v>41789</v>
      </c>
      <c r="I1588" s="6" t="s">
        <v>71</v>
      </c>
      <c r="J1588" s="6" t="s">
        <v>76</v>
      </c>
      <c r="K1588" s="6" t="s">
        <v>21</v>
      </c>
      <c r="L1588" s="6">
        <v>12</v>
      </c>
      <c r="M1588" s="15" t="s">
        <v>77</v>
      </c>
      <c r="N1588" s="15" t="s">
        <v>78</v>
      </c>
      <c r="O1588" s="27"/>
    </row>
    <row r="1589" spans="1:15" ht="14.25" customHeight="1">
      <c r="A1589" s="21" t="s">
        <v>68</v>
      </c>
      <c r="B1589" s="3"/>
      <c r="C1589" s="3"/>
      <c r="D1589" s="5" t="s">
        <v>69</v>
      </c>
      <c r="E1589" s="5" t="s">
        <v>17</v>
      </c>
      <c r="F1589" s="3" t="s">
        <v>79</v>
      </c>
      <c r="G1589" s="6">
        <f>9.175*L1589</f>
        <v>119.27500000000001</v>
      </c>
      <c r="H1589" s="7">
        <v>41789</v>
      </c>
      <c r="I1589" s="6" t="s">
        <v>71</v>
      </c>
      <c r="J1589" s="6" t="s">
        <v>80</v>
      </c>
      <c r="K1589" s="6" t="s">
        <v>21</v>
      </c>
      <c r="L1589" s="6">
        <v>13</v>
      </c>
      <c r="M1589" s="15" t="s">
        <v>77</v>
      </c>
      <c r="N1589" s="15" t="s">
        <v>81</v>
      </c>
      <c r="O1589" s="27"/>
    </row>
    <row r="1590" spans="1:15" ht="14.25" customHeight="1">
      <c r="A1590" s="3" t="s">
        <v>1498</v>
      </c>
      <c r="B1590" s="4"/>
      <c r="C1590" s="3"/>
      <c r="D1590" s="5" t="s">
        <v>1499</v>
      </c>
      <c r="E1590" s="5" t="s">
        <v>124</v>
      </c>
      <c r="F1590" s="3" t="s">
        <v>4940</v>
      </c>
      <c r="G1590" s="6">
        <f>17.52*L1590</f>
        <v>175.2</v>
      </c>
      <c r="H1590" s="7">
        <v>41789</v>
      </c>
      <c r="I1590" s="6" t="s">
        <v>265</v>
      </c>
      <c r="J1590" s="6" t="s">
        <v>4941</v>
      </c>
      <c r="K1590" s="6" t="s">
        <v>21</v>
      </c>
      <c r="L1590" s="6">
        <v>10</v>
      </c>
      <c r="M1590" s="15" t="s">
        <v>4942</v>
      </c>
      <c r="N1590" s="15" t="s">
        <v>4872</v>
      </c>
      <c r="O1590" s="28" t="s">
        <v>4942</v>
      </c>
    </row>
    <row r="1591" spans="1:15" s="1" customFormat="1" ht="14.25" customHeight="1">
      <c r="A1591" s="3" t="s">
        <v>884</v>
      </c>
      <c r="B1591" s="3" t="s">
        <v>134</v>
      </c>
      <c r="C1591" s="3"/>
      <c r="D1591" s="5" t="s">
        <v>135</v>
      </c>
      <c r="E1591" s="5" t="s">
        <v>124</v>
      </c>
      <c r="F1591" s="3" t="s">
        <v>4943</v>
      </c>
      <c r="G1591" s="6">
        <f>29.101*L1591/2</f>
        <v>145.505</v>
      </c>
      <c r="H1591" s="7">
        <v>41789</v>
      </c>
      <c r="I1591" s="6" t="s">
        <v>886</v>
      </c>
      <c r="J1591" s="6" t="s">
        <v>4944</v>
      </c>
      <c r="K1591" s="6" t="s">
        <v>21</v>
      </c>
      <c r="L1591" s="6">
        <v>10</v>
      </c>
      <c r="M1591" s="15" t="s">
        <v>4945</v>
      </c>
      <c r="N1591" s="15" t="s">
        <v>4872</v>
      </c>
      <c r="O1591" s="15" t="s">
        <v>4945</v>
      </c>
    </row>
    <row r="1592" spans="1:15" s="1" customFormat="1" ht="14.25" customHeight="1">
      <c r="A1592" s="3" t="s">
        <v>819</v>
      </c>
      <c r="B1592" s="4"/>
      <c r="C1592" s="3"/>
      <c r="D1592" s="5" t="s">
        <v>820</v>
      </c>
      <c r="E1592" s="5" t="s">
        <v>124</v>
      </c>
      <c r="F1592" s="3" t="s">
        <v>4946</v>
      </c>
      <c r="G1592" s="6">
        <f>29.101*L1592</f>
        <v>87.302999999999997</v>
      </c>
      <c r="H1592" s="7">
        <v>41789</v>
      </c>
      <c r="I1592" s="6" t="s">
        <v>178</v>
      </c>
      <c r="J1592" s="6" t="s">
        <v>4947</v>
      </c>
      <c r="K1592" s="6" t="s">
        <v>21</v>
      </c>
      <c r="L1592" s="6">
        <v>3</v>
      </c>
      <c r="M1592" s="15" t="s">
        <v>4262</v>
      </c>
      <c r="N1592" s="15" t="s">
        <v>4948</v>
      </c>
      <c r="O1592" s="15" t="s">
        <v>4949</v>
      </c>
    </row>
    <row r="1593" spans="1:15" s="1" customFormat="1" ht="14.25" customHeight="1">
      <c r="A1593" s="3" t="s">
        <v>442</v>
      </c>
      <c r="B1593" s="4"/>
      <c r="C1593" s="3"/>
      <c r="D1593" s="5" t="s">
        <v>443</v>
      </c>
      <c r="E1593" s="5" t="s">
        <v>124</v>
      </c>
      <c r="F1593" s="3" t="s">
        <v>4950</v>
      </c>
      <c r="G1593" s="6">
        <f>18.708*L1593</f>
        <v>187.07999999999998</v>
      </c>
      <c r="H1593" s="7">
        <v>41789</v>
      </c>
      <c r="I1593" s="6" t="s">
        <v>247</v>
      </c>
      <c r="J1593" s="6" t="s">
        <v>4951</v>
      </c>
      <c r="K1593" s="6" t="s">
        <v>21</v>
      </c>
      <c r="L1593" s="6">
        <v>10</v>
      </c>
      <c r="M1593" s="15" t="s">
        <v>4952</v>
      </c>
      <c r="N1593" s="15" t="s">
        <v>4953</v>
      </c>
      <c r="O1593" s="28" t="s">
        <v>4952</v>
      </c>
    </row>
    <row r="1594" spans="1:15" s="1" customFormat="1" ht="14.25" customHeight="1">
      <c r="A1594" s="3" t="s">
        <v>376</v>
      </c>
      <c r="B1594" s="4"/>
      <c r="C1594" s="3"/>
      <c r="D1594" s="5" t="s">
        <v>377</v>
      </c>
      <c r="E1594" s="5" t="s">
        <v>124</v>
      </c>
      <c r="F1594" s="3" t="s">
        <v>4954</v>
      </c>
      <c r="G1594" s="6">
        <f>18.708*L1594</f>
        <v>149.66399999999999</v>
      </c>
      <c r="H1594" s="7">
        <v>41789</v>
      </c>
      <c r="I1594" s="6" t="s">
        <v>379</v>
      </c>
      <c r="J1594" s="6" t="s">
        <v>4955</v>
      </c>
      <c r="K1594" s="6" t="s">
        <v>21</v>
      </c>
      <c r="L1594" s="6">
        <v>8</v>
      </c>
      <c r="M1594" s="15" t="s">
        <v>4278</v>
      </c>
      <c r="N1594" s="15" t="s">
        <v>4956</v>
      </c>
      <c r="O1594" s="15" t="s">
        <v>4957</v>
      </c>
    </row>
    <row r="1595" spans="1:15" s="1" customFormat="1" ht="13.5" customHeight="1">
      <c r="A1595" s="3" t="s">
        <v>772</v>
      </c>
      <c r="B1595" s="4"/>
      <c r="C1595" s="3"/>
      <c r="D1595" s="5" t="s">
        <v>773</v>
      </c>
      <c r="E1595" s="5" t="s">
        <v>124</v>
      </c>
      <c r="F1595" s="3" t="s">
        <v>4958</v>
      </c>
      <c r="G1595" s="6">
        <f>18.708*L1595</f>
        <v>149.66399999999999</v>
      </c>
      <c r="H1595" s="7">
        <v>41789</v>
      </c>
      <c r="I1595" s="6" t="s">
        <v>265</v>
      </c>
      <c r="J1595" s="6" t="s">
        <v>4959</v>
      </c>
      <c r="K1595" s="6" t="s">
        <v>21</v>
      </c>
      <c r="L1595" s="6">
        <v>8</v>
      </c>
      <c r="M1595" s="15" t="s">
        <v>4960</v>
      </c>
      <c r="N1595" s="15" t="s">
        <v>4961</v>
      </c>
      <c r="O1595" s="28" t="s">
        <v>4960</v>
      </c>
    </row>
    <row r="1596" spans="1:15" s="1" customFormat="1" ht="13.5" customHeight="1">
      <c r="A1596" s="3" t="s">
        <v>1087</v>
      </c>
      <c r="B1596" s="4" t="s">
        <v>4520</v>
      </c>
      <c r="C1596" s="3"/>
      <c r="D1596" s="5" t="s">
        <v>1088</v>
      </c>
      <c r="E1596" s="5" t="s">
        <v>124</v>
      </c>
      <c r="F1596" s="3" t="s">
        <v>4962</v>
      </c>
      <c r="G1596" s="6">
        <f>9.804*L1596</f>
        <v>88.236000000000004</v>
      </c>
      <c r="H1596" s="7">
        <v>41789</v>
      </c>
      <c r="I1596" s="6" t="s">
        <v>1090</v>
      </c>
      <c r="J1596" s="6" t="s">
        <v>4963</v>
      </c>
      <c r="K1596" s="6" t="s">
        <v>21</v>
      </c>
      <c r="L1596" s="6">
        <v>9</v>
      </c>
      <c r="M1596" s="15" t="s">
        <v>4964</v>
      </c>
      <c r="N1596" s="15" t="s">
        <v>111</v>
      </c>
      <c r="O1596" s="15" t="s">
        <v>4964</v>
      </c>
    </row>
    <row r="1597" spans="1:15" ht="13.5" customHeight="1">
      <c r="A1597" s="3" t="s">
        <v>1087</v>
      </c>
      <c r="B1597" s="4" t="s">
        <v>4520</v>
      </c>
      <c r="C1597" s="3"/>
      <c r="D1597" s="5" t="s">
        <v>1088</v>
      </c>
      <c r="E1597" s="5" t="s">
        <v>124</v>
      </c>
      <c r="F1597" s="3" t="s">
        <v>4965</v>
      </c>
      <c r="G1597" s="6">
        <f>9.804*L1597</f>
        <v>98.04</v>
      </c>
      <c r="H1597" s="7">
        <v>41789</v>
      </c>
      <c r="I1597" s="6" t="s">
        <v>1090</v>
      </c>
      <c r="J1597" s="6" t="s">
        <v>4966</v>
      </c>
      <c r="K1597" s="6" t="s">
        <v>21</v>
      </c>
      <c r="L1597" s="6">
        <v>10</v>
      </c>
      <c r="M1597" s="15" t="s">
        <v>4964</v>
      </c>
      <c r="N1597" s="15" t="s">
        <v>4872</v>
      </c>
      <c r="O1597" s="28" t="s">
        <v>4967</v>
      </c>
    </row>
    <row r="1598" spans="1:15" s="1" customFormat="1" ht="14.25" customHeight="1">
      <c r="A1598" s="3" t="s">
        <v>1087</v>
      </c>
      <c r="B1598" s="4" t="s">
        <v>4520</v>
      </c>
      <c r="C1598" s="3"/>
      <c r="D1598" s="5" t="s">
        <v>1088</v>
      </c>
      <c r="E1598" s="5" t="s">
        <v>124</v>
      </c>
      <c r="F1598" s="3" t="s">
        <v>4968</v>
      </c>
      <c r="G1598" s="6">
        <f>9.804*L1598</f>
        <v>88.236000000000004</v>
      </c>
      <c r="H1598" s="7">
        <v>41789</v>
      </c>
      <c r="I1598" s="6" t="s">
        <v>1090</v>
      </c>
      <c r="J1598" s="6" t="s">
        <v>4969</v>
      </c>
      <c r="K1598" s="6" t="s">
        <v>21</v>
      </c>
      <c r="L1598" s="6">
        <v>9</v>
      </c>
      <c r="M1598" s="15" t="s">
        <v>4970</v>
      </c>
      <c r="N1598" s="15" t="s">
        <v>4971</v>
      </c>
      <c r="O1598" s="28" t="s">
        <v>4970</v>
      </c>
    </row>
    <row r="1599" spans="1:15" ht="14.25" customHeight="1">
      <c r="A1599" s="3" t="s">
        <v>1087</v>
      </c>
      <c r="B1599" s="4" t="s">
        <v>4520</v>
      </c>
      <c r="C1599" s="3"/>
      <c r="D1599" s="5" t="s">
        <v>1088</v>
      </c>
      <c r="E1599" s="5" t="s">
        <v>124</v>
      </c>
      <c r="F1599" s="3" t="s">
        <v>4972</v>
      </c>
      <c r="G1599" s="6">
        <f>9.804*L1599</f>
        <v>88.236000000000004</v>
      </c>
      <c r="H1599" s="7">
        <v>41789</v>
      </c>
      <c r="I1599" s="6" t="s">
        <v>1090</v>
      </c>
      <c r="J1599" s="6" t="s">
        <v>4973</v>
      </c>
      <c r="K1599" s="6" t="s">
        <v>21</v>
      </c>
      <c r="L1599" s="6">
        <v>9</v>
      </c>
      <c r="M1599" s="15" t="s">
        <v>4970</v>
      </c>
      <c r="N1599" s="15" t="s">
        <v>4974</v>
      </c>
      <c r="O1599" s="28" t="s">
        <v>4975</v>
      </c>
    </row>
    <row r="1600" spans="1:15" ht="14.25" customHeight="1">
      <c r="A1600" s="3" t="s">
        <v>275</v>
      </c>
      <c r="B1600" s="4"/>
      <c r="C1600" s="3"/>
      <c r="D1600" s="5" t="s">
        <v>276</v>
      </c>
      <c r="E1600" s="5" t="s">
        <v>124</v>
      </c>
      <c r="F1600" s="3" t="s">
        <v>4976</v>
      </c>
      <c r="G1600" s="6">
        <f>6.405*L1600</f>
        <v>147.315</v>
      </c>
      <c r="H1600" s="7">
        <v>41789</v>
      </c>
      <c r="I1600" s="6" t="s">
        <v>471</v>
      </c>
      <c r="J1600" s="6" t="s">
        <v>4977</v>
      </c>
      <c r="K1600" s="6" t="s">
        <v>21</v>
      </c>
      <c r="L1600" s="6">
        <v>23</v>
      </c>
      <c r="M1600" s="15" t="s">
        <v>4978</v>
      </c>
      <c r="N1600" s="15" t="s">
        <v>4979</v>
      </c>
      <c r="O1600" s="28" t="s">
        <v>4978</v>
      </c>
    </row>
    <row r="1601" spans="1:15" s="1" customFormat="1" ht="14.25" customHeight="1">
      <c r="A1601" s="3" t="s">
        <v>4681</v>
      </c>
      <c r="B1601" s="3"/>
      <c r="C1601" s="3"/>
      <c r="D1601" s="5" t="s">
        <v>4414</v>
      </c>
      <c r="E1601" s="5" t="s">
        <v>124</v>
      </c>
      <c r="F1601" s="3" t="s">
        <v>4980</v>
      </c>
      <c r="G1601" s="6">
        <f>20.142*L1601</f>
        <v>241.70400000000001</v>
      </c>
      <c r="H1601" s="7">
        <v>41789</v>
      </c>
      <c r="I1601" s="6" t="s">
        <v>265</v>
      </c>
      <c r="J1601" s="6" t="s">
        <v>4981</v>
      </c>
      <c r="K1601" s="6" t="s">
        <v>21</v>
      </c>
      <c r="L1601" s="6">
        <v>12</v>
      </c>
      <c r="M1601" s="15" t="s">
        <v>4982</v>
      </c>
      <c r="N1601" s="15" t="s">
        <v>164</v>
      </c>
      <c r="O1601" s="15" t="s">
        <v>4982</v>
      </c>
    </row>
    <row r="1602" spans="1:15" s="1" customFormat="1" ht="14.25" customHeight="1">
      <c r="A1602" s="3" t="s">
        <v>4681</v>
      </c>
      <c r="B1602" s="3"/>
      <c r="C1602" s="3"/>
      <c r="D1602" s="5" t="s">
        <v>4414</v>
      </c>
      <c r="E1602" s="5" t="s">
        <v>124</v>
      </c>
      <c r="F1602" s="3" t="s">
        <v>9233</v>
      </c>
      <c r="G1602" s="6">
        <f>20.142*L1602</f>
        <v>261.846</v>
      </c>
      <c r="H1602" s="7">
        <v>41789</v>
      </c>
      <c r="I1602" s="6" t="s">
        <v>265</v>
      </c>
      <c r="J1602" s="6" t="s">
        <v>9234</v>
      </c>
      <c r="K1602" s="6" t="s">
        <v>21</v>
      </c>
      <c r="L1602" s="6">
        <v>13</v>
      </c>
      <c r="M1602" s="15" t="s">
        <v>4982</v>
      </c>
      <c r="N1602" s="15" t="s">
        <v>167</v>
      </c>
      <c r="O1602" s="15" t="s">
        <v>9235</v>
      </c>
    </row>
    <row r="1603" spans="1:15" s="1" customFormat="1" ht="14.25" customHeight="1">
      <c r="A1603" s="3" t="s">
        <v>1216</v>
      </c>
      <c r="B1603" s="4"/>
      <c r="C1603" s="3"/>
      <c r="D1603" s="5" t="s">
        <v>2117</v>
      </c>
      <c r="E1603" s="5" t="s">
        <v>124</v>
      </c>
      <c r="F1603" s="3" t="s">
        <v>4983</v>
      </c>
      <c r="G1603" s="6">
        <v>231.7</v>
      </c>
      <c r="H1603" s="7">
        <v>41789</v>
      </c>
      <c r="I1603" s="6" t="s">
        <v>209</v>
      </c>
      <c r="J1603" s="6" t="s">
        <v>4984</v>
      </c>
      <c r="K1603" s="6" t="s">
        <v>128</v>
      </c>
      <c r="L1603" s="6" t="s">
        <v>1226</v>
      </c>
      <c r="M1603" s="15" t="s">
        <v>4985</v>
      </c>
      <c r="N1603" s="15" t="s">
        <v>4986</v>
      </c>
      <c r="O1603" s="28" t="s">
        <v>4987</v>
      </c>
    </row>
    <row r="1604" spans="1:15" s="1" customFormat="1" ht="14.25" customHeight="1">
      <c r="A1604" s="3" t="s">
        <v>1216</v>
      </c>
      <c r="B1604" s="4"/>
      <c r="C1604" s="3"/>
      <c r="D1604" s="5" t="s">
        <v>2117</v>
      </c>
      <c r="E1604" s="5" t="s">
        <v>124</v>
      </c>
      <c r="F1604" s="3" t="s">
        <v>4988</v>
      </c>
      <c r="G1604" s="6">
        <v>232.40700000000001</v>
      </c>
      <c r="H1604" s="7">
        <v>41789</v>
      </c>
      <c r="I1604" s="6" t="s">
        <v>209</v>
      </c>
      <c r="J1604" s="6" t="s">
        <v>4989</v>
      </c>
      <c r="K1604" s="6" t="s">
        <v>128</v>
      </c>
      <c r="L1604" s="6" t="s">
        <v>1226</v>
      </c>
      <c r="M1604" s="15" t="s">
        <v>4990</v>
      </c>
      <c r="N1604" s="15" t="s">
        <v>4991</v>
      </c>
      <c r="O1604" s="28" t="s">
        <v>4992</v>
      </c>
    </row>
    <row r="1605" spans="1:15" s="1" customFormat="1" ht="14.25" customHeight="1">
      <c r="A1605" s="3" t="s">
        <v>1216</v>
      </c>
      <c r="B1605" s="4"/>
      <c r="C1605" s="3"/>
      <c r="D1605" s="5" t="s">
        <v>2117</v>
      </c>
      <c r="E1605" s="5" t="s">
        <v>124</v>
      </c>
      <c r="F1605" s="3" t="s">
        <v>4993</v>
      </c>
      <c r="G1605" s="6">
        <v>200.126</v>
      </c>
      <c r="H1605" s="7">
        <v>41789</v>
      </c>
      <c r="I1605" s="6" t="s">
        <v>209</v>
      </c>
      <c r="J1605" s="6" t="s">
        <v>4994</v>
      </c>
      <c r="K1605" s="6" t="s">
        <v>128</v>
      </c>
      <c r="L1605" s="6" t="s">
        <v>1996</v>
      </c>
      <c r="M1605" s="15" t="s">
        <v>4995</v>
      </c>
      <c r="N1605" s="15" t="s">
        <v>1998</v>
      </c>
      <c r="O1605" s="15" t="s">
        <v>4996</v>
      </c>
    </row>
    <row r="1606" spans="1:15" s="1" customFormat="1" ht="14.25" customHeight="1">
      <c r="A1606" s="3" t="s">
        <v>1216</v>
      </c>
      <c r="B1606" s="4"/>
      <c r="C1606" s="3"/>
      <c r="D1606" s="5" t="s">
        <v>2117</v>
      </c>
      <c r="E1606" s="5" t="s">
        <v>124</v>
      </c>
      <c r="F1606" s="3" t="s">
        <v>4997</v>
      </c>
      <c r="G1606" s="6">
        <v>231.13800000000001</v>
      </c>
      <c r="H1606" s="7">
        <v>41789</v>
      </c>
      <c r="I1606" s="6" t="s">
        <v>209</v>
      </c>
      <c r="J1606" s="6" t="s">
        <v>4998</v>
      </c>
      <c r="K1606" s="6" t="s">
        <v>128</v>
      </c>
      <c r="L1606" s="6" t="s">
        <v>1226</v>
      </c>
      <c r="M1606" s="15" t="s">
        <v>4999</v>
      </c>
      <c r="N1606" s="15" t="s">
        <v>2169</v>
      </c>
      <c r="O1606" s="28" t="s">
        <v>5000</v>
      </c>
    </row>
    <row r="1607" spans="1:15" ht="14.25" customHeight="1">
      <c r="A1607" s="3" t="s">
        <v>1216</v>
      </c>
      <c r="B1607" s="4"/>
      <c r="C1607" s="3"/>
      <c r="D1607" s="5" t="s">
        <v>2117</v>
      </c>
      <c r="E1607" s="5" t="s">
        <v>124</v>
      </c>
      <c r="F1607" s="3" t="s">
        <v>5001</v>
      </c>
      <c r="G1607" s="6">
        <v>233.15799999999999</v>
      </c>
      <c r="H1607" s="7">
        <v>41789</v>
      </c>
      <c r="I1607" s="6" t="s">
        <v>209</v>
      </c>
      <c r="J1607" s="6" t="s">
        <v>5002</v>
      </c>
      <c r="K1607" s="6" t="s">
        <v>128</v>
      </c>
      <c r="L1607" s="6" t="s">
        <v>1226</v>
      </c>
      <c r="M1607" s="15" t="s">
        <v>5003</v>
      </c>
      <c r="N1607" s="15" t="s">
        <v>2623</v>
      </c>
      <c r="O1607" s="15" t="s">
        <v>5004</v>
      </c>
    </row>
    <row r="1608" spans="1:15" s="1" customFormat="1" ht="14.25" customHeight="1">
      <c r="A1608" s="3" t="s">
        <v>1216</v>
      </c>
      <c r="B1608" s="4"/>
      <c r="C1608" s="3"/>
      <c r="D1608" s="5" t="s">
        <v>2117</v>
      </c>
      <c r="E1608" s="5" t="s">
        <v>124</v>
      </c>
      <c r="F1608" s="3" t="s">
        <v>5005</v>
      </c>
      <c r="G1608" s="6">
        <v>261.767</v>
      </c>
      <c r="H1608" s="7">
        <v>41789</v>
      </c>
      <c r="I1608" s="6" t="s">
        <v>209</v>
      </c>
      <c r="J1608" s="6" t="s">
        <v>5006</v>
      </c>
      <c r="K1608" s="6" t="s">
        <v>128</v>
      </c>
      <c r="L1608" s="6" t="s">
        <v>1891</v>
      </c>
      <c r="M1608" s="15" t="s">
        <v>5007</v>
      </c>
      <c r="N1608" s="15" t="s">
        <v>5008</v>
      </c>
      <c r="O1608" s="28" t="s">
        <v>5009</v>
      </c>
    </row>
    <row r="1609" spans="1:15" s="1" customFormat="1" ht="14.25" customHeight="1">
      <c r="A1609" s="3" t="s">
        <v>1216</v>
      </c>
      <c r="B1609" s="4"/>
      <c r="C1609" s="3"/>
      <c r="D1609" s="5" t="s">
        <v>2117</v>
      </c>
      <c r="E1609" s="5" t="s">
        <v>124</v>
      </c>
      <c r="F1609" s="3" t="s">
        <v>5010</v>
      </c>
      <c r="G1609" s="6">
        <v>233.21700000000001</v>
      </c>
      <c r="H1609" s="7">
        <v>41789</v>
      </c>
      <c r="I1609" s="6" t="s">
        <v>209</v>
      </c>
      <c r="J1609" s="6" t="s">
        <v>5011</v>
      </c>
      <c r="K1609" s="6" t="s">
        <v>128</v>
      </c>
      <c r="L1609" s="6" t="s">
        <v>1226</v>
      </c>
      <c r="M1609" s="15" t="s">
        <v>5012</v>
      </c>
      <c r="N1609" s="15" t="s">
        <v>5013</v>
      </c>
      <c r="O1609" s="15" t="s">
        <v>5014</v>
      </c>
    </row>
    <row r="1610" spans="1:15" s="1" customFormat="1" ht="14.25" customHeight="1">
      <c r="A1610" s="3" t="s">
        <v>1216</v>
      </c>
      <c r="B1610" s="4"/>
      <c r="C1610" s="3"/>
      <c r="D1610" s="5" t="s">
        <v>2117</v>
      </c>
      <c r="E1610" s="5" t="s">
        <v>124</v>
      </c>
      <c r="F1610" s="3" t="s">
        <v>5015</v>
      </c>
      <c r="G1610" s="6">
        <v>232.37</v>
      </c>
      <c r="H1610" s="7">
        <v>41789</v>
      </c>
      <c r="I1610" s="6" t="s">
        <v>209</v>
      </c>
      <c r="J1610" s="6" t="s">
        <v>5016</v>
      </c>
      <c r="K1610" s="6" t="s">
        <v>128</v>
      </c>
      <c r="L1610" s="6" t="s">
        <v>1226</v>
      </c>
      <c r="M1610" s="15" t="s">
        <v>5017</v>
      </c>
      <c r="N1610" s="15" t="s">
        <v>2623</v>
      </c>
      <c r="O1610" s="28" t="s">
        <v>5018</v>
      </c>
    </row>
    <row r="1611" spans="1:15" s="1" customFormat="1" ht="14.25" customHeight="1">
      <c r="A1611" s="3" t="s">
        <v>1216</v>
      </c>
      <c r="B1611" s="4"/>
      <c r="C1611" s="3"/>
      <c r="D1611" s="5" t="s">
        <v>2117</v>
      </c>
      <c r="E1611" s="5" t="s">
        <v>124</v>
      </c>
      <c r="F1611" s="3" t="s">
        <v>5019</v>
      </c>
      <c r="G1611" s="6">
        <v>262.56599999999997</v>
      </c>
      <c r="H1611" s="7">
        <v>41789</v>
      </c>
      <c r="I1611" s="6" t="s">
        <v>209</v>
      </c>
      <c r="J1611" s="6" t="s">
        <v>5020</v>
      </c>
      <c r="K1611" s="6" t="s">
        <v>128</v>
      </c>
      <c r="L1611" s="6" t="s">
        <v>1891</v>
      </c>
      <c r="M1611" s="15" t="s">
        <v>5021</v>
      </c>
      <c r="N1611" s="15" t="s">
        <v>5022</v>
      </c>
      <c r="O1611" s="28" t="s">
        <v>5023</v>
      </c>
    </row>
    <row r="1612" spans="1:15" ht="14.25" customHeight="1">
      <c r="A1612" s="3" t="s">
        <v>316</v>
      </c>
      <c r="B1612" s="4"/>
      <c r="C1612" s="3"/>
      <c r="D1612" s="5" t="s">
        <v>317</v>
      </c>
      <c r="E1612" s="5" t="s">
        <v>124</v>
      </c>
      <c r="F1612" s="3" t="s">
        <v>5024</v>
      </c>
      <c r="G1612" s="6">
        <f>17.52*L1612</f>
        <v>210.24</v>
      </c>
      <c r="H1612" s="7">
        <v>41794</v>
      </c>
      <c r="I1612" s="6" t="s">
        <v>209</v>
      </c>
      <c r="J1612" s="6" t="s">
        <v>5025</v>
      </c>
      <c r="K1612" s="6" t="s">
        <v>21</v>
      </c>
      <c r="L1612" s="6">
        <v>12</v>
      </c>
      <c r="M1612" s="15" t="s">
        <v>5026</v>
      </c>
      <c r="N1612" s="15" t="s">
        <v>78</v>
      </c>
      <c r="O1612" s="28" t="s">
        <v>5026</v>
      </c>
    </row>
    <row r="1613" spans="1:15" s="1" customFormat="1" ht="14.25" customHeight="1">
      <c r="A1613" s="3" t="s">
        <v>551</v>
      </c>
      <c r="B1613" s="4"/>
      <c r="C1613" s="3"/>
      <c r="D1613" s="5" t="s">
        <v>552</v>
      </c>
      <c r="E1613" s="5" t="s">
        <v>124</v>
      </c>
      <c r="F1613" s="3" t="s">
        <v>5027</v>
      </c>
      <c r="G1613" s="6">
        <f>17.52*L1613</f>
        <v>105.12</v>
      </c>
      <c r="H1613" s="7">
        <v>41794</v>
      </c>
      <c r="I1613" s="6" t="s">
        <v>265</v>
      </c>
      <c r="J1613" s="6" t="s">
        <v>5028</v>
      </c>
      <c r="K1613" s="6" t="s">
        <v>21</v>
      </c>
      <c r="L1613" s="6">
        <v>6</v>
      </c>
      <c r="M1613" s="15" t="s">
        <v>4124</v>
      </c>
      <c r="N1613" s="15" t="s">
        <v>1141</v>
      </c>
      <c r="O1613" s="15" t="s">
        <v>5029</v>
      </c>
    </row>
    <row r="1614" spans="1:15" s="1" customFormat="1" ht="14.25" customHeight="1">
      <c r="A1614" s="3" t="s">
        <v>609</v>
      </c>
      <c r="B1614" s="4"/>
      <c r="C1614" s="3"/>
      <c r="D1614" s="5" t="s">
        <v>610</v>
      </c>
      <c r="E1614" s="5" t="s">
        <v>124</v>
      </c>
      <c r="F1614" s="3" t="s">
        <v>5030</v>
      </c>
      <c r="G1614" s="6">
        <f>17.52*L1614</f>
        <v>87.6</v>
      </c>
      <c r="H1614" s="7">
        <v>41794</v>
      </c>
      <c r="I1614" s="6" t="s">
        <v>761</v>
      </c>
      <c r="J1614" s="6" t="s">
        <v>5031</v>
      </c>
      <c r="K1614" s="6" t="s">
        <v>21</v>
      </c>
      <c r="L1614" s="6">
        <v>5</v>
      </c>
      <c r="M1614" s="15" t="s">
        <v>5032</v>
      </c>
      <c r="N1614" s="15" t="s">
        <v>59</v>
      </c>
      <c r="O1614" s="15" t="s">
        <v>5032</v>
      </c>
    </row>
    <row r="1615" spans="1:15" ht="14.25" customHeight="1">
      <c r="A1615" s="3" t="s">
        <v>557</v>
      </c>
      <c r="B1615" s="4" t="s">
        <v>4520</v>
      </c>
      <c r="C1615" s="3"/>
      <c r="D1615" s="5" t="s">
        <v>558</v>
      </c>
      <c r="E1615" s="5" t="s">
        <v>124</v>
      </c>
      <c r="F1615" s="3" t="s">
        <v>5033</v>
      </c>
      <c r="G1615" s="6">
        <f>29.101*L1615</f>
        <v>174.60599999999999</v>
      </c>
      <c r="H1615" s="7">
        <v>41794</v>
      </c>
      <c r="I1615" s="6" t="s">
        <v>346</v>
      </c>
      <c r="J1615" s="6" t="s">
        <v>5034</v>
      </c>
      <c r="K1615" s="6" t="s">
        <v>21</v>
      </c>
      <c r="L1615" s="6">
        <v>6</v>
      </c>
      <c r="M1615" s="15" t="s">
        <v>5035</v>
      </c>
      <c r="N1615" s="15" t="s">
        <v>787</v>
      </c>
      <c r="O1615" s="15" t="s">
        <v>5035</v>
      </c>
    </row>
    <row r="1616" spans="1:15" ht="14.25" customHeight="1">
      <c r="A1616" s="3" t="s">
        <v>442</v>
      </c>
      <c r="B1616" s="4"/>
      <c r="C1616" s="3"/>
      <c r="D1616" s="5" t="s">
        <v>443</v>
      </c>
      <c r="E1616" s="5" t="s">
        <v>124</v>
      </c>
      <c r="F1616" s="3" t="s">
        <v>5036</v>
      </c>
      <c r="G1616" s="6">
        <f t="shared" ref="G1616:G1624" si="60">18.708*L1616</f>
        <v>224.49599999999998</v>
      </c>
      <c r="H1616" s="7">
        <v>41794</v>
      </c>
      <c r="I1616" s="6" t="s">
        <v>247</v>
      </c>
      <c r="J1616" s="6" t="s">
        <v>5037</v>
      </c>
      <c r="K1616" s="6" t="s">
        <v>21</v>
      </c>
      <c r="L1616" s="6">
        <v>12</v>
      </c>
      <c r="M1616" s="15" t="s">
        <v>5038</v>
      </c>
      <c r="N1616" s="15" t="s">
        <v>78</v>
      </c>
      <c r="O1616" s="28" t="s">
        <v>5038</v>
      </c>
    </row>
    <row r="1617" spans="1:15" s="1" customFormat="1" ht="14.25" customHeight="1">
      <c r="A1617" s="3" t="s">
        <v>442</v>
      </c>
      <c r="B1617" s="4"/>
      <c r="C1617" s="3"/>
      <c r="D1617" s="5" t="s">
        <v>443</v>
      </c>
      <c r="E1617" s="5" t="s">
        <v>124</v>
      </c>
      <c r="F1617" s="3" t="s">
        <v>5039</v>
      </c>
      <c r="G1617" s="6">
        <f t="shared" si="60"/>
        <v>243.20399999999998</v>
      </c>
      <c r="H1617" s="7">
        <v>41794</v>
      </c>
      <c r="I1617" s="6" t="s">
        <v>247</v>
      </c>
      <c r="J1617" s="6" t="s">
        <v>5040</v>
      </c>
      <c r="K1617" s="6" t="s">
        <v>21</v>
      </c>
      <c r="L1617" s="6">
        <v>13</v>
      </c>
      <c r="M1617" s="15" t="s">
        <v>5038</v>
      </c>
      <c r="N1617" s="15" t="s">
        <v>81</v>
      </c>
      <c r="O1617" s="28" t="s">
        <v>5041</v>
      </c>
    </row>
    <row r="1618" spans="1:15" s="1" customFormat="1" ht="14.25" customHeight="1">
      <c r="A1618" s="3" t="s">
        <v>442</v>
      </c>
      <c r="B1618" s="4"/>
      <c r="C1618" s="3"/>
      <c r="D1618" s="5" t="s">
        <v>443</v>
      </c>
      <c r="E1618" s="5" t="s">
        <v>124</v>
      </c>
      <c r="F1618" s="3" t="s">
        <v>5042</v>
      </c>
      <c r="G1618" s="6">
        <f t="shared" si="60"/>
        <v>187.07999999999998</v>
      </c>
      <c r="H1618" s="7">
        <v>41794</v>
      </c>
      <c r="I1618" s="6" t="s">
        <v>247</v>
      </c>
      <c r="J1618" s="6" t="s">
        <v>5043</v>
      </c>
      <c r="K1618" s="6" t="s">
        <v>21</v>
      </c>
      <c r="L1618" s="6">
        <v>10</v>
      </c>
      <c r="M1618" s="15" t="s">
        <v>5044</v>
      </c>
      <c r="N1618" s="15" t="s">
        <v>4872</v>
      </c>
      <c r="O1618" s="28" t="s">
        <v>5044</v>
      </c>
    </row>
    <row r="1619" spans="1:15" ht="14.25" customHeight="1">
      <c r="A1619" s="3" t="s">
        <v>442</v>
      </c>
      <c r="B1619" s="4"/>
      <c r="C1619" s="3"/>
      <c r="D1619" s="5" t="s">
        <v>443</v>
      </c>
      <c r="E1619" s="5" t="s">
        <v>124</v>
      </c>
      <c r="F1619" s="3" t="s">
        <v>5045</v>
      </c>
      <c r="G1619" s="6">
        <f t="shared" si="60"/>
        <v>224.49599999999998</v>
      </c>
      <c r="H1619" s="7">
        <v>41794</v>
      </c>
      <c r="I1619" s="6" t="s">
        <v>247</v>
      </c>
      <c r="J1619" s="6" t="s">
        <v>5046</v>
      </c>
      <c r="K1619" s="6" t="s">
        <v>21</v>
      </c>
      <c r="L1619" s="6">
        <v>12</v>
      </c>
      <c r="M1619" s="15" t="s">
        <v>5047</v>
      </c>
      <c r="N1619" s="15" t="s">
        <v>78</v>
      </c>
      <c r="O1619" s="28" t="s">
        <v>5047</v>
      </c>
    </row>
    <row r="1620" spans="1:15" s="1" customFormat="1" ht="14.25" customHeight="1">
      <c r="A1620" s="3" t="s">
        <v>442</v>
      </c>
      <c r="B1620" s="4"/>
      <c r="C1620" s="3"/>
      <c r="D1620" s="5" t="s">
        <v>443</v>
      </c>
      <c r="E1620" s="5" t="s">
        <v>124</v>
      </c>
      <c r="F1620" s="3" t="s">
        <v>5048</v>
      </c>
      <c r="G1620" s="6">
        <f t="shared" si="60"/>
        <v>243.20399999999998</v>
      </c>
      <c r="H1620" s="7">
        <v>41794</v>
      </c>
      <c r="I1620" s="6" t="s">
        <v>247</v>
      </c>
      <c r="J1620" s="6" t="s">
        <v>5049</v>
      </c>
      <c r="K1620" s="6" t="s">
        <v>21</v>
      </c>
      <c r="L1620" s="6">
        <v>13</v>
      </c>
      <c r="M1620" s="15" t="s">
        <v>5047</v>
      </c>
      <c r="N1620" s="15" t="s">
        <v>81</v>
      </c>
      <c r="O1620" s="28" t="s">
        <v>5050</v>
      </c>
    </row>
    <row r="1621" spans="1:15" ht="14.25" customHeight="1">
      <c r="A1621" s="3" t="s">
        <v>701</v>
      </c>
      <c r="B1621" s="4"/>
      <c r="C1621" s="3"/>
      <c r="D1621" s="5" t="s">
        <v>702</v>
      </c>
      <c r="E1621" s="5" t="s">
        <v>124</v>
      </c>
      <c r="F1621" s="3" t="s">
        <v>5051</v>
      </c>
      <c r="G1621" s="6">
        <f t="shared" si="60"/>
        <v>130.95599999999999</v>
      </c>
      <c r="H1621" s="7">
        <v>41794</v>
      </c>
      <c r="I1621" s="6" t="s">
        <v>379</v>
      </c>
      <c r="J1621" s="6" t="s">
        <v>5052</v>
      </c>
      <c r="K1621" s="6" t="s">
        <v>21</v>
      </c>
      <c r="L1621" s="6">
        <v>7</v>
      </c>
      <c r="M1621" s="15" t="s">
        <v>5053</v>
      </c>
      <c r="N1621" s="15" t="s">
        <v>4178</v>
      </c>
      <c r="O1621" s="15" t="s">
        <v>5053</v>
      </c>
    </row>
    <row r="1622" spans="1:15" s="1" customFormat="1" ht="14.25" customHeight="1">
      <c r="A1622" s="3" t="s">
        <v>701</v>
      </c>
      <c r="B1622" s="3"/>
      <c r="C1622" s="3"/>
      <c r="D1622" s="5" t="s">
        <v>702</v>
      </c>
      <c r="E1622" s="5" t="s">
        <v>124</v>
      </c>
      <c r="F1622" s="3" t="s">
        <v>5054</v>
      </c>
      <c r="G1622" s="6">
        <f t="shared" si="60"/>
        <v>149.66399999999999</v>
      </c>
      <c r="H1622" s="7">
        <v>41794</v>
      </c>
      <c r="I1622" s="6" t="s">
        <v>379</v>
      </c>
      <c r="J1622" s="6" t="s">
        <v>5055</v>
      </c>
      <c r="K1622" s="6" t="s">
        <v>21</v>
      </c>
      <c r="L1622" s="6">
        <v>8</v>
      </c>
      <c r="M1622" s="15" t="s">
        <v>5053</v>
      </c>
      <c r="N1622" s="15" t="s">
        <v>4182</v>
      </c>
      <c r="O1622" s="15" t="s">
        <v>5056</v>
      </c>
    </row>
    <row r="1623" spans="1:15" s="1" customFormat="1" ht="14.25" customHeight="1">
      <c r="A1623" s="3" t="s">
        <v>252</v>
      </c>
      <c r="B1623" s="3"/>
      <c r="C1623" s="3"/>
      <c r="D1623" s="5" t="s">
        <v>245</v>
      </c>
      <c r="E1623" s="5" t="s">
        <v>124</v>
      </c>
      <c r="F1623" s="3" t="s">
        <v>5057</v>
      </c>
      <c r="G1623" s="6">
        <f t="shared" si="60"/>
        <v>224.49599999999998</v>
      </c>
      <c r="H1623" s="7">
        <v>41794</v>
      </c>
      <c r="I1623" s="6" t="s">
        <v>12401</v>
      </c>
      <c r="J1623" s="6" t="s">
        <v>5058</v>
      </c>
      <c r="K1623" s="6" t="s">
        <v>12404</v>
      </c>
      <c r="L1623" s="6">
        <v>12</v>
      </c>
      <c r="M1623" s="15" t="s">
        <v>5059</v>
      </c>
      <c r="N1623" s="15" t="s">
        <v>164</v>
      </c>
      <c r="O1623" s="15" t="s">
        <v>5059</v>
      </c>
    </row>
    <row r="1624" spans="1:15" s="1" customFormat="1" ht="14.25" customHeight="1">
      <c r="A1624" s="3" t="s">
        <v>244</v>
      </c>
      <c r="B1624" s="3"/>
      <c r="C1624" s="3"/>
      <c r="D1624" s="5" t="s">
        <v>245</v>
      </c>
      <c r="E1624" s="5" t="s">
        <v>124</v>
      </c>
      <c r="F1624" s="3" t="s">
        <v>5060</v>
      </c>
      <c r="G1624" s="6">
        <f t="shared" si="60"/>
        <v>112.24799999999999</v>
      </c>
      <c r="H1624" s="7">
        <v>41794</v>
      </c>
      <c r="I1624" s="6" t="s">
        <v>247</v>
      </c>
      <c r="J1624" s="6" t="s">
        <v>5061</v>
      </c>
      <c r="K1624" s="6" t="s">
        <v>21</v>
      </c>
      <c r="L1624" s="6">
        <v>6</v>
      </c>
      <c r="M1624" s="15" t="s">
        <v>5059</v>
      </c>
      <c r="N1624" s="15" t="s">
        <v>1137</v>
      </c>
      <c r="O1624" s="15" t="s">
        <v>5062</v>
      </c>
    </row>
    <row r="1625" spans="1:15" s="1" customFormat="1" ht="14.25" customHeight="1">
      <c r="A1625" s="3" t="s">
        <v>3870</v>
      </c>
      <c r="B1625" s="4"/>
      <c r="C1625" s="3"/>
      <c r="D1625" s="5" t="s">
        <v>3871</v>
      </c>
      <c r="E1625" s="5" t="s">
        <v>124</v>
      </c>
      <c r="F1625" s="3" t="s">
        <v>5063</v>
      </c>
      <c r="G1625" s="6">
        <f>13.006*L1625</f>
        <v>195.09</v>
      </c>
      <c r="H1625" s="7">
        <v>41794</v>
      </c>
      <c r="I1625" s="6" t="s">
        <v>3873</v>
      </c>
      <c r="J1625" s="6" t="s">
        <v>5064</v>
      </c>
      <c r="K1625" s="6" t="s">
        <v>21</v>
      </c>
      <c r="L1625" s="6">
        <v>15</v>
      </c>
      <c r="M1625" s="15" t="s">
        <v>5065</v>
      </c>
      <c r="N1625" s="15" t="s">
        <v>5066</v>
      </c>
      <c r="O1625" s="15" t="s">
        <v>5065</v>
      </c>
    </row>
    <row r="1626" spans="1:15" s="1" customFormat="1" ht="14.25" customHeight="1">
      <c r="A1626" s="3" t="s">
        <v>1072</v>
      </c>
      <c r="B1626" s="3"/>
      <c r="C1626" s="3"/>
      <c r="D1626" s="5" t="s">
        <v>1963</v>
      </c>
      <c r="E1626" s="5" t="s">
        <v>124</v>
      </c>
      <c r="F1626" s="3" t="s">
        <v>5067</v>
      </c>
      <c r="G1626" s="6">
        <f>17.712*L1626</f>
        <v>88.56</v>
      </c>
      <c r="H1626" s="7">
        <v>41794</v>
      </c>
      <c r="I1626" s="6" t="s">
        <v>265</v>
      </c>
      <c r="J1626" s="6" t="s">
        <v>5068</v>
      </c>
      <c r="K1626" s="6" t="s">
        <v>21</v>
      </c>
      <c r="L1626" s="6">
        <v>5</v>
      </c>
      <c r="M1626" s="15" t="s">
        <v>5069</v>
      </c>
      <c r="N1626" s="15" t="s">
        <v>4602</v>
      </c>
      <c r="O1626" s="15" t="s">
        <v>5069</v>
      </c>
    </row>
    <row r="1627" spans="1:15" s="1" customFormat="1" ht="14.25" customHeight="1">
      <c r="A1627" s="3" t="s">
        <v>1285</v>
      </c>
      <c r="B1627" s="3" t="s">
        <v>4520</v>
      </c>
      <c r="C1627" s="3"/>
      <c r="D1627" s="5" t="s">
        <v>1287</v>
      </c>
      <c r="E1627" s="5" t="s">
        <v>124</v>
      </c>
      <c r="F1627" s="3" t="s">
        <v>5070</v>
      </c>
      <c r="G1627" s="6">
        <f t="shared" ref="G1627:G1632" si="61">8.606*L1627</f>
        <v>103.27199999999999</v>
      </c>
      <c r="H1627" s="7">
        <v>41794</v>
      </c>
      <c r="I1627" s="6" t="s">
        <v>272</v>
      </c>
      <c r="J1627" s="6" t="s">
        <v>5071</v>
      </c>
      <c r="K1627" s="6" t="s">
        <v>21</v>
      </c>
      <c r="L1627" s="6">
        <v>12</v>
      </c>
      <c r="M1627" s="15" t="s">
        <v>5072</v>
      </c>
      <c r="N1627" s="15" t="s">
        <v>164</v>
      </c>
      <c r="O1627" s="15" t="s">
        <v>5072</v>
      </c>
    </row>
    <row r="1628" spans="1:15" ht="14.25" customHeight="1">
      <c r="A1628" s="3" t="s">
        <v>1285</v>
      </c>
      <c r="B1628" s="3" t="s">
        <v>4520</v>
      </c>
      <c r="C1628" s="3"/>
      <c r="D1628" s="5" t="s">
        <v>1287</v>
      </c>
      <c r="E1628" s="5" t="s">
        <v>124</v>
      </c>
      <c r="F1628" s="3" t="s">
        <v>5073</v>
      </c>
      <c r="G1628" s="6">
        <f t="shared" si="61"/>
        <v>111.878</v>
      </c>
      <c r="H1628" s="7">
        <v>41794</v>
      </c>
      <c r="I1628" s="6" t="s">
        <v>272</v>
      </c>
      <c r="J1628" s="6" t="s">
        <v>5074</v>
      </c>
      <c r="K1628" s="6" t="s">
        <v>21</v>
      </c>
      <c r="L1628" s="6">
        <v>13</v>
      </c>
      <c r="M1628" s="15" t="s">
        <v>5072</v>
      </c>
      <c r="N1628" s="15" t="s">
        <v>167</v>
      </c>
      <c r="O1628" s="15" t="s">
        <v>5075</v>
      </c>
    </row>
    <row r="1629" spans="1:15" s="1" customFormat="1" ht="14.25" customHeight="1">
      <c r="A1629" s="3" t="s">
        <v>1285</v>
      </c>
      <c r="B1629" s="3" t="s">
        <v>4520</v>
      </c>
      <c r="C1629" s="3"/>
      <c r="D1629" s="5" t="s">
        <v>1287</v>
      </c>
      <c r="E1629" s="5" t="s">
        <v>124</v>
      </c>
      <c r="F1629" s="3" t="s">
        <v>5076</v>
      </c>
      <c r="G1629" s="6">
        <f t="shared" si="61"/>
        <v>77.453999999999994</v>
      </c>
      <c r="H1629" s="7">
        <v>41794</v>
      </c>
      <c r="I1629" s="6" t="s">
        <v>272</v>
      </c>
      <c r="J1629" s="6" t="s">
        <v>5077</v>
      </c>
      <c r="K1629" s="6" t="s">
        <v>21</v>
      </c>
      <c r="L1629" s="6">
        <v>9</v>
      </c>
      <c r="M1629" s="15" t="s">
        <v>5078</v>
      </c>
      <c r="N1629" s="15" t="s">
        <v>111</v>
      </c>
      <c r="O1629" s="15" t="s">
        <v>5078</v>
      </c>
    </row>
    <row r="1630" spans="1:15" s="1" customFormat="1" ht="14.25" customHeight="1">
      <c r="A1630" s="3" t="s">
        <v>1285</v>
      </c>
      <c r="B1630" s="3" t="s">
        <v>4520</v>
      </c>
      <c r="C1630" s="3"/>
      <c r="D1630" s="5" t="s">
        <v>1287</v>
      </c>
      <c r="E1630" s="5" t="s">
        <v>124</v>
      </c>
      <c r="F1630" s="3" t="s">
        <v>5079</v>
      </c>
      <c r="G1630" s="6">
        <f t="shared" si="61"/>
        <v>86.06</v>
      </c>
      <c r="H1630" s="7">
        <v>41794</v>
      </c>
      <c r="I1630" s="6" t="s">
        <v>272</v>
      </c>
      <c r="J1630" s="6" t="s">
        <v>5080</v>
      </c>
      <c r="K1630" s="6" t="s">
        <v>21</v>
      </c>
      <c r="L1630" s="6">
        <v>10</v>
      </c>
      <c r="M1630" s="15" t="s">
        <v>5078</v>
      </c>
      <c r="N1630" s="15" t="s">
        <v>4872</v>
      </c>
      <c r="O1630" s="15" t="s">
        <v>5081</v>
      </c>
    </row>
    <row r="1631" spans="1:15" ht="14.25" customHeight="1">
      <c r="A1631" s="3" t="s">
        <v>1285</v>
      </c>
      <c r="B1631" s="3" t="s">
        <v>4520</v>
      </c>
      <c r="C1631" s="3"/>
      <c r="D1631" s="5" t="s">
        <v>1287</v>
      </c>
      <c r="E1631" s="5" t="s">
        <v>124</v>
      </c>
      <c r="F1631" s="3" t="s">
        <v>5082</v>
      </c>
      <c r="G1631" s="6">
        <f t="shared" si="61"/>
        <v>86.06</v>
      </c>
      <c r="H1631" s="7">
        <v>41794</v>
      </c>
      <c r="I1631" s="6" t="s">
        <v>272</v>
      </c>
      <c r="J1631" s="6" t="s">
        <v>5083</v>
      </c>
      <c r="K1631" s="6" t="s">
        <v>21</v>
      </c>
      <c r="L1631" s="6">
        <v>10</v>
      </c>
      <c r="M1631" s="15" t="s">
        <v>5084</v>
      </c>
      <c r="N1631" s="15" t="s">
        <v>5085</v>
      </c>
      <c r="O1631" s="15" t="s">
        <v>5084</v>
      </c>
    </row>
    <row r="1632" spans="1:15" s="1" customFormat="1" ht="14.25" customHeight="1">
      <c r="A1632" s="3" t="s">
        <v>1285</v>
      </c>
      <c r="B1632" s="3" t="s">
        <v>283</v>
      </c>
      <c r="C1632" s="3"/>
      <c r="D1632" s="5" t="s">
        <v>1287</v>
      </c>
      <c r="E1632" s="5" t="s">
        <v>124</v>
      </c>
      <c r="F1632" s="3" t="s">
        <v>5086</v>
      </c>
      <c r="G1632" s="6">
        <f t="shared" si="61"/>
        <v>94.665999999999997</v>
      </c>
      <c r="H1632" s="7">
        <v>41794</v>
      </c>
      <c r="I1632" s="6" t="s">
        <v>272</v>
      </c>
      <c r="J1632" s="6" t="s">
        <v>5087</v>
      </c>
      <c r="K1632" s="6" t="s">
        <v>21</v>
      </c>
      <c r="L1632" s="6">
        <v>11</v>
      </c>
      <c r="M1632" s="15" t="s">
        <v>5084</v>
      </c>
      <c r="N1632" s="15" t="s">
        <v>5088</v>
      </c>
      <c r="O1632" s="15" t="s">
        <v>5089</v>
      </c>
    </row>
    <row r="1633" spans="1:15" s="1" customFormat="1" ht="14.25" customHeight="1">
      <c r="A1633" s="3" t="s">
        <v>3897</v>
      </c>
      <c r="B1633" s="4"/>
      <c r="C1633" s="3"/>
      <c r="D1633" s="5" t="s">
        <v>276</v>
      </c>
      <c r="E1633" s="5" t="s">
        <v>124</v>
      </c>
      <c r="F1633" s="3" t="s">
        <v>5090</v>
      </c>
      <c r="G1633" s="6">
        <f>6.405*L1633</f>
        <v>76.86</v>
      </c>
      <c r="H1633" s="7">
        <v>41794</v>
      </c>
      <c r="I1633" s="6" t="s">
        <v>3899</v>
      </c>
      <c r="J1633" s="6" t="s">
        <v>5091</v>
      </c>
      <c r="K1633" s="6" t="s">
        <v>21</v>
      </c>
      <c r="L1633" s="6">
        <v>12</v>
      </c>
      <c r="M1633" s="15" t="s">
        <v>5092</v>
      </c>
      <c r="N1633" s="15" t="s">
        <v>78</v>
      </c>
      <c r="O1633" s="15" t="s">
        <v>5093</v>
      </c>
    </row>
    <row r="1634" spans="1:15" s="1" customFormat="1" ht="14.25" customHeight="1">
      <c r="A1634" s="3" t="s">
        <v>469</v>
      </c>
      <c r="B1634" s="4"/>
      <c r="C1634" s="3"/>
      <c r="D1634" s="5" t="s">
        <v>276</v>
      </c>
      <c r="E1634" s="5" t="s">
        <v>124</v>
      </c>
      <c r="F1634" s="3" t="s">
        <v>5094</v>
      </c>
      <c r="G1634" s="6">
        <f>6.405*L1634</f>
        <v>83.265000000000001</v>
      </c>
      <c r="H1634" s="7">
        <v>41794</v>
      </c>
      <c r="I1634" s="6" t="s">
        <v>471</v>
      </c>
      <c r="J1634" s="6" t="s">
        <v>5095</v>
      </c>
      <c r="K1634" s="6" t="s">
        <v>21</v>
      </c>
      <c r="L1634" s="6">
        <v>13</v>
      </c>
      <c r="M1634" s="15" t="s">
        <v>5092</v>
      </c>
      <c r="N1634" s="15" t="s">
        <v>81</v>
      </c>
      <c r="O1634" s="15" t="s">
        <v>5092</v>
      </c>
    </row>
    <row r="1635" spans="1:15" s="1" customFormat="1" ht="14.25" customHeight="1">
      <c r="A1635" s="3" t="s">
        <v>664</v>
      </c>
      <c r="B1635" s="4"/>
      <c r="C1635" s="3"/>
      <c r="D1635" s="5" t="s">
        <v>665</v>
      </c>
      <c r="E1635" s="5" t="s">
        <v>124</v>
      </c>
      <c r="F1635" s="3" t="s">
        <v>5096</v>
      </c>
      <c r="G1635" s="6">
        <v>85.938000000000002</v>
      </c>
      <c r="H1635" s="7">
        <v>41794</v>
      </c>
      <c r="I1635" s="6" t="s">
        <v>209</v>
      </c>
      <c r="J1635" s="6" t="s">
        <v>5097</v>
      </c>
      <c r="K1635" s="6" t="s">
        <v>128</v>
      </c>
      <c r="L1635" s="6" t="s">
        <v>1329</v>
      </c>
      <c r="M1635" s="15" t="s">
        <v>5098</v>
      </c>
      <c r="N1635" s="15" t="s">
        <v>5099</v>
      </c>
      <c r="O1635" s="28" t="s">
        <v>5100</v>
      </c>
    </row>
    <row r="1636" spans="1:15" s="1" customFormat="1" ht="14.25" customHeight="1">
      <c r="A1636" s="3" t="s">
        <v>1349</v>
      </c>
      <c r="B1636" s="4"/>
      <c r="C1636" s="3"/>
      <c r="D1636" s="5" t="s">
        <v>2117</v>
      </c>
      <c r="E1636" s="5" t="s">
        <v>124</v>
      </c>
      <c r="F1636" s="3" t="s">
        <v>5101</v>
      </c>
      <c r="G1636" s="6">
        <v>231.45599999999999</v>
      </c>
      <c r="H1636" s="7">
        <v>41794</v>
      </c>
      <c r="I1636" s="6" t="s">
        <v>178</v>
      </c>
      <c r="J1636" s="6" t="s">
        <v>5102</v>
      </c>
      <c r="K1636" s="6" t="s">
        <v>128</v>
      </c>
      <c r="L1636" s="6" t="s">
        <v>1226</v>
      </c>
      <c r="M1636" s="15" t="s">
        <v>5103</v>
      </c>
      <c r="N1636" s="15" t="s">
        <v>5104</v>
      </c>
      <c r="O1636" s="28" t="s">
        <v>5105</v>
      </c>
    </row>
    <row r="1637" spans="1:15" s="1" customFormat="1" ht="14.25" customHeight="1">
      <c r="A1637" s="3" t="s">
        <v>1349</v>
      </c>
      <c r="B1637" s="4"/>
      <c r="C1637" s="3"/>
      <c r="D1637" s="5" t="s">
        <v>2117</v>
      </c>
      <c r="E1637" s="5" t="s">
        <v>124</v>
      </c>
      <c r="F1637" s="3" t="s">
        <v>5106</v>
      </c>
      <c r="G1637" s="6">
        <v>231.38800000000001</v>
      </c>
      <c r="H1637" s="7">
        <v>41794</v>
      </c>
      <c r="I1637" s="6" t="s">
        <v>178</v>
      </c>
      <c r="J1637" s="6" t="s">
        <v>5107</v>
      </c>
      <c r="K1637" s="6" t="s">
        <v>128</v>
      </c>
      <c r="L1637" s="6" t="s">
        <v>1226</v>
      </c>
      <c r="M1637" s="15" t="s">
        <v>5108</v>
      </c>
      <c r="N1637" s="15" t="s">
        <v>5109</v>
      </c>
      <c r="O1637" s="28" t="s">
        <v>5110</v>
      </c>
    </row>
    <row r="1638" spans="1:15" s="1" customFormat="1" ht="14.25" customHeight="1">
      <c r="A1638" s="3" t="s">
        <v>1349</v>
      </c>
      <c r="B1638" s="4"/>
      <c r="C1638" s="3"/>
      <c r="D1638" s="5" t="s">
        <v>2117</v>
      </c>
      <c r="E1638" s="5" t="s">
        <v>124</v>
      </c>
      <c r="F1638" s="3" t="s">
        <v>5111</v>
      </c>
      <c r="G1638" s="6">
        <v>231.47300000000001</v>
      </c>
      <c r="H1638" s="7">
        <v>41794</v>
      </c>
      <c r="I1638" s="6" t="s">
        <v>178</v>
      </c>
      <c r="J1638" s="6" t="s">
        <v>5112</v>
      </c>
      <c r="K1638" s="6" t="s">
        <v>128</v>
      </c>
      <c r="L1638" s="6" t="s">
        <v>1226</v>
      </c>
      <c r="M1638" s="15" t="s">
        <v>5113</v>
      </c>
      <c r="N1638" s="15" t="s">
        <v>5114</v>
      </c>
      <c r="O1638" s="28" t="s">
        <v>5115</v>
      </c>
    </row>
    <row r="1639" spans="1:15" s="1" customFormat="1" ht="14.25" customHeight="1">
      <c r="A1639" s="3" t="s">
        <v>1349</v>
      </c>
      <c r="B1639" s="4"/>
      <c r="C1639" s="3"/>
      <c r="D1639" s="5" t="s">
        <v>2117</v>
      </c>
      <c r="E1639" s="5" t="s">
        <v>124</v>
      </c>
      <c r="F1639" s="3" t="s">
        <v>5116</v>
      </c>
      <c r="G1639" s="6">
        <v>232.13499999999999</v>
      </c>
      <c r="H1639" s="7">
        <v>41794</v>
      </c>
      <c r="I1639" s="6" t="s">
        <v>178</v>
      </c>
      <c r="J1639" s="6" t="s">
        <v>5117</v>
      </c>
      <c r="K1639" s="6" t="s">
        <v>128</v>
      </c>
      <c r="L1639" s="6" t="s">
        <v>1226</v>
      </c>
      <c r="M1639" s="15" t="s">
        <v>5118</v>
      </c>
      <c r="N1639" s="15" t="s">
        <v>5119</v>
      </c>
      <c r="O1639" s="28" t="s">
        <v>5120</v>
      </c>
    </row>
    <row r="1640" spans="1:15" ht="14.25" customHeight="1">
      <c r="A1640" s="3" t="s">
        <v>1349</v>
      </c>
      <c r="B1640" s="4"/>
      <c r="C1640" s="3"/>
      <c r="D1640" s="5" t="s">
        <v>2117</v>
      </c>
      <c r="E1640" s="5" t="s">
        <v>124</v>
      </c>
      <c r="F1640" s="3" t="s">
        <v>5121</v>
      </c>
      <c r="G1640" s="6">
        <v>262.35500000000002</v>
      </c>
      <c r="H1640" s="7">
        <v>41794</v>
      </c>
      <c r="I1640" s="6" t="s">
        <v>178</v>
      </c>
      <c r="J1640" s="6" t="s">
        <v>5122</v>
      </c>
      <c r="K1640" s="6" t="s">
        <v>128</v>
      </c>
      <c r="L1640" s="6" t="s">
        <v>1891</v>
      </c>
      <c r="M1640" s="15" t="s">
        <v>5123</v>
      </c>
      <c r="N1640" s="15" t="s">
        <v>5124</v>
      </c>
      <c r="O1640" s="28" t="s">
        <v>5125</v>
      </c>
    </row>
    <row r="1641" spans="1:15" ht="14.25" customHeight="1">
      <c r="A1641" s="3" t="s">
        <v>1006</v>
      </c>
      <c r="B1641" s="4"/>
      <c r="C1641" s="3"/>
      <c r="D1641" s="5" t="s">
        <v>383</v>
      </c>
      <c r="E1641" s="5" t="s">
        <v>124</v>
      </c>
      <c r="F1641" s="3" t="s">
        <v>5126</v>
      </c>
      <c r="G1641" s="6">
        <v>139.03700000000001</v>
      </c>
      <c r="H1641" s="7">
        <v>41794</v>
      </c>
      <c r="I1641" s="6" t="s">
        <v>209</v>
      </c>
      <c r="J1641" s="6" t="s">
        <v>5127</v>
      </c>
      <c r="K1641" s="6" t="s">
        <v>128</v>
      </c>
      <c r="L1641" s="6" t="s">
        <v>386</v>
      </c>
      <c r="M1641" s="15" t="s">
        <v>5128</v>
      </c>
      <c r="N1641" s="15" t="s">
        <v>5129</v>
      </c>
      <c r="O1641" s="28" t="s">
        <v>5130</v>
      </c>
    </row>
    <row r="1642" spans="1:15" ht="14.25" customHeight="1">
      <c r="A1642" s="3" t="s">
        <v>765</v>
      </c>
      <c r="B1642" s="4"/>
      <c r="C1642" s="3"/>
      <c r="D1642" s="5" t="s">
        <v>207</v>
      </c>
      <c r="E1642" s="5" t="s">
        <v>124</v>
      </c>
      <c r="F1642" s="3" t="s">
        <v>5131</v>
      </c>
      <c r="G1642" s="6">
        <v>207.52600000000001</v>
      </c>
      <c r="H1642" s="7">
        <v>41794</v>
      </c>
      <c r="I1642" s="6" t="s">
        <v>209</v>
      </c>
      <c r="J1642" s="6" t="s">
        <v>5132</v>
      </c>
      <c r="K1642" s="6" t="s">
        <v>128</v>
      </c>
      <c r="L1642" s="6" t="s">
        <v>948</v>
      </c>
      <c r="M1642" s="15" t="s">
        <v>5133</v>
      </c>
      <c r="N1642" s="15" t="s">
        <v>950</v>
      </c>
      <c r="O1642" s="15" t="s">
        <v>5134</v>
      </c>
    </row>
    <row r="1643" spans="1:15" s="1" customFormat="1" ht="14.25" customHeight="1">
      <c r="A1643" s="3" t="s">
        <v>1018</v>
      </c>
      <c r="B1643" s="4"/>
      <c r="C1643" s="3"/>
      <c r="D1643" s="5" t="s">
        <v>1019</v>
      </c>
      <c r="E1643" s="5" t="s">
        <v>124</v>
      </c>
      <c r="F1643" s="3" t="s">
        <v>5135</v>
      </c>
      <c r="G1643" s="6">
        <v>206.56100000000001</v>
      </c>
      <c r="H1643" s="7">
        <v>41794</v>
      </c>
      <c r="I1643" s="6" t="s">
        <v>209</v>
      </c>
      <c r="J1643" s="6" t="s">
        <v>5136</v>
      </c>
      <c r="K1643" s="6" t="s">
        <v>128</v>
      </c>
      <c r="L1643" s="6" t="s">
        <v>948</v>
      </c>
      <c r="M1643" s="15" t="s">
        <v>5137</v>
      </c>
      <c r="N1643" s="15" t="s">
        <v>4592</v>
      </c>
      <c r="O1643" s="28" t="s">
        <v>5138</v>
      </c>
    </row>
    <row r="1644" spans="1:15" ht="14.25" customHeight="1">
      <c r="A1644" s="3" t="s">
        <v>1018</v>
      </c>
      <c r="B1644" s="4"/>
      <c r="C1644" s="3"/>
      <c r="D1644" s="5" t="s">
        <v>1019</v>
      </c>
      <c r="E1644" s="5" t="s">
        <v>124</v>
      </c>
      <c r="F1644" s="3" t="s">
        <v>5139</v>
      </c>
      <c r="G1644" s="6">
        <v>224.434</v>
      </c>
      <c r="H1644" s="7">
        <v>41794</v>
      </c>
      <c r="I1644" s="6" t="s">
        <v>209</v>
      </c>
      <c r="J1644" s="6" t="s">
        <v>5140</v>
      </c>
      <c r="K1644" s="6" t="s">
        <v>128</v>
      </c>
      <c r="L1644" s="6" t="s">
        <v>954</v>
      </c>
      <c r="M1644" s="15" t="s">
        <v>5141</v>
      </c>
      <c r="N1644" s="15" t="s">
        <v>4597</v>
      </c>
      <c r="O1644" s="28" t="s">
        <v>5142</v>
      </c>
    </row>
    <row r="1645" spans="1:15" ht="14.25" customHeight="1">
      <c r="A1645" s="3" t="s">
        <v>1018</v>
      </c>
      <c r="B1645" s="4"/>
      <c r="C1645" s="3"/>
      <c r="D1645" s="5" t="s">
        <v>1019</v>
      </c>
      <c r="E1645" s="5" t="s">
        <v>124</v>
      </c>
      <c r="F1645" s="3" t="s">
        <v>5143</v>
      </c>
      <c r="G1645" s="6">
        <v>207.92400000000001</v>
      </c>
      <c r="H1645" s="7">
        <v>41794</v>
      </c>
      <c r="I1645" s="6" t="s">
        <v>209</v>
      </c>
      <c r="J1645" s="6" t="s">
        <v>5144</v>
      </c>
      <c r="K1645" s="6" t="s">
        <v>128</v>
      </c>
      <c r="L1645" s="6" t="s">
        <v>948</v>
      </c>
      <c r="M1645" s="15" t="s">
        <v>5145</v>
      </c>
      <c r="N1645" s="15" t="s">
        <v>4592</v>
      </c>
      <c r="O1645" s="28" t="s">
        <v>5146</v>
      </c>
    </row>
    <row r="1646" spans="1:15" s="1" customFormat="1" ht="14.25" customHeight="1">
      <c r="A1646" s="3" t="s">
        <v>1018</v>
      </c>
      <c r="B1646" s="4"/>
      <c r="C1646" s="3"/>
      <c r="D1646" s="5" t="s">
        <v>1019</v>
      </c>
      <c r="E1646" s="5" t="s">
        <v>124</v>
      </c>
      <c r="F1646" s="3" t="s">
        <v>5147</v>
      </c>
      <c r="G1646" s="6">
        <v>224.27500000000001</v>
      </c>
      <c r="H1646" s="7">
        <v>41794</v>
      </c>
      <c r="I1646" s="6" t="s">
        <v>209</v>
      </c>
      <c r="J1646" s="6" t="s">
        <v>5148</v>
      </c>
      <c r="K1646" s="6" t="s">
        <v>128</v>
      </c>
      <c r="L1646" s="6" t="s">
        <v>954</v>
      </c>
      <c r="M1646" s="15" t="s">
        <v>5149</v>
      </c>
      <c r="N1646" s="15" t="s">
        <v>4597</v>
      </c>
      <c r="O1646" s="28" t="s">
        <v>5150</v>
      </c>
    </row>
    <row r="1647" spans="1:15" ht="14.25" customHeight="1">
      <c r="A1647" s="3" t="s">
        <v>3664</v>
      </c>
      <c r="B1647" s="4"/>
      <c r="C1647" s="3"/>
      <c r="D1647" s="5" t="s">
        <v>672</v>
      </c>
      <c r="E1647" s="5" t="s">
        <v>124</v>
      </c>
      <c r="F1647" s="3" t="s">
        <v>5151</v>
      </c>
      <c r="G1647" s="6">
        <v>152.85400000000001</v>
      </c>
      <c r="H1647" s="7">
        <v>41794</v>
      </c>
      <c r="I1647" s="6" t="s">
        <v>209</v>
      </c>
      <c r="J1647" s="6" t="s">
        <v>5152</v>
      </c>
      <c r="K1647" s="6" t="s">
        <v>128</v>
      </c>
      <c r="L1647" s="6" t="s">
        <v>808</v>
      </c>
      <c r="M1647" s="15" t="s">
        <v>5153</v>
      </c>
      <c r="N1647" s="15" t="s">
        <v>5154</v>
      </c>
      <c r="O1647" s="28" t="s">
        <v>5155</v>
      </c>
    </row>
    <row r="1648" spans="1:15" s="1" customFormat="1" ht="14.25" customHeight="1">
      <c r="A1648" s="3" t="s">
        <v>3664</v>
      </c>
      <c r="B1648" s="4"/>
      <c r="C1648" s="3"/>
      <c r="D1648" s="5" t="s">
        <v>672</v>
      </c>
      <c r="E1648" s="5" t="s">
        <v>124</v>
      </c>
      <c r="F1648" s="3" t="s">
        <v>5156</v>
      </c>
      <c r="G1648" s="6">
        <v>152.99600000000001</v>
      </c>
      <c r="H1648" s="7">
        <v>41794</v>
      </c>
      <c r="I1648" s="6" t="s">
        <v>209</v>
      </c>
      <c r="J1648" s="6" t="s">
        <v>5157</v>
      </c>
      <c r="K1648" s="6" t="s">
        <v>128</v>
      </c>
      <c r="L1648" s="6" t="s">
        <v>808</v>
      </c>
      <c r="M1648" s="15" t="s">
        <v>5158</v>
      </c>
      <c r="N1648" s="15" t="s">
        <v>5159</v>
      </c>
      <c r="O1648" s="28" t="s">
        <v>5160</v>
      </c>
    </row>
    <row r="1649" spans="1:15" s="1" customFormat="1" ht="14.25" customHeight="1">
      <c r="A1649" s="3" t="s">
        <v>3664</v>
      </c>
      <c r="B1649" s="4"/>
      <c r="C1649" s="3"/>
      <c r="D1649" s="5" t="s">
        <v>672</v>
      </c>
      <c r="E1649" s="5" t="s">
        <v>124</v>
      </c>
      <c r="F1649" s="3" t="s">
        <v>5161</v>
      </c>
      <c r="G1649" s="6">
        <v>122.482</v>
      </c>
      <c r="H1649" s="7">
        <v>41794</v>
      </c>
      <c r="I1649" s="6" t="s">
        <v>209</v>
      </c>
      <c r="J1649" s="6" t="s">
        <v>5162</v>
      </c>
      <c r="K1649" s="6" t="s">
        <v>128</v>
      </c>
      <c r="L1649" s="6" t="s">
        <v>2483</v>
      </c>
      <c r="M1649" s="15" t="s">
        <v>5163</v>
      </c>
      <c r="N1649" s="15" t="s">
        <v>5164</v>
      </c>
      <c r="O1649" s="28" t="s">
        <v>5165</v>
      </c>
    </row>
    <row r="1650" spans="1:15" s="1" customFormat="1" ht="14.25" customHeight="1">
      <c r="A1650" s="3" t="s">
        <v>236</v>
      </c>
      <c r="B1650" s="3"/>
      <c r="C1650" s="3"/>
      <c r="D1650" s="5" t="s">
        <v>237</v>
      </c>
      <c r="E1650" s="5" t="s">
        <v>124</v>
      </c>
      <c r="F1650" s="3" t="s">
        <v>5166</v>
      </c>
      <c r="G1650" s="6">
        <v>154.72800000000001</v>
      </c>
      <c r="H1650" s="7">
        <v>41794</v>
      </c>
      <c r="I1650" s="6" t="s">
        <v>209</v>
      </c>
      <c r="J1650" s="6" t="s">
        <v>5167</v>
      </c>
      <c r="K1650" s="6" t="s">
        <v>128</v>
      </c>
      <c r="L1650" s="6" t="s">
        <v>808</v>
      </c>
      <c r="M1650" s="15" t="s">
        <v>5168</v>
      </c>
      <c r="N1650" s="15" t="s">
        <v>5169</v>
      </c>
      <c r="O1650" s="15" t="s">
        <v>5170</v>
      </c>
    </row>
    <row r="1651" spans="1:15" s="1" customFormat="1" ht="14.25" customHeight="1">
      <c r="A1651" s="3" t="s">
        <v>236</v>
      </c>
      <c r="B1651" s="4"/>
      <c r="C1651" s="3"/>
      <c r="D1651" s="5" t="s">
        <v>237</v>
      </c>
      <c r="E1651" s="5" t="s">
        <v>124</v>
      </c>
      <c r="F1651" s="3" t="s">
        <v>5171</v>
      </c>
      <c r="G1651" s="6">
        <v>104.39700000000001</v>
      </c>
      <c r="H1651" s="7">
        <v>41794</v>
      </c>
      <c r="I1651" s="6" t="s">
        <v>209</v>
      </c>
      <c r="J1651" s="6" t="s">
        <v>5172</v>
      </c>
      <c r="K1651" s="6" t="s">
        <v>128</v>
      </c>
      <c r="L1651" s="6" t="s">
        <v>240</v>
      </c>
      <c r="M1651" s="15" t="s">
        <v>5173</v>
      </c>
      <c r="N1651" s="15" t="s">
        <v>5174</v>
      </c>
      <c r="O1651" s="28" t="s">
        <v>5175</v>
      </c>
    </row>
    <row r="1652" spans="1:15" s="1" customFormat="1" ht="14.25" customHeight="1">
      <c r="A1652" s="22" t="s">
        <v>3622</v>
      </c>
      <c r="B1652" s="3" t="s">
        <v>15</v>
      </c>
      <c r="C1652" s="3"/>
      <c r="D1652" s="5" t="s">
        <v>5176</v>
      </c>
      <c r="E1652" s="5" t="s">
        <v>124</v>
      </c>
      <c r="F1652" s="3" t="s">
        <v>5177</v>
      </c>
      <c r="G1652" s="6">
        <f>27.688*L1652</f>
        <v>27.687999999999999</v>
      </c>
      <c r="H1652" s="7">
        <v>41795</v>
      </c>
      <c r="I1652" s="6" t="s">
        <v>209</v>
      </c>
      <c r="J1652" s="6" t="s">
        <v>5178</v>
      </c>
      <c r="K1652" s="6" t="s">
        <v>21</v>
      </c>
      <c r="L1652" s="6">
        <v>1</v>
      </c>
      <c r="M1652" s="15" t="s">
        <v>5179</v>
      </c>
      <c r="N1652" s="15" t="s">
        <v>1913</v>
      </c>
      <c r="O1652" s="28" t="s">
        <v>5180</v>
      </c>
    </row>
    <row r="1653" spans="1:15" s="1" customFormat="1" ht="14.25" customHeight="1">
      <c r="A1653" s="22" t="s">
        <v>5181</v>
      </c>
      <c r="B1653" s="4"/>
      <c r="C1653" s="3"/>
      <c r="D1653" s="5" t="s">
        <v>3106</v>
      </c>
      <c r="E1653" s="5" t="s">
        <v>124</v>
      </c>
      <c r="F1653" s="3" t="s">
        <v>5182</v>
      </c>
      <c r="G1653" s="6">
        <f>17.498*L1653</f>
        <v>34.996000000000002</v>
      </c>
      <c r="H1653" s="7">
        <v>41795</v>
      </c>
      <c r="I1653" s="6" t="s">
        <v>471</v>
      </c>
      <c r="J1653" s="6" t="s">
        <v>5183</v>
      </c>
      <c r="K1653" s="6" t="s">
        <v>21</v>
      </c>
      <c r="L1653" s="6">
        <v>2</v>
      </c>
      <c r="M1653" s="15" t="s">
        <v>5184</v>
      </c>
      <c r="N1653" s="15" t="s">
        <v>5185</v>
      </c>
      <c r="O1653" s="27" t="s">
        <v>5184</v>
      </c>
    </row>
    <row r="1654" spans="1:15" s="1" customFormat="1" ht="14.25" customHeight="1">
      <c r="A1654" s="3" t="s">
        <v>543</v>
      </c>
      <c r="B1654" s="4"/>
      <c r="C1654" s="3"/>
      <c r="D1654" s="5" t="s">
        <v>544</v>
      </c>
      <c r="E1654" s="5" t="s">
        <v>124</v>
      </c>
      <c r="F1654" s="3" t="s">
        <v>5186</v>
      </c>
      <c r="G1654" s="6">
        <v>87.480999999999995</v>
      </c>
      <c r="H1654" s="7">
        <v>41795</v>
      </c>
      <c r="I1654" s="6" t="s">
        <v>209</v>
      </c>
      <c r="J1654" s="6" t="s">
        <v>5187</v>
      </c>
      <c r="K1654" s="6" t="s">
        <v>128</v>
      </c>
      <c r="L1654" s="6" t="s">
        <v>1850</v>
      </c>
      <c r="M1654" s="15" t="s">
        <v>5188</v>
      </c>
      <c r="N1654" s="15" t="s">
        <v>5189</v>
      </c>
      <c r="O1654" s="28" t="s">
        <v>5190</v>
      </c>
    </row>
    <row r="1655" spans="1:15" s="1" customFormat="1" ht="14.25" customHeight="1">
      <c r="A1655" s="3" t="s">
        <v>543</v>
      </c>
      <c r="B1655" s="4"/>
      <c r="C1655" s="3"/>
      <c r="D1655" s="5" t="s">
        <v>544</v>
      </c>
      <c r="E1655" s="5" t="s">
        <v>124</v>
      </c>
      <c r="F1655" s="3" t="s">
        <v>5191</v>
      </c>
      <c r="G1655" s="6">
        <v>70.08</v>
      </c>
      <c r="H1655" s="7">
        <v>41795</v>
      </c>
      <c r="I1655" s="6" t="s">
        <v>209</v>
      </c>
      <c r="J1655" s="6" t="s">
        <v>5192</v>
      </c>
      <c r="K1655" s="6" t="s">
        <v>128</v>
      </c>
      <c r="L1655" s="6" t="s">
        <v>1658</v>
      </c>
      <c r="M1655" s="15" t="s">
        <v>5193</v>
      </c>
      <c r="N1655" s="15" t="s">
        <v>5194</v>
      </c>
      <c r="O1655" s="15" t="s">
        <v>5195</v>
      </c>
    </row>
    <row r="1656" spans="1:15" ht="14.25" customHeight="1">
      <c r="A1656" s="22" t="s">
        <v>5196</v>
      </c>
      <c r="B1656" s="3" t="s">
        <v>82</v>
      </c>
      <c r="C1656" s="3"/>
      <c r="D1656" s="5" t="s">
        <v>5197</v>
      </c>
      <c r="E1656" s="5" t="s">
        <v>124</v>
      </c>
      <c r="F1656" s="3" t="s">
        <v>5198</v>
      </c>
      <c r="G1656" s="6">
        <v>27.422000000000001</v>
      </c>
      <c r="H1656" s="7">
        <v>41795</v>
      </c>
      <c r="I1656" s="6" t="s">
        <v>178</v>
      </c>
      <c r="J1656" s="6" t="s">
        <v>5199</v>
      </c>
      <c r="K1656" s="6" t="s">
        <v>128</v>
      </c>
      <c r="L1656" s="6" t="s">
        <v>743</v>
      </c>
      <c r="M1656" s="15" t="s">
        <v>5200</v>
      </c>
      <c r="N1656" s="15" t="s">
        <v>5201</v>
      </c>
      <c r="O1656" s="15" t="s">
        <v>5202</v>
      </c>
    </row>
    <row r="1657" spans="1:15" ht="14.25" customHeight="1">
      <c r="A1657" s="5" t="s">
        <v>1127</v>
      </c>
      <c r="B1657" s="4"/>
      <c r="C1657" s="3"/>
      <c r="D1657" s="5" t="s">
        <v>1128</v>
      </c>
      <c r="E1657" s="5" t="s">
        <v>7026</v>
      </c>
      <c r="F1657" s="3" t="s">
        <v>8259</v>
      </c>
      <c r="G1657" s="6">
        <f t="shared" ref="G1657:G1662" si="62">29.101*L1657</f>
        <v>349.21199999999999</v>
      </c>
      <c r="H1657" s="7">
        <v>41795</v>
      </c>
      <c r="I1657" s="6" t="s">
        <v>178</v>
      </c>
      <c r="J1657" s="6" t="s">
        <v>8260</v>
      </c>
      <c r="K1657" s="6" t="s">
        <v>21</v>
      </c>
      <c r="L1657" s="6">
        <v>12</v>
      </c>
      <c r="M1657" s="15" t="s">
        <v>8261</v>
      </c>
      <c r="N1657" s="15" t="s">
        <v>164</v>
      </c>
      <c r="O1657" s="27" t="s">
        <v>8262</v>
      </c>
    </row>
    <row r="1658" spans="1:15" s="1" customFormat="1" ht="14.25" customHeight="1">
      <c r="A1658" s="5" t="s">
        <v>1127</v>
      </c>
      <c r="B1658" s="4"/>
      <c r="C1658" s="3"/>
      <c r="D1658" s="5" t="s">
        <v>1128</v>
      </c>
      <c r="E1658" s="5" t="s">
        <v>7026</v>
      </c>
      <c r="F1658" s="3" t="s">
        <v>8263</v>
      </c>
      <c r="G1658" s="6">
        <f t="shared" si="62"/>
        <v>378.31299999999999</v>
      </c>
      <c r="H1658" s="7">
        <v>41795</v>
      </c>
      <c r="I1658" s="40" t="s">
        <v>8264</v>
      </c>
      <c r="J1658" s="6" t="s">
        <v>8265</v>
      </c>
      <c r="K1658" s="6" t="s">
        <v>21</v>
      </c>
      <c r="L1658" s="6">
        <v>13</v>
      </c>
      <c r="M1658" s="15" t="s">
        <v>8261</v>
      </c>
      <c r="N1658" s="15" t="s">
        <v>167</v>
      </c>
      <c r="O1658" s="27" t="s">
        <v>8266</v>
      </c>
    </row>
    <row r="1659" spans="1:15" ht="14.25" customHeight="1">
      <c r="A1659" s="5" t="s">
        <v>1127</v>
      </c>
      <c r="B1659" s="4"/>
      <c r="C1659" s="3"/>
      <c r="D1659" s="5" t="s">
        <v>1128</v>
      </c>
      <c r="E1659" s="5" t="s">
        <v>7026</v>
      </c>
      <c r="F1659" s="3" t="s">
        <v>8267</v>
      </c>
      <c r="G1659" s="6">
        <f t="shared" si="62"/>
        <v>349.21199999999999</v>
      </c>
      <c r="H1659" s="7">
        <v>41795</v>
      </c>
      <c r="I1659" s="40" t="s">
        <v>8264</v>
      </c>
      <c r="J1659" s="6" t="s">
        <v>8268</v>
      </c>
      <c r="K1659" s="6" t="s">
        <v>21</v>
      </c>
      <c r="L1659" s="6">
        <v>12</v>
      </c>
      <c r="M1659" s="15" t="s">
        <v>8269</v>
      </c>
      <c r="N1659" s="15" t="s">
        <v>164</v>
      </c>
      <c r="O1659" s="27" t="s">
        <v>8270</v>
      </c>
    </row>
    <row r="1660" spans="1:15" s="1" customFormat="1" ht="14.25" customHeight="1">
      <c r="A1660" s="5" t="s">
        <v>1127</v>
      </c>
      <c r="B1660" s="4"/>
      <c r="C1660" s="3"/>
      <c r="D1660" s="5" t="s">
        <v>1128</v>
      </c>
      <c r="E1660" s="5" t="s">
        <v>7026</v>
      </c>
      <c r="F1660" s="3" t="s">
        <v>8271</v>
      </c>
      <c r="G1660" s="6">
        <f t="shared" si="62"/>
        <v>378.31299999999999</v>
      </c>
      <c r="H1660" s="7">
        <v>41795</v>
      </c>
      <c r="I1660" s="6" t="s">
        <v>178</v>
      </c>
      <c r="J1660" s="6" t="s">
        <v>8272</v>
      </c>
      <c r="K1660" s="6" t="s">
        <v>21</v>
      </c>
      <c r="L1660" s="6">
        <v>13</v>
      </c>
      <c r="M1660" s="15" t="s">
        <v>8269</v>
      </c>
      <c r="N1660" s="15" t="s">
        <v>167</v>
      </c>
      <c r="O1660" s="27" t="s">
        <v>8273</v>
      </c>
    </row>
    <row r="1661" spans="1:15" ht="14.25" customHeight="1">
      <c r="A1661" s="5" t="s">
        <v>1127</v>
      </c>
      <c r="B1661" s="4"/>
      <c r="C1661" s="3"/>
      <c r="D1661" s="5" t="s">
        <v>1128</v>
      </c>
      <c r="E1661" s="5" t="s">
        <v>7026</v>
      </c>
      <c r="F1661" s="3" t="s">
        <v>8274</v>
      </c>
      <c r="G1661" s="6">
        <f t="shared" si="62"/>
        <v>232.80799999999999</v>
      </c>
      <c r="H1661" s="7">
        <v>41795</v>
      </c>
      <c r="I1661" s="40" t="s">
        <v>8264</v>
      </c>
      <c r="J1661" s="6" t="s">
        <v>8275</v>
      </c>
      <c r="K1661" s="6" t="s">
        <v>21</v>
      </c>
      <c r="L1661" s="6">
        <v>8</v>
      </c>
      <c r="M1661" s="15" t="s">
        <v>8276</v>
      </c>
      <c r="N1661" s="15" t="s">
        <v>447</v>
      </c>
      <c r="O1661" s="27" t="s">
        <v>8277</v>
      </c>
    </row>
    <row r="1662" spans="1:15" s="1" customFormat="1" ht="14.25" customHeight="1">
      <c r="A1662" s="5" t="s">
        <v>1127</v>
      </c>
      <c r="B1662" s="4"/>
      <c r="C1662" s="3"/>
      <c r="D1662" s="5" t="s">
        <v>1128</v>
      </c>
      <c r="E1662" s="5" t="s">
        <v>7026</v>
      </c>
      <c r="F1662" s="3" t="s">
        <v>8278</v>
      </c>
      <c r="G1662" s="6">
        <f t="shared" si="62"/>
        <v>203.70699999999999</v>
      </c>
      <c r="H1662" s="7">
        <v>41795</v>
      </c>
      <c r="I1662" s="40" t="s">
        <v>8264</v>
      </c>
      <c r="J1662" s="6" t="s">
        <v>8279</v>
      </c>
      <c r="K1662" s="6" t="s">
        <v>21</v>
      </c>
      <c r="L1662" s="6">
        <v>7</v>
      </c>
      <c r="M1662" s="15" t="s">
        <v>8276</v>
      </c>
      <c r="N1662" s="15" t="s">
        <v>3629</v>
      </c>
      <c r="O1662" s="27" t="s">
        <v>8280</v>
      </c>
    </row>
    <row r="1663" spans="1:15" s="1" customFormat="1" ht="14.25" customHeight="1">
      <c r="A1663" s="5" t="s">
        <v>7064</v>
      </c>
      <c r="B1663" s="4"/>
      <c r="C1663" s="3"/>
      <c r="D1663" s="5" t="s">
        <v>7025</v>
      </c>
      <c r="E1663" s="5" t="s">
        <v>7026</v>
      </c>
      <c r="F1663" s="3" t="s">
        <v>8281</v>
      </c>
      <c r="G1663" s="6">
        <f t="shared" ref="G1663:G1672" si="63">17.498*L1663</f>
        <v>209.976</v>
      </c>
      <c r="H1663" s="7">
        <v>41795</v>
      </c>
      <c r="I1663" s="6" t="s">
        <v>265</v>
      </c>
      <c r="J1663" s="6" t="s">
        <v>8282</v>
      </c>
      <c r="K1663" s="6" t="s">
        <v>21</v>
      </c>
      <c r="L1663" s="41">
        <v>12</v>
      </c>
      <c r="M1663" s="15" t="s">
        <v>8283</v>
      </c>
      <c r="N1663" s="15" t="s">
        <v>164</v>
      </c>
      <c r="O1663" s="15" t="s">
        <v>8284</v>
      </c>
    </row>
    <row r="1664" spans="1:15" s="1" customFormat="1" ht="14.25" customHeight="1">
      <c r="A1664" s="5" t="s">
        <v>7064</v>
      </c>
      <c r="B1664" s="3"/>
      <c r="C1664" s="3"/>
      <c r="D1664" s="5" t="s">
        <v>7025</v>
      </c>
      <c r="E1664" s="5" t="s">
        <v>7026</v>
      </c>
      <c r="F1664" s="3" t="s">
        <v>8285</v>
      </c>
      <c r="G1664" s="6">
        <f t="shared" si="63"/>
        <v>227.47400000000002</v>
      </c>
      <c r="H1664" s="7">
        <v>41795</v>
      </c>
      <c r="I1664" s="6" t="s">
        <v>265</v>
      </c>
      <c r="J1664" s="6" t="s">
        <v>8286</v>
      </c>
      <c r="K1664" s="6" t="s">
        <v>21</v>
      </c>
      <c r="L1664" s="41">
        <v>13</v>
      </c>
      <c r="M1664" s="15" t="s">
        <v>8283</v>
      </c>
      <c r="N1664" s="15" t="s">
        <v>167</v>
      </c>
      <c r="O1664" s="15" t="s">
        <v>8287</v>
      </c>
    </row>
    <row r="1665" spans="1:15" s="1" customFormat="1" ht="14.25" customHeight="1">
      <c r="A1665" s="5" t="s">
        <v>1259</v>
      </c>
      <c r="B1665" s="4"/>
      <c r="C1665" s="3"/>
      <c r="D1665" s="5" t="s">
        <v>170</v>
      </c>
      <c r="E1665" s="5" t="s">
        <v>7026</v>
      </c>
      <c r="F1665" s="3" t="s">
        <v>8288</v>
      </c>
      <c r="G1665" s="6">
        <f t="shared" si="63"/>
        <v>209.976</v>
      </c>
      <c r="H1665" s="7">
        <v>41795</v>
      </c>
      <c r="I1665" s="6" t="s">
        <v>265</v>
      </c>
      <c r="J1665" s="6" t="s">
        <v>8289</v>
      </c>
      <c r="K1665" s="6" t="s">
        <v>21</v>
      </c>
      <c r="L1665" s="41">
        <v>12</v>
      </c>
      <c r="M1665" s="15" t="s">
        <v>8290</v>
      </c>
      <c r="N1665" s="15" t="s">
        <v>164</v>
      </c>
      <c r="O1665" s="15"/>
    </row>
    <row r="1666" spans="1:15" s="1" customFormat="1" ht="14.25" customHeight="1">
      <c r="A1666" s="5" t="s">
        <v>1259</v>
      </c>
      <c r="B1666" s="4"/>
      <c r="C1666" s="3"/>
      <c r="D1666" s="5" t="s">
        <v>170</v>
      </c>
      <c r="E1666" s="5" t="s">
        <v>7026</v>
      </c>
      <c r="F1666" s="3" t="s">
        <v>8291</v>
      </c>
      <c r="G1666" s="6">
        <f t="shared" si="63"/>
        <v>227.47400000000002</v>
      </c>
      <c r="H1666" s="7">
        <v>41795</v>
      </c>
      <c r="I1666" s="6" t="s">
        <v>265</v>
      </c>
      <c r="J1666" s="6" t="s">
        <v>8292</v>
      </c>
      <c r="K1666" s="6" t="s">
        <v>21</v>
      </c>
      <c r="L1666" s="41">
        <v>13</v>
      </c>
      <c r="M1666" s="15" t="s">
        <v>8290</v>
      </c>
      <c r="N1666" s="15" t="s">
        <v>167</v>
      </c>
      <c r="O1666" s="27"/>
    </row>
    <row r="1667" spans="1:15" s="1" customFormat="1" ht="14.25" customHeight="1">
      <c r="A1667" s="5" t="s">
        <v>269</v>
      </c>
      <c r="B1667" s="4"/>
      <c r="C1667" s="3"/>
      <c r="D1667" s="5" t="s">
        <v>270</v>
      </c>
      <c r="E1667" s="5" t="s">
        <v>7026</v>
      </c>
      <c r="F1667" s="3" t="s">
        <v>8293</v>
      </c>
      <c r="G1667" s="6">
        <f t="shared" si="63"/>
        <v>209.976</v>
      </c>
      <c r="H1667" s="7">
        <v>41795</v>
      </c>
      <c r="I1667" s="6" t="s">
        <v>913</v>
      </c>
      <c r="J1667" s="6" t="s">
        <v>8294</v>
      </c>
      <c r="K1667" s="6" t="s">
        <v>21</v>
      </c>
      <c r="L1667" s="41">
        <v>12</v>
      </c>
      <c r="M1667" s="15" t="s">
        <v>8295</v>
      </c>
      <c r="N1667" s="15" t="s">
        <v>164</v>
      </c>
      <c r="O1667" s="27" t="s">
        <v>8296</v>
      </c>
    </row>
    <row r="1668" spans="1:15" s="1" customFormat="1" ht="14.25" customHeight="1">
      <c r="A1668" s="5" t="s">
        <v>269</v>
      </c>
      <c r="B1668" s="4"/>
      <c r="C1668" s="3"/>
      <c r="D1668" s="5" t="s">
        <v>270</v>
      </c>
      <c r="E1668" s="5" t="s">
        <v>7026</v>
      </c>
      <c r="F1668" s="3" t="s">
        <v>8297</v>
      </c>
      <c r="G1668" s="6">
        <f t="shared" si="63"/>
        <v>227.47400000000002</v>
      </c>
      <c r="H1668" s="7">
        <v>41795</v>
      </c>
      <c r="I1668" s="6" t="s">
        <v>913</v>
      </c>
      <c r="J1668" s="6" t="s">
        <v>8298</v>
      </c>
      <c r="K1668" s="6" t="s">
        <v>21</v>
      </c>
      <c r="L1668" s="41">
        <v>13</v>
      </c>
      <c r="M1668" s="15" t="s">
        <v>8295</v>
      </c>
      <c r="N1668" s="15" t="s">
        <v>167</v>
      </c>
      <c r="O1668" s="27" t="s">
        <v>8299</v>
      </c>
    </row>
    <row r="1669" spans="1:15" s="1" customFormat="1" ht="14.25" customHeight="1">
      <c r="A1669" s="5" t="s">
        <v>269</v>
      </c>
      <c r="B1669" s="4"/>
      <c r="C1669" s="3"/>
      <c r="D1669" s="5" t="s">
        <v>270</v>
      </c>
      <c r="E1669" s="5" t="s">
        <v>7026</v>
      </c>
      <c r="F1669" s="3" t="s">
        <v>8300</v>
      </c>
      <c r="G1669" s="6">
        <f t="shared" si="63"/>
        <v>209.976</v>
      </c>
      <c r="H1669" s="7">
        <v>41795</v>
      </c>
      <c r="I1669" s="6" t="s">
        <v>913</v>
      </c>
      <c r="J1669" s="6" t="s">
        <v>8301</v>
      </c>
      <c r="K1669" s="6" t="s">
        <v>21</v>
      </c>
      <c r="L1669" s="6">
        <v>12</v>
      </c>
      <c r="M1669" s="15" t="s">
        <v>8302</v>
      </c>
      <c r="N1669" s="15" t="s">
        <v>164</v>
      </c>
      <c r="O1669" s="27" t="s">
        <v>8303</v>
      </c>
    </row>
    <row r="1670" spans="1:15" s="1" customFormat="1" ht="14.25" customHeight="1">
      <c r="A1670" s="5" t="s">
        <v>269</v>
      </c>
      <c r="B1670" s="4"/>
      <c r="C1670" s="3"/>
      <c r="D1670" s="5" t="s">
        <v>270</v>
      </c>
      <c r="E1670" s="5" t="s">
        <v>7026</v>
      </c>
      <c r="F1670" s="3" t="s">
        <v>8304</v>
      </c>
      <c r="G1670" s="6">
        <f t="shared" si="63"/>
        <v>227.47400000000002</v>
      </c>
      <c r="H1670" s="7">
        <v>41795</v>
      </c>
      <c r="I1670" s="6" t="s">
        <v>913</v>
      </c>
      <c r="J1670" s="6" t="s">
        <v>8305</v>
      </c>
      <c r="K1670" s="6" t="s">
        <v>21</v>
      </c>
      <c r="L1670" s="6">
        <v>13</v>
      </c>
      <c r="M1670" s="15" t="s">
        <v>8302</v>
      </c>
      <c r="N1670" s="15" t="s">
        <v>167</v>
      </c>
      <c r="O1670" s="27" t="s">
        <v>8306</v>
      </c>
    </row>
    <row r="1671" spans="1:15" s="1" customFormat="1" ht="14.25" customHeight="1">
      <c r="A1671" s="5" t="s">
        <v>269</v>
      </c>
      <c r="B1671" s="4"/>
      <c r="C1671" s="3"/>
      <c r="D1671" s="5" t="s">
        <v>270</v>
      </c>
      <c r="E1671" s="5" t="s">
        <v>7026</v>
      </c>
      <c r="F1671" s="3" t="s">
        <v>8307</v>
      </c>
      <c r="G1671" s="6">
        <f t="shared" si="63"/>
        <v>209.976</v>
      </c>
      <c r="H1671" s="7">
        <v>41795</v>
      </c>
      <c r="I1671" s="6" t="s">
        <v>913</v>
      </c>
      <c r="J1671" s="6" t="s">
        <v>8308</v>
      </c>
      <c r="K1671" s="6" t="s">
        <v>21</v>
      </c>
      <c r="L1671" s="6">
        <v>12</v>
      </c>
      <c r="M1671" s="15" t="s">
        <v>8309</v>
      </c>
      <c r="N1671" s="15" t="s">
        <v>164</v>
      </c>
      <c r="O1671" s="15" t="s">
        <v>8310</v>
      </c>
    </row>
    <row r="1672" spans="1:15" s="1" customFormat="1" ht="14.25" customHeight="1">
      <c r="A1672" s="5" t="s">
        <v>269</v>
      </c>
      <c r="B1672" s="3"/>
      <c r="C1672" s="3"/>
      <c r="D1672" s="5" t="s">
        <v>270</v>
      </c>
      <c r="E1672" s="5" t="s">
        <v>7026</v>
      </c>
      <c r="F1672" s="3" t="s">
        <v>8311</v>
      </c>
      <c r="G1672" s="6">
        <f t="shared" si="63"/>
        <v>227.47400000000002</v>
      </c>
      <c r="H1672" s="7">
        <v>41795</v>
      </c>
      <c r="I1672" s="6" t="s">
        <v>913</v>
      </c>
      <c r="J1672" s="6" t="s">
        <v>8312</v>
      </c>
      <c r="K1672" s="6" t="s">
        <v>21</v>
      </c>
      <c r="L1672" s="6">
        <v>13</v>
      </c>
      <c r="M1672" s="15" t="s">
        <v>8309</v>
      </c>
      <c r="N1672" s="15" t="s">
        <v>167</v>
      </c>
      <c r="O1672" s="15" t="s">
        <v>8313</v>
      </c>
    </row>
    <row r="1673" spans="1:15" s="1" customFormat="1" ht="14.25" customHeight="1">
      <c r="A1673" s="5" t="s">
        <v>918</v>
      </c>
      <c r="B1673" s="4"/>
      <c r="C1673" s="3"/>
      <c r="D1673" s="5" t="s">
        <v>919</v>
      </c>
      <c r="E1673" s="5" t="s">
        <v>7026</v>
      </c>
      <c r="F1673" s="3" t="s">
        <v>8314</v>
      </c>
      <c r="G1673" s="6">
        <f>17.712*L1673</f>
        <v>212.54399999999998</v>
      </c>
      <c r="H1673" s="7">
        <v>41795</v>
      </c>
      <c r="I1673" s="6" t="s">
        <v>265</v>
      </c>
      <c r="J1673" s="6" t="s">
        <v>8315</v>
      </c>
      <c r="K1673" s="6" t="s">
        <v>21</v>
      </c>
      <c r="L1673" s="6">
        <v>12</v>
      </c>
      <c r="M1673" s="15" t="s">
        <v>8316</v>
      </c>
      <c r="N1673" s="15" t="s">
        <v>8253</v>
      </c>
      <c r="O1673" s="27" t="s">
        <v>8317</v>
      </c>
    </row>
    <row r="1674" spans="1:15" ht="14.25" customHeight="1">
      <c r="A1674" s="5" t="s">
        <v>918</v>
      </c>
      <c r="B1674" s="4"/>
      <c r="C1674" s="3"/>
      <c r="D1674" s="5" t="s">
        <v>919</v>
      </c>
      <c r="E1674" s="5" t="s">
        <v>7026</v>
      </c>
      <c r="F1674" s="3" t="s">
        <v>8318</v>
      </c>
      <c r="G1674" s="6">
        <f>17.712*L1674</f>
        <v>230.256</v>
      </c>
      <c r="H1674" s="7">
        <v>41795</v>
      </c>
      <c r="I1674" s="6" t="s">
        <v>265</v>
      </c>
      <c r="J1674" s="6" t="s">
        <v>8319</v>
      </c>
      <c r="K1674" s="6" t="s">
        <v>21</v>
      </c>
      <c r="L1674" s="6">
        <v>13</v>
      </c>
      <c r="M1674" s="15" t="s">
        <v>8316</v>
      </c>
      <c r="N1674" s="15" t="s">
        <v>8257</v>
      </c>
      <c r="O1674" s="27" t="s">
        <v>8320</v>
      </c>
    </row>
    <row r="1675" spans="1:15" ht="14.25" customHeight="1">
      <c r="A1675" s="5" t="s">
        <v>918</v>
      </c>
      <c r="B1675" s="4"/>
      <c r="C1675" s="3"/>
      <c r="D1675" s="5" t="s">
        <v>919</v>
      </c>
      <c r="E1675" s="5" t="s">
        <v>7026</v>
      </c>
      <c r="F1675" s="3" t="s">
        <v>8321</v>
      </c>
      <c r="G1675" s="6">
        <f>17.712*L1675</f>
        <v>212.54399999999998</v>
      </c>
      <c r="H1675" s="7">
        <v>41795</v>
      </c>
      <c r="I1675" s="6" t="s">
        <v>265</v>
      </c>
      <c r="J1675" s="6" t="s">
        <v>8322</v>
      </c>
      <c r="K1675" s="6" t="s">
        <v>21</v>
      </c>
      <c r="L1675" s="6">
        <v>12</v>
      </c>
      <c r="M1675" s="15" t="s">
        <v>8323</v>
      </c>
      <c r="N1675" s="15" t="s">
        <v>8253</v>
      </c>
      <c r="O1675" s="27" t="s">
        <v>8324</v>
      </c>
    </row>
    <row r="1676" spans="1:15" ht="14.25" customHeight="1">
      <c r="A1676" s="5" t="s">
        <v>918</v>
      </c>
      <c r="B1676" s="4"/>
      <c r="C1676" s="3"/>
      <c r="D1676" s="5" t="s">
        <v>919</v>
      </c>
      <c r="E1676" s="5" t="s">
        <v>7026</v>
      </c>
      <c r="F1676" s="3" t="s">
        <v>8325</v>
      </c>
      <c r="G1676" s="6">
        <f>17.712*L1676</f>
        <v>194.83199999999999</v>
      </c>
      <c r="H1676" s="7">
        <v>41795</v>
      </c>
      <c r="I1676" s="6" t="s">
        <v>265</v>
      </c>
      <c r="J1676" s="6" t="s">
        <v>8326</v>
      </c>
      <c r="K1676" s="6" t="s">
        <v>21</v>
      </c>
      <c r="L1676" s="6">
        <v>11</v>
      </c>
      <c r="M1676" s="15" t="s">
        <v>8323</v>
      </c>
      <c r="N1676" s="15" t="s">
        <v>8327</v>
      </c>
      <c r="O1676" s="27" t="s">
        <v>8328</v>
      </c>
    </row>
    <row r="1677" spans="1:15" ht="14.25" customHeight="1">
      <c r="A1677" s="3" t="s">
        <v>1303</v>
      </c>
      <c r="B1677" s="4"/>
      <c r="C1677" s="3"/>
      <c r="D1677" s="5" t="s">
        <v>1304</v>
      </c>
      <c r="E1677" s="5" t="s">
        <v>124</v>
      </c>
      <c r="F1677" s="3" t="s">
        <v>5203</v>
      </c>
      <c r="G1677" s="6">
        <v>225.024</v>
      </c>
      <c r="H1677" s="7">
        <v>41796</v>
      </c>
      <c r="I1677" s="6" t="s">
        <v>209</v>
      </c>
      <c r="J1677" s="6" t="s">
        <v>5204</v>
      </c>
      <c r="K1677" s="6" t="s">
        <v>128</v>
      </c>
      <c r="L1677" s="6" t="s">
        <v>954</v>
      </c>
      <c r="M1677" s="15" t="s">
        <v>5205</v>
      </c>
      <c r="N1677" s="15" t="s">
        <v>4597</v>
      </c>
      <c r="O1677" s="28" t="s">
        <v>5206</v>
      </c>
    </row>
    <row r="1678" spans="1:15" ht="14.25" customHeight="1">
      <c r="A1678" s="3" t="s">
        <v>1018</v>
      </c>
      <c r="B1678" s="4"/>
      <c r="C1678" s="3"/>
      <c r="D1678" s="5" t="s">
        <v>1019</v>
      </c>
      <c r="E1678" s="5" t="s">
        <v>124</v>
      </c>
      <c r="F1678" s="3" t="s">
        <v>5207</v>
      </c>
      <c r="G1678" s="6">
        <v>207.99</v>
      </c>
      <c r="H1678" s="7">
        <v>41796</v>
      </c>
      <c r="I1678" s="6" t="s">
        <v>209</v>
      </c>
      <c r="J1678" s="6" t="s">
        <v>5208</v>
      </c>
      <c r="K1678" s="6" t="s">
        <v>128</v>
      </c>
      <c r="L1678" s="6" t="s">
        <v>948</v>
      </c>
      <c r="M1678" s="15" t="s">
        <v>5209</v>
      </c>
      <c r="N1678" s="15" t="s">
        <v>4592</v>
      </c>
      <c r="O1678" s="28" t="s">
        <v>5210</v>
      </c>
    </row>
    <row r="1679" spans="1:15" ht="14.25" customHeight="1">
      <c r="A1679" s="3" t="s">
        <v>1018</v>
      </c>
      <c r="B1679" s="4"/>
      <c r="C1679" s="3"/>
      <c r="D1679" s="5" t="s">
        <v>1019</v>
      </c>
      <c r="E1679" s="5" t="s">
        <v>124</v>
      </c>
      <c r="F1679" s="3" t="s">
        <v>5211</v>
      </c>
      <c r="G1679" s="6">
        <v>225.137</v>
      </c>
      <c r="H1679" s="7">
        <v>41796</v>
      </c>
      <c r="I1679" s="6" t="s">
        <v>209</v>
      </c>
      <c r="J1679" s="6" t="s">
        <v>5212</v>
      </c>
      <c r="K1679" s="6" t="s">
        <v>128</v>
      </c>
      <c r="L1679" s="6" t="s">
        <v>954</v>
      </c>
      <c r="M1679" s="15" t="s">
        <v>5213</v>
      </c>
      <c r="N1679" s="15" t="s">
        <v>4597</v>
      </c>
      <c r="O1679" s="28" t="s">
        <v>5214</v>
      </c>
    </row>
    <row r="1680" spans="1:15" ht="14.25" customHeight="1">
      <c r="A1680" s="3" t="s">
        <v>1303</v>
      </c>
      <c r="B1680" s="3"/>
      <c r="C1680" s="3"/>
      <c r="D1680" s="5" t="s">
        <v>1304</v>
      </c>
      <c r="E1680" s="5" t="s">
        <v>124</v>
      </c>
      <c r="F1680" s="3" t="s">
        <v>9242</v>
      </c>
      <c r="G1680" s="6">
        <v>208.19800000000001</v>
      </c>
      <c r="H1680" s="7">
        <v>41796</v>
      </c>
      <c r="I1680" s="6" t="s">
        <v>209</v>
      </c>
      <c r="J1680" s="6" t="s">
        <v>9243</v>
      </c>
      <c r="K1680" s="6" t="s">
        <v>128</v>
      </c>
      <c r="L1680" s="6" t="s">
        <v>948</v>
      </c>
      <c r="M1680" s="15" t="s">
        <v>9244</v>
      </c>
      <c r="N1680" s="15" t="s">
        <v>9245</v>
      </c>
      <c r="O1680" s="15" t="s">
        <v>8332</v>
      </c>
    </row>
    <row r="1681" spans="1:15" ht="14.25" customHeight="1">
      <c r="A1681" s="3" t="s">
        <v>7191</v>
      </c>
      <c r="B1681" s="4"/>
      <c r="C1681" s="3"/>
      <c r="D1681" s="5" t="s">
        <v>170</v>
      </c>
      <c r="E1681" s="5" t="s">
        <v>7026</v>
      </c>
      <c r="F1681" s="3" t="s">
        <v>8329</v>
      </c>
      <c r="G1681" s="34">
        <f>17.498*L1681</f>
        <v>17.498000000000001</v>
      </c>
      <c r="H1681" s="7">
        <v>41799</v>
      </c>
      <c r="I1681" s="6" t="s">
        <v>265</v>
      </c>
      <c r="J1681" s="6" t="s">
        <v>8330</v>
      </c>
      <c r="K1681" s="6" t="s">
        <v>21</v>
      </c>
      <c r="L1681" s="6">
        <v>1</v>
      </c>
      <c r="M1681" s="15" t="s">
        <v>8331</v>
      </c>
      <c r="N1681" s="15" t="s">
        <v>916</v>
      </c>
      <c r="O1681" s="15" t="s">
        <v>8332</v>
      </c>
    </row>
    <row r="1682" spans="1:15" ht="14.25" customHeight="1">
      <c r="A1682" s="3" t="s">
        <v>7877</v>
      </c>
      <c r="B1682" s="4"/>
      <c r="C1682" s="3"/>
      <c r="D1682" s="5" t="s">
        <v>7878</v>
      </c>
      <c r="E1682" s="5" t="s">
        <v>7026</v>
      </c>
      <c r="F1682" s="3" t="s">
        <v>8333</v>
      </c>
      <c r="G1682" s="6">
        <f>5.249*L1682</f>
        <v>10.497999999999999</v>
      </c>
      <c r="H1682" s="7">
        <v>41799</v>
      </c>
      <c r="I1682" s="6" t="s">
        <v>7880</v>
      </c>
      <c r="J1682" s="6" t="s">
        <v>8334</v>
      </c>
      <c r="K1682" s="6" t="s">
        <v>21</v>
      </c>
      <c r="L1682" s="6">
        <v>2</v>
      </c>
      <c r="M1682" s="15" t="s">
        <v>8335</v>
      </c>
      <c r="N1682" s="15" t="s">
        <v>534</v>
      </c>
      <c r="O1682" s="28" t="s">
        <v>8336</v>
      </c>
    </row>
    <row r="1683" spans="1:15" s="1" customFormat="1" ht="14.25" customHeight="1">
      <c r="A1683" s="3" t="s">
        <v>1498</v>
      </c>
      <c r="B1683" s="4"/>
      <c r="C1683" s="3"/>
      <c r="D1683" s="5" t="s">
        <v>1499</v>
      </c>
      <c r="E1683" s="5" t="s">
        <v>124</v>
      </c>
      <c r="F1683" s="3" t="s">
        <v>5215</v>
      </c>
      <c r="G1683" s="6">
        <f>17.52*L1683</f>
        <v>210.24</v>
      </c>
      <c r="H1683" s="7">
        <v>41800</v>
      </c>
      <c r="I1683" s="6" t="s">
        <v>265</v>
      </c>
      <c r="J1683" s="6" t="s">
        <v>5216</v>
      </c>
      <c r="K1683" s="6" t="s">
        <v>21</v>
      </c>
      <c r="L1683" s="6">
        <v>12</v>
      </c>
      <c r="M1683" s="15" t="s">
        <v>5217</v>
      </c>
      <c r="N1683" s="15" t="s">
        <v>164</v>
      </c>
      <c r="O1683" s="15" t="s">
        <v>5218</v>
      </c>
    </row>
    <row r="1684" spans="1:15" ht="14.25" customHeight="1">
      <c r="A1684" s="3" t="s">
        <v>1498</v>
      </c>
      <c r="B1684" s="4"/>
      <c r="C1684" s="3"/>
      <c r="D1684" s="5" t="s">
        <v>1499</v>
      </c>
      <c r="E1684" s="5" t="s">
        <v>124</v>
      </c>
      <c r="F1684" s="3" t="s">
        <v>5219</v>
      </c>
      <c r="G1684" s="6">
        <f>17.52*L1684</f>
        <v>227.76</v>
      </c>
      <c r="H1684" s="7">
        <v>41800</v>
      </c>
      <c r="I1684" s="6" t="s">
        <v>265</v>
      </c>
      <c r="J1684" s="6" t="s">
        <v>5220</v>
      </c>
      <c r="K1684" s="6" t="s">
        <v>21</v>
      </c>
      <c r="L1684" s="6">
        <v>13</v>
      </c>
      <c r="M1684" s="15" t="s">
        <v>5217</v>
      </c>
      <c r="N1684" s="15" t="s">
        <v>167</v>
      </c>
      <c r="O1684" s="28" t="s">
        <v>5221</v>
      </c>
    </row>
    <row r="1685" spans="1:15" ht="14.25" customHeight="1">
      <c r="A1685" s="3" t="s">
        <v>753</v>
      </c>
      <c r="B1685" s="3"/>
      <c r="C1685" s="3"/>
      <c r="D1685" s="5" t="s">
        <v>754</v>
      </c>
      <c r="E1685" s="5" t="s">
        <v>124</v>
      </c>
      <c r="F1685" s="3" t="s">
        <v>5222</v>
      </c>
      <c r="G1685" s="6">
        <f>17.52*L1685</f>
        <v>262.8</v>
      </c>
      <c r="H1685" s="7">
        <v>41800</v>
      </c>
      <c r="I1685" s="6" t="s">
        <v>265</v>
      </c>
      <c r="J1685" s="6" t="s">
        <v>5223</v>
      </c>
      <c r="K1685" s="6" t="s">
        <v>21</v>
      </c>
      <c r="L1685" s="6">
        <v>15</v>
      </c>
      <c r="M1685" s="15" t="s">
        <v>5224</v>
      </c>
      <c r="N1685" s="15" t="s">
        <v>2771</v>
      </c>
      <c r="O1685" s="15" t="s">
        <v>5224</v>
      </c>
    </row>
    <row r="1686" spans="1:15" ht="14.25" customHeight="1">
      <c r="A1686" s="3" t="s">
        <v>711</v>
      </c>
      <c r="B1686" s="3"/>
      <c r="C1686" s="3"/>
      <c r="D1686" s="5" t="s">
        <v>712</v>
      </c>
      <c r="E1686" s="5" t="s">
        <v>124</v>
      </c>
      <c r="F1686" s="3" t="s">
        <v>5225</v>
      </c>
      <c r="G1686" s="6">
        <f>17.52*L1686</f>
        <v>70.08</v>
      </c>
      <c r="H1686" s="7">
        <v>41800</v>
      </c>
      <c r="I1686" s="6" t="s">
        <v>126</v>
      </c>
      <c r="J1686" s="6" t="s">
        <v>5226</v>
      </c>
      <c r="K1686" s="6" t="s">
        <v>21</v>
      </c>
      <c r="L1686" s="6">
        <v>4</v>
      </c>
      <c r="M1686" s="15" t="s">
        <v>5227</v>
      </c>
      <c r="N1686" s="15" t="s">
        <v>46</v>
      </c>
      <c r="O1686" s="15" t="s">
        <v>5228</v>
      </c>
    </row>
    <row r="1687" spans="1:15" ht="14.25" customHeight="1">
      <c r="A1687" s="3" t="s">
        <v>1303</v>
      </c>
      <c r="B1687" s="4"/>
      <c r="C1687" s="3"/>
      <c r="D1687" s="5" t="s">
        <v>1304</v>
      </c>
      <c r="E1687" s="5" t="s">
        <v>124</v>
      </c>
      <c r="F1687" s="3" t="s">
        <v>5229</v>
      </c>
      <c r="G1687" s="6">
        <v>205.35900000000001</v>
      </c>
      <c r="H1687" s="7">
        <v>41800</v>
      </c>
      <c r="I1687" s="6" t="s">
        <v>209</v>
      </c>
      <c r="J1687" s="6" t="s">
        <v>5230</v>
      </c>
      <c r="K1687" s="6" t="s">
        <v>128</v>
      </c>
      <c r="L1687" s="6" t="s">
        <v>948</v>
      </c>
      <c r="M1687" s="15" t="s">
        <v>5231</v>
      </c>
      <c r="N1687" s="15" t="s">
        <v>5232</v>
      </c>
      <c r="O1687" s="28" t="s">
        <v>5233</v>
      </c>
    </row>
    <row r="1688" spans="1:15" ht="14.25" customHeight="1">
      <c r="A1688" s="3" t="s">
        <v>1303</v>
      </c>
      <c r="B1688" s="4"/>
      <c r="C1688" s="3"/>
      <c r="D1688" s="5" t="s">
        <v>1304</v>
      </c>
      <c r="E1688" s="5" t="s">
        <v>124</v>
      </c>
      <c r="F1688" s="3" t="s">
        <v>5234</v>
      </c>
      <c r="G1688" s="6">
        <v>221.85</v>
      </c>
      <c r="H1688" s="7">
        <v>41800</v>
      </c>
      <c r="I1688" s="6" t="s">
        <v>209</v>
      </c>
      <c r="J1688" s="6" t="s">
        <v>5235</v>
      </c>
      <c r="K1688" s="6" t="s">
        <v>128</v>
      </c>
      <c r="L1688" s="6" t="s">
        <v>954</v>
      </c>
      <c r="M1688" s="15" t="s">
        <v>5236</v>
      </c>
      <c r="N1688" s="15" t="s">
        <v>4597</v>
      </c>
      <c r="O1688" s="28" t="s">
        <v>5237</v>
      </c>
    </row>
    <row r="1689" spans="1:15" ht="14.25" customHeight="1">
      <c r="A1689" s="3" t="s">
        <v>3664</v>
      </c>
      <c r="B1689" s="4"/>
      <c r="C1689" s="3"/>
      <c r="D1689" s="5" t="s">
        <v>672</v>
      </c>
      <c r="E1689" s="5" t="s">
        <v>124</v>
      </c>
      <c r="F1689" s="3" t="s">
        <v>5238</v>
      </c>
      <c r="G1689" s="6">
        <v>155.398</v>
      </c>
      <c r="H1689" s="7">
        <v>41800</v>
      </c>
      <c r="I1689" s="6" t="s">
        <v>209</v>
      </c>
      <c r="J1689" s="6" t="s">
        <v>5239</v>
      </c>
      <c r="K1689" s="6" t="s">
        <v>128</v>
      </c>
      <c r="L1689" s="6" t="s">
        <v>5240</v>
      </c>
      <c r="M1689" s="15" t="s">
        <v>5241</v>
      </c>
      <c r="N1689" s="15" t="s">
        <v>5242</v>
      </c>
      <c r="O1689" s="15" t="s">
        <v>5243</v>
      </c>
    </row>
    <row r="1690" spans="1:15" s="1" customFormat="1" ht="14.25" customHeight="1">
      <c r="A1690" s="3" t="s">
        <v>3664</v>
      </c>
      <c r="B1690" s="4"/>
      <c r="C1690" s="3"/>
      <c r="D1690" s="5" t="s">
        <v>672</v>
      </c>
      <c r="E1690" s="5" t="s">
        <v>124</v>
      </c>
      <c r="F1690" s="3" t="s">
        <v>5244</v>
      </c>
      <c r="G1690" s="6">
        <v>156.21299999999999</v>
      </c>
      <c r="H1690" s="7">
        <v>41800</v>
      </c>
      <c r="I1690" s="6" t="s">
        <v>209</v>
      </c>
      <c r="J1690" s="6" t="s">
        <v>5245</v>
      </c>
      <c r="K1690" s="6" t="s">
        <v>128</v>
      </c>
      <c r="L1690" s="6" t="s">
        <v>808</v>
      </c>
      <c r="M1690" s="15" t="s">
        <v>5246</v>
      </c>
      <c r="N1690" s="15" t="s">
        <v>5247</v>
      </c>
      <c r="O1690" s="28" t="s">
        <v>5248</v>
      </c>
    </row>
    <row r="1691" spans="1:15" ht="14.25" customHeight="1">
      <c r="A1691" s="3" t="s">
        <v>3664</v>
      </c>
      <c r="B1691" s="4"/>
      <c r="C1691" s="3"/>
      <c r="D1691" s="5" t="s">
        <v>672</v>
      </c>
      <c r="E1691" s="5" t="s">
        <v>124</v>
      </c>
      <c r="F1691" s="3" t="s">
        <v>5249</v>
      </c>
      <c r="G1691" s="6">
        <v>118.788</v>
      </c>
      <c r="H1691" s="7">
        <v>41800</v>
      </c>
      <c r="I1691" s="6" t="s">
        <v>209</v>
      </c>
      <c r="J1691" s="6" t="s">
        <v>5250</v>
      </c>
      <c r="K1691" s="6" t="s">
        <v>128</v>
      </c>
      <c r="L1691" s="6" t="s">
        <v>4712</v>
      </c>
      <c r="M1691" s="15" t="s">
        <v>5251</v>
      </c>
      <c r="N1691" s="15" t="s">
        <v>5252</v>
      </c>
      <c r="O1691" s="28" t="s">
        <v>5253</v>
      </c>
    </row>
    <row r="1692" spans="1:15" s="1" customFormat="1" ht="14.25" customHeight="1">
      <c r="A1692" s="3" t="s">
        <v>442</v>
      </c>
      <c r="B1692" s="4"/>
      <c r="C1692" s="3"/>
      <c r="D1692" s="5" t="s">
        <v>443</v>
      </c>
      <c r="E1692" s="5" t="s">
        <v>124</v>
      </c>
      <c r="F1692" s="3" t="s">
        <v>5254</v>
      </c>
      <c r="G1692" s="6">
        <f>18.708*L1692</f>
        <v>224.49599999999998</v>
      </c>
      <c r="H1692" s="7">
        <v>41802</v>
      </c>
      <c r="I1692" s="6" t="s">
        <v>247</v>
      </c>
      <c r="J1692" s="6" t="s">
        <v>5255</v>
      </c>
      <c r="K1692" s="6" t="s">
        <v>21</v>
      </c>
      <c r="L1692" s="6">
        <v>12</v>
      </c>
      <c r="M1692" s="15" t="s">
        <v>5256</v>
      </c>
      <c r="N1692" s="15" t="s">
        <v>78</v>
      </c>
      <c r="O1692" s="15" t="s">
        <v>5256</v>
      </c>
    </row>
    <row r="1693" spans="1:15" ht="14.25" customHeight="1">
      <c r="A1693" s="3" t="s">
        <v>442</v>
      </c>
      <c r="B1693" s="4"/>
      <c r="C1693" s="3"/>
      <c r="D1693" s="5" t="s">
        <v>443</v>
      </c>
      <c r="E1693" s="5" t="s">
        <v>124</v>
      </c>
      <c r="F1693" s="3" t="s">
        <v>5257</v>
      </c>
      <c r="G1693" s="6">
        <f>18.708*L1693</f>
        <v>243.20399999999998</v>
      </c>
      <c r="H1693" s="7">
        <v>41802</v>
      </c>
      <c r="I1693" s="6" t="s">
        <v>247</v>
      </c>
      <c r="J1693" s="6" t="s">
        <v>5258</v>
      </c>
      <c r="K1693" s="6" t="s">
        <v>21</v>
      </c>
      <c r="L1693" s="6">
        <v>13</v>
      </c>
      <c r="M1693" s="15" t="s">
        <v>5256</v>
      </c>
      <c r="N1693" s="15" t="s">
        <v>81</v>
      </c>
      <c r="O1693" s="15" t="s">
        <v>5259</v>
      </c>
    </row>
    <row r="1694" spans="1:15" ht="14.25" customHeight="1">
      <c r="A1694" s="3" t="s">
        <v>442</v>
      </c>
      <c r="B1694" s="4"/>
      <c r="C1694" s="3"/>
      <c r="D1694" s="5" t="s">
        <v>443</v>
      </c>
      <c r="E1694" s="5" t="s">
        <v>124</v>
      </c>
      <c r="F1694" s="3" t="s">
        <v>5260</v>
      </c>
      <c r="G1694" s="6">
        <f>18.708*L1694</f>
        <v>224.49599999999998</v>
      </c>
      <c r="H1694" s="7">
        <v>41802</v>
      </c>
      <c r="I1694" s="6" t="s">
        <v>247</v>
      </c>
      <c r="J1694" s="6" t="s">
        <v>5261</v>
      </c>
      <c r="K1694" s="6" t="s">
        <v>21</v>
      </c>
      <c r="L1694" s="6">
        <v>12</v>
      </c>
      <c r="M1694" s="15" t="s">
        <v>5262</v>
      </c>
      <c r="N1694" s="15" t="s">
        <v>78</v>
      </c>
      <c r="O1694" s="15" t="s">
        <v>5262</v>
      </c>
    </row>
    <row r="1695" spans="1:15" s="1" customFormat="1" ht="14.25" customHeight="1">
      <c r="A1695" s="3" t="s">
        <v>442</v>
      </c>
      <c r="B1695" s="4"/>
      <c r="C1695" s="3"/>
      <c r="D1695" s="5" t="s">
        <v>443</v>
      </c>
      <c r="E1695" s="5" t="s">
        <v>124</v>
      </c>
      <c r="F1695" s="3" t="s">
        <v>5263</v>
      </c>
      <c r="G1695" s="6">
        <f>18.708*L1695</f>
        <v>243.20399999999998</v>
      </c>
      <c r="H1695" s="7">
        <v>41802</v>
      </c>
      <c r="I1695" s="6" t="s">
        <v>247</v>
      </c>
      <c r="J1695" s="6" t="s">
        <v>5264</v>
      </c>
      <c r="K1695" s="6" t="s">
        <v>21</v>
      </c>
      <c r="L1695" s="6">
        <v>13</v>
      </c>
      <c r="M1695" s="15" t="s">
        <v>5262</v>
      </c>
      <c r="N1695" s="15" t="s">
        <v>81</v>
      </c>
      <c r="O1695" s="15" t="s">
        <v>5265</v>
      </c>
    </row>
    <row r="1696" spans="1:15" ht="14.25" customHeight="1">
      <c r="A1696" s="3" t="s">
        <v>469</v>
      </c>
      <c r="B1696" s="4"/>
      <c r="C1696" s="3"/>
      <c r="D1696" s="5" t="s">
        <v>276</v>
      </c>
      <c r="E1696" s="5" t="s">
        <v>124</v>
      </c>
      <c r="F1696" s="3" t="s">
        <v>5266</v>
      </c>
      <c r="G1696" s="6">
        <f>6.405*L1696</f>
        <v>160.125</v>
      </c>
      <c r="H1696" s="7">
        <v>41802</v>
      </c>
      <c r="I1696" s="6" t="s">
        <v>471</v>
      </c>
      <c r="J1696" s="6" t="s">
        <v>5267</v>
      </c>
      <c r="K1696" s="6" t="s">
        <v>21</v>
      </c>
      <c r="L1696" s="6">
        <v>25</v>
      </c>
      <c r="M1696" s="15" t="s">
        <v>5268</v>
      </c>
      <c r="N1696" s="15" t="s">
        <v>4239</v>
      </c>
      <c r="O1696" s="28" t="s">
        <v>5268</v>
      </c>
    </row>
    <row r="1697" spans="1:15" s="1" customFormat="1" ht="14.25" customHeight="1">
      <c r="A1697" s="3" t="s">
        <v>275</v>
      </c>
      <c r="B1697" s="4"/>
      <c r="C1697" s="3"/>
      <c r="D1697" s="5" t="s">
        <v>276</v>
      </c>
      <c r="E1697" s="5" t="s">
        <v>124</v>
      </c>
      <c r="F1697" s="3" t="s">
        <v>5269</v>
      </c>
      <c r="G1697" s="6">
        <f>6.405*L1697</f>
        <v>64.05</v>
      </c>
      <c r="H1697" s="7">
        <v>41802</v>
      </c>
      <c r="I1697" s="6" t="s">
        <v>471</v>
      </c>
      <c r="J1697" s="6" t="s">
        <v>5270</v>
      </c>
      <c r="K1697" s="6" t="s">
        <v>21</v>
      </c>
      <c r="L1697" s="6">
        <v>10</v>
      </c>
      <c r="M1697" s="15" t="s">
        <v>5271</v>
      </c>
      <c r="N1697" s="15" t="s">
        <v>35</v>
      </c>
      <c r="O1697" s="15" t="s">
        <v>5271</v>
      </c>
    </row>
    <row r="1698" spans="1:15" s="1" customFormat="1" ht="14.25" customHeight="1">
      <c r="A1698" s="22" t="s">
        <v>5272</v>
      </c>
      <c r="B1698" s="3" t="s">
        <v>4520</v>
      </c>
      <c r="C1698" s="3"/>
      <c r="D1698" s="5" t="s">
        <v>5273</v>
      </c>
      <c r="E1698" s="5" t="s">
        <v>124</v>
      </c>
      <c r="F1698" s="3" t="s">
        <v>5274</v>
      </c>
      <c r="G1698" s="6">
        <f>14.87*L1698</f>
        <v>29.74</v>
      </c>
      <c r="H1698" s="7">
        <v>41802</v>
      </c>
      <c r="I1698" s="6" t="s">
        <v>5275</v>
      </c>
      <c r="J1698" s="6" t="s">
        <v>5276</v>
      </c>
      <c r="K1698" s="6" t="s">
        <v>21</v>
      </c>
      <c r="L1698" s="6">
        <v>2</v>
      </c>
      <c r="M1698" s="15" t="s">
        <v>5277</v>
      </c>
      <c r="N1698" s="15" t="s">
        <v>5278</v>
      </c>
      <c r="O1698" s="15" t="s">
        <v>5277</v>
      </c>
    </row>
    <row r="1699" spans="1:15" s="1" customFormat="1" ht="14.25" customHeight="1">
      <c r="A1699" s="22" t="s">
        <v>5279</v>
      </c>
      <c r="B1699" s="3"/>
      <c r="C1699" s="3"/>
      <c r="D1699" s="5" t="s">
        <v>5280</v>
      </c>
      <c r="E1699" s="5" t="s">
        <v>124</v>
      </c>
      <c r="F1699" s="3" t="s">
        <v>5281</v>
      </c>
      <c r="G1699" s="6">
        <v>40.837000000000003</v>
      </c>
      <c r="H1699" s="7">
        <v>41802</v>
      </c>
      <c r="I1699" s="6" t="s">
        <v>209</v>
      </c>
      <c r="J1699" s="6" t="s">
        <v>5282</v>
      </c>
      <c r="K1699" s="6" t="s">
        <v>21</v>
      </c>
      <c r="L1699" s="6" t="s">
        <v>5283</v>
      </c>
      <c r="M1699" s="15" t="s">
        <v>5284</v>
      </c>
      <c r="N1699" s="15" t="s">
        <v>5285</v>
      </c>
      <c r="O1699" s="15" t="s">
        <v>5286</v>
      </c>
    </row>
    <row r="1700" spans="1:15" s="1" customFormat="1" ht="14.25" customHeight="1">
      <c r="A1700" s="22" t="s">
        <v>5287</v>
      </c>
      <c r="B1700" s="4"/>
      <c r="C1700" s="3"/>
      <c r="D1700" s="5" t="s">
        <v>5288</v>
      </c>
      <c r="E1700" s="5" t="s">
        <v>124</v>
      </c>
      <c r="F1700" s="3" t="s">
        <v>5289</v>
      </c>
      <c r="G1700" s="6">
        <v>37.356000000000002</v>
      </c>
      <c r="H1700" s="7">
        <v>41802</v>
      </c>
      <c r="I1700" s="6" t="s">
        <v>209</v>
      </c>
      <c r="J1700" s="6" t="s">
        <v>5290</v>
      </c>
      <c r="K1700" s="6" t="s">
        <v>128</v>
      </c>
      <c r="L1700" s="6" t="s">
        <v>129</v>
      </c>
      <c r="M1700" s="15" t="s">
        <v>5291</v>
      </c>
      <c r="N1700" s="15" t="s">
        <v>5292</v>
      </c>
      <c r="O1700" s="15" t="s">
        <v>5293</v>
      </c>
    </row>
    <row r="1701" spans="1:15" ht="14.25" customHeight="1">
      <c r="A1701" s="22" t="s">
        <v>854</v>
      </c>
      <c r="B1701" s="4"/>
      <c r="C1701" s="3"/>
      <c r="D1701" s="5" t="s">
        <v>5294</v>
      </c>
      <c r="E1701" s="5" t="s">
        <v>124</v>
      </c>
      <c r="F1701" s="3" t="s">
        <v>5295</v>
      </c>
      <c r="G1701" s="6">
        <f>17.52*L1701</f>
        <v>17.52</v>
      </c>
      <c r="H1701" s="7">
        <v>41802</v>
      </c>
      <c r="I1701" s="6" t="s">
        <v>209</v>
      </c>
      <c r="J1701" s="6" t="s">
        <v>5296</v>
      </c>
      <c r="K1701" s="6" t="s">
        <v>21</v>
      </c>
      <c r="L1701" s="6">
        <v>1</v>
      </c>
      <c r="M1701" s="15" t="s">
        <v>5297</v>
      </c>
      <c r="N1701" s="15" t="s">
        <v>349</v>
      </c>
      <c r="O1701" s="15" t="s">
        <v>5298</v>
      </c>
    </row>
    <row r="1702" spans="1:15" s="1" customFormat="1" ht="14.25" customHeight="1">
      <c r="A1702" s="22" t="s">
        <v>4051</v>
      </c>
      <c r="B1702" s="3"/>
      <c r="C1702" s="3"/>
      <c r="D1702" s="5" t="s">
        <v>12748</v>
      </c>
      <c r="E1702" s="5" t="s">
        <v>124</v>
      </c>
      <c r="F1702" s="3" t="s">
        <v>5299</v>
      </c>
      <c r="G1702" s="6">
        <v>14.404999999999999</v>
      </c>
      <c r="H1702" s="7">
        <v>41802</v>
      </c>
      <c r="I1702" s="6" t="s">
        <v>471</v>
      </c>
      <c r="J1702" s="6" t="s">
        <v>5300</v>
      </c>
      <c r="K1702" s="6" t="s">
        <v>21</v>
      </c>
      <c r="L1702" s="6" t="s">
        <v>690</v>
      </c>
      <c r="M1702" s="15" t="s">
        <v>5301</v>
      </c>
      <c r="N1702" s="15" t="s">
        <v>5302</v>
      </c>
      <c r="O1702" s="15" t="s">
        <v>5303</v>
      </c>
    </row>
    <row r="1703" spans="1:15" s="1" customFormat="1" ht="14.25" customHeight="1">
      <c r="A1703" s="22" t="s">
        <v>5304</v>
      </c>
      <c r="B1703" s="4"/>
      <c r="C1703" s="3"/>
      <c r="D1703" s="5" t="s">
        <v>5305</v>
      </c>
      <c r="E1703" s="5" t="s">
        <v>124</v>
      </c>
      <c r="F1703" s="3" t="s">
        <v>5306</v>
      </c>
      <c r="G1703" s="6">
        <v>52.375999999999998</v>
      </c>
      <c r="H1703" s="7">
        <v>41802</v>
      </c>
      <c r="I1703" s="6" t="s">
        <v>265</v>
      </c>
      <c r="J1703" s="6" t="s">
        <v>5307</v>
      </c>
      <c r="K1703" s="6" t="s">
        <v>21</v>
      </c>
      <c r="L1703" s="6" t="s">
        <v>5308</v>
      </c>
      <c r="M1703" s="15" t="s">
        <v>5309</v>
      </c>
      <c r="N1703" s="15" t="s">
        <v>5310</v>
      </c>
      <c r="O1703" s="15" t="s">
        <v>5311</v>
      </c>
    </row>
    <row r="1704" spans="1:15" s="1" customFormat="1" ht="14.25" customHeight="1">
      <c r="A1704" s="5" t="s">
        <v>1127</v>
      </c>
      <c r="B1704" s="4"/>
      <c r="C1704" s="3"/>
      <c r="D1704" s="5" t="s">
        <v>1128</v>
      </c>
      <c r="E1704" s="5" t="s">
        <v>7026</v>
      </c>
      <c r="F1704" s="3" t="s">
        <v>8337</v>
      </c>
      <c r="G1704" s="6">
        <f>29.101*L1704</f>
        <v>349.21199999999999</v>
      </c>
      <c r="H1704" s="7">
        <v>41802</v>
      </c>
      <c r="I1704" s="40" t="s">
        <v>8264</v>
      </c>
      <c r="J1704" s="6" t="s">
        <v>8338</v>
      </c>
      <c r="K1704" s="6" t="s">
        <v>21</v>
      </c>
      <c r="L1704" s="6">
        <v>12</v>
      </c>
      <c r="M1704" s="15" t="s">
        <v>8339</v>
      </c>
      <c r="N1704" s="15" t="s">
        <v>164</v>
      </c>
      <c r="O1704" s="28" t="s">
        <v>5218</v>
      </c>
    </row>
    <row r="1705" spans="1:15" s="1" customFormat="1" ht="14.25" customHeight="1">
      <c r="A1705" s="5" t="s">
        <v>1127</v>
      </c>
      <c r="B1705" s="4"/>
      <c r="C1705" s="3"/>
      <c r="D1705" s="5" t="s">
        <v>1128</v>
      </c>
      <c r="E1705" s="5" t="s">
        <v>7026</v>
      </c>
      <c r="F1705" s="3" t="s">
        <v>8340</v>
      </c>
      <c r="G1705" s="6">
        <f>29.101*L1705</f>
        <v>378.31299999999999</v>
      </c>
      <c r="H1705" s="7">
        <v>41802</v>
      </c>
      <c r="I1705" s="40" t="s">
        <v>8264</v>
      </c>
      <c r="J1705" s="6" t="s">
        <v>8341</v>
      </c>
      <c r="K1705" s="6" t="s">
        <v>21</v>
      </c>
      <c r="L1705" s="6">
        <v>13</v>
      </c>
      <c r="M1705" s="15" t="s">
        <v>8339</v>
      </c>
      <c r="N1705" s="15" t="s">
        <v>167</v>
      </c>
      <c r="O1705" s="27"/>
    </row>
    <row r="1706" spans="1:15" ht="14.25" customHeight="1">
      <c r="A1706" s="5" t="s">
        <v>1127</v>
      </c>
      <c r="B1706" s="4"/>
      <c r="C1706" s="3"/>
      <c r="D1706" s="5" t="s">
        <v>1128</v>
      </c>
      <c r="E1706" s="5" t="s">
        <v>7026</v>
      </c>
      <c r="F1706" s="3" t="s">
        <v>8342</v>
      </c>
      <c r="G1706" s="6">
        <f>29.101*L1706</f>
        <v>349.21199999999999</v>
      </c>
      <c r="H1706" s="7">
        <v>41802</v>
      </c>
      <c r="I1706" s="40" t="s">
        <v>8264</v>
      </c>
      <c r="J1706" s="6" t="s">
        <v>8343</v>
      </c>
      <c r="K1706" s="6" t="s">
        <v>21</v>
      </c>
      <c r="L1706" s="6">
        <v>12</v>
      </c>
      <c r="M1706" s="15" t="s">
        <v>8344</v>
      </c>
      <c r="N1706" s="15" t="s">
        <v>8345</v>
      </c>
      <c r="O1706" s="27"/>
    </row>
    <row r="1707" spans="1:15" ht="14.25" customHeight="1">
      <c r="A1707" s="5" t="s">
        <v>1127</v>
      </c>
      <c r="B1707" s="4"/>
      <c r="C1707" s="3"/>
      <c r="D1707" s="5" t="s">
        <v>1128</v>
      </c>
      <c r="E1707" s="5" t="s">
        <v>7026</v>
      </c>
      <c r="F1707" s="3" t="s">
        <v>8346</v>
      </c>
      <c r="G1707" s="6">
        <f>29.101*L1707</f>
        <v>261.90899999999999</v>
      </c>
      <c r="H1707" s="7">
        <v>41802</v>
      </c>
      <c r="I1707" s="40" t="s">
        <v>8264</v>
      </c>
      <c r="J1707" s="6" t="s">
        <v>8347</v>
      </c>
      <c r="K1707" s="6" t="s">
        <v>21</v>
      </c>
      <c r="L1707" s="6">
        <v>9</v>
      </c>
      <c r="M1707" s="15" t="s">
        <v>8344</v>
      </c>
      <c r="N1707" s="15" t="s">
        <v>896</v>
      </c>
      <c r="O1707" s="27"/>
    </row>
    <row r="1708" spans="1:15" ht="14.25" customHeight="1">
      <c r="A1708" s="3" t="s">
        <v>494</v>
      </c>
      <c r="B1708" s="4"/>
      <c r="C1708" s="3"/>
      <c r="D1708" s="5" t="s">
        <v>495</v>
      </c>
      <c r="E1708" s="5" t="s">
        <v>124</v>
      </c>
      <c r="F1708" s="3" t="s">
        <v>5312</v>
      </c>
      <c r="G1708" s="6">
        <f>12.838*L1708</f>
        <v>205.40799999999999</v>
      </c>
      <c r="H1708" s="7">
        <v>41806</v>
      </c>
      <c r="I1708" s="6" t="s">
        <v>471</v>
      </c>
      <c r="J1708" s="6" t="s">
        <v>5313</v>
      </c>
      <c r="K1708" s="6" t="s">
        <v>21</v>
      </c>
      <c r="L1708" s="6">
        <v>16</v>
      </c>
      <c r="M1708" s="15" t="s">
        <v>5314</v>
      </c>
      <c r="N1708" s="15" t="s">
        <v>5315</v>
      </c>
      <c r="O1708" s="15" t="s">
        <v>5314</v>
      </c>
    </row>
    <row r="1709" spans="1:15" s="1" customFormat="1" ht="14.25" customHeight="1">
      <c r="A1709" s="3" t="s">
        <v>3653</v>
      </c>
      <c r="B1709" s="4"/>
      <c r="C1709" s="3"/>
      <c r="D1709" s="5" t="s">
        <v>495</v>
      </c>
      <c r="E1709" s="5" t="s">
        <v>124</v>
      </c>
      <c r="F1709" s="3" t="s">
        <v>5316</v>
      </c>
      <c r="G1709" s="6">
        <f>12.838*L1709</f>
        <v>115.54199999999999</v>
      </c>
      <c r="H1709" s="7">
        <v>41806</v>
      </c>
      <c r="I1709" s="6" t="s">
        <v>471</v>
      </c>
      <c r="J1709" s="6" t="s">
        <v>5317</v>
      </c>
      <c r="K1709" s="6" t="s">
        <v>21</v>
      </c>
      <c r="L1709" s="6">
        <v>9</v>
      </c>
      <c r="M1709" s="15" t="s">
        <v>5314</v>
      </c>
      <c r="N1709" s="15" t="s">
        <v>896</v>
      </c>
      <c r="O1709" s="15" t="s">
        <v>5318</v>
      </c>
    </row>
    <row r="1710" spans="1:15" s="1" customFormat="1" ht="14.25" customHeight="1">
      <c r="A1710" s="3" t="s">
        <v>846</v>
      </c>
      <c r="B1710" s="4"/>
      <c r="C1710" s="3"/>
      <c r="D1710" s="5" t="s">
        <v>191</v>
      </c>
      <c r="E1710" s="5" t="s">
        <v>124</v>
      </c>
      <c r="F1710" s="3" t="s">
        <v>5319</v>
      </c>
      <c r="G1710" s="6">
        <f>18.708*L1710</f>
        <v>224.49599999999998</v>
      </c>
      <c r="H1710" s="7">
        <v>41806</v>
      </c>
      <c r="I1710" s="6" t="s">
        <v>247</v>
      </c>
      <c r="J1710" s="6" t="s">
        <v>5320</v>
      </c>
      <c r="K1710" s="6" t="s">
        <v>21</v>
      </c>
      <c r="L1710" s="6">
        <v>12</v>
      </c>
      <c r="M1710" s="15" t="s">
        <v>5321</v>
      </c>
      <c r="N1710" s="15" t="s">
        <v>164</v>
      </c>
      <c r="O1710" s="15" t="s">
        <v>5321</v>
      </c>
    </row>
    <row r="1711" spans="1:15" s="1" customFormat="1" ht="14.25" customHeight="1">
      <c r="A1711" s="3" t="s">
        <v>846</v>
      </c>
      <c r="B1711" s="4"/>
      <c r="C1711" s="3"/>
      <c r="D1711" s="5" t="s">
        <v>191</v>
      </c>
      <c r="E1711" s="5" t="s">
        <v>124</v>
      </c>
      <c r="F1711" s="3" t="s">
        <v>5322</v>
      </c>
      <c r="G1711" s="6">
        <f>18.708*L1711</f>
        <v>243.20399999999998</v>
      </c>
      <c r="H1711" s="7">
        <v>41806</v>
      </c>
      <c r="I1711" s="6" t="s">
        <v>247</v>
      </c>
      <c r="J1711" s="6" t="s">
        <v>5323</v>
      </c>
      <c r="K1711" s="6" t="s">
        <v>21</v>
      </c>
      <c r="L1711" s="6">
        <v>13</v>
      </c>
      <c r="M1711" s="15" t="s">
        <v>5321</v>
      </c>
      <c r="N1711" s="15" t="s">
        <v>167</v>
      </c>
      <c r="O1711" s="15" t="s">
        <v>5324</v>
      </c>
    </row>
    <row r="1712" spans="1:15" ht="14.25" customHeight="1">
      <c r="A1712" s="3" t="s">
        <v>551</v>
      </c>
      <c r="B1712" s="3"/>
      <c r="C1712" s="3"/>
      <c r="D1712" s="5" t="s">
        <v>552</v>
      </c>
      <c r="E1712" s="5" t="s">
        <v>124</v>
      </c>
      <c r="F1712" s="3" t="s">
        <v>5325</v>
      </c>
      <c r="G1712" s="6">
        <f>17.52*L1712</f>
        <v>175.2</v>
      </c>
      <c r="H1712" s="7">
        <v>41806</v>
      </c>
      <c r="I1712" s="6" t="s">
        <v>265</v>
      </c>
      <c r="J1712" s="6" t="s">
        <v>5326</v>
      </c>
      <c r="K1712" s="6" t="s">
        <v>21</v>
      </c>
      <c r="L1712" s="6">
        <v>10</v>
      </c>
      <c r="M1712" s="15" t="s">
        <v>5327</v>
      </c>
      <c r="N1712" s="15" t="s">
        <v>5328</v>
      </c>
      <c r="O1712" s="15" t="s">
        <v>5327</v>
      </c>
    </row>
    <row r="1713" spans="1:15" s="1" customFormat="1" ht="14.25" customHeight="1">
      <c r="A1713" s="3" t="s">
        <v>777</v>
      </c>
      <c r="B1713" s="4"/>
      <c r="C1713" s="3"/>
      <c r="D1713" s="5" t="s">
        <v>778</v>
      </c>
      <c r="E1713" s="5" t="s">
        <v>124</v>
      </c>
      <c r="F1713" s="3" t="s">
        <v>5329</v>
      </c>
      <c r="G1713" s="6">
        <f>17.52*L1713</f>
        <v>140.16</v>
      </c>
      <c r="H1713" s="7">
        <v>41806</v>
      </c>
      <c r="I1713" s="6" t="s">
        <v>265</v>
      </c>
      <c r="J1713" s="6" t="s">
        <v>5330</v>
      </c>
      <c r="K1713" s="6" t="s">
        <v>21</v>
      </c>
      <c r="L1713" s="6">
        <v>8</v>
      </c>
      <c r="M1713" s="15" t="s">
        <v>5331</v>
      </c>
      <c r="N1713" s="15" t="s">
        <v>3081</v>
      </c>
      <c r="O1713" s="15" t="s">
        <v>5332</v>
      </c>
    </row>
    <row r="1714" spans="1:15" ht="14.25" customHeight="1">
      <c r="A1714" s="3" t="s">
        <v>854</v>
      </c>
      <c r="B1714" s="3"/>
      <c r="C1714" s="3"/>
      <c r="D1714" s="5" t="s">
        <v>855</v>
      </c>
      <c r="E1714" s="5" t="s">
        <v>124</v>
      </c>
      <c r="F1714" s="3" t="s">
        <v>5333</v>
      </c>
      <c r="G1714" s="6">
        <f>17.52*L1714</f>
        <v>210.24</v>
      </c>
      <c r="H1714" s="7">
        <v>41807</v>
      </c>
      <c r="I1714" s="6" t="s">
        <v>209</v>
      </c>
      <c r="J1714" s="6" t="s">
        <v>5334</v>
      </c>
      <c r="K1714" s="6" t="s">
        <v>21</v>
      </c>
      <c r="L1714" s="6">
        <v>12</v>
      </c>
      <c r="M1714" s="15" t="s">
        <v>5335</v>
      </c>
      <c r="N1714" s="15" t="s">
        <v>78</v>
      </c>
      <c r="O1714" s="15" t="s">
        <v>5335</v>
      </c>
    </row>
    <row r="1715" spans="1:15" s="1" customFormat="1" ht="13.5" customHeight="1">
      <c r="A1715" s="3" t="s">
        <v>772</v>
      </c>
      <c r="B1715" s="3"/>
      <c r="C1715" s="3"/>
      <c r="D1715" s="5" t="s">
        <v>773</v>
      </c>
      <c r="E1715" s="5" t="s">
        <v>124</v>
      </c>
      <c r="F1715" s="3" t="s">
        <v>5336</v>
      </c>
      <c r="G1715" s="6">
        <f>18.708*L1715</f>
        <v>224.49599999999998</v>
      </c>
      <c r="H1715" s="7">
        <v>41807</v>
      </c>
      <c r="I1715" s="6" t="s">
        <v>265</v>
      </c>
      <c r="J1715" s="6" t="s">
        <v>5337</v>
      </c>
      <c r="K1715" s="6" t="s">
        <v>21</v>
      </c>
      <c r="L1715" s="6">
        <v>12</v>
      </c>
      <c r="M1715" s="15" t="s">
        <v>5338</v>
      </c>
      <c r="N1715" s="15" t="s">
        <v>164</v>
      </c>
      <c r="O1715" s="28" t="s">
        <v>5338</v>
      </c>
    </row>
    <row r="1716" spans="1:15" s="1" customFormat="1" ht="14.25" customHeight="1">
      <c r="A1716" s="3" t="s">
        <v>772</v>
      </c>
      <c r="B1716" s="3"/>
      <c r="C1716" s="3"/>
      <c r="D1716" s="5" t="s">
        <v>773</v>
      </c>
      <c r="E1716" s="5" t="s">
        <v>124</v>
      </c>
      <c r="F1716" s="3" t="s">
        <v>5339</v>
      </c>
      <c r="G1716" s="6">
        <f>18.708*L1716</f>
        <v>243.20399999999998</v>
      </c>
      <c r="H1716" s="7">
        <v>41807</v>
      </c>
      <c r="I1716" s="6" t="s">
        <v>265</v>
      </c>
      <c r="J1716" s="6" t="s">
        <v>5340</v>
      </c>
      <c r="K1716" s="6" t="s">
        <v>21</v>
      </c>
      <c r="L1716" s="6">
        <v>13</v>
      </c>
      <c r="M1716" s="15" t="s">
        <v>5338</v>
      </c>
      <c r="N1716" s="15" t="s">
        <v>167</v>
      </c>
      <c r="O1716" s="15" t="s">
        <v>5341</v>
      </c>
    </row>
    <row r="1717" spans="1:15" s="1" customFormat="1" ht="14.25" customHeight="1">
      <c r="A1717" s="3" t="s">
        <v>772</v>
      </c>
      <c r="B1717" s="3"/>
      <c r="C1717" s="3"/>
      <c r="D1717" s="5" t="s">
        <v>773</v>
      </c>
      <c r="E1717" s="5" t="s">
        <v>124</v>
      </c>
      <c r="F1717" s="3" t="s">
        <v>5342</v>
      </c>
      <c r="G1717" s="6">
        <f>18.708*L1717</f>
        <v>224.49599999999998</v>
      </c>
      <c r="H1717" s="7">
        <v>41807</v>
      </c>
      <c r="I1717" s="6" t="s">
        <v>265</v>
      </c>
      <c r="J1717" s="6" t="s">
        <v>5343</v>
      </c>
      <c r="K1717" s="6" t="s">
        <v>21</v>
      </c>
      <c r="L1717" s="6">
        <v>12</v>
      </c>
      <c r="M1717" s="15" t="s">
        <v>5344</v>
      </c>
      <c r="N1717" s="15" t="s">
        <v>164</v>
      </c>
      <c r="O1717" s="28" t="s">
        <v>5344</v>
      </c>
    </row>
    <row r="1718" spans="1:15" s="1" customFormat="1" ht="14.25" customHeight="1">
      <c r="A1718" s="3" t="s">
        <v>772</v>
      </c>
      <c r="B1718" s="3"/>
      <c r="C1718" s="3"/>
      <c r="D1718" s="5" t="s">
        <v>773</v>
      </c>
      <c r="E1718" s="5" t="s">
        <v>124</v>
      </c>
      <c r="F1718" s="3" t="s">
        <v>5345</v>
      </c>
      <c r="G1718" s="6">
        <f>18.708*L1718</f>
        <v>243.20399999999998</v>
      </c>
      <c r="H1718" s="7">
        <v>41807</v>
      </c>
      <c r="I1718" s="6" t="s">
        <v>265</v>
      </c>
      <c r="J1718" s="6" t="s">
        <v>5346</v>
      </c>
      <c r="K1718" s="6" t="s">
        <v>21</v>
      </c>
      <c r="L1718" s="6">
        <v>13</v>
      </c>
      <c r="M1718" s="15" t="s">
        <v>5344</v>
      </c>
      <c r="N1718" s="15" t="s">
        <v>167</v>
      </c>
      <c r="O1718" s="28" t="s">
        <v>5347</v>
      </c>
    </row>
    <row r="1719" spans="1:15" s="1" customFormat="1" ht="14.25" customHeight="1">
      <c r="A1719" s="3" t="s">
        <v>1285</v>
      </c>
      <c r="B1719" s="3" t="s">
        <v>283</v>
      </c>
      <c r="C1719" s="3"/>
      <c r="D1719" s="5" t="s">
        <v>1287</v>
      </c>
      <c r="E1719" s="5" t="s">
        <v>124</v>
      </c>
      <c r="F1719" s="3" t="s">
        <v>5348</v>
      </c>
      <c r="G1719" s="6">
        <f>8.606*L1719</f>
        <v>51.635999999999996</v>
      </c>
      <c r="H1719" s="7">
        <v>41807</v>
      </c>
      <c r="I1719" s="6" t="s">
        <v>272</v>
      </c>
      <c r="J1719" s="6" t="s">
        <v>5349</v>
      </c>
      <c r="K1719" s="6" t="s">
        <v>21</v>
      </c>
      <c r="L1719" s="6">
        <v>6</v>
      </c>
      <c r="M1719" s="15" t="s">
        <v>5350</v>
      </c>
      <c r="N1719" s="15" t="s">
        <v>74</v>
      </c>
      <c r="O1719" s="15" t="s">
        <v>5350</v>
      </c>
    </row>
    <row r="1720" spans="1:15" s="1" customFormat="1" ht="14.25" customHeight="1">
      <c r="A1720" s="22" t="s">
        <v>5351</v>
      </c>
      <c r="B1720" s="3"/>
      <c r="C1720" s="3"/>
      <c r="D1720" s="5" t="s">
        <v>364</v>
      </c>
      <c r="E1720" s="5" t="s">
        <v>124</v>
      </c>
      <c r="F1720" s="3" t="s">
        <v>5352</v>
      </c>
      <c r="G1720" s="6">
        <f>12.838*L1720</f>
        <v>64.19</v>
      </c>
      <c r="H1720" s="7">
        <v>41807</v>
      </c>
      <c r="I1720" s="6" t="s">
        <v>126</v>
      </c>
      <c r="J1720" s="6" t="s">
        <v>5353</v>
      </c>
      <c r="K1720" s="6" t="s">
        <v>21</v>
      </c>
      <c r="L1720" s="6">
        <v>5</v>
      </c>
      <c r="M1720" s="15" t="s">
        <v>4068</v>
      </c>
      <c r="N1720" s="15" t="s">
        <v>1194</v>
      </c>
      <c r="O1720" s="28" t="s">
        <v>5354</v>
      </c>
    </row>
    <row r="1721" spans="1:15" s="1" customFormat="1" ht="14.25" customHeight="1">
      <c r="A1721" s="3" t="s">
        <v>5351</v>
      </c>
      <c r="B1721" s="3"/>
      <c r="C1721" s="3"/>
      <c r="D1721" s="5" t="s">
        <v>364</v>
      </c>
      <c r="E1721" s="5" t="s">
        <v>124</v>
      </c>
      <c r="F1721" s="3" t="s">
        <v>5355</v>
      </c>
      <c r="G1721" s="6">
        <f>12.838*L1721</f>
        <v>192.57</v>
      </c>
      <c r="H1721" s="7">
        <v>41807</v>
      </c>
      <c r="I1721" s="6" t="s">
        <v>126</v>
      </c>
      <c r="J1721" s="6" t="s">
        <v>5356</v>
      </c>
      <c r="K1721" s="6" t="s">
        <v>21</v>
      </c>
      <c r="L1721" s="6">
        <v>15</v>
      </c>
      <c r="M1721" s="15" t="s">
        <v>5357</v>
      </c>
      <c r="N1721" s="15" t="s">
        <v>5358</v>
      </c>
      <c r="O1721" s="28" t="s">
        <v>5357</v>
      </c>
    </row>
    <row r="1722" spans="1:15" s="1" customFormat="1" ht="14.25" customHeight="1">
      <c r="A1722" s="3" t="s">
        <v>5351</v>
      </c>
      <c r="B1722" s="3"/>
      <c r="C1722" s="3"/>
      <c r="D1722" s="5" t="s">
        <v>364</v>
      </c>
      <c r="E1722" s="5" t="s">
        <v>124</v>
      </c>
      <c r="F1722" s="3" t="s">
        <v>5359</v>
      </c>
      <c r="G1722" s="6">
        <f>12.838*L1722</f>
        <v>77.027999999999992</v>
      </c>
      <c r="H1722" s="7">
        <v>41807</v>
      </c>
      <c r="I1722" s="6" t="s">
        <v>126</v>
      </c>
      <c r="J1722" s="6" t="s">
        <v>5360</v>
      </c>
      <c r="K1722" s="6" t="s">
        <v>21</v>
      </c>
      <c r="L1722" s="6">
        <v>6</v>
      </c>
      <c r="M1722" s="15" t="s">
        <v>5361</v>
      </c>
      <c r="N1722" s="15" t="s">
        <v>2556</v>
      </c>
      <c r="O1722" s="28" t="s">
        <v>5361</v>
      </c>
    </row>
    <row r="1723" spans="1:15" ht="14.25" customHeight="1">
      <c r="A1723" s="3" t="s">
        <v>5351</v>
      </c>
      <c r="B1723" s="3"/>
      <c r="C1723" s="3"/>
      <c r="D1723" s="5" t="s">
        <v>364</v>
      </c>
      <c r="E1723" s="5" t="s">
        <v>124</v>
      </c>
      <c r="F1723" s="3" t="s">
        <v>5362</v>
      </c>
      <c r="G1723" s="6">
        <f>12.838*L1723</f>
        <v>218.24599999999998</v>
      </c>
      <c r="H1723" s="7">
        <v>41807</v>
      </c>
      <c r="I1723" s="6" t="s">
        <v>126</v>
      </c>
      <c r="J1723" s="6" t="s">
        <v>5363</v>
      </c>
      <c r="K1723" s="6" t="s">
        <v>21</v>
      </c>
      <c r="L1723" s="6">
        <v>17</v>
      </c>
      <c r="M1723" s="15" t="s">
        <v>5364</v>
      </c>
      <c r="N1723" s="15" t="s">
        <v>4659</v>
      </c>
      <c r="O1723" s="15" t="s">
        <v>5364</v>
      </c>
    </row>
    <row r="1724" spans="1:15" s="1" customFormat="1" ht="14.25" customHeight="1">
      <c r="A1724" s="3" t="s">
        <v>3870</v>
      </c>
      <c r="B1724" s="3"/>
      <c r="C1724" s="3"/>
      <c r="D1724" s="5" t="s">
        <v>3871</v>
      </c>
      <c r="E1724" s="5" t="s">
        <v>124</v>
      </c>
      <c r="F1724" s="3" t="s">
        <v>5365</v>
      </c>
      <c r="G1724" s="6">
        <f>13.006*L1724</f>
        <v>78.036000000000001</v>
      </c>
      <c r="H1724" s="7">
        <v>41807</v>
      </c>
      <c r="I1724" s="6" t="s">
        <v>3873</v>
      </c>
      <c r="J1724" s="6" t="s">
        <v>5366</v>
      </c>
      <c r="K1724" s="6" t="s">
        <v>21</v>
      </c>
      <c r="L1724" s="6">
        <v>6</v>
      </c>
      <c r="M1724" s="15" t="s">
        <v>5367</v>
      </c>
      <c r="N1724" s="15" t="s">
        <v>5368</v>
      </c>
      <c r="O1724" s="28" t="s">
        <v>5367</v>
      </c>
    </row>
    <row r="1725" spans="1:15" s="1" customFormat="1" ht="14.25" customHeight="1">
      <c r="A1725" s="3" t="s">
        <v>4051</v>
      </c>
      <c r="B1725" s="3"/>
      <c r="C1725" s="3"/>
      <c r="D1725" s="5" t="s">
        <v>4052</v>
      </c>
      <c r="E1725" s="5" t="s">
        <v>124</v>
      </c>
      <c r="F1725" s="3" t="s">
        <v>5369</v>
      </c>
      <c r="G1725" s="6">
        <v>172.86</v>
      </c>
      <c r="H1725" s="7">
        <v>41807</v>
      </c>
      <c r="I1725" s="6" t="s">
        <v>471</v>
      </c>
      <c r="J1725" s="6" t="s">
        <v>5370</v>
      </c>
      <c r="K1725" s="6" t="s">
        <v>21</v>
      </c>
      <c r="L1725" s="6" t="s">
        <v>5371</v>
      </c>
      <c r="M1725" s="15" t="s">
        <v>5372</v>
      </c>
      <c r="N1725" s="15" t="s">
        <v>5373</v>
      </c>
      <c r="O1725" s="15" t="s">
        <v>5374</v>
      </c>
    </row>
    <row r="1726" spans="1:15" s="1" customFormat="1" ht="14.25" customHeight="1">
      <c r="A1726" s="3" t="s">
        <v>4051</v>
      </c>
      <c r="B1726" s="3"/>
      <c r="C1726" s="3"/>
      <c r="D1726" s="5" t="s">
        <v>4052</v>
      </c>
      <c r="E1726" s="5" t="s">
        <v>124</v>
      </c>
      <c r="F1726" s="3" t="s">
        <v>5375</v>
      </c>
      <c r="G1726" s="6">
        <v>187.26499999999999</v>
      </c>
      <c r="H1726" s="7">
        <v>41807</v>
      </c>
      <c r="I1726" s="6" t="s">
        <v>471</v>
      </c>
      <c r="J1726" s="6" t="s">
        <v>5376</v>
      </c>
      <c r="K1726" s="6" t="s">
        <v>21</v>
      </c>
      <c r="L1726" s="6" t="s">
        <v>5377</v>
      </c>
      <c r="M1726" s="15" t="s">
        <v>5378</v>
      </c>
      <c r="N1726" s="15" t="s">
        <v>5379</v>
      </c>
      <c r="O1726" s="15" t="s">
        <v>5380</v>
      </c>
    </row>
    <row r="1727" spans="1:15" ht="14.25" customHeight="1">
      <c r="A1727" s="5" t="s">
        <v>3345</v>
      </c>
      <c r="B1727" s="3"/>
      <c r="C1727" s="3"/>
      <c r="D1727" s="5" t="s">
        <v>3346</v>
      </c>
      <c r="E1727" s="5" t="s">
        <v>124</v>
      </c>
      <c r="F1727" s="3" t="s">
        <v>5381</v>
      </c>
      <c r="G1727" s="6">
        <v>144.05000000000001</v>
      </c>
      <c r="H1727" s="7">
        <v>41807</v>
      </c>
      <c r="I1727" s="6" t="s">
        <v>3348</v>
      </c>
      <c r="J1727" s="6" t="s">
        <v>5382</v>
      </c>
      <c r="K1727" s="6" t="s">
        <v>21</v>
      </c>
      <c r="L1727" s="6" t="s">
        <v>635</v>
      </c>
      <c r="M1727" s="15" t="s">
        <v>5383</v>
      </c>
      <c r="N1727" s="15" t="s">
        <v>5384</v>
      </c>
      <c r="O1727" s="15" t="s">
        <v>5385</v>
      </c>
    </row>
    <row r="1728" spans="1:15" s="1" customFormat="1" ht="14.25" customHeight="1">
      <c r="A1728" s="3" t="s">
        <v>793</v>
      </c>
      <c r="B1728" s="3"/>
      <c r="C1728" s="3"/>
      <c r="D1728" s="5" t="s">
        <v>794</v>
      </c>
      <c r="E1728" s="5" t="s">
        <v>124</v>
      </c>
      <c r="F1728" s="3" t="s">
        <v>5386</v>
      </c>
      <c r="G1728" s="6">
        <f>8.137*L1728</f>
        <v>203.42500000000001</v>
      </c>
      <c r="H1728" s="7">
        <v>41807</v>
      </c>
      <c r="I1728" s="6" t="s">
        <v>186</v>
      </c>
      <c r="J1728" s="6" t="s">
        <v>5387</v>
      </c>
      <c r="K1728" s="6" t="s">
        <v>21</v>
      </c>
      <c r="L1728" s="6">
        <v>25</v>
      </c>
      <c r="M1728" s="15" t="s">
        <v>5388</v>
      </c>
      <c r="N1728" s="15" t="s">
        <v>281</v>
      </c>
      <c r="O1728" s="15" t="s">
        <v>5388</v>
      </c>
    </row>
    <row r="1729" spans="1:15" s="1" customFormat="1" ht="14.25" customHeight="1">
      <c r="A1729" s="3" t="s">
        <v>579</v>
      </c>
      <c r="B1729" s="3" t="s">
        <v>5389</v>
      </c>
      <c r="C1729" s="3"/>
      <c r="D1729" s="5" t="s">
        <v>580</v>
      </c>
      <c r="E1729" s="5" t="s">
        <v>124</v>
      </c>
      <c r="F1729" s="3" t="s">
        <v>5390</v>
      </c>
      <c r="G1729" s="6">
        <v>90</v>
      </c>
      <c r="H1729" s="7">
        <v>41807</v>
      </c>
      <c r="I1729" s="6"/>
      <c r="J1729" s="6"/>
      <c r="K1729" s="6"/>
      <c r="L1729" s="6"/>
      <c r="M1729" s="15"/>
      <c r="N1729" s="15"/>
      <c r="O1729" s="28" t="s">
        <v>1918</v>
      </c>
    </row>
    <row r="1730" spans="1:15" ht="14.25" customHeight="1">
      <c r="A1730" s="3" t="s">
        <v>1216</v>
      </c>
      <c r="B1730" s="3" t="s">
        <v>5391</v>
      </c>
      <c r="C1730" s="3"/>
      <c r="D1730" s="5"/>
      <c r="E1730" s="5" t="s">
        <v>124</v>
      </c>
      <c r="F1730" s="3" t="s">
        <v>5392</v>
      </c>
      <c r="G1730" s="6">
        <v>100</v>
      </c>
      <c r="H1730" s="7">
        <v>41807</v>
      </c>
      <c r="I1730" s="6"/>
      <c r="J1730" s="6"/>
      <c r="K1730" s="6"/>
      <c r="L1730" s="6"/>
      <c r="M1730" s="15"/>
      <c r="N1730" s="15"/>
      <c r="O1730" s="28" t="s">
        <v>1918</v>
      </c>
    </row>
    <row r="1731" spans="1:15" ht="14.25" customHeight="1">
      <c r="A1731" s="3" t="s">
        <v>1534</v>
      </c>
      <c r="B1731" s="3" t="s">
        <v>5393</v>
      </c>
      <c r="C1731" s="3"/>
      <c r="D1731" s="5"/>
      <c r="E1731" s="5" t="s">
        <v>124</v>
      </c>
      <c r="F1731" s="3" t="s">
        <v>5394</v>
      </c>
      <c r="G1731" s="6">
        <v>100</v>
      </c>
      <c r="H1731" s="7">
        <v>41807</v>
      </c>
      <c r="I1731" s="6"/>
      <c r="J1731" s="6"/>
      <c r="K1731" s="6"/>
      <c r="L1731" s="6"/>
      <c r="M1731" s="15"/>
      <c r="N1731" s="15"/>
      <c r="O1731" s="28" t="s">
        <v>1918</v>
      </c>
    </row>
    <row r="1732" spans="1:15" ht="14.25" customHeight="1">
      <c r="A1732" s="5" t="s">
        <v>1127</v>
      </c>
      <c r="B1732" s="3"/>
      <c r="C1732" s="3"/>
      <c r="D1732" s="5" t="s">
        <v>1128</v>
      </c>
      <c r="E1732" s="5" t="s">
        <v>7026</v>
      </c>
      <c r="F1732" s="3" t="s">
        <v>8348</v>
      </c>
      <c r="G1732" s="6">
        <f t="shared" ref="G1732:G1739" si="64">29.101*L1732</f>
        <v>349.21199999999999</v>
      </c>
      <c r="H1732" s="7">
        <v>41807</v>
      </c>
      <c r="I1732" s="40" t="s">
        <v>8264</v>
      </c>
      <c r="J1732" s="6" t="s">
        <v>8349</v>
      </c>
      <c r="K1732" s="6" t="s">
        <v>21</v>
      </c>
      <c r="L1732" s="6">
        <v>12</v>
      </c>
      <c r="M1732" s="15" t="s">
        <v>8350</v>
      </c>
      <c r="N1732" s="15" t="s">
        <v>8253</v>
      </c>
      <c r="O1732" s="27" t="s">
        <v>8351</v>
      </c>
    </row>
    <row r="1733" spans="1:15" s="1" customFormat="1" ht="14.25" customHeight="1">
      <c r="A1733" s="5" t="s">
        <v>1127</v>
      </c>
      <c r="B1733" s="3"/>
      <c r="C1733" s="3"/>
      <c r="D1733" s="5" t="s">
        <v>1128</v>
      </c>
      <c r="E1733" s="5" t="s">
        <v>7026</v>
      </c>
      <c r="F1733" s="3" t="s">
        <v>8352</v>
      </c>
      <c r="G1733" s="6">
        <f t="shared" si="64"/>
        <v>378.31299999999999</v>
      </c>
      <c r="H1733" s="7">
        <v>41807</v>
      </c>
      <c r="I1733" s="40" t="s">
        <v>8264</v>
      </c>
      <c r="J1733" s="6" t="s">
        <v>8353</v>
      </c>
      <c r="K1733" s="6" t="s">
        <v>21</v>
      </c>
      <c r="L1733" s="6">
        <v>13</v>
      </c>
      <c r="M1733" s="15" t="s">
        <v>8350</v>
      </c>
      <c r="N1733" s="15" t="s">
        <v>8257</v>
      </c>
      <c r="O1733" s="27"/>
    </row>
    <row r="1734" spans="1:15" ht="14.25" customHeight="1">
      <c r="A1734" s="5" t="s">
        <v>1127</v>
      </c>
      <c r="B1734" s="3"/>
      <c r="C1734" s="3"/>
      <c r="D1734" s="5" t="s">
        <v>1128</v>
      </c>
      <c r="E1734" s="5" t="s">
        <v>7026</v>
      </c>
      <c r="F1734" s="3" t="s">
        <v>8354</v>
      </c>
      <c r="G1734" s="6">
        <f t="shared" si="64"/>
        <v>291.01</v>
      </c>
      <c r="H1734" s="7">
        <v>41807</v>
      </c>
      <c r="I1734" s="40" t="s">
        <v>8264</v>
      </c>
      <c r="J1734" s="6" t="s">
        <v>8355</v>
      </c>
      <c r="K1734" s="6" t="s">
        <v>21</v>
      </c>
      <c r="L1734" s="6">
        <v>10</v>
      </c>
      <c r="M1734" s="15" t="s">
        <v>8356</v>
      </c>
      <c r="N1734" s="15" t="s">
        <v>8357</v>
      </c>
      <c r="O1734" s="27"/>
    </row>
    <row r="1735" spans="1:15" ht="14.25" customHeight="1">
      <c r="A1735" s="5" t="s">
        <v>1127</v>
      </c>
      <c r="B1735" s="3"/>
      <c r="C1735" s="3"/>
      <c r="D1735" s="5" t="s">
        <v>1128</v>
      </c>
      <c r="E1735" s="5" t="s">
        <v>7026</v>
      </c>
      <c r="F1735" s="3" t="s">
        <v>8358</v>
      </c>
      <c r="G1735" s="6">
        <f t="shared" si="64"/>
        <v>320.11099999999999</v>
      </c>
      <c r="H1735" s="7">
        <v>41807</v>
      </c>
      <c r="I1735" s="40" t="s">
        <v>8264</v>
      </c>
      <c r="J1735" s="6" t="s">
        <v>8359</v>
      </c>
      <c r="K1735" s="6" t="s">
        <v>21</v>
      </c>
      <c r="L1735" s="6">
        <v>11</v>
      </c>
      <c r="M1735" s="15" t="s">
        <v>8356</v>
      </c>
      <c r="N1735" s="15" t="s">
        <v>8360</v>
      </c>
      <c r="O1735" s="27"/>
    </row>
    <row r="1736" spans="1:15" ht="14.25" customHeight="1">
      <c r="A1736" s="5" t="s">
        <v>1127</v>
      </c>
      <c r="B1736" s="3"/>
      <c r="C1736" s="3"/>
      <c r="D1736" s="5" t="s">
        <v>1128</v>
      </c>
      <c r="E1736" s="5" t="s">
        <v>7026</v>
      </c>
      <c r="F1736" s="3" t="s">
        <v>8361</v>
      </c>
      <c r="G1736" s="6">
        <f t="shared" si="64"/>
        <v>349.21199999999999</v>
      </c>
      <c r="H1736" s="7">
        <v>41807</v>
      </c>
      <c r="I1736" s="40" t="s">
        <v>8264</v>
      </c>
      <c r="J1736" s="6" t="s">
        <v>8362</v>
      </c>
      <c r="K1736" s="6" t="s">
        <v>21</v>
      </c>
      <c r="L1736" s="6">
        <v>12</v>
      </c>
      <c r="M1736" s="15" t="s">
        <v>8363</v>
      </c>
      <c r="N1736" s="15" t="s">
        <v>8253</v>
      </c>
      <c r="O1736" s="27"/>
    </row>
    <row r="1737" spans="1:15" ht="14.25" customHeight="1">
      <c r="A1737" s="5" t="s">
        <v>1127</v>
      </c>
      <c r="B1737" s="3"/>
      <c r="C1737" s="3"/>
      <c r="D1737" s="5" t="s">
        <v>1128</v>
      </c>
      <c r="E1737" s="5" t="s">
        <v>7026</v>
      </c>
      <c r="F1737" s="3" t="s">
        <v>8364</v>
      </c>
      <c r="G1737" s="6">
        <f t="shared" si="64"/>
        <v>378.31299999999999</v>
      </c>
      <c r="H1737" s="7">
        <v>41807</v>
      </c>
      <c r="I1737" s="40" t="s">
        <v>8264</v>
      </c>
      <c r="J1737" s="6" t="s">
        <v>8365</v>
      </c>
      <c r="K1737" s="6" t="s">
        <v>21</v>
      </c>
      <c r="L1737" s="6">
        <v>13</v>
      </c>
      <c r="M1737" s="15" t="s">
        <v>8363</v>
      </c>
      <c r="N1737" s="15" t="s">
        <v>8257</v>
      </c>
      <c r="O1737" s="27"/>
    </row>
    <row r="1738" spans="1:15" s="1" customFormat="1" ht="14.25" customHeight="1">
      <c r="A1738" s="5" t="s">
        <v>1127</v>
      </c>
      <c r="B1738" s="3"/>
      <c r="C1738" s="3"/>
      <c r="D1738" s="5" t="s">
        <v>1128</v>
      </c>
      <c r="E1738" s="5" t="s">
        <v>7026</v>
      </c>
      <c r="F1738" s="3" t="s">
        <v>8366</v>
      </c>
      <c r="G1738" s="6">
        <f t="shared" si="64"/>
        <v>349.21199999999999</v>
      </c>
      <c r="H1738" s="7">
        <v>41807</v>
      </c>
      <c r="I1738" s="40" t="s">
        <v>8264</v>
      </c>
      <c r="J1738" s="6" t="s">
        <v>8367</v>
      </c>
      <c r="K1738" s="6" t="s">
        <v>21</v>
      </c>
      <c r="L1738" s="6">
        <v>12</v>
      </c>
      <c r="M1738" s="15" t="s">
        <v>8368</v>
      </c>
      <c r="N1738" s="15" t="s">
        <v>8253</v>
      </c>
      <c r="O1738" s="27"/>
    </row>
    <row r="1739" spans="1:15" ht="14.25" customHeight="1">
      <c r="A1739" s="5" t="s">
        <v>1127</v>
      </c>
      <c r="B1739" s="3"/>
      <c r="C1739" s="3"/>
      <c r="D1739" s="5" t="s">
        <v>1128</v>
      </c>
      <c r="E1739" s="5" t="s">
        <v>7026</v>
      </c>
      <c r="F1739" s="3" t="s">
        <v>8369</v>
      </c>
      <c r="G1739" s="6">
        <f t="shared" si="64"/>
        <v>378.31299999999999</v>
      </c>
      <c r="H1739" s="7">
        <v>41807</v>
      </c>
      <c r="I1739" s="40" t="s">
        <v>8264</v>
      </c>
      <c r="J1739" s="6" t="s">
        <v>8370</v>
      </c>
      <c r="K1739" s="6" t="s">
        <v>21</v>
      </c>
      <c r="L1739" s="6">
        <v>13</v>
      </c>
      <c r="M1739" s="15" t="s">
        <v>8368</v>
      </c>
      <c r="N1739" s="15" t="s">
        <v>8257</v>
      </c>
      <c r="O1739" s="27"/>
    </row>
    <row r="1740" spans="1:15" ht="14.25" customHeight="1">
      <c r="A1740" s="5" t="s">
        <v>1043</v>
      </c>
      <c r="B1740" s="3"/>
      <c r="C1740" s="3"/>
      <c r="D1740" s="5" t="s">
        <v>443</v>
      </c>
      <c r="E1740" s="5" t="s">
        <v>7026</v>
      </c>
      <c r="F1740" s="3" t="s">
        <v>8371</v>
      </c>
      <c r="G1740" s="6">
        <f t="shared" ref="G1740:G1747" si="65">18.708*L1740</f>
        <v>224.49599999999998</v>
      </c>
      <c r="H1740" s="7">
        <v>41807</v>
      </c>
      <c r="I1740" s="40" t="s">
        <v>8264</v>
      </c>
      <c r="J1740" s="6" t="s">
        <v>8372</v>
      </c>
      <c r="K1740" s="6" t="s">
        <v>21</v>
      </c>
      <c r="L1740" s="6">
        <v>12</v>
      </c>
      <c r="M1740" s="15" t="s">
        <v>8373</v>
      </c>
      <c r="N1740" s="15" t="s">
        <v>164</v>
      </c>
      <c r="O1740" s="27" t="s">
        <v>8374</v>
      </c>
    </row>
    <row r="1741" spans="1:15" s="1" customFormat="1" ht="14.25" customHeight="1">
      <c r="A1741" s="5" t="s">
        <v>1043</v>
      </c>
      <c r="B1741" s="3"/>
      <c r="C1741" s="3"/>
      <c r="D1741" s="5" t="s">
        <v>443</v>
      </c>
      <c r="E1741" s="5" t="s">
        <v>7026</v>
      </c>
      <c r="F1741" s="3" t="s">
        <v>8375</v>
      </c>
      <c r="G1741" s="6">
        <f t="shared" si="65"/>
        <v>243.20399999999998</v>
      </c>
      <c r="H1741" s="7">
        <v>41807</v>
      </c>
      <c r="I1741" s="40" t="s">
        <v>8264</v>
      </c>
      <c r="J1741" s="6" t="s">
        <v>8376</v>
      </c>
      <c r="K1741" s="6" t="s">
        <v>21</v>
      </c>
      <c r="L1741" s="6">
        <v>13</v>
      </c>
      <c r="M1741" s="15" t="s">
        <v>8373</v>
      </c>
      <c r="N1741" s="15" t="s">
        <v>167</v>
      </c>
      <c r="O1741" s="27" t="s">
        <v>8377</v>
      </c>
    </row>
    <row r="1742" spans="1:15" s="1" customFormat="1" ht="14.25" customHeight="1">
      <c r="A1742" s="5" t="s">
        <v>1043</v>
      </c>
      <c r="B1742" s="3"/>
      <c r="C1742" s="3"/>
      <c r="D1742" s="5" t="s">
        <v>443</v>
      </c>
      <c r="E1742" s="5" t="s">
        <v>7026</v>
      </c>
      <c r="F1742" s="3" t="s">
        <v>8378</v>
      </c>
      <c r="G1742" s="6">
        <f t="shared" si="65"/>
        <v>224.49599999999998</v>
      </c>
      <c r="H1742" s="7">
        <v>41807</v>
      </c>
      <c r="I1742" s="40" t="s">
        <v>8264</v>
      </c>
      <c r="J1742" s="6" t="s">
        <v>8379</v>
      </c>
      <c r="K1742" s="6" t="s">
        <v>21</v>
      </c>
      <c r="L1742" s="6">
        <v>12</v>
      </c>
      <c r="M1742" s="15" t="s">
        <v>8380</v>
      </c>
      <c r="N1742" s="15" t="s">
        <v>164</v>
      </c>
      <c r="O1742" s="27" t="s">
        <v>8381</v>
      </c>
    </row>
    <row r="1743" spans="1:15" ht="14.25" customHeight="1">
      <c r="A1743" s="5" t="s">
        <v>1043</v>
      </c>
      <c r="B1743" s="3"/>
      <c r="C1743" s="3"/>
      <c r="D1743" s="5" t="s">
        <v>443</v>
      </c>
      <c r="E1743" s="5" t="s">
        <v>7026</v>
      </c>
      <c r="F1743" s="3" t="s">
        <v>8382</v>
      </c>
      <c r="G1743" s="6">
        <f t="shared" si="65"/>
        <v>243.20399999999998</v>
      </c>
      <c r="H1743" s="7">
        <v>41807</v>
      </c>
      <c r="I1743" s="40" t="s">
        <v>8264</v>
      </c>
      <c r="J1743" s="6" t="s">
        <v>8383</v>
      </c>
      <c r="K1743" s="6" t="s">
        <v>21</v>
      </c>
      <c r="L1743" s="6">
        <v>13</v>
      </c>
      <c r="M1743" s="15" t="s">
        <v>8380</v>
      </c>
      <c r="N1743" s="15" t="s">
        <v>167</v>
      </c>
      <c r="O1743" s="27" t="s">
        <v>8384</v>
      </c>
    </row>
    <row r="1744" spans="1:15" ht="14.25" customHeight="1">
      <c r="A1744" s="5" t="s">
        <v>1043</v>
      </c>
      <c r="B1744" s="3"/>
      <c r="C1744" s="3"/>
      <c r="D1744" s="5" t="s">
        <v>443</v>
      </c>
      <c r="E1744" s="5" t="s">
        <v>7026</v>
      </c>
      <c r="F1744" s="3" t="s">
        <v>8385</v>
      </c>
      <c r="G1744" s="6">
        <f t="shared" si="65"/>
        <v>224.49599999999998</v>
      </c>
      <c r="H1744" s="7">
        <v>41807</v>
      </c>
      <c r="I1744" s="40" t="s">
        <v>8264</v>
      </c>
      <c r="J1744" s="6" t="s">
        <v>8386</v>
      </c>
      <c r="K1744" s="6" t="s">
        <v>21</v>
      </c>
      <c r="L1744" s="6">
        <v>12</v>
      </c>
      <c r="M1744" s="15" t="s">
        <v>8387</v>
      </c>
      <c r="N1744" s="15" t="s">
        <v>164</v>
      </c>
      <c r="O1744" s="27" t="s">
        <v>8388</v>
      </c>
    </row>
    <row r="1745" spans="1:15" ht="14.25" customHeight="1">
      <c r="A1745" s="5" t="s">
        <v>1043</v>
      </c>
      <c r="B1745" s="3"/>
      <c r="C1745" s="3"/>
      <c r="D1745" s="5" t="s">
        <v>443</v>
      </c>
      <c r="E1745" s="5" t="s">
        <v>7026</v>
      </c>
      <c r="F1745" s="3" t="s">
        <v>8389</v>
      </c>
      <c r="G1745" s="6">
        <f t="shared" si="65"/>
        <v>243.20399999999998</v>
      </c>
      <c r="H1745" s="7">
        <v>41807</v>
      </c>
      <c r="I1745" s="40" t="s">
        <v>8264</v>
      </c>
      <c r="J1745" s="6" t="s">
        <v>8390</v>
      </c>
      <c r="K1745" s="6" t="s">
        <v>21</v>
      </c>
      <c r="L1745" s="6">
        <v>13</v>
      </c>
      <c r="M1745" s="15" t="s">
        <v>8387</v>
      </c>
      <c r="N1745" s="15" t="s">
        <v>167</v>
      </c>
      <c r="O1745" s="27" t="s">
        <v>8391</v>
      </c>
    </row>
    <row r="1746" spans="1:15" ht="14.25" customHeight="1">
      <c r="A1746" s="5" t="s">
        <v>1043</v>
      </c>
      <c r="B1746" s="3"/>
      <c r="C1746" s="3"/>
      <c r="D1746" s="5" t="s">
        <v>443</v>
      </c>
      <c r="E1746" s="5" t="s">
        <v>7026</v>
      </c>
      <c r="F1746" s="3" t="s">
        <v>8392</v>
      </c>
      <c r="G1746" s="6">
        <f t="shared" si="65"/>
        <v>224.49599999999998</v>
      </c>
      <c r="H1746" s="7">
        <v>41807</v>
      </c>
      <c r="I1746" s="40" t="s">
        <v>8264</v>
      </c>
      <c r="J1746" s="6" t="s">
        <v>8393</v>
      </c>
      <c r="K1746" s="6" t="s">
        <v>21</v>
      </c>
      <c r="L1746" s="6">
        <v>12</v>
      </c>
      <c r="M1746" s="15" t="s">
        <v>8394</v>
      </c>
      <c r="N1746" s="15" t="s">
        <v>164</v>
      </c>
      <c r="O1746" s="15" t="s">
        <v>8395</v>
      </c>
    </row>
    <row r="1747" spans="1:15" s="1" customFormat="1" ht="14.25" customHeight="1">
      <c r="A1747" s="5" t="s">
        <v>1043</v>
      </c>
      <c r="B1747" s="3"/>
      <c r="C1747" s="3"/>
      <c r="D1747" s="5" t="s">
        <v>443</v>
      </c>
      <c r="E1747" s="5" t="s">
        <v>7026</v>
      </c>
      <c r="F1747" s="3" t="s">
        <v>8396</v>
      </c>
      <c r="G1747" s="6">
        <f t="shared" si="65"/>
        <v>243.20399999999998</v>
      </c>
      <c r="H1747" s="7">
        <v>41807</v>
      </c>
      <c r="I1747" s="40" t="s">
        <v>8264</v>
      </c>
      <c r="J1747" s="6" t="s">
        <v>8397</v>
      </c>
      <c r="K1747" s="6" t="s">
        <v>21</v>
      </c>
      <c r="L1747" s="6">
        <v>13</v>
      </c>
      <c r="M1747" s="15" t="s">
        <v>8394</v>
      </c>
      <c r="N1747" s="15" t="s">
        <v>167</v>
      </c>
      <c r="O1747" s="27" t="s">
        <v>8398</v>
      </c>
    </row>
    <row r="1748" spans="1:15" s="1" customFormat="1" ht="14.25" customHeight="1">
      <c r="A1748" s="3" t="s">
        <v>664</v>
      </c>
      <c r="B1748" s="3" t="s">
        <v>5395</v>
      </c>
      <c r="C1748" s="3"/>
      <c r="D1748" s="5"/>
      <c r="E1748" s="5" t="s">
        <v>124</v>
      </c>
      <c r="F1748" s="3" t="s">
        <v>5396</v>
      </c>
      <c r="G1748" s="38">
        <v>100</v>
      </c>
      <c r="H1748" s="7">
        <v>41808</v>
      </c>
      <c r="I1748" s="39"/>
      <c r="J1748" s="6"/>
      <c r="K1748" s="6"/>
      <c r="L1748" s="6"/>
      <c r="M1748" s="15"/>
      <c r="N1748" s="15"/>
      <c r="O1748" s="28" t="s">
        <v>5397</v>
      </c>
    </row>
    <row r="1749" spans="1:15" s="1" customFormat="1" ht="14.25" customHeight="1">
      <c r="A1749" s="3" t="s">
        <v>854</v>
      </c>
      <c r="B1749" s="3" t="s">
        <v>5398</v>
      </c>
      <c r="C1749" s="3"/>
      <c r="D1749" s="5"/>
      <c r="E1749" s="5" t="s">
        <v>124</v>
      </c>
      <c r="F1749" s="3" t="s">
        <v>5399</v>
      </c>
      <c r="G1749" s="6">
        <v>100</v>
      </c>
      <c r="H1749" s="7">
        <v>41808</v>
      </c>
      <c r="I1749" s="6"/>
      <c r="J1749" s="6"/>
      <c r="K1749" s="6"/>
      <c r="L1749" s="6"/>
      <c r="M1749" s="15"/>
      <c r="N1749" s="15"/>
      <c r="O1749" s="28" t="s">
        <v>1918</v>
      </c>
    </row>
    <row r="1750" spans="1:15" s="1" customFormat="1" ht="14.25" customHeight="1">
      <c r="A1750" s="3" t="s">
        <v>596</v>
      </c>
      <c r="B1750" s="3" t="s">
        <v>5400</v>
      </c>
      <c r="C1750" s="3"/>
      <c r="D1750" s="5"/>
      <c r="E1750" s="5" t="s">
        <v>124</v>
      </c>
      <c r="F1750" s="3" t="s">
        <v>5401</v>
      </c>
      <c r="G1750" s="6">
        <v>102</v>
      </c>
      <c r="H1750" s="7">
        <v>41808</v>
      </c>
      <c r="I1750" s="6"/>
      <c r="J1750" s="6"/>
      <c r="K1750" s="6"/>
      <c r="L1750" s="6"/>
      <c r="M1750" s="15"/>
      <c r="N1750" s="15"/>
      <c r="O1750" s="28" t="s">
        <v>1918</v>
      </c>
    </row>
    <row r="1751" spans="1:15" s="1" customFormat="1" ht="14.25" customHeight="1">
      <c r="A1751" s="5" t="s">
        <v>627</v>
      </c>
      <c r="B1751" s="3"/>
      <c r="C1751" s="3"/>
      <c r="D1751" s="5" t="s">
        <v>443</v>
      </c>
      <c r="E1751" s="5" t="s">
        <v>7026</v>
      </c>
      <c r="F1751" s="3" t="s">
        <v>8399</v>
      </c>
      <c r="G1751" s="6">
        <f>18.708*L1751</f>
        <v>224.49599999999998</v>
      </c>
      <c r="H1751" s="7">
        <v>41810</v>
      </c>
      <c r="I1751" s="6" t="s">
        <v>265</v>
      </c>
      <c r="J1751" s="6" t="s">
        <v>8400</v>
      </c>
      <c r="K1751" s="6" t="s">
        <v>21</v>
      </c>
      <c r="L1751" s="6">
        <v>12</v>
      </c>
      <c r="M1751" s="15" t="s">
        <v>8401</v>
      </c>
      <c r="N1751" s="15" t="s">
        <v>164</v>
      </c>
      <c r="O1751" s="15" t="s">
        <v>8402</v>
      </c>
    </row>
    <row r="1752" spans="1:15" s="1" customFormat="1" ht="14.25" customHeight="1">
      <c r="A1752" s="5" t="s">
        <v>627</v>
      </c>
      <c r="B1752" s="3"/>
      <c r="C1752" s="3"/>
      <c r="D1752" s="5" t="s">
        <v>443</v>
      </c>
      <c r="E1752" s="5" t="s">
        <v>7026</v>
      </c>
      <c r="F1752" s="3" t="s">
        <v>8403</v>
      </c>
      <c r="G1752" s="6">
        <f>18.708*L1752</f>
        <v>243.20399999999998</v>
      </c>
      <c r="H1752" s="7">
        <v>41810</v>
      </c>
      <c r="I1752" s="6" t="s">
        <v>265</v>
      </c>
      <c r="J1752" s="6" t="s">
        <v>8404</v>
      </c>
      <c r="K1752" s="6" t="s">
        <v>21</v>
      </c>
      <c r="L1752" s="6">
        <v>13</v>
      </c>
      <c r="M1752" s="15" t="s">
        <v>8401</v>
      </c>
      <c r="N1752" s="15" t="s">
        <v>167</v>
      </c>
      <c r="O1752" s="15" t="s">
        <v>8405</v>
      </c>
    </row>
    <row r="1753" spans="1:15" ht="14.25" customHeight="1">
      <c r="A1753" s="5" t="s">
        <v>1043</v>
      </c>
      <c r="B1753" s="3"/>
      <c r="C1753" s="3"/>
      <c r="D1753" s="5" t="s">
        <v>443</v>
      </c>
      <c r="E1753" s="5" t="s">
        <v>7026</v>
      </c>
      <c r="F1753" s="3" t="s">
        <v>8406</v>
      </c>
      <c r="G1753" s="6">
        <f>18.708*L1753</f>
        <v>224.49599999999998</v>
      </c>
      <c r="H1753" s="7">
        <v>41810</v>
      </c>
      <c r="I1753" s="40" t="s">
        <v>8264</v>
      </c>
      <c r="J1753" s="6" t="s">
        <v>8407</v>
      </c>
      <c r="K1753" s="6" t="s">
        <v>21</v>
      </c>
      <c r="L1753" s="41">
        <v>12</v>
      </c>
      <c r="M1753" s="15" t="s">
        <v>8408</v>
      </c>
      <c r="N1753" s="15" t="s">
        <v>164</v>
      </c>
      <c r="O1753" s="27"/>
    </row>
    <row r="1754" spans="1:15" s="1" customFormat="1" ht="14.25" customHeight="1">
      <c r="A1754" s="5" t="s">
        <v>1043</v>
      </c>
      <c r="B1754" s="3"/>
      <c r="C1754" s="3"/>
      <c r="D1754" s="5" t="s">
        <v>443</v>
      </c>
      <c r="E1754" s="5" t="s">
        <v>7026</v>
      </c>
      <c r="F1754" s="3" t="s">
        <v>8409</v>
      </c>
      <c r="G1754" s="6">
        <f>18.708*L1754</f>
        <v>243.20399999999998</v>
      </c>
      <c r="H1754" s="7">
        <v>41810</v>
      </c>
      <c r="I1754" s="40" t="s">
        <v>8264</v>
      </c>
      <c r="J1754" s="6" t="s">
        <v>8410</v>
      </c>
      <c r="K1754" s="6" t="s">
        <v>21</v>
      </c>
      <c r="L1754" s="6">
        <v>13</v>
      </c>
      <c r="M1754" s="15" t="s">
        <v>8408</v>
      </c>
      <c r="N1754" s="15" t="s">
        <v>167</v>
      </c>
      <c r="O1754" s="27"/>
    </row>
    <row r="1755" spans="1:15" s="1" customFormat="1" ht="14.25" customHeight="1">
      <c r="A1755" s="3" t="s">
        <v>664</v>
      </c>
      <c r="B1755" s="3"/>
      <c r="C1755" s="3"/>
      <c r="D1755" s="5" t="s">
        <v>665</v>
      </c>
      <c r="E1755" s="5" t="s">
        <v>124</v>
      </c>
      <c r="F1755" s="3" t="s">
        <v>5402</v>
      </c>
      <c r="G1755" s="6">
        <v>151.33199999999999</v>
      </c>
      <c r="H1755" s="7">
        <v>41814</v>
      </c>
      <c r="I1755" s="6" t="s">
        <v>209</v>
      </c>
      <c r="J1755" s="6" t="s">
        <v>5403</v>
      </c>
      <c r="K1755" s="6" t="s">
        <v>128</v>
      </c>
      <c r="L1755" s="6" t="s">
        <v>808</v>
      </c>
      <c r="M1755" s="15" t="s">
        <v>5404</v>
      </c>
      <c r="N1755" s="15" t="s">
        <v>5405</v>
      </c>
      <c r="O1755" s="28" t="s">
        <v>5406</v>
      </c>
    </row>
    <row r="1756" spans="1:15" s="1" customFormat="1" ht="14.25" customHeight="1">
      <c r="A1756" s="3" t="s">
        <v>664</v>
      </c>
      <c r="B1756" s="3"/>
      <c r="C1756" s="3"/>
      <c r="D1756" s="5" t="s">
        <v>665</v>
      </c>
      <c r="E1756" s="5" t="s">
        <v>124</v>
      </c>
      <c r="F1756" s="3" t="s">
        <v>5407</v>
      </c>
      <c r="G1756" s="6">
        <v>84.481999999999999</v>
      </c>
      <c r="H1756" s="7">
        <v>41814</v>
      </c>
      <c r="I1756" s="6" t="s">
        <v>209</v>
      </c>
      <c r="J1756" s="6" t="s">
        <v>11833</v>
      </c>
      <c r="K1756" s="6" t="s">
        <v>128</v>
      </c>
      <c r="L1756" s="6" t="s">
        <v>1329</v>
      </c>
      <c r="M1756" s="15" t="s">
        <v>5408</v>
      </c>
      <c r="N1756" s="15" t="s">
        <v>5409</v>
      </c>
      <c r="O1756" s="15" t="s">
        <v>5410</v>
      </c>
    </row>
    <row r="1757" spans="1:15" s="1" customFormat="1" ht="14.25" customHeight="1">
      <c r="A1757" s="3" t="s">
        <v>1006</v>
      </c>
      <c r="B1757" s="4"/>
      <c r="C1757" s="3"/>
      <c r="D1757" s="5" t="s">
        <v>383</v>
      </c>
      <c r="E1757" s="5" t="s">
        <v>124</v>
      </c>
      <c r="F1757" s="3" t="s">
        <v>5411</v>
      </c>
      <c r="G1757" s="6">
        <v>139.608</v>
      </c>
      <c r="H1757" s="7">
        <v>41814</v>
      </c>
      <c r="I1757" s="6" t="s">
        <v>209</v>
      </c>
      <c r="J1757" s="6" t="s">
        <v>5412</v>
      </c>
      <c r="K1757" s="6" t="s">
        <v>128</v>
      </c>
      <c r="L1757" s="6" t="s">
        <v>386</v>
      </c>
      <c r="M1757" s="15" t="s">
        <v>5413</v>
      </c>
      <c r="N1757" s="15" t="s">
        <v>5414</v>
      </c>
      <c r="O1757" s="28" t="s">
        <v>5415</v>
      </c>
    </row>
    <row r="1758" spans="1:15" s="1" customFormat="1" ht="14.25" customHeight="1">
      <c r="A1758" s="3" t="s">
        <v>1127</v>
      </c>
      <c r="B1758" s="3"/>
      <c r="C1758" s="3"/>
      <c r="D1758" s="5" t="s">
        <v>1128</v>
      </c>
      <c r="E1758" s="5" t="s">
        <v>7026</v>
      </c>
      <c r="F1758" s="3" t="s">
        <v>8411</v>
      </c>
      <c r="G1758" s="6">
        <f>29.101*L1758</f>
        <v>349.21199999999999</v>
      </c>
      <c r="H1758" s="7">
        <v>41814</v>
      </c>
      <c r="I1758" s="40" t="s">
        <v>8264</v>
      </c>
      <c r="J1758" s="6" t="s">
        <v>8412</v>
      </c>
      <c r="K1758" s="6" t="s">
        <v>21</v>
      </c>
      <c r="L1758" s="6">
        <v>12</v>
      </c>
      <c r="M1758" s="15" t="s">
        <v>8413</v>
      </c>
      <c r="N1758" s="15" t="s">
        <v>8253</v>
      </c>
      <c r="O1758" s="15"/>
    </row>
    <row r="1759" spans="1:15" s="1" customFormat="1" ht="14.25" customHeight="1">
      <c r="A1759" s="3" t="s">
        <v>1127</v>
      </c>
      <c r="B1759" s="3"/>
      <c r="C1759" s="3"/>
      <c r="D1759" s="5" t="s">
        <v>1128</v>
      </c>
      <c r="E1759" s="5" t="s">
        <v>7026</v>
      </c>
      <c r="F1759" s="3" t="s">
        <v>8414</v>
      </c>
      <c r="G1759" s="6">
        <f>29.101*L1759</f>
        <v>378.31299999999999</v>
      </c>
      <c r="H1759" s="7">
        <v>41814</v>
      </c>
      <c r="I1759" s="40" t="s">
        <v>8264</v>
      </c>
      <c r="J1759" s="6" t="s">
        <v>8415</v>
      </c>
      <c r="K1759" s="6" t="s">
        <v>21</v>
      </c>
      <c r="L1759" s="6">
        <v>13</v>
      </c>
      <c r="M1759" s="15" t="s">
        <v>8413</v>
      </c>
      <c r="N1759" s="15" t="s">
        <v>8257</v>
      </c>
      <c r="O1759" s="27"/>
    </row>
    <row r="1760" spans="1:15" s="1" customFormat="1" ht="14.25" customHeight="1">
      <c r="A1760" s="3" t="s">
        <v>1127</v>
      </c>
      <c r="B1760" s="3"/>
      <c r="C1760" s="3"/>
      <c r="D1760" s="5" t="s">
        <v>1128</v>
      </c>
      <c r="E1760" s="5" t="s">
        <v>7026</v>
      </c>
      <c r="F1760" s="3" t="s">
        <v>8416</v>
      </c>
      <c r="G1760" s="6">
        <f>29.101*L1760</f>
        <v>349.21199999999999</v>
      </c>
      <c r="H1760" s="7">
        <v>41814</v>
      </c>
      <c r="I1760" s="90" t="s">
        <v>8264</v>
      </c>
      <c r="J1760" s="6" t="s">
        <v>8417</v>
      </c>
      <c r="K1760" s="6" t="s">
        <v>21</v>
      </c>
      <c r="L1760" s="6">
        <v>12</v>
      </c>
      <c r="M1760" s="15" t="s">
        <v>8418</v>
      </c>
      <c r="N1760" s="15" t="s">
        <v>8253</v>
      </c>
      <c r="O1760" s="27"/>
    </row>
    <row r="1761" spans="1:15" s="1" customFormat="1" ht="14.25" customHeight="1">
      <c r="A1761" s="3" t="s">
        <v>1127</v>
      </c>
      <c r="B1761" s="3"/>
      <c r="C1761" s="3"/>
      <c r="D1761" s="5" t="s">
        <v>1128</v>
      </c>
      <c r="E1761" s="5" t="s">
        <v>7026</v>
      </c>
      <c r="F1761" s="3" t="s">
        <v>8419</v>
      </c>
      <c r="G1761" s="6">
        <f>29.101*L1761</f>
        <v>378.31299999999999</v>
      </c>
      <c r="H1761" s="7">
        <v>41814</v>
      </c>
      <c r="I1761" s="40" t="s">
        <v>8264</v>
      </c>
      <c r="J1761" s="6" t="s">
        <v>8420</v>
      </c>
      <c r="K1761" s="6" t="s">
        <v>21</v>
      </c>
      <c r="L1761" s="6">
        <v>13</v>
      </c>
      <c r="M1761" s="15" t="s">
        <v>8418</v>
      </c>
      <c r="N1761" s="15" t="s">
        <v>8257</v>
      </c>
      <c r="O1761" s="27"/>
    </row>
    <row r="1762" spans="1:15" s="1" customFormat="1" ht="14.25" customHeight="1">
      <c r="A1762" s="3" t="s">
        <v>1349</v>
      </c>
      <c r="B1762" s="4"/>
      <c r="C1762" s="3"/>
      <c r="D1762" s="5" t="s">
        <v>2117</v>
      </c>
      <c r="E1762" s="5" t="s">
        <v>124</v>
      </c>
      <c r="F1762" s="3" t="s">
        <v>5416</v>
      </c>
      <c r="G1762" s="6">
        <v>232.465</v>
      </c>
      <c r="H1762" s="7">
        <v>41815</v>
      </c>
      <c r="I1762" s="6" t="s">
        <v>178</v>
      </c>
      <c r="J1762" s="6" t="s">
        <v>5417</v>
      </c>
      <c r="K1762" s="6" t="s">
        <v>128</v>
      </c>
      <c r="L1762" s="6" t="s">
        <v>1226</v>
      </c>
      <c r="M1762" s="15" t="s">
        <v>5418</v>
      </c>
      <c r="N1762" s="15" t="s">
        <v>5419</v>
      </c>
      <c r="O1762" s="28" t="s">
        <v>5420</v>
      </c>
    </row>
    <row r="1763" spans="1:15" s="1" customFormat="1" ht="14.25" customHeight="1">
      <c r="A1763" s="3" t="s">
        <v>1349</v>
      </c>
      <c r="B1763" s="3"/>
      <c r="C1763" s="3"/>
      <c r="D1763" s="5" t="s">
        <v>2117</v>
      </c>
      <c r="E1763" s="5" t="s">
        <v>124</v>
      </c>
      <c r="F1763" s="3" t="s">
        <v>5421</v>
      </c>
      <c r="G1763" s="6">
        <v>232.39</v>
      </c>
      <c r="H1763" s="7">
        <v>41815</v>
      </c>
      <c r="I1763" s="6" t="s">
        <v>178</v>
      </c>
      <c r="J1763" s="6" t="s">
        <v>5422</v>
      </c>
      <c r="K1763" s="6" t="s">
        <v>128</v>
      </c>
      <c r="L1763" s="6" t="s">
        <v>1226</v>
      </c>
      <c r="M1763" s="15" t="s">
        <v>5423</v>
      </c>
      <c r="N1763" s="15" t="s">
        <v>5424</v>
      </c>
      <c r="O1763" s="15" t="s">
        <v>5425</v>
      </c>
    </row>
    <row r="1764" spans="1:15" s="1" customFormat="1" ht="14.25" customHeight="1">
      <c r="A1764" s="3" t="s">
        <v>1349</v>
      </c>
      <c r="B1764" s="3"/>
      <c r="C1764" s="3"/>
      <c r="D1764" s="5" t="s">
        <v>2117</v>
      </c>
      <c r="E1764" s="5" t="s">
        <v>124</v>
      </c>
      <c r="F1764" s="3" t="s">
        <v>5426</v>
      </c>
      <c r="G1764" s="6">
        <v>248.03299999999999</v>
      </c>
      <c r="H1764" s="7">
        <v>41815</v>
      </c>
      <c r="I1764" s="6" t="s">
        <v>178</v>
      </c>
      <c r="J1764" s="6" t="s">
        <v>5427</v>
      </c>
      <c r="K1764" s="6" t="s">
        <v>128</v>
      </c>
      <c r="L1764" s="6" t="s">
        <v>5428</v>
      </c>
      <c r="M1764" s="15" t="s">
        <v>5429</v>
      </c>
      <c r="N1764" s="15" t="s">
        <v>5430</v>
      </c>
      <c r="O1764" s="15" t="s">
        <v>5431</v>
      </c>
    </row>
    <row r="1765" spans="1:15" s="1" customFormat="1" ht="14.25" customHeight="1">
      <c r="A1765" s="3" t="s">
        <v>654</v>
      </c>
      <c r="B1765" s="4"/>
      <c r="C1765" s="3"/>
      <c r="D1765" s="5" t="s">
        <v>410</v>
      </c>
      <c r="E1765" s="5" t="s">
        <v>124</v>
      </c>
      <c r="F1765" s="3" t="s">
        <v>5432</v>
      </c>
      <c r="G1765" s="6">
        <f>17.52*L1765</f>
        <v>210.24</v>
      </c>
      <c r="H1765" s="7">
        <v>41816</v>
      </c>
      <c r="I1765" s="6" t="s">
        <v>209</v>
      </c>
      <c r="J1765" s="6" t="s">
        <v>5433</v>
      </c>
      <c r="K1765" s="6" t="s">
        <v>21</v>
      </c>
      <c r="L1765" s="6">
        <v>12</v>
      </c>
      <c r="M1765" s="15" t="s">
        <v>5434</v>
      </c>
      <c r="N1765" s="15" t="s">
        <v>164</v>
      </c>
      <c r="O1765" s="28" t="s">
        <v>5434</v>
      </c>
    </row>
    <row r="1766" spans="1:15" s="1" customFormat="1" ht="14.25" customHeight="1">
      <c r="A1766" s="3" t="s">
        <v>654</v>
      </c>
      <c r="B1766" s="3"/>
      <c r="C1766" s="3"/>
      <c r="D1766" s="5" t="s">
        <v>410</v>
      </c>
      <c r="E1766" s="5" t="s">
        <v>124</v>
      </c>
      <c r="F1766" s="3" t="s">
        <v>9254</v>
      </c>
      <c r="G1766" s="6">
        <f>17.52*L1766</f>
        <v>227.76</v>
      </c>
      <c r="H1766" s="7">
        <v>41816</v>
      </c>
      <c r="I1766" s="6" t="s">
        <v>209</v>
      </c>
      <c r="J1766" s="6" t="s">
        <v>9255</v>
      </c>
      <c r="K1766" s="6" t="s">
        <v>21</v>
      </c>
      <c r="L1766" s="6">
        <v>13</v>
      </c>
      <c r="M1766" s="15" t="s">
        <v>5434</v>
      </c>
      <c r="N1766" s="15" t="s">
        <v>167</v>
      </c>
      <c r="O1766" s="15" t="s">
        <v>9256</v>
      </c>
    </row>
    <row r="1767" spans="1:15" s="1" customFormat="1" ht="14.25" customHeight="1">
      <c r="A1767" s="22" t="s">
        <v>5435</v>
      </c>
      <c r="B1767" s="4"/>
      <c r="C1767" s="3"/>
      <c r="D1767" s="5" t="s">
        <v>855</v>
      </c>
      <c r="E1767" s="5" t="s">
        <v>124</v>
      </c>
      <c r="F1767" s="3" t="s">
        <v>5436</v>
      </c>
      <c r="G1767" s="6">
        <f>17.52*L1767</f>
        <v>210.24</v>
      </c>
      <c r="H1767" s="7">
        <v>41816</v>
      </c>
      <c r="I1767" s="6" t="s">
        <v>5437</v>
      </c>
      <c r="J1767" s="6" t="s">
        <v>5438</v>
      </c>
      <c r="K1767" s="6" t="s">
        <v>21</v>
      </c>
      <c r="L1767" s="6">
        <v>12</v>
      </c>
      <c r="M1767" s="15" t="s">
        <v>5439</v>
      </c>
      <c r="N1767" s="15" t="s">
        <v>164</v>
      </c>
      <c r="O1767" s="15" t="s">
        <v>5440</v>
      </c>
    </row>
    <row r="1768" spans="1:15" s="1" customFormat="1" ht="14.25" customHeight="1">
      <c r="A1768" s="3" t="s">
        <v>5435</v>
      </c>
      <c r="B1768" s="4"/>
      <c r="C1768" s="3"/>
      <c r="D1768" s="5" t="s">
        <v>855</v>
      </c>
      <c r="E1768" s="5" t="s">
        <v>124</v>
      </c>
      <c r="F1768" s="3" t="s">
        <v>5441</v>
      </c>
      <c r="G1768" s="6">
        <f>17.52*L1768</f>
        <v>227.76</v>
      </c>
      <c r="H1768" s="7">
        <v>41816</v>
      </c>
      <c r="I1768" s="6" t="s">
        <v>5437</v>
      </c>
      <c r="J1768" s="6" t="s">
        <v>5442</v>
      </c>
      <c r="K1768" s="6" t="s">
        <v>21</v>
      </c>
      <c r="L1768" s="6">
        <v>13</v>
      </c>
      <c r="M1768" s="15" t="s">
        <v>5439</v>
      </c>
      <c r="N1768" s="15" t="s">
        <v>167</v>
      </c>
      <c r="O1768" s="28" t="s">
        <v>5439</v>
      </c>
    </row>
    <row r="1769" spans="1:15" s="1" customFormat="1" ht="14.25" customHeight="1">
      <c r="A1769" s="3" t="s">
        <v>442</v>
      </c>
      <c r="B1769" s="4"/>
      <c r="C1769" s="3"/>
      <c r="D1769" s="5" t="s">
        <v>443</v>
      </c>
      <c r="E1769" s="5" t="s">
        <v>124</v>
      </c>
      <c r="F1769" s="3" t="s">
        <v>5443</v>
      </c>
      <c r="G1769" s="6">
        <f>18.708*L1769</f>
        <v>224.49599999999998</v>
      </c>
      <c r="H1769" s="7">
        <v>41816</v>
      </c>
      <c r="I1769" s="6" t="s">
        <v>247</v>
      </c>
      <c r="J1769" s="6" t="s">
        <v>5444</v>
      </c>
      <c r="K1769" s="6" t="s">
        <v>21</v>
      </c>
      <c r="L1769" s="6">
        <v>12</v>
      </c>
      <c r="M1769" s="15" t="s">
        <v>5445</v>
      </c>
      <c r="N1769" s="15" t="s">
        <v>78</v>
      </c>
      <c r="O1769" s="15" t="s">
        <v>5445</v>
      </c>
    </row>
    <row r="1770" spans="1:15" s="1" customFormat="1" ht="14.25" customHeight="1">
      <c r="A1770" s="3" t="s">
        <v>442</v>
      </c>
      <c r="B1770" s="4"/>
      <c r="C1770" s="3"/>
      <c r="D1770" s="5" t="s">
        <v>443</v>
      </c>
      <c r="E1770" s="5" t="s">
        <v>124</v>
      </c>
      <c r="F1770" s="3" t="s">
        <v>5446</v>
      </c>
      <c r="G1770" s="6">
        <f>18.708*L1770</f>
        <v>243.20399999999998</v>
      </c>
      <c r="H1770" s="7">
        <v>41816</v>
      </c>
      <c r="I1770" s="6" t="s">
        <v>247</v>
      </c>
      <c r="J1770" s="6" t="s">
        <v>5447</v>
      </c>
      <c r="K1770" s="6" t="s">
        <v>21</v>
      </c>
      <c r="L1770" s="6">
        <v>13</v>
      </c>
      <c r="M1770" s="15" t="s">
        <v>5445</v>
      </c>
      <c r="N1770" s="15" t="s">
        <v>81</v>
      </c>
      <c r="O1770" s="15" t="s">
        <v>5448</v>
      </c>
    </row>
    <row r="1771" spans="1:15" s="1" customFormat="1" ht="14.25" customHeight="1">
      <c r="A1771" s="3" t="s">
        <v>4375</v>
      </c>
      <c r="B1771" s="4"/>
      <c r="C1771" s="3"/>
      <c r="D1771" s="5" t="s">
        <v>1963</v>
      </c>
      <c r="E1771" s="5" t="s">
        <v>124</v>
      </c>
      <c r="F1771" s="3" t="s">
        <v>5449</v>
      </c>
      <c r="G1771" s="6">
        <f>17.712*L1771</f>
        <v>177.12</v>
      </c>
      <c r="H1771" s="7">
        <v>41816</v>
      </c>
      <c r="I1771" s="6" t="s">
        <v>419</v>
      </c>
      <c r="J1771" s="6" t="s">
        <v>5450</v>
      </c>
      <c r="K1771" s="6" t="s">
        <v>21</v>
      </c>
      <c r="L1771" s="6">
        <v>10</v>
      </c>
      <c r="M1771" s="15" t="s">
        <v>5069</v>
      </c>
      <c r="N1771" s="15" t="s">
        <v>4849</v>
      </c>
      <c r="O1771" s="15" t="s">
        <v>5451</v>
      </c>
    </row>
    <row r="1772" spans="1:15" s="1" customFormat="1" ht="14.25" customHeight="1">
      <c r="A1772" s="3" t="s">
        <v>4375</v>
      </c>
      <c r="B1772" s="4"/>
      <c r="C1772" s="3"/>
      <c r="D1772" s="5" t="s">
        <v>1963</v>
      </c>
      <c r="E1772" s="5" t="s">
        <v>124</v>
      </c>
      <c r="F1772" s="3" t="s">
        <v>5452</v>
      </c>
      <c r="G1772" s="6">
        <f>17.712*L1772</f>
        <v>177.12</v>
      </c>
      <c r="H1772" s="7">
        <v>41816</v>
      </c>
      <c r="I1772" s="6" t="s">
        <v>419</v>
      </c>
      <c r="J1772" s="6" t="s">
        <v>5453</v>
      </c>
      <c r="K1772" s="6" t="s">
        <v>21</v>
      </c>
      <c r="L1772" s="6">
        <v>10</v>
      </c>
      <c r="M1772" s="15" t="s">
        <v>5069</v>
      </c>
      <c r="N1772" s="15" t="s">
        <v>114</v>
      </c>
      <c r="O1772" s="15" t="s">
        <v>5454</v>
      </c>
    </row>
    <row r="1773" spans="1:15" s="1" customFormat="1" ht="14.25" customHeight="1">
      <c r="A1773" s="3" t="s">
        <v>4375</v>
      </c>
      <c r="B1773" s="4"/>
      <c r="C1773" s="3"/>
      <c r="D1773" s="5" t="s">
        <v>1963</v>
      </c>
      <c r="E1773" s="5" t="s">
        <v>124</v>
      </c>
      <c r="F1773" s="3" t="s">
        <v>5455</v>
      </c>
      <c r="G1773" s="6">
        <f>17.712*L1773</f>
        <v>212.54399999999998</v>
      </c>
      <c r="H1773" s="7">
        <v>41816</v>
      </c>
      <c r="I1773" s="6" t="s">
        <v>419</v>
      </c>
      <c r="J1773" s="6" t="s">
        <v>5456</v>
      </c>
      <c r="K1773" s="6" t="s">
        <v>21</v>
      </c>
      <c r="L1773" s="6">
        <v>12</v>
      </c>
      <c r="M1773" s="15" t="s">
        <v>5457</v>
      </c>
      <c r="N1773" s="15" t="s">
        <v>164</v>
      </c>
      <c r="O1773" s="28" t="s">
        <v>5457</v>
      </c>
    </row>
    <row r="1774" spans="1:15" s="1" customFormat="1" ht="14.25" customHeight="1">
      <c r="A1774" s="3" t="s">
        <v>4375</v>
      </c>
      <c r="B1774" s="3"/>
      <c r="C1774" s="3"/>
      <c r="D1774" s="5" t="s">
        <v>1963</v>
      </c>
      <c r="E1774" s="5" t="s">
        <v>124</v>
      </c>
      <c r="F1774" s="3" t="s">
        <v>5458</v>
      </c>
      <c r="G1774" s="6">
        <f>17.712*L1774</f>
        <v>230.256</v>
      </c>
      <c r="H1774" s="7">
        <v>41816</v>
      </c>
      <c r="I1774" s="6" t="s">
        <v>419</v>
      </c>
      <c r="J1774" s="6" t="s">
        <v>5459</v>
      </c>
      <c r="K1774" s="6" t="s">
        <v>21</v>
      </c>
      <c r="L1774" s="6">
        <v>13</v>
      </c>
      <c r="M1774" s="15" t="s">
        <v>5457</v>
      </c>
      <c r="N1774" s="15" t="s">
        <v>167</v>
      </c>
      <c r="O1774" s="15" t="s">
        <v>5460</v>
      </c>
    </row>
    <row r="1775" spans="1:15" ht="14.25" customHeight="1">
      <c r="A1775" s="3" t="s">
        <v>494</v>
      </c>
      <c r="B1775" s="4"/>
      <c r="C1775" s="3"/>
      <c r="D1775" s="5" t="s">
        <v>495</v>
      </c>
      <c r="E1775" s="5" t="s">
        <v>124</v>
      </c>
      <c r="F1775" s="3" t="s">
        <v>5461</v>
      </c>
      <c r="G1775" s="6">
        <f>12.838*L1775</f>
        <v>89.866</v>
      </c>
      <c r="H1775" s="7">
        <v>41816</v>
      </c>
      <c r="I1775" s="6" t="s">
        <v>471</v>
      </c>
      <c r="J1775" s="6" t="s">
        <v>5462</v>
      </c>
      <c r="K1775" s="6" t="s">
        <v>21</v>
      </c>
      <c r="L1775" s="6">
        <v>7</v>
      </c>
      <c r="M1775" s="15" t="s">
        <v>5463</v>
      </c>
      <c r="N1775" s="15" t="s">
        <v>5464</v>
      </c>
      <c r="O1775" s="28" t="s">
        <v>5465</v>
      </c>
    </row>
    <row r="1776" spans="1:15" s="1" customFormat="1" ht="14.25" customHeight="1">
      <c r="A1776" s="22" t="s">
        <v>649</v>
      </c>
      <c r="B1776" s="4"/>
      <c r="C1776" s="3"/>
      <c r="D1776" s="5" t="s">
        <v>3106</v>
      </c>
      <c r="E1776" s="5" t="s">
        <v>124</v>
      </c>
      <c r="F1776" s="3" t="s">
        <v>5466</v>
      </c>
      <c r="G1776" s="6">
        <f>17.498*L1776</f>
        <v>279.96800000000002</v>
      </c>
      <c r="H1776" s="7">
        <v>41817</v>
      </c>
      <c r="I1776" s="6" t="s">
        <v>265</v>
      </c>
      <c r="J1776" s="6" t="s">
        <v>5467</v>
      </c>
      <c r="K1776" s="6" t="s">
        <v>21</v>
      </c>
      <c r="L1776" s="6">
        <v>16</v>
      </c>
      <c r="M1776" s="15" t="s">
        <v>5184</v>
      </c>
      <c r="N1776" s="15" t="s">
        <v>5468</v>
      </c>
      <c r="O1776" s="28" t="s">
        <v>5469</v>
      </c>
    </row>
    <row r="1777" spans="1:15" s="1" customFormat="1" ht="14.25" customHeight="1">
      <c r="A1777" s="3" t="s">
        <v>5181</v>
      </c>
      <c r="B1777" s="4"/>
      <c r="C1777" s="3"/>
      <c r="D1777" s="5" t="s">
        <v>3106</v>
      </c>
      <c r="E1777" s="5" t="s">
        <v>124</v>
      </c>
      <c r="F1777" s="3" t="s">
        <v>5470</v>
      </c>
      <c r="G1777" s="6">
        <f>17.498*L1777</f>
        <v>122.486</v>
      </c>
      <c r="H1777" s="7">
        <v>41817</v>
      </c>
      <c r="I1777" s="6" t="s">
        <v>471</v>
      </c>
      <c r="J1777" s="6" t="s">
        <v>5471</v>
      </c>
      <c r="K1777" s="6" t="s">
        <v>21</v>
      </c>
      <c r="L1777" s="6">
        <v>7</v>
      </c>
      <c r="M1777" s="15" t="s">
        <v>5184</v>
      </c>
      <c r="N1777" s="15" t="s">
        <v>5472</v>
      </c>
      <c r="O1777" s="15" t="s">
        <v>5473</v>
      </c>
    </row>
    <row r="1778" spans="1:15" s="1" customFormat="1" ht="14.25" customHeight="1">
      <c r="A1778" s="3" t="s">
        <v>5474</v>
      </c>
      <c r="B1778" s="4"/>
      <c r="C1778" s="3"/>
      <c r="D1778" s="5" t="s">
        <v>5475</v>
      </c>
      <c r="E1778" s="5" t="s">
        <v>124</v>
      </c>
      <c r="F1778" s="3" t="s">
        <v>5476</v>
      </c>
      <c r="G1778" s="6">
        <f>17.498*L1778</f>
        <v>262.47000000000003</v>
      </c>
      <c r="H1778" s="7">
        <v>41817</v>
      </c>
      <c r="I1778" s="6" t="s">
        <v>265</v>
      </c>
      <c r="J1778" s="6" t="s">
        <v>5477</v>
      </c>
      <c r="K1778" s="6" t="s">
        <v>5478</v>
      </c>
      <c r="L1778" s="6">
        <v>15</v>
      </c>
      <c r="M1778" s="15" t="s">
        <v>5479</v>
      </c>
      <c r="N1778" s="15" t="s">
        <v>2771</v>
      </c>
      <c r="O1778" s="15" t="s">
        <v>5480</v>
      </c>
    </row>
    <row r="1779" spans="1:15" ht="14.25" customHeight="1">
      <c r="A1779" s="3" t="s">
        <v>5474</v>
      </c>
      <c r="B1779" s="4"/>
      <c r="C1779" s="3"/>
      <c r="D1779" s="5" t="s">
        <v>5475</v>
      </c>
      <c r="E1779" s="5" t="s">
        <v>124</v>
      </c>
      <c r="F1779" s="3" t="s">
        <v>5481</v>
      </c>
      <c r="G1779" s="6">
        <f>17.498*L1779</f>
        <v>209.976</v>
      </c>
      <c r="H1779" s="7">
        <v>41817</v>
      </c>
      <c r="I1779" s="6" t="s">
        <v>265</v>
      </c>
      <c r="J1779" s="6" t="s">
        <v>5482</v>
      </c>
      <c r="K1779" s="6" t="s">
        <v>5478</v>
      </c>
      <c r="L1779" s="6">
        <v>12</v>
      </c>
      <c r="M1779" s="15" t="s">
        <v>5483</v>
      </c>
      <c r="N1779" s="15" t="s">
        <v>164</v>
      </c>
      <c r="O1779" s="15" t="s">
        <v>5483</v>
      </c>
    </row>
    <row r="1780" spans="1:15" s="1" customFormat="1" ht="14.25" customHeight="1">
      <c r="A1780" s="3" t="s">
        <v>5474</v>
      </c>
      <c r="B1780" s="4"/>
      <c r="C1780" s="3"/>
      <c r="D1780" s="5" t="s">
        <v>5475</v>
      </c>
      <c r="E1780" s="5" t="s">
        <v>124</v>
      </c>
      <c r="F1780" s="3" t="s">
        <v>5484</v>
      </c>
      <c r="G1780" s="6">
        <f>17.498*L1780</f>
        <v>227.47400000000002</v>
      </c>
      <c r="H1780" s="7">
        <v>41817</v>
      </c>
      <c r="I1780" s="6" t="s">
        <v>265</v>
      </c>
      <c r="J1780" s="6" t="s">
        <v>5485</v>
      </c>
      <c r="K1780" s="6" t="s">
        <v>5478</v>
      </c>
      <c r="L1780" s="6">
        <v>13</v>
      </c>
      <c r="M1780" s="15" t="s">
        <v>5483</v>
      </c>
      <c r="N1780" s="15" t="s">
        <v>167</v>
      </c>
      <c r="O1780" s="15" t="s">
        <v>5486</v>
      </c>
    </row>
    <row r="1781" spans="1:15" s="1" customFormat="1" ht="14.25" customHeight="1">
      <c r="A1781" s="22" t="s">
        <v>5487</v>
      </c>
      <c r="B1781" s="3" t="s">
        <v>5488</v>
      </c>
      <c r="C1781" s="3"/>
      <c r="D1781" s="5" t="s">
        <v>5489</v>
      </c>
      <c r="E1781" s="5" t="s">
        <v>124</v>
      </c>
      <c r="F1781" s="3" t="s">
        <v>5490</v>
      </c>
      <c r="G1781" s="6">
        <v>33.585000000000001</v>
      </c>
      <c r="H1781" s="7">
        <v>41817</v>
      </c>
      <c r="I1781" s="6" t="s">
        <v>5491</v>
      </c>
      <c r="J1781" s="6" t="s">
        <v>5492</v>
      </c>
      <c r="K1781" s="6" t="s">
        <v>5478</v>
      </c>
      <c r="L1781" s="6">
        <v>6</v>
      </c>
      <c r="M1781" s="15" t="s">
        <v>5493</v>
      </c>
      <c r="N1781" s="15" t="s">
        <v>74</v>
      </c>
      <c r="O1781" s="15" t="s">
        <v>5493</v>
      </c>
    </row>
    <row r="1782" spans="1:15" s="1" customFormat="1" ht="14.25" customHeight="1">
      <c r="A1782" s="22" t="s">
        <v>5487</v>
      </c>
      <c r="B1782" s="15" t="s">
        <v>5488</v>
      </c>
      <c r="C1782" s="3"/>
      <c r="D1782" s="5" t="s">
        <v>5489</v>
      </c>
      <c r="E1782" s="5" t="s">
        <v>124</v>
      </c>
      <c r="F1782" s="3" t="s">
        <v>9257</v>
      </c>
      <c r="G1782" s="6">
        <v>11.186</v>
      </c>
      <c r="H1782" s="7">
        <v>41817</v>
      </c>
      <c r="I1782" s="6" t="s">
        <v>5491</v>
      </c>
      <c r="J1782" s="6" t="s">
        <v>9258</v>
      </c>
      <c r="K1782" s="6" t="s">
        <v>5478</v>
      </c>
      <c r="L1782" s="6">
        <v>2</v>
      </c>
      <c r="M1782" s="15" t="s">
        <v>9259</v>
      </c>
      <c r="N1782" s="15" t="s">
        <v>534</v>
      </c>
      <c r="O1782" s="15" t="s">
        <v>9259</v>
      </c>
    </row>
    <row r="1783" spans="1:15" s="1" customFormat="1" ht="14.25" customHeight="1">
      <c r="A1783" s="3" t="s">
        <v>1127</v>
      </c>
      <c r="B1783" s="4"/>
      <c r="C1783" s="3"/>
      <c r="D1783" s="5" t="s">
        <v>1128</v>
      </c>
      <c r="E1783" s="5" t="s">
        <v>7026</v>
      </c>
      <c r="F1783" s="3" t="s">
        <v>8421</v>
      </c>
      <c r="G1783" s="6">
        <f t="shared" ref="G1783:G1788" si="66">29.101*L1783</f>
        <v>349.21199999999999</v>
      </c>
      <c r="H1783" s="7">
        <v>41817</v>
      </c>
      <c r="I1783" s="40" t="s">
        <v>8264</v>
      </c>
      <c r="J1783" s="6" t="s">
        <v>8422</v>
      </c>
      <c r="K1783" s="6" t="s">
        <v>21</v>
      </c>
      <c r="L1783" s="6">
        <v>12</v>
      </c>
      <c r="M1783" s="15" t="s">
        <v>8423</v>
      </c>
      <c r="N1783" s="15" t="s">
        <v>8253</v>
      </c>
      <c r="O1783" s="27"/>
    </row>
    <row r="1784" spans="1:15" s="1" customFormat="1" ht="14.25" customHeight="1">
      <c r="A1784" s="3" t="s">
        <v>1127</v>
      </c>
      <c r="B1784" s="4"/>
      <c r="C1784" s="3"/>
      <c r="D1784" s="5" t="s">
        <v>1128</v>
      </c>
      <c r="E1784" s="5" t="s">
        <v>7026</v>
      </c>
      <c r="F1784" s="3" t="s">
        <v>8424</v>
      </c>
      <c r="G1784" s="6">
        <f t="shared" si="66"/>
        <v>378.31299999999999</v>
      </c>
      <c r="H1784" s="7">
        <v>41817</v>
      </c>
      <c r="I1784" s="40" t="s">
        <v>8264</v>
      </c>
      <c r="J1784" s="6" t="s">
        <v>8425</v>
      </c>
      <c r="K1784" s="6" t="s">
        <v>21</v>
      </c>
      <c r="L1784" s="6">
        <v>13</v>
      </c>
      <c r="M1784" s="15" t="s">
        <v>8423</v>
      </c>
      <c r="N1784" s="15" t="s">
        <v>8257</v>
      </c>
      <c r="O1784" s="27"/>
    </row>
    <row r="1785" spans="1:15" s="1" customFormat="1" ht="14.25" customHeight="1">
      <c r="A1785" s="3" t="s">
        <v>1127</v>
      </c>
      <c r="B1785" s="4"/>
      <c r="C1785" s="3"/>
      <c r="D1785" s="5" t="s">
        <v>1128</v>
      </c>
      <c r="E1785" s="5" t="s">
        <v>7026</v>
      </c>
      <c r="F1785" s="3" t="s">
        <v>8426</v>
      </c>
      <c r="G1785" s="6">
        <f t="shared" si="66"/>
        <v>349.21199999999999</v>
      </c>
      <c r="H1785" s="7">
        <v>41817</v>
      </c>
      <c r="I1785" s="40" t="s">
        <v>8264</v>
      </c>
      <c r="J1785" s="6" t="s">
        <v>8427</v>
      </c>
      <c r="K1785" s="6" t="s">
        <v>21</v>
      </c>
      <c r="L1785" s="6">
        <v>12</v>
      </c>
      <c r="M1785" s="15" t="s">
        <v>8428</v>
      </c>
      <c r="N1785" s="15" t="s">
        <v>8253</v>
      </c>
      <c r="O1785" s="15" t="s">
        <v>8429</v>
      </c>
    </row>
    <row r="1786" spans="1:15" s="1" customFormat="1" ht="14.25" customHeight="1">
      <c r="A1786" s="3" t="s">
        <v>1127</v>
      </c>
      <c r="B1786" s="4"/>
      <c r="C1786" s="3"/>
      <c r="D1786" s="5" t="s">
        <v>1128</v>
      </c>
      <c r="E1786" s="5" t="s">
        <v>7026</v>
      </c>
      <c r="F1786" s="3" t="s">
        <v>8430</v>
      </c>
      <c r="G1786" s="6">
        <f t="shared" si="66"/>
        <v>378.31299999999999</v>
      </c>
      <c r="H1786" s="7">
        <v>41817</v>
      </c>
      <c r="I1786" s="40" t="s">
        <v>8264</v>
      </c>
      <c r="J1786" s="6" t="s">
        <v>8431</v>
      </c>
      <c r="K1786" s="6" t="s">
        <v>21</v>
      </c>
      <c r="L1786" s="6">
        <v>13</v>
      </c>
      <c r="M1786" s="15" t="s">
        <v>8428</v>
      </c>
      <c r="N1786" s="15" t="s">
        <v>8257</v>
      </c>
      <c r="O1786" s="15" t="s">
        <v>8432</v>
      </c>
    </row>
    <row r="1787" spans="1:15" ht="14.25" customHeight="1">
      <c r="A1787" s="3" t="s">
        <v>1127</v>
      </c>
      <c r="B1787" s="4"/>
      <c r="C1787" s="3"/>
      <c r="D1787" s="5" t="s">
        <v>1128</v>
      </c>
      <c r="E1787" s="5" t="s">
        <v>7026</v>
      </c>
      <c r="F1787" s="3" t="s">
        <v>8433</v>
      </c>
      <c r="G1787" s="6">
        <f t="shared" si="66"/>
        <v>349.21199999999999</v>
      </c>
      <c r="H1787" s="7">
        <v>41817</v>
      </c>
      <c r="I1787" s="40" t="s">
        <v>8264</v>
      </c>
      <c r="J1787" s="6" t="s">
        <v>8434</v>
      </c>
      <c r="K1787" s="6" t="s">
        <v>21</v>
      </c>
      <c r="L1787" s="6">
        <v>12</v>
      </c>
      <c r="M1787" s="15" t="s">
        <v>8435</v>
      </c>
      <c r="N1787" s="15" t="s">
        <v>8253</v>
      </c>
      <c r="O1787" s="27"/>
    </row>
    <row r="1788" spans="1:15" s="1" customFormat="1" ht="14.25" customHeight="1">
      <c r="A1788" s="3" t="s">
        <v>1127</v>
      </c>
      <c r="B1788" s="4"/>
      <c r="C1788" s="3"/>
      <c r="D1788" s="5" t="s">
        <v>1128</v>
      </c>
      <c r="E1788" s="5" t="s">
        <v>7026</v>
      </c>
      <c r="F1788" s="3" t="s">
        <v>8436</v>
      </c>
      <c r="G1788" s="6">
        <f t="shared" si="66"/>
        <v>378.31299999999999</v>
      </c>
      <c r="H1788" s="7">
        <v>41817</v>
      </c>
      <c r="I1788" s="40" t="s">
        <v>8264</v>
      </c>
      <c r="J1788" s="6" t="s">
        <v>8437</v>
      </c>
      <c r="K1788" s="6" t="s">
        <v>21</v>
      </c>
      <c r="L1788" s="6">
        <v>13</v>
      </c>
      <c r="M1788" s="15" t="s">
        <v>8435</v>
      </c>
      <c r="N1788" s="15" t="s">
        <v>8257</v>
      </c>
      <c r="O1788" s="27"/>
    </row>
    <row r="1789" spans="1:15" ht="14.25" customHeight="1">
      <c r="A1789" s="3" t="s">
        <v>7064</v>
      </c>
      <c r="B1789" s="4"/>
      <c r="C1789" s="3"/>
      <c r="D1789" s="5" t="s">
        <v>7025</v>
      </c>
      <c r="E1789" s="5" t="s">
        <v>7026</v>
      </c>
      <c r="F1789" s="3" t="s">
        <v>8438</v>
      </c>
      <c r="G1789" s="6">
        <f t="shared" ref="G1789:G1814" si="67">17.498*L1789</f>
        <v>209.976</v>
      </c>
      <c r="H1789" s="7">
        <v>41817</v>
      </c>
      <c r="I1789" s="6" t="s">
        <v>265</v>
      </c>
      <c r="J1789" s="6" t="s">
        <v>8439</v>
      </c>
      <c r="K1789" s="6" t="s">
        <v>21</v>
      </c>
      <c r="L1789" s="6">
        <v>12</v>
      </c>
      <c r="M1789" s="15" t="s">
        <v>8440</v>
      </c>
      <c r="N1789" s="15" t="s">
        <v>164</v>
      </c>
      <c r="O1789" s="15" t="s">
        <v>8441</v>
      </c>
    </row>
    <row r="1790" spans="1:15" ht="14.25" customHeight="1">
      <c r="A1790" s="3" t="s">
        <v>7064</v>
      </c>
      <c r="B1790" s="4"/>
      <c r="C1790" s="3"/>
      <c r="D1790" s="5" t="s">
        <v>7025</v>
      </c>
      <c r="E1790" s="5" t="s">
        <v>7026</v>
      </c>
      <c r="F1790" s="3" t="s">
        <v>8442</v>
      </c>
      <c r="G1790" s="6">
        <f t="shared" si="67"/>
        <v>227.47400000000002</v>
      </c>
      <c r="H1790" s="7">
        <v>41817</v>
      </c>
      <c r="I1790" s="6" t="s">
        <v>265</v>
      </c>
      <c r="J1790" s="6" t="s">
        <v>8443</v>
      </c>
      <c r="K1790" s="6" t="s">
        <v>21</v>
      </c>
      <c r="L1790" s="6">
        <v>13</v>
      </c>
      <c r="M1790" s="15" t="s">
        <v>8440</v>
      </c>
      <c r="N1790" s="15" t="s">
        <v>167</v>
      </c>
      <c r="O1790" s="15" t="s">
        <v>8444</v>
      </c>
    </row>
    <row r="1791" spans="1:15" ht="14.25" customHeight="1">
      <c r="A1791" s="3" t="s">
        <v>7145</v>
      </c>
      <c r="B1791" s="4"/>
      <c r="C1791" s="3"/>
      <c r="D1791" s="5" t="s">
        <v>170</v>
      </c>
      <c r="E1791" s="5" t="s">
        <v>7026</v>
      </c>
      <c r="F1791" s="3" t="s">
        <v>8445</v>
      </c>
      <c r="G1791" s="6">
        <f t="shared" si="67"/>
        <v>209.976</v>
      </c>
      <c r="H1791" s="7">
        <v>41817</v>
      </c>
      <c r="I1791" s="6" t="s">
        <v>265</v>
      </c>
      <c r="J1791" s="6" t="s">
        <v>8446</v>
      </c>
      <c r="K1791" s="6" t="s">
        <v>21</v>
      </c>
      <c r="L1791" s="6">
        <v>12</v>
      </c>
      <c r="M1791" s="15" t="s">
        <v>8447</v>
      </c>
      <c r="N1791" s="15" t="s">
        <v>164</v>
      </c>
      <c r="O1791" s="15" t="s">
        <v>8448</v>
      </c>
    </row>
    <row r="1792" spans="1:15" ht="14.25" customHeight="1">
      <c r="A1792" s="3" t="s">
        <v>7145</v>
      </c>
      <c r="B1792" s="4"/>
      <c r="C1792" s="3"/>
      <c r="D1792" s="5" t="s">
        <v>170</v>
      </c>
      <c r="E1792" s="5" t="s">
        <v>7026</v>
      </c>
      <c r="F1792" s="3" t="s">
        <v>8449</v>
      </c>
      <c r="G1792" s="6">
        <f t="shared" si="67"/>
        <v>227.47400000000002</v>
      </c>
      <c r="H1792" s="7">
        <v>41817</v>
      </c>
      <c r="I1792" s="6" t="s">
        <v>265</v>
      </c>
      <c r="J1792" s="6" t="s">
        <v>8450</v>
      </c>
      <c r="K1792" s="6" t="s">
        <v>21</v>
      </c>
      <c r="L1792" s="6">
        <v>13</v>
      </c>
      <c r="M1792" s="15" t="s">
        <v>8447</v>
      </c>
      <c r="N1792" s="15" t="s">
        <v>167</v>
      </c>
      <c r="O1792" s="15" t="s">
        <v>8451</v>
      </c>
    </row>
    <row r="1793" spans="1:15" s="1" customFormat="1" ht="14.25" customHeight="1">
      <c r="A1793" s="3" t="s">
        <v>1259</v>
      </c>
      <c r="B1793" s="4"/>
      <c r="C1793" s="3"/>
      <c r="D1793" s="5" t="s">
        <v>170</v>
      </c>
      <c r="E1793" s="5" t="s">
        <v>7026</v>
      </c>
      <c r="F1793" s="3" t="s">
        <v>8452</v>
      </c>
      <c r="G1793" s="6">
        <f t="shared" si="67"/>
        <v>209.976</v>
      </c>
      <c r="H1793" s="7">
        <v>41817</v>
      </c>
      <c r="I1793" s="6" t="s">
        <v>265</v>
      </c>
      <c r="J1793" s="6" t="s">
        <v>8453</v>
      </c>
      <c r="K1793" s="6" t="s">
        <v>21</v>
      </c>
      <c r="L1793" s="6">
        <v>12</v>
      </c>
      <c r="M1793" s="15" t="s">
        <v>8454</v>
      </c>
      <c r="N1793" s="15" t="s">
        <v>164</v>
      </c>
      <c r="O1793" s="15" t="s">
        <v>8455</v>
      </c>
    </row>
    <row r="1794" spans="1:15" s="1" customFormat="1" ht="14.25" customHeight="1">
      <c r="A1794" s="3" t="s">
        <v>1259</v>
      </c>
      <c r="B1794" s="4"/>
      <c r="C1794" s="3"/>
      <c r="D1794" s="5" t="s">
        <v>170</v>
      </c>
      <c r="E1794" s="5" t="s">
        <v>7026</v>
      </c>
      <c r="F1794" s="3" t="s">
        <v>8456</v>
      </c>
      <c r="G1794" s="6">
        <f t="shared" si="67"/>
        <v>227.47400000000002</v>
      </c>
      <c r="H1794" s="7">
        <v>41817</v>
      </c>
      <c r="I1794" s="6" t="s">
        <v>265</v>
      </c>
      <c r="J1794" s="6" t="s">
        <v>8457</v>
      </c>
      <c r="K1794" s="6" t="s">
        <v>21</v>
      </c>
      <c r="L1794" s="6">
        <v>13</v>
      </c>
      <c r="M1794" s="15" t="s">
        <v>8454</v>
      </c>
      <c r="N1794" s="15" t="s">
        <v>167</v>
      </c>
      <c r="O1794" s="15"/>
    </row>
    <row r="1795" spans="1:15" s="1" customFormat="1" ht="14.25" customHeight="1">
      <c r="A1795" s="3" t="s">
        <v>1259</v>
      </c>
      <c r="B1795" s="4"/>
      <c r="C1795" s="3"/>
      <c r="D1795" s="5" t="s">
        <v>170</v>
      </c>
      <c r="E1795" s="5" t="s">
        <v>7026</v>
      </c>
      <c r="F1795" s="3" t="s">
        <v>8458</v>
      </c>
      <c r="G1795" s="6">
        <f t="shared" si="67"/>
        <v>209.976</v>
      </c>
      <c r="H1795" s="7">
        <v>41817</v>
      </c>
      <c r="I1795" s="6" t="s">
        <v>265</v>
      </c>
      <c r="J1795" s="6" t="s">
        <v>8459</v>
      </c>
      <c r="K1795" s="6" t="s">
        <v>21</v>
      </c>
      <c r="L1795" s="6">
        <v>12</v>
      </c>
      <c r="M1795" s="15" t="s">
        <v>8460</v>
      </c>
      <c r="N1795" s="15" t="s">
        <v>164</v>
      </c>
      <c r="O1795" s="15" t="s">
        <v>8461</v>
      </c>
    </row>
    <row r="1796" spans="1:15" ht="14.25" customHeight="1">
      <c r="A1796" s="3" t="s">
        <v>1259</v>
      </c>
      <c r="B1796" s="4"/>
      <c r="C1796" s="3"/>
      <c r="D1796" s="5" t="s">
        <v>170</v>
      </c>
      <c r="E1796" s="5" t="s">
        <v>7026</v>
      </c>
      <c r="F1796" s="3" t="s">
        <v>8462</v>
      </c>
      <c r="G1796" s="6">
        <f t="shared" si="67"/>
        <v>227.47400000000002</v>
      </c>
      <c r="H1796" s="7">
        <v>41817</v>
      </c>
      <c r="I1796" s="6" t="s">
        <v>265</v>
      </c>
      <c r="J1796" s="6" t="s">
        <v>8463</v>
      </c>
      <c r="K1796" s="6" t="s">
        <v>21</v>
      </c>
      <c r="L1796" s="6">
        <v>13</v>
      </c>
      <c r="M1796" s="15" t="s">
        <v>8460</v>
      </c>
      <c r="N1796" s="15" t="s">
        <v>167</v>
      </c>
      <c r="O1796" s="15"/>
    </row>
    <row r="1797" spans="1:15" s="1" customFormat="1" ht="14.25" customHeight="1">
      <c r="A1797" s="3" t="s">
        <v>1259</v>
      </c>
      <c r="B1797" s="4"/>
      <c r="C1797" s="3"/>
      <c r="D1797" s="5" t="s">
        <v>170</v>
      </c>
      <c r="E1797" s="5" t="s">
        <v>7026</v>
      </c>
      <c r="F1797" s="3" t="s">
        <v>8464</v>
      </c>
      <c r="G1797" s="6">
        <f t="shared" si="67"/>
        <v>209.976</v>
      </c>
      <c r="H1797" s="7">
        <v>41817</v>
      </c>
      <c r="I1797" s="6" t="s">
        <v>265</v>
      </c>
      <c r="J1797" s="6" t="s">
        <v>8465</v>
      </c>
      <c r="K1797" s="6" t="s">
        <v>21</v>
      </c>
      <c r="L1797" s="6">
        <v>12</v>
      </c>
      <c r="M1797" s="15" t="s">
        <v>8466</v>
      </c>
      <c r="N1797" s="15" t="s">
        <v>164</v>
      </c>
      <c r="O1797" s="15"/>
    </row>
    <row r="1798" spans="1:15" s="1" customFormat="1" ht="14.25" customHeight="1">
      <c r="A1798" s="3" t="s">
        <v>1259</v>
      </c>
      <c r="B1798" s="4"/>
      <c r="C1798" s="3"/>
      <c r="D1798" s="5" t="s">
        <v>170</v>
      </c>
      <c r="E1798" s="5" t="s">
        <v>7026</v>
      </c>
      <c r="F1798" s="3" t="s">
        <v>8467</v>
      </c>
      <c r="G1798" s="6">
        <f t="shared" si="67"/>
        <v>227.47400000000002</v>
      </c>
      <c r="H1798" s="7">
        <v>41817</v>
      </c>
      <c r="I1798" s="6" t="s">
        <v>265</v>
      </c>
      <c r="J1798" s="6" t="s">
        <v>8468</v>
      </c>
      <c r="K1798" s="6" t="s">
        <v>21</v>
      </c>
      <c r="L1798" s="6">
        <v>13</v>
      </c>
      <c r="M1798" s="15" t="s">
        <v>8466</v>
      </c>
      <c r="N1798" s="15" t="s">
        <v>167</v>
      </c>
      <c r="O1798" s="15" t="s">
        <v>8469</v>
      </c>
    </row>
    <row r="1799" spans="1:15" s="1" customFormat="1" ht="14.25" customHeight="1">
      <c r="A1799" s="3" t="s">
        <v>1259</v>
      </c>
      <c r="B1799" s="4"/>
      <c r="C1799" s="3"/>
      <c r="D1799" s="5" t="s">
        <v>170</v>
      </c>
      <c r="E1799" s="5" t="s">
        <v>7026</v>
      </c>
      <c r="F1799" s="3" t="s">
        <v>8470</v>
      </c>
      <c r="G1799" s="6">
        <f t="shared" si="67"/>
        <v>209.976</v>
      </c>
      <c r="H1799" s="7">
        <v>41817</v>
      </c>
      <c r="I1799" s="6" t="s">
        <v>265</v>
      </c>
      <c r="J1799" s="6" t="s">
        <v>8471</v>
      </c>
      <c r="K1799" s="6" t="s">
        <v>21</v>
      </c>
      <c r="L1799" s="6">
        <v>12</v>
      </c>
      <c r="M1799" s="15" t="s">
        <v>8472</v>
      </c>
      <c r="N1799" s="15" t="s">
        <v>164</v>
      </c>
      <c r="O1799" s="15" t="s">
        <v>8473</v>
      </c>
    </row>
    <row r="1800" spans="1:15" ht="14.25" customHeight="1">
      <c r="A1800" s="3" t="s">
        <v>1259</v>
      </c>
      <c r="B1800" s="4"/>
      <c r="C1800" s="3"/>
      <c r="D1800" s="5" t="s">
        <v>170</v>
      </c>
      <c r="E1800" s="5" t="s">
        <v>7026</v>
      </c>
      <c r="F1800" s="3" t="s">
        <v>8474</v>
      </c>
      <c r="G1800" s="6">
        <f t="shared" si="67"/>
        <v>227.47400000000002</v>
      </c>
      <c r="H1800" s="7">
        <v>41817</v>
      </c>
      <c r="I1800" s="6" t="s">
        <v>265</v>
      </c>
      <c r="J1800" s="6" t="s">
        <v>8475</v>
      </c>
      <c r="K1800" s="6" t="s">
        <v>21</v>
      </c>
      <c r="L1800" s="6">
        <v>13</v>
      </c>
      <c r="M1800" s="15" t="s">
        <v>8472</v>
      </c>
      <c r="N1800" s="15" t="s">
        <v>167</v>
      </c>
      <c r="O1800" s="15" t="s">
        <v>8476</v>
      </c>
    </row>
    <row r="1801" spans="1:15" s="1" customFormat="1" ht="14.25" customHeight="1">
      <c r="A1801" s="3" t="s">
        <v>7024</v>
      </c>
      <c r="B1801" s="4"/>
      <c r="C1801" s="3"/>
      <c r="D1801" s="5" t="s">
        <v>7025</v>
      </c>
      <c r="E1801" s="5" t="s">
        <v>7026</v>
      </c>
      <c r="F1801" s="3" t="s">
        <v>8477</v>
      </c>
      <c r="G1801" s="6">
        <f t="shared" si="67"/>
        <v>209.976</v>
      </c>
      <c r="H1801" s="7">
        <v>41817</v>
      </c>
      <c r="I1801" s="6" t="s">
        <v>265</v>
      </c>
      <c r="J1801" s="6" t="s">
        <v>8478</v>
      </c>
      <c r="K1801" s="6" t="s">
        <v>21</v>
      </c>
      <c r="L1801" s="6">
        <v>12</v>
      </c>
      <c r="M1801" s="15" t="s">
        <v>8479</v>
      </c>
      <c r="N1801" s="15" t="s">
        <v>164</v>
      </c>
      <c r="O1801" s="15"/>
    </row>
    <row r="1802" spans="1:15" s="1" customFormat="1" ht="14.25" customHeight="1">
      <c r="A1802" s="3" t="s">
        <v>7024</v>
      </c>
      <c r="B1802" s="4"/>
      <c r="C1802" s="3"/>
      <c r="D1802" s="5" t="s">
        <v>7025</v>
      </c>
      <c r="E1802" s="5" t="s">
        <v>7026</v>
      </c>
      <c r="F1802" s="3" t="s">
        <v>8480</v>
      </c>
      <c r="G1802" s="6">
        <f t="shared" si="67"/>
        <v>227.47400000000002</v>
      </c>
      <c r="H1802" s="7">
        <v>41817</v>
      </c>
      <c r="I1802" s="6" t="s">
        <v>265</v>
      </c>
      <c r="J1802" s="6" t="s">
        <v>8481</v>
      </c>
      <c r="K1802" s="6" t="s">
        <v>21</v>
      </c>
      <c r="L1802" s="6">
        <v>13</v>
      </c>
      <c r="M1802" s="15" t="s">
        <v>8479</v>
      </c>
      <c r="N1802" s="15" t="s">
        <v>167</v>
      </c>
      <c r="O1802" s="27"/>
    </row>
    <row r="1803" spans="1:15" s="1" customFormat="1" ht="14.25" customHeight="1">
      <c r="A1803" s="3" t="s">
        <v>7024</v>
      </c>
      <c r="B1803" s="4"/>
      <c r="C1803" s="3"/>
      <c r="D1803" s="5" t="s">
        <v>7025</v>
      </c>
      <c r="E1803" s="5" t="s">
        <v>7026</v>
      </c>
      <c r="F1803" s="3" t="s">
        <v>8482</v>
      </c>
      <c r="G1803" s="6">
        <f t="shared" si="67"/>
        <v>209.976</v>
      </c>
      <c r="H1803" s="7">
        <v>41817</v>
      </c>
      <c r="I1803" s="6" t="s">
        <v>265</v>
      </c>
      <c r="J1803" s="6" t="s">
        <v>8483</v>
      </c>
      <c r="K1803" s="6" t="s">
        <v>21</v>
      </c>
      <c r="L1803" s="6">
        <v>12</v>
      </c>
      <c r="M1803" s="15" t="s">
        <v>8484</v>
      </c>
      <c r="N1803" s="15" t="s">
        <v>164</v>
      </c>
      <c r="O1803" s="15"/>
    </row>
    <row r="1804" spans="1:15" ht="14.25" customHeight="1">
      <c r="A1804" s="3" t="s">
        <v>7024</v>
      </c>
      <c r="B1804" s="4"/>
      <c r="C1804" s="3"/>
      <c r="D1804" s="5" t="s">
        <v>7025</v>
      </c>
      <c r="E1804" s="5" t="s">
        <v>7026</v>
      </c>
      <c r="F1804" s="3" t="s">
        <v>8485</v>
      </c>
      <c r="G1804" s="6">
        <f t="shared" si="67"/>
        <v>227.47400000000002</v>
      </c>
      <c r="H1804" s="7">
        <v>41817</v>
      </c>
      <c r="I1804" s="6" t="s">
        <v>265</v>
      </c>
      <c r="J1804" s="6" t="s">
        <v>8486</v>
      </c>
      <c r="K1804" s="6" t="s">
        <v>21</v>
      </c>
      <c r="L1804" s="6">
        <v>13</v>
      </c>
      <c r="M1804" s="15" t="s">
        <v>8484</v>
      </c>
      <c r="N1804" s="15" t="s">
        <v>167</v>
      </c>
      <c r="O1804" s="15"/>
    </row>
    <row r="1805" spans="1:15" s="1" customFormat="1" ht="14.25" customHeight="1">
      <c r="A1805" s="3" t="s">
        <v>1259</v>
      </c>
      <c r="B1805" s="4"/>
      <c r="C1805" s="3"/>
      <c r="D1805" s="5" t="s">
        <v>170</v>
      </c>
      <c r="E1805" s="5" t="s">
        <v>7026</v>
      </c>
      <c r="F1805" s="3" t="s">
        <v>8487</v>
      </c>
      <c r="G1805" s="6">
        <f t="shared" si="67"/>
        <v>209.976</v>
      </c>
      <c r="H1805" s="7">
        <v>41820</v>
      </c>
      <c r="I1805" s="6" t="s">
        <v>265</v>
      </c>
      <c r="J1805" s="6" t="s">
        <v>8488</v>
      </c>
      <c r="K1805" s="6" t="s">
        <v>21</v>
      </c>
      <c r="L1805" s="6">
        <v>12</v>
      </c>
      <c r="M1805" s="15" t="s">
        <v>8489</v>
      </c>
      <c r="N1805" s="15" t="s">
        <v>164</v>
      </c>
      <c r="O1805" s="15"/>
    </row>
    <row r="1806" spans="1:15" ht="14.25" customHeight="1">
      <c r="A1806" s="3" t="s">
        <v>1259</v>
      </c>
      <c r="B1806" s="4"/>
      <c r="C1806" s="3"/>
      <c r="D1806" s="5" t="s">
        <v>170</v>
      </c>
      <c r="E1806" s="5" t="s">
        <v>7026</v>
      </c>
      <c r="F1806" s="3" t="s">
        <v>8490</v>
      </c>
      <c r="G1806" s="6">
        <f t="shared" si="67"/>
        <v>227.47400000000002</v>
      </c>
      <c r="H1806" s="7">
        <v>41820</v>
      </c>
      <c r="I1806" s="6" t="s">
        <v>265</v>
      </c>
      <c r="J1806" s="6" t="s">
        <v>8491</v>
      </c>
      <c r="K1806" s="6" t="s">
        <v>21</v>
      </c>
      <c r="L1806" s="6">
        <v>13</v>
      </c>
      <c r="M1806" s="15" t="s">
        <v>8489</v>
      </c>
      <c r="N1806" s="15" t="s">
        <v>167</v>
      </c>
      <c r="O1806" s="15"/>
    </row>
    <row r="1807" spans="1:15" ht="14.25" customHeight="1">
      <c r="A1807" s="3" t="s">
        <v>1259</v>
      </c>
      <c r="B1807" s="4"/>
      <c r="C1807" s="3"/>
      <c r="D1807" s="5" t="s">
        <v>170</v>
      </c>
      <c r="E1807" s="5" t="s">
        <v>7026</v>
      </c>
      <c r="F1807" s="3" t="s">
        <v>8492</v>
      </c>
      <c r="G1807" s="6">
        <f t="shared" si="67"/>
        <v>209.976</v>
      </c>
      <c r="H1807" s="7">
        <v>41820</v>
      </c>
      <c r="I1807" s="6" t="s">
        <v>265</v>
      </c>
      <c r="J1807" s="6" t="s">
        <v>8493</v>
      </c>
      <c r="K1807" s="6" t="s">
        <v>21</v>
      </c>
      <c r="L1807" s="6">
        <v>12</v>
      </c>
      <c r="M1807" s="15" t="s">
        <v>8494</v>
      </c>
      <c r="N1807" s="15" t="s">
        <v>164</v>
      </c>
      <c r="O1807" s="15" t="s">
        <v>8495</v>
      </c>
    </row>
    <row r="1808" spans="1:15" s="1" customFormat="1" ht="14.25" customHeight="1">
      <c r="A1808" s="3" t="s">
        <v>1259</v>
      </c>
      <c r="B1808" s="4"/>
      <c r="C1808" s="3"/>
      <c r="D1808" s="5" t="s">
        <v>170</v>
      </c>
      <c r="E1808" s="5" t="s">
        <v>7026</v>
      </c>
      <c r="F1808" s="3" t="s">
        <v>8496</v>
      </c>
      <c r="G1808" s="6">
        <f t="shared" si="67"/>
        <v>227.47400000000002</v>
      </c>
      <c r="H1808" s="7">
        <v>41820</v>
      </c>
      <c r="I1808" s="6" t="s">
        <v>265</v>
      </c>
      <c r="J1808" s="6" t="s">
        <v>8497</v>
      </c>
      <c r="K1808" s="6" t="s">
        <v>21</v>
      </c>
      <c r="L1808" s="6">
        <v>13</v>
      </c>
      <c r="M1808" s="15" t="s">
        <v>8494</v>
      </c>
      <c r="N1808" s="15" t="s">
        <v>167</v>
      </c>
      <c r="O1808" s="15"/>
    </row>
    <row r="1809" spans="1:15" s="1" customFormat="1" ht="14.25" customHeight="1">
      <c r="A1809" s="3" t="s">
        <v>1259</v>
      </c>
      <c r="B1809" s="4"/>
      <c r="C1809" s="3"/>
      <c r="D1809" s="5" t="s">
        <v>170</v>
      </c>
      <c r="E1809" s="5" t="s">
        <v>7026</v>
      </c>
      <c r="F1809" s="3" t="s">
        <v>8498</v>
      </c>
      <c r="G1809" s="6">
        <f t="shared" si="67"/>
        <v>209.976</v>
      </c>
      <c r="H1809" s="7">
        <v>41820</v>
      </c>
      <c r="I1809" s="6" t="s">
        <v>265</v>
      </c>
      <c r="J1809" s="6" t="s">
        <v>8499</v>
      </c>
      <c r="K1809" s="6" t="s">
        <v>21</v>
      </c>
      <c r="L1809" s="6">
        <v>12</v>
      </c>
      <c r="M1809" s="15" t="s">
        <v>8500</v>
      </c>
      <c r="N1809" s="15" t="s">
        <v>164</v>
      </c>
      <c r="O1809" s="15" t="s">
        <v>8501</v>
      </c>
    </row>
    <row r="1810" spans="1:15" s="1" customFormat="1" ht="14.25" customHeight="1">
      <c r="A1810" s="3" t="s">
        <v>1259</v>
      </c>
      <c r="B1810" s="4"/>
      <c r="C1810" s="3"/>
      <c r="D1810" s="5" t="s">
        <v>170</v>
      </c>
      <c r="E1810" s="5" t="s">
        <v>7026</v>
      </c>
      <c r="F1810" s="3" t="s">
        <v>8502</v>
      </c>
      <c r="G1810" s="6">
        <f t="shared" si="67"/>
        <v>227.47400000000002</v>
      </c>
      <c r="H1810" s="7">
        <v>41820</v>
      </c>
      <c r="I1810" s="6" t="s">
        <v>265</v>
      </c>
      <c r="J1810" s="6" t="s">
        <v>8503</v>
      </c>
      <c r="K1810" s="6" t="s">
        <v>21</v>
      </c>
      <c r="L1810" s="6">
        <v>13</v>
      </c>
      <c r="M1810" s="15" t="s">
        <v>8500</v>
      </c>
      <c r="N1810" s="15" t="s">
        <v>167</v>
      </c>
      <c r="O1810" s="15" t="s">
        <v>8504</v>
      </c>
    </row>
    <row r="1811" spans="1:15" s="1" customFormat="1" ht="14.25" customHeight="1">
      <c r="A1811" s="3" t="s">
        <v>7145</v>
      </c>
      <c r="B1811" s="3"/>
      <c r="C1811" s="3"/>
      <c r="D1811" s="5" t="s">
        <v>170</v>
      </c>
      <c r="E1811" s="5" t="s">
        <v>7026</v>
      </c>
      <c r="F1811" s="3" t="s">
        <v>8505</v>
      </c>
      <c r="G1811" s="6">
        <f t="shared" si="67"/>
        <v>122.486</v>
      </c>
      <c r="H1811" s="7">
        <v>41820</v>
      </c>
      <c r="I1811" s="6" t="s">
        <v>265</v>
      </c>
      <c r="J1811" s="6" t="s">
        <v>8506</v>
      </c>
      <c r="K1811" s="6" t="s">
        <v>21</v>
      </c>
      <c r="L1811" s="6">
        <v>7</v>
      </c>
      <c r="M1811" s="15" t="s">
        <v>8507</v>
      </c>
      <c r="N1811" s="15" t="s">
        <v>8508</v>
      </c>
      <c r="O1811" s="15" t="s">
        <v>8509</v>
      </c>
    </row>
    <row r="1812" spans="1:15" s="1" customFormat="1" ht="14.25" customHeight="1">
      <c r="A1812" s="3" t="s">
        <v>7145</v>
      </c>
      <c r="B1812" s="4"/>
      <c r="C1812" s="3"/>
      <c r="D1812" s="5" t="s">
        <v>170</v>
      </c>
      <c r="E1812" s="5" t="s">
        <v>7026</v>
      </c>
      <c r="F1812" s="3" t="s">
        <v>8510</v>
      </c>
      <c r="G1812" s="6">
        <f t="shared" si="67"/>
        <v>104.988</v>
      </c>
      <c r="H1812" s="7">
        <v>41820</v>
      </c>
      <c r="I1812" s="6" t="s">
        <v>265</v>
      </c>
      <c r="J1812" s="6" t="s">
        <v>8511</v>
      </c>
      <c r="K1812" s="6" t="s">
        <v>21</v>
      </c>
      <c r="L1812" s="6">
        <v>6</v>
      </c>
      <c r="M1812" s="15" t="s">
        <v>8512</v>
      </c>
      <c r="N1812" s="15" t="s">
        <v>8513</v>
      </c>
      <c r="O1812" s="15" t="s">
        <v>8514</v>
      </c>
    </row>
    <row r="1813" spans="1:15" s="1" customFormat="1" ht="14.25" customHeight="1">
      <c r="A1813" s="3" t="s">
        <v>7145</v>
      </c>
      <c r="B1813" s="4"/>
      <c r="C1813" s="3"/>
      <c r="D1813" s="5" t="s">
        <v>170</v>
      </c>
      <c r="E1813" s="5" t="s">
        <v>7026</v>
      </c>
      <c r="F1813" s="3" t="s">
        <v>8515</v>
      </c>
      <c r="G1813" s="6">
        <f t="shared" si="67"/>
        <v>104.988</v>
      </c>
      <c r="H1813" s="7">
        <v>41820</v>
      </c>
      <c r="I1813" s="6" t="s">
        <v>265</v>
      </c>
      <c r="J1813" s="6" t="s">
        <v>8516</v>
      </c>
      <c r="K1813" s="6" t="s">
        <v>21</v>
      </c>
      <c r="L1813" s="6">
        <v>6</v>
      </c>
      <c r="M1813" s="15" t="s">
        <v>8517</v>
      </c>
      <c r="N1813" s="15" t="s">
        <v>8518</v>
      </c>
      <c r="O1813" s="15" t="s">
        <v>8519</v>
      </c>
    </row>
    <row r="1814" spans="1:15" s="1" customFormat="1" ht="14.25" customHeight="1">
      <c r="A1814" s="3" t="s">
        <v>7145</v>
      </c>
      <c r="B1814" s="4"/>
      <c r="C1814" s="3"/>
      <c r="D1814" s="5" t="s">
        <v>170</v>
      </c>
      <c r="E1814" s="5" t="s">
        <v>7026</v>
      </c>
      <c r="F1814" s="3" t="s">
        <v>8520</v>
      </c>
      <c r="G1814" s="6">
        <f t="shared" si="67"/>
        <v>104.988</v>
      </c>
      <c r="H1814" s="7">
        <v>41820</v>
      </c>
      <c r="I1814" s="6" t="s">
        <v>265</v>
      </c>
      <c r="J1814" s="6" t="s">
        <v>8521</v>
      </c>
      <c r="K1814" s="6" t="s">
        <v>21</v>
      </c>
      <c r="L1814" s="6">
        <v>6</v>
      </c>
      <c r="M1814" s="15" t="s">
        <v>8522</v>
      </c>
      <c r="N1814" s="15" t="s">
        <v>8523</v>
      </c>
      <c r="O1814" s="15" t="s">
        <v>8524</v>
      </c>
    </row>
    <row r="1815" spans="1:15" s="1" customFormat="1" ht="14.25" customHeight="1">
      <c r="A1815" s="3" t="s">
        <v>1006</v>
      </c>
      <c r="B1815" s="4"/>
      <c r="C1815" s="3"/>
      <c r="D1815" s="5" t="s">
        <v>383</v>
      </c>
      <c r="E1815" s="5" t="s">
        <v>124</v>
      </c>
      <c r="F1815" s="3" t="s">
        <v>5494</v>
      </c>
      <c r="G1815" s="6">
        <v>216.51900000000001</v>
      </c>
      <c r="H1815" s="7">
        <v>41821</v>
      </c>
      <c r="I1815" s="6" t="s">
        <v>209</v>
      </c>
      <c r="J1815" s="6" t="s">
        <v>5495</v>
      </c>
      <c r="K1815" s="6" t="s">
        <v>128</v>
      </c>
      <c r="L1815" s="6" t="s">
        <v>5496</v>
      </c>
      <c r="M1815" s="15" t="s">
        <v>5497</v>
      </c>
      <c r="N1815" s="15" t="s">
        <v>5498</v>
      </c>
      <c r="O1815" s="28" t="s">
        <v>5499</v>
      </c>
    </row>
    <row r="1816" spans="1:15" s="1" customFormat="1" ht="14.25" customHeight="1">
      <c r="A1816" s="3" t="s">
        <v>1018</v>
      </c>
      <c r="B1816" s="4"/>
      <c r="C1816" s="3"/>
      <c r="D1816" s="5" t="s">
        <v>1019</v>
      </c>
      <c r="E1816" s="5" t="s">
        <v>124</v>
      </c>
      <c r="F1816" s="3" t="s">
        <v>5500</v>
      </c>
      <c r="G1816" s="6">
        <v>207.38300000000001</v>
      </c>
      <c r="H1816" s="7">
        <v>41821</v>
      </c>
      <c r="I1816" s="6" t="s">
        <v>209</v>
      </c>
      <c r="J1816" s="6" t="s">
        <v>5501</v>
      </c>
      <c r="K1816" s="6" t="s">
        <v>128</v>
      </c>
      <c r="L1816" s="6" t="s">
        <v>948</v>
      </c>
      <c r="M1816" s="15" t="s">
        <v>5502</v>
      </c>
      <c r="N1816" s="15" t="s">
        <v>5503</v>
      </c>
      <c r="O1816" s="15" t="s">
        <v>5504</v>
      </c>
    </row>
    <row r="1817" spans="1:15" s="1" customFormat="1" ht="14.25" customHeight="1">
      <c r="A1817" s="3" t="s">
        <v>3664</v>
      </c>
      <c r="B1817" s="4"/>
      <c r="C1817" s="3"/>
      <c r="D1817" s="5" t="s">
        <v>672</v>
      </c>
      <c r="E1817" s="5" t="s">
        <v>124</v>
      </c>
      <c r="F1817" s="3" t="s">
        <v>5505</v>
      </c>
      <c r="G1817" s="6">
        <v>118.21299999999999</v>
      </c>
      <c r="H1817" s="7">
        <v>41821</v>
      </c>
      <c r="I1817" s="6" t="s">
        <v>209</v>
      </c>
      <c r="J1817" s="6" t="s">
        <v>5506</v>
      </c>
      <c r="K1817" s="6" t="s">
        <v>128</v>
      </c>
      <c r="L1817" s="6" t="s">
        <v>4712</v>
      </c>
      <c r="M1817" s="15" t="s">
        <v>5507</v>
      </c>
      <c r="N1817" s="15" t="s">
        <v>5508</v>
      </c>
      <c r="O1817" s="15" t="s">
        <v>5509</v>
      </c>
    </row>
    <row r="1818" spans="1:15" s="1" customFormat="1" ht="14.25" customHeight="1">
      <c r="A1818" s="3" t="s">
        <v>3664</v>
      </c>
      <c r="B1818" s="4"/>
      <c r="C1818" s="3"/>
      <c r="D1818" s="5" t="s">
        <v>672</v>
      </c>
      <c r="E1818" s="5" t="s">
        <v>124</v>
      </c>
      <c r="F1818" s="3" t="s">
        <v>5510</v>
      </c>
      <c r="G1818" s="6">
        <v>154.791</v>
      </c>
      <c r="H1818" s="7">
        <v>41821</v>
      </c>
      <c r="I1818" s="6" t="s">
        <v>209</v>
      </c>
      <c r="J1818" s="6" t="s">
        <v>5511</v>
      </c>
      <c r="K1818" s="6" t="s">
        <v>128</v>
      </c>
      <c r="L1818" s="6" t="s">
        <v>808</v>
      </c>
      <c r="M1818" s="15" t="s">
        <v>5512</v>
      </c>
      <c r="N1818" s="15" t="s">
        <v>810</v>
      </c>
      <c r="O1818" s="15" t="s">
        <v>5513</v>
      </c>
    </row>
    <row r="1819" spans="1:15" s="1" customFormat="1" ht="14.25" customHeight="1">
      <c r="A1819" s="3" t="s">
        <v>846</v>
      </c>
      <c r="B1819" s="4"/>
      <c r="C1819" s="3"/>
      <c r="D1819" s="5" t="s">
        <v>191</v>
      </c>
      <c r="E1819" s="5" t="s">
        <v>124</v>
      </c>
      <c r="F1819" s="3" t="s">
        <v>5514</v>
      </c>
      <c r="G1819" s="6">
        <f>18.708*L1819</f>
        <v>224.49599999999998</v>
      </c>
      <c r="H1819" s="7">
        <v>41821</v>
      </c>
      <c r="I1819" s="6" t="s">
        <v>247</v>
      </c>
      <c r="J1819" s="6" t="s">
        <v>5515</v>
      </c>
      <c r="K1819" s="6" t="s">
        <v>21</v>
      </c>
      <c r="L1819" s="6">
        <v>12</v>
      </c>
      <c r="M1819" s="15" t="s">
        <v>5516</v>
      </c>
      <c r="N1819" s="15" t="s">
        <v>78</v>
      </c>
      <c r="O1819" s="15" t="s">
        <v>5516</v>
      </c>
    </row>
    <row r="1820" spans="1:15" s="1" customFormat="1" ht="14.25" customHeight="1">
      <c r="A1820" s="3" t="s">
        <v>649</v>
      </c>
      <c r="B1820" s="4"/>
      <c r="C1820" s="3"/>
      <c r="D1820" s="5" t="s">
        <v>3106</v>
      </c>
      <c r="E1820" s="5" t="s">
        <v>124</v>
      </c>
      <c r="F1820" s="3" t="s">
        <v>5517</v>
      </c>
      <c r="G1820" s="6">
        <f t="shared" ref="G1820:G1832" si="68">17.498*L1820</f>
        <v>244.97200000000001</v>
      </c>
      <c r="H1820" s="7">
        <v>41821</v>
      </c>
      <c r="I1820" s="6" t="s">
        <v>265</v>
      </c>
      <c r="J1820" s="6" t="s">
        <v>5518</v>
      </c>
      <c r="K1820" s="6" t="s">
        <v>21</v>
      </c>
      <c r="L1820" s="6">
        <v>14</v>
      </c>
      <c r="M1820" s="15" t="s">
        <v>5519</v>
      </c>
      <c r="N1820" s="15" t="s">
        <v>5520</v>
      </c>
      <c r="O1820" s="15" t="s">
        <v>5519</v>
      </c>
    </row>
    <row r="1821" spans="1:15" ht="14.25" customHeight="1">
      <c r="A1821" s="3" t="s">
        <v>5474</v>
      </c>
      <c r="B1821" s="4"/>
      <c r="C1821" s="3"/>
      <c r="D1821" s="5" t="s">
        <v>5475</v>
      </c>
      <c r="E1821" s="5" t="s">
        <v>124</v>
      </c>
      <c r="F1821" s="3" t="s">
        <v>5521</v>
      </c>
      <c r="G1821" s="6">
        <f t="shared" si="68"/>
        <v>209.976</v>
      </c>
      <c r="H1821" s="7">
        <v>41821</v>
      </c>
      <c r="I1821" s="6" t="s">
        <v>265</v>
      </c>
      <c r="J1821" s="6" t="s">
        <v>5522</v>
      </c>
      <c r="K1821" s="6" t="s">
        <v>5478</v>
      </c>
      <c r="L1821" s="6">
        <v>12</v>
      </c>
      <c r="M1821" s="15" t="s">
        <v>5523</v>
      </c>
      <c r="N1821" s="15" t="s">
        <v>164</v>
      </c>
      <c r="O1821" s="15" t="s">
        <v>5523</v>
      </c>
    </row>
    <row r="1822" spans="1:15" ht="14.25" customHeight="1">
      <c r="A1822" s="3" t="s">
        <v>5474</v>
      </c>
      <c r="B1822" s="4"/>
      <c r="C1822" s="3"/>
      <c r="D1822" s="5" t="s">
        <v>5475</v>
      </c>
      <c r="E1822" s="5" t="s">
        <v>124</v>
      </c>
      <c r="F1822" s="3" t="s">
        <v>5524</v>
      </c>
      <c r="G1822" s="6">
        <f t="shared" si="68"/>
        <v>227.47400000000002</v>
      </c>
      <c r="H1822" s="7">
        <v>41821</v>
      </c>
      <c r="I1822" s="6" t="s">
        <v>265</v>
      </c>
      <c r="J1822" s="6" t="s">
        <v>5525</v>
      </c>
      <c r="K1822" s="6" t="s">
        <v>5478</v>
      </c>
      <c r="L1822" s="6">
        <v>13</v>
      </c>
      <c r="M1822" s="15" t="s">
        <v>5523</v>
      </c>
      <c r="N1822" s="15" t="s">
        <v>167</v>
      </c>
      <c r="O1822" s="15" t="s">
        <v>5526</v>
      </c>
    </row>
    <row r="1823" spans="1:15" s="1" customFormat="1" ht="14.25" customHeight="1">
      <c r="A1823" s="3" t="s">
        <v>5474</v>
      </c>
      <c r="B1823" s="4"/>
      <c r="C1823" s="3"/>
      <c r="D1823" s="5" t="s">
        <v>5475</v>
      </c>
      <c r="E1823" s="5" t="s">
        <v>124</v>
      </c>
      <c r="F1823" s="3" t="s">
        <v>5527</v>
      </c>
      <c r="G1823" s="6">
        <f t="shared" si="68"/>
        <v>174.98000000000002</v>
      </c>
      <c r="H1823" s="7">
        <v>41821</v>
      </c>
      <c r="I1823" s="6" t="s">
        <v>265</v>
      </c>
      <c r="J1823" s="6" t="s">
        <v>5528</v>
      </c>
      <c r="K1823" s="6" t="s">
        <v>5478</v>
      </c>
      <c r="L1823" s="6">
        <v>10</v>
      </c>
      <c r="M1823" s="15" t="s">
        <v>5529</v>
      </c>
      <c r="N1823" s="15" t="s">
        <v>35</v>
      </c>
      <c r="O1823" s="15" t="s">
        <v>5529</v>
      </c>
    </row>
    <row r="1824" spans="1:15" ht="14.25" customHeight="1">
      <c r="A1824" s="3" t="s">
        <v>5474</v>
      </c>
      <c r="B1824" s="4"/>
      <c r="C1824" s="3"/>
      <c r="D1824" s="5" t="s">
        <v>5475</v>
      </c>
      <c r="E1824" s="5" t="s">
        <v>124</v>
      </c>
      <c r="F1824" s="3" t="s">
        <v>5530</v>
      </c>
      <c r="G1824" s="6">
        <f t="shared" si="68"/>
        <v>174.98000000000002</v>
      </c>
      <c r="H1824" s="7">
        <v>41821</v>
      </c>
      <c r="I1824" s="6" t="s">
        <v>265</v>
      </c>
      <c r="J1824" s="6" t="s">
        <v>5531</v>
      </c>
      <c r="K1824" s="6" t="s">
        <v>5478</v>
      </c>
      <c r="L1824" s="6">
        <v>10</v>
      </c>
      <c r="M1824" s="15" t="s">
        <v>5529</v>
      </c>
      <c r="N1824" s="15" t="s">
        <v>556</v>
      </c>
      <c r="O1824" s="15" t="s">
        <v>5532</v>
      </c>
    </row>
    <row r="1825" spans="1:15" ht="14.25" customHeight="1">
      <c r="A1825" s="3" t="s">
        <v>5474</v>
      </c>
      <c r="B1825" s="4"/>
      <c r="C1825" s="3"/>
      <c r="D1825" s="5" t="s">
        <v>5475</v>
      </c>
      <c r="E1825" s="5" t="s">
        <v>124</v>
      </c>
      <c r="F1825" s="3" t="s">
        <v>5533</v>
      </c>
      <c r="G1825" s="6">
        <f t="shared" si="68"/>
        <v>209.976</v>
      </c>
      <c r="H1825" s="7">
        <v>41821</v>
      </c>
      <c r="I1825" s="6" t="s">
        <v>265</v>
      </c>
      <c r="J1825" s="6" t="s">
        <v>5534</v>
      </c>
      <c r="K1825" s="6" t="s">
        <v>5478</v>
      </c>
      <c r="L1825" s="6">
        <v>12</v>
      </c>
      <c r="M1825" s="15" t="s">
        <v>5535</v>
      </c>
      <c r="N1825" s="15" t="s">
        <v>164</v>
      </c>
      <c r="O1825" s="15" t="s">
        <v>5535</v>
      </c>
    </row>
    <row r="1826" spans="1:15" ht="14.25" customHeight="1">
      <c r="A1826" s="3" t="s">
        <v>5474</v>
      </c>
      <c r="B1826" s="4"/>
      <c r="C1826" s="3"/>
      <c r="D1826" s="5" t="s">
        <v>5475</v>
      </c>
      <c r="E1826" s="5" t="s">
        <v>124</v>
      </c>
      <c r="F1826" s="3" t="s">
        <v>5536</v>
      </c>
      <c r="G1826" s="6">
        <f t="shared" si="68"/>
        <v>227.47400000000002</v>
      </c>
      <c r="H1826" s="7">
        <v>41821</v>
      </c>
      <c r="I1826" s="6" t="s">
        <v>265</v>
      </c>
      <c r="J1826" s="6" t="s">
        <v>5537</v>
      </c>
      <c r="K1826" s="6" t="s">
        <v>5478</v>
      </c>
      <c r="L1826" s="6">
        <v>13</v>
      </c>
      <c r="M1826" s="15" t="s">
        <v>5535</v>
      </c>
      <c r="N1826" s="15" t="s">
        <v>167</v>
      </c>
      <c r="O1826" s="15" t="s">
        <v>5538</v>
      </c>
    </row>
    <row r="1827" spans="1:15" ht="14.25" customHeight="1">
      <c r="A1827" s="3" t="s">
        <v>5474</v>
      </c>
      <c r="B1827" s="4"/>
      <c r="C1827" s="3"/>
      <c r="D1827" s="5" t="s">
        <v>5475</v>
      </c>
      <c r="E1827" s="5" t="s">
        <v>124</v>
      </c>
      <c r="F1827" s="3" t="s">
        <v>5539</v>
      </c>
      <c r="G1827" s="6">
        <f t="shared" si="68"/>
        <v>209.976</v>
      </c>
      <c r="H1827" s="7">
        <v>41821</v>
      </c>
      <c r="I1827" s="6" t="s">
        <v>265</v>
      </c>
      <c r="J1827" s="6" t="s">
        <v>5540</v>
      </c>
      <c r="K1827" s="6" t="s">
        <v>5478</v>
      </c>
      <c r="L1827" s="6">
        <v>12</v>
      </c>
      <c r="M1827" s="15" t="s">
        <v>5541</v>
      </c>
      <c r="N1827" s="15" t="s">
        <v>164</v>
      </c>
      <c r="O1827" s="15" t="s">
        <v>5541</v>
      </c>
    </row>
    <row r="1828" spans="1:15" s="1" customFormat="1" ht="14.25" customHeight="1">
      <c r="A1828" s="3" t="s">
        <v>5474</v>
      </c>
      <c r="B1828" s="4"/>
      <c r="C1828" s="3"/>
      <c r="D1828" s="5" t="s">
        <v>5475</v>
      </c>
      <c r="E1828" s="5" t="s">
        <v>124</v>
      </c>
      <c r="F1828" s="3" t="s">
        <v>5542</v>
      </c>
      <c r="G1828" s="6">
        <f t="shared" si="68"/>
        <v>227.47400000000002</v>
      </c>
      <c r="H1828" s="7">
        <v>41821</v>
      </c>
      <c r="I1828" s="6" t="s">
        <v>265</v>
      </c>
      <c r="J1828" s="6" t="s">
        <v>5543</v>
      </c>
      <c r="K1828" s="6" t="s">
        <v>5478</v>
      </c>
      <c r="L1828" s="6">
        <v>13</v>
      </c>
      <c r="M1828" s="15" t="s">
        <v>5541</v>
      </c>
      <c r="N1828" s="15" t="s">
        <v>167</v>
      </c>
      <c r="O1828" s="15" t="s">
        <v>5544</v>
      </c>
    </row>
    <row r="1829" spans="1:15" s="1" customFormat="1" ht="14.25" customHeight="1">
      <c r="A1829" s="3" t="s">
        <v>5474</v>
      </c>
      <c r="B1829" s="4"/>
      <c r="C1829" s="3"/>
      <c r="D1829" s="5" t="s">
        <v>5475</v>
      </c>
      <c r="E1829" s="5" t="s">
        <v>124</v>
      </c>
      <c r="F1829" s="3" t="s">
        <v>5545</v>
      </c>
      <c r="G1829" s="6">
        <f t="shared" si="68"/>
        <v>209.976</v>
      </c>
      <c r="H1829" s="7">
        <v>41821</v>
      </c>
      <c r="I1829" s="6" t="s">
        <v>265</v>
      </c>
      <c r="J1829" s="6" t="s">
        <v>5546</v>
      </c>
      <c r="K1829" s="6" t="s">
        <v>5478</v>
      </c>
      <c r="L1829" s="6">
        <v>12</v>
      </c>
      <c r="M1829" s="15" t="s">
        <v>5547</v>
      </c>
      <c r="N1829" s="15" t="s">
        <v>164</v>
      </c>
      <c r="O1829" s="15" t="s">
        <v>5547</v>
      </c>
    </row>
    <row r="1830" spans="1:15" s="1" customFormat="1" ht="14.25" customHeight="1">
      <c r="A1830" s="3" t="s">
        <v>5474</v>
      </c>
      <c r="B1830" s="4"/>
      <c r="C1830" s="3"/>
      <c r="D1830" s="5" t="s">
        <v>5475</v>
      </c>
      <c r="E1830" s="5" t="s">
        <v>124</v>
      </c>
      <c r="F1830" s="3" t="s">
        <v>5548</v>
      </c>
      <c r="G1830" s="6">
        <f t="shared" si="68"/>
        <v>227.47400000000002</v>
      </c>
      <c r="H1830" s="7">
        <v>41821</v>
      </c>
      <c r="I1830" s="6" t="s">
        <v>265</v>
      </c>
      <c r="J1830" s="6" t="s">
        <v>5549</v>
      </c>
      <c r="K1830" s="6" t="s">
        <v>5478</v>
      </c>
      <c r="L1830" s="6">
        <v>13</v>
      </c>
      <c r="M1830" s="15" t="s">
        <v>5547</v>
      </c>
      <c r="N1830" s="15" t="s">
        <v>167</v>
      </c>
      <c r="O1830" s="15" t="s">
        <v>5550</v>
      </c>
    </row>
    <row r="1831" spans="1:15" s="1" customFormat="1" ht="14.25" customHeight="1">
      <c r="A1831" s="3" t="s">
        <v>5474</v>
      </c>
      <c r="B1831" s="3"/>
      <c r="C1831" s="3"/>
      <c r="D1831" s="5" t="s">
        <v>5475</v>
      </c>
      <c r="E1831" s="5" t="s">
        <v>124</v>
      </c>
      <c r="F1831" s="3" t="s">
        <v>5551</v>
      </c>
      <c r="G1831" s="6">
        <f t="shared" si="68"/>
        <v>174.98000000000002</v>
      </c>
      <c r="H1831" s="7">
        <v>41821</v>
      </c>
      <c r="I1831" s="6" t="s">
        <v>265</v>
      </c>
      <c r="J1831" s="6" t="s">
        <v>5552</v>
      </c>
      <c r="K1831" s="6" t="s">
        <v>5478</v>
      </c>
      <c r="L1831" s="6">
        <v>10</v>
      </c>
      <c r="M1831" s="15" t="s">
        <v>5553</v>
      </c>
      <c r="N1831" s="15" t="s">
        <v>35</v>
      </c>
      <c r="O1831" s="15" t="s">
        <v>5553</v>
      </c>
    </row>
    <row r="1832" spans="1:15" s="1" customFormat="1" ht="14.25" customHeight="1">
      <c r="A1832" s="3" t="s">
        <v>5474</v>
      </c>
      <c r="B1832" s="4"/>
      <c r="C1832" s="3"/>
      <c r="D1832" s="5" t="s">
        <v>5475</v>
      </c>
      <c r="E1832" s="5" t="s">
        <v>124</v>
      </c>
      <c r="F1832" s="3" t="s">
        <v>5554</v>
      </c>
      <c r="G1832" s="6">
        <f t="shared" si="68"/>
        <v>174.98000000000002</v>
      </c>
      <c r="H1832" s="7">
        <v>41821</v>
      </c>
      <c r="I1832" s="6" t="s">
        <v>265</v>
      </c>
      <c r="J1832" s="6" t="s">
        <v>5555</v>
      </c>
      <c r="K1832" s="6" t="s">
        <v>5478</v>
      </c>
      <c r="L1832" s="6">
        <v>10</v>
      </c>
      <c r="M1832" s="15" t="s">
        <v>5553</v>
      </c>
      <c r="N1832" s="15" t="s">
        <v>2771</v>
      </c>
      <c r="O1832" s="15" t="s">
        <v>5556</v>
      </c>
    </row>
    <row r="1833" spans="1:15" ht="14.25" customHeight="1">
      <c r="A1833" s="3" t="s">
        <v>1066</v>
      </c>
      <c r="B1833" s="4"/>
      <c r="C1833" s="3"/>
      <c r="D1833" s="5" t="s">
        <v>391</v>
      </c>
      <c r="E1833" s="5" t="s">
        <v>124</v>
      </c>
      <c r="F1833" s="3" t="s">
        <v>5557</v>
      </c>
      <c r="G1833" s="6">
        <f>17.712*L1833</f>
        <v>265.68</v>
      </c>
      <c r="H1833" s="7">
        <v>41821</v>
      </c>
      <c r="I1833" s="6" t="s">
        <v>265</v>
      </c>
      <c r="J1833" s="6" t="s">
        <v>5558</v>
      </c>
      <c r="K1833" s="6" t="s">
        <v>21</v>
      </c>
      <c r="L1833" s="6">
        <v>15</v>
      </c>
      <c r="M1833" s="15" t="s">
        <v>5559</v>
      </c>
      <c r="N1833" s="15" t="s">
        <v>5066</v>
      </c>
      <c r="O1833" s="15" t="s">
        <v>5559</v>
      </c>
    </row>
    <row r="1834" spans="1:15" s="1" customFormat="1" ht="14.25" customHeight="1">
      <c r="A1834" s="3" t="s">
        <v>918</v>
      </c>
      <c r="B1834" s="4"/>
      <c r="C1834" s="3"/>
      <c r="D1834" s="5" t="s">
        <v>919</v>
      </c>
      <c r="E1834" s="5" t="s">
        <v>124</v>
      </c>
      <c r="F1834" s="3" t="s">
        <v>5560</v>
      </c>
      <c r="G1834" s="6">
        <f>17.712*L1834</f>
        <v>212.54399999999998</v>
      </c>
      <c r="H1834" s="7">
        <v>41821</v>
      </c>
      <c r="I1834" s="6" t="s">
        <v>265</v>
      </c>
      <c r="J1834" s="6" t="s">
        <v>5561</v>
      </c>
      <c r="K1834" s="6" t="s">
        <v>21</v>
      </c>
      <c r="L1834" s="6">
        <v>12</v>
      </c>
      <c r="M1834" s="15" t="s">
        <v>5562</v>
      </c>
      <c r="N1834" s="15" t="s">
        <v>164</v>
      </c>
      <c r="O1834" s="15" t="s">
        <v>5562</v>
      </c>
    </row>
    <row r="1835" spans="1:15" s="1" customFormat="1" ht="14.25" customHeight="1">
      <c r="A1835" s="3" t="s">
        <v>918</v>
      </c>
      <c r="B1835" s="4"/>
      <c r="C1835" s="3"/>
      <c r="D1835" s="5" t="s">
        <v>919</v>
      </c>
      <c r="E1835" s="5" t="s">
        <v>124</v>
      </c>
      <c r="F1835" s="3" t="s">
        <v>5563</v>
      </c>
      <c r="G1835" s="6">
        <f>17.712*L1835</f>
        <v>230.256</v>
      </c>
      <c r="H1835" s="7">
        <v>41821</v>
      </c>
      <c r="I1835" s="6" t="s">
        <v>265</v>
      </c>
      <c r="J1835" s="6" t="s">
        <v>5564</v>
      </c>
      <c r="K1835" s="6" t="s">
        <v>21</v>
      </c>
      <c r="L1835" s="6">
        <v>13</v>
      </c>
      <c r="M1835" s="15" t="s">
        <v>5562</v>
      </c>
      <c r="N1835" s="15" t="s">
        <v>167</v>
      </c>
      <c r="O1835" s="15" t="s">
        <v>5565</v>
      </c>
    </row>
    <row r="1836" spans="1:15" s="1" customFormat="1" ht="14.25" customHeight="1">
      <c r="A1836" s="3" t="s">
        <v>918</v>
      </c>
      <c r="B1836" s="4"/>
      <c r="C1836" s="3"/>
      <c r="D1836" s="5" t="s">
        <v>919</v>
      </c>
      <c r="E1836" s="5" t="s">
        <v>124</v>
      </c>
      <c r="F1836" s="3" t="s">
        <v>5566</v>
      </c>
      <c r="G1836" s="6">
        <f>17.712*L1836</f>
        <v>212.54399999999998</v>
      </c>
      <c r="H1836" s="7">
        <v>41821</v>
      </c>
      <c r="I1836" s="6" t="s">
        <v>265</v>
      </c>
      <c r="J1836" s="6" t="s">
        <v>5567</v>
      </c>
      <c r="K1836" s="6" t="s">
        <v>21</v>
      </c>
      <c r="L1836" s="6">
        <v>12</v>
      </c>
      <c r="M1836" s="15" t="s">
        <v>5568</v>
      </c>
      <c r="N1836" s="15" t="s">
        <v>164</v>
      </c>
      <c r="O1836" s="15" t="s">
        <v>5568</v>
      </c>
    </row>
    <row r="1837" spans="1:15" s="1" customFormat="1" ht="14.25" customHeight="1">
      <c r="A1837" s="3" t="s">
        <v>918</v>
      </c>
      <c r="B1837" s="4"/>
      <c r="C1837" s="3"/>
      <c r="D1837" s="5" t="s">
        <v>919</v>
      </c>
      <c r="E1837" s="5" t="s">
        <v>124</v>
      </c>
      <c r="F1837" s="3" t="s">
        <v>5569</v>
      </c>
      <c r="G1837" s="6">
        <f>17.712*L1837</f>
        <v>230.256</v>
      </c>
      <c r="H1837" s="7">
        <v>41821</v>
      </c>
      <c r="I1837" s="6" t="s">
        <v>265</v>
      </c>
      <c r="J1837" s="6" t="s">
        <v>5570</v>
      </c>
      <c r="K1837" s="6" t="s">
        <v>21</v>
      </c>
      <c r="L1837" s="6">
        <v>13</v>
      </c>
      <c r="M1837" s="15" t="s">
        <v>5568</v>
      </c>
      <c r="N1837" s="15" t="s">
        <v>167</v>
      </c>
      <c r="O1837" s="15" t="s">
        <v>5571</v>
      </c>
    </row>
    <row r="1838" spans="1:15" s="1" customFormat="1" ht="14.25" customHeight="1">
      <c r="A1838" s="22" t="s">
        <v>5572</v>
      </c>
      <c r="B1838" s="4"/>
      <c r="C1838" s="3"/>
      <c r="D1838" s="5" t="s">
        <v>5573</v>
      </c>
      <c r="E1838" s="5" t="s">
        <v>124</v>
      </c>
      <c r="F1838" s="3" t="s">
        <v>5574</v>
      </c>
      <c r="G1838" s="6">
        <v>82.111000000000004</v>
      </c>
      <c r="H1838" s="7">
        <v>41821</v>
      </c>
      <c r="I1838" s="6" t="s">
        <v>5437</v>
      </c>
      <c r="J1838" s="6" t="s">
        <v>5575</v>
      </c>
      <c r="K1838" s="6" t="s">
        <v>21</v>
      </c>
      <c r="L1838" s="6" t="s">
        <v>2788</v>
      </c>
      <c r="M1838" s="15" t="s">
        <v>5576</v>
      </c>
      <c r="N1838" s="15" t="s">
        <v>2790</v>
      </c>
      <c r="O1838" s="28" t="s">
        <v>5577</v>
      </c>
    </row>
    <row r="1839" spans="1:15" s="1" customFormat="1" ht="14.25" customHeight="1">
      <c r="A1839" s="3" t="s">
        <v>5572</v>
      </c>
      <c r="B1839" s="4"/>
      <c r="C1839" s="3"/>
      <c r="D1839" s="5" t="s">
        <v>5573</v>
      </c>
      <c r="E1839" s="5" t="s">
        <v>124</v>
      </c>
      <c r="F1839" s="3" t="s">
        <v>5578</v>
      </c>
      <c r="G1839" s="6">
        <v>82.361999999999995</v>
      </c>
      <c r="H1839" s="7">
        <v>41821</v>
      </c>
      <c r="I1839" s="6" t="s">
        <v>5437</v>
      </c>
      <c r="J1839" s="6" t="s">
        <v>5579</v>
      </c>
      <c r="K1839" s="6" t="s">
        <v>21</v>
      </c>
      <c r="L1839" s="6" t="s">
        <v>2788</v>
      </c>
      <c r="M1839" s="15" t="s">
        <v>5580</v>
      </c>
      <c r="N1839" s="15" t="s">
        <v>2795</v>
      </c>
      <c r="O1839" s="15" t="s">
        <v>5581</v>
      </c>
    </row>
    <row r="1840" spans="1:15" s="1" customFormat="1" ht="14.25" customHeight="1">
      <c r="A1840" s="3" t="s">
        <v>5572</v>
      </c>
      <c r="B1840" s="3"/>
      <c r="C1840" s="3"/>
      <c r="D1840" s="5" t="s">
        <v>5573</v>
      </c>
      <c r="E1840" s="5" t="s">
        <v>124</v>
      </c>
      <c r="F1840" s="3" t="s">
        <v>5582</v>
      </c>
      <c r="G1840" s="6">
        <v>82.593000000000004</v>
      </c>
      <c r="H1840" s="7">
        <v>41821</v>
      </c>
      <c r="I1840" s="6" t="s">
        <v>5437</v>
      </c>
      <c r="J1840" s="6" t="s">
        <v>5583</v>
      </c>
      <c r="K1840" s="6" t="s">
        <v>21</v>
      </c>
      <c r="L1840" s="6" t="s">
        <v>2788</v>
      </c>
      <c r="M1840" s="15" t="s">
        <v>5584</v>
      </c>
      <c r="N1840" s="15" t="s">
        <v>2800</v>
      </c>
      <c r="O1840" s="15" t="s">
        <v>5585</v>
      </c>
    </row>
    <row r="1841" spans="1:15" s="1" customFormat="1" ht="14.25" customHeight="1">
      <c r="A1841" s="3" t="s">
        <v>1043</v>
      </c>
      <c r="B1841" s="4"/>
      <c r="C1841" s="3"/>
      <c r="D1841" s="5" t="s">
        <v>443</v>
      </c>
      <c r="E1841" s="5" t="s">
        <v>7026</v>
      </c>
      <c r="F1841" s="3" t="s">
        <v>8525</v>
      </c>
      <c r="G1841" s="6">
        <f t="shared" ref="G1841:G1846" si="69">18.708*L1841</f>
        <v>224.49599999999998</v>
      </c>
      <c r="H1841" s="7">
        <v>41821</v>
      </c>
      <c r="I1841" s="40" t="s">
        <v>8264</v>
      </c>
      <c r="J1841" s="6" t="s">
        <v>8526</v>
      </c>
      <c r="K1841" s="6" t="s">
        <v>21</v>
      </c>
      <c r="L1841" s="6">
        <v>12</v>
      </c>
      <c r="M1841" s="15" t="s">
        <v>8527</v>
      </c>
      <c r="N1841" s="15" t="s">
        <v>164</v>
      </c>
      <c r="O1841" s="27"/>
    </row>
    <row r="1842" spans="1:15" s="1" customFormat="1" ht="14.25" customHeight="1">
      <c r="A1842" s="3" t="s">
        <v>1043</v>
      </c>
      <c r="B1842" s="4"/>
      <c r="C1842" s="3"/>
      <c r="D1842" s="5" t="s">
        <v>443</v>
      </c>
      <c r="E1842" s="5" t="s">
        <v>7026</v>
      </c>
      <c r="F1842" s="3" t="s">
        <v>8528</v>
      </c>
      <c r="G1842" s="6">
        <f t="shared" si="69"/>
        <v>243.20399999999998</v>
      </c>
      <c r="H1842" s="7">
        <v>41821</v>
      </c>
      <c r="I1842" s="40" t="s">
        <v>8264</v>
      </c>
      <c r="J1842" s="6" t="s">
        <v>8529</v>
      </c>
      <c r="K1842" s="6" t="s">
        <v>21</v>
      </c>
      <c r="L1842" s="6">
        <v>13</v>
      </c>
      <c r="M1842" s="15" t="s">
        <v>8527</v>
      </c>
      <c r="N1842" s="15" t="s">
        <v>167</v>
      </c>
      <c r="O1842" s="15"/>
    </row>
    <row r="1843" spans="1:15" s="1" customFormat="1" ht="14.25" customHeight="1">
      <c r="A1843" s="3" t="s">
        <v>1043</v>
      </c>
      <c r="B1843" s="4"/>
      <c r="C1843" s="3"/>
      <c r="D1843" s="5" t="s">
        <v>443</v>
      </c>
      <c r="E1843" s="5" t="s">
        <v>7026</v>
      </c>
      <c r="F1843" s="3" t="s">
        <v>8530</v>
      </c>
      <c r="G1843" s="6">
        <f t="shared" si="69"/>
        <v>224.49599999999998</v>
      </c>
      <c r="H1843" s="7">
        <v>41821</v>
      </c>
      <c r="I1843" s="40" t="s">
        <v>8264</v>
      </c>
      <c r="J1843" s="6" t="s">
        <v>8531</v>
      </c>
      <c r="K1843" s="6" t="s">
        <v>21</v>
      </c>
      <c r="L1843" s="6">
        <v>12</v>
      </c>
      <c r="M1843" s="15" t="s">
        <v>8532</v>
      </c>
      <c r="N1843" s="15" t="s">
        <v>164</v>
      </c>
      <c r="O1843" s="27"/>
    </row>
    <row r="1844" spans="1:15" s="1" customFormat="1" ht="14.25" customHeight="1">
      <c r="A1844" s="3" t="s">
        <v>1043</v>
      </c>
      <c r="B1844" s="4"/>
      <c r="C1844" s="3"/>
      <c r="D1844" s="5" t="s">
        <v>443</v>
      </c>
      <c r="E1844" s="5" t="s">
        <v>7026</v>
      </c>
      <c r="F1844" s="3" t="s">
        <v>8533</v>
      </c>
      <c r="G1844" s="6">
        <f t="shared" si="69"/>
        <v>243.20399999999998</v>
      </c>
      <c r="H1844" s="7">
        <v>41821</v>
      </c>
      <c r="I1844" s="40" t="s">
        <v>8264</v>
      </c>
      <c r="J1844" s="6" t="s">
        <v>8534</v>
      </c>
      <c r="K1844" s="6" t="s">
        <v>21</v>
      </c>
      <c r="L1844" s="6">
        <v>13</v>
      </c>
      <c r="M1844" s="15" t="s">
        <v>8532</v>
      </c>
      <c r="N1844" s="15" t="s">
        <v>167</v>
      </c>
      <c r="O1844" s="15"/>
    </row>
    <row r="1845" spans="1:15" s="1" customFormat="1" ht="14.25" customHeight="1">
      <c r="A1845" s="3" t="s">
        <v>1043</v>
      </c>
      <c r="B1845" s="4"/>
      <c r="C1845" s="3"/>
      <c r="D1845" s="5" t="s">
        <v>443</v>
      </c>
      <c r="E1845" s="5" t="s">
        <v>7026</v>
      </c>
      <c r="F1845" s="3" t="s">
        <v>8535</v>
      </c>
      <c r="G1845" s="6">
        <f t="shared" si="69"/>
        <v>224.49599999999998</v>
      </c>
      <c r="H1845" s="7">
        <v>41821</v>
      </c>
      <c r="I1845" s="40" t="s">
        <v>8264</v>
      </c>
      <c r="J1845" s="6" t="s">
        <v>8536</v>
      </c>
      <c r="K1845" s="6" t="s">
        <v>21</v>
      </c>
      <c r="L1845" s="6">
        <v>12</v>
      </c>
      <c r="M1845" s="15" t="s">
        <v>8537</v>
      </c>
      <c r="N1845" s="15" t="s">
        <v>164</v>
      </c>
      <c r="O1845" s="15"/>
    </row>
    <row r="1846" spans="1:15" s="1" customFormat="1" ht="14.25" customHeight="1">
      <c r="A1846" s="3" t="s">
        <v>1043</v>
      </c>
      <c r="B1846" s="4"/>
      <c r="C1846" s="3"/>
      <c r="D1846" s="5" t="s">
        <v>443</v>
      </c>
      <c r="E1846" s="5" t="s">
        <v>7026</v>
      </c>
      <c r="F1846" s="3" t="s">
        <v>8538</v>
      </c>
      <c r="G1846" s="6">
        <f t="shared" si="69"/>
        <v>243.20399999999998</v>
      </c>
      <c r="H1846" s="7">
        <v>41821</v>
      </c>
      <c r="I1846" s="40" t="s">
        <v>8264</v>
      </c>
      <c r="J1846" s="6" t="s">
        <v>8539</v>
      </c>
      <c r="K1846" s="6" t="s">
        <v>21</v>
      </c>
      <c r="L1846" s="6">
        <v>13</v>
      </c>
      <c r="M1846" s="15" t="s">
        <v>8537</v>
      </c>
      <c r="N1846" s="15" t="s">
        <v>167</v>
      </c>
      <c r="O1846" s="27"/>
    </row>
    <row r="1847" spans="1:15" s="1" customFormat="1" ht="14.25" customHeight="1">
      <c r="A1847" s="3" t="s">
        <v>585</v>
      </c>
      <c r="B1847" s="4"/>
      <c r="C1847" s="3"/>
      <c r="D1847" s="5" t="s">
        <v>586</v>
      </c>
      <c r="E1847" s="5" t="s">
        <v>124</v>
      </c>
      <c r="F1847" s="3" t="s">
        <v>5586</v>
      </c>
      <c r="G1847" s="6">
        <f>17.52*L1847</f>
        <v>52.56</v>
      </c>
      <c r="H1847" s="7">
        <v>41822</v>
      </c>
      <c r="I1847" s="6" t="s">
        <v>5437</v>
      </c>
      <c r="J1847" s="6" t="s">
        <v>5587</v>
      </c>
      <c r="K1847" s="6" t="s">
        <v>21</v>
      </c>
      <c r="L1847" s="6">
        <v>3</v>
      </c>
      <c r="M1847" s="15" t="s">
        <v>5588</v>
      </c>
      <c r="N1847" s="15" t="s">
        <v>3382</v>
      </c>
      <c r="O1847" s="28" t="s">
        <v>5589</v>
      </c>
    </row>
    <row r="1848" spans="1:15" s="1" customFormat="1" ht="14.25" customHeight="1">
      <c r="A1848" s="3" t="s">
        <v>585</v>
      </c>
      <c r="B1848" s="3"/>
      <c r="C1848" s="3"/>
      <c r="D1848" s="5" t="s">
        <v>586</v>
      </c>
      <c r="E1848" s="5" t="s">
        <v>124</v>
      </c>
      <c r="F1848" s="3" t="s">
        <v>12189</v>
      </c>
      <c r="G1848" s="6">
        <f>17.52*L1848</f>
        <v>87.6</v>
      </c>
      <c r="H1848" s="7">
        <v>41822</v>
      </c>
      <c r="I1848" s="6" t="s">
        <v>5437</v>
      </c>
      <c r="J1848" s="6" t="s">
        <v>9270</v>
      </c>
      <c r="K1848" s="6" t="s">
        <v>21</v>
      </c>
      <c r="L1848" s="6">
        <v>5</v>
      </c>
      <c r="M1848" s="15" t="s">
        <v>9271</v>
      </c>
      <c r="N1848" s="15" t="s">
        <v>1194</v>
      </c>
      <c r="O1848" s="15" t="s">
        <v>9272</v>
      </c>
    </row>
    <row r="1849" spans="1:15" ht="14.25" customHeight="1">
      <c r="A1849" s="3" t="s">
        <v>854</v>
      </c>
      <c r="B1849" s="4"/>
      <c r="C1849" s="3"/>
      <c r="D1849" s="5" t="s">
        <v>855</v>
      </c>
      <c r="E1849" s="5" t="s">
        <v>124</v>
      </c>
      <c r="F1849" s="3" t="s">
        <v>5590</v>
      </c>
      <c r="G1849" s="6">
        <f>17.52*L1849</f>
        <v>105.12</v>
      </c>
      <c r="H1849" s="7">
        <v>41822</v>
      </c>
      <c r="I1849" s="6" t="s">
        <v>209</v>
      </c>
      <c r="J1849" s="6" t="s">
        <v>5591</v>
      </c>
      <c r="K1849" s="6" t="s">
        <v>21</v>
      </c>
      <c r="L1849" s="6">
        <v>6</v>
      </c>
      <c r="M1849" s="15" t="s">
        <v>5335</v>
      </c>
      <c r="N1849" s="15" t="s">
        <v>5592</v>
      </c>
      <c r="O1849" s="15" t="s">
        <v>5593</v>
      </c>
    </row>
    <row r="1850" spans="1:15" s="1" customFormat="1" ht="14.25" customHeight="1">
      <c r="A1850" s="3" t="s">
        <v>316</v>
      </c>
      <c r="B1850" s="4"/>
      <c r="C1850" s="3"/>
      <c r="D1850" s="5" t="s">
        <v>317</v>
      </c>
      <c r="E1850" s="5" t="s">
        <v>124</v>
      </c>
      <c r="F1850" s="3" t="s">
        <v>5594</v>
      </c>
      <c r="G1850" s="6">
        <f>17.52*L1850</f>
        <v>122.64</v>
      </c>
      <c r="H1850" s="7">
        <v>41822</v>
      </c>
      <c r="I1850" s="6" t="s">
        <v>209</v>
      </c>
      <c r="J1850" s="6" t="s">
        <v>5595</v>
      </c>
      <c r="K1850" s="6" t="s">
        <v>21</v>
      </c>
      <c r="L1850" s="6">
        <v>7</v>
      </c>
      <c r="M1850" s="15" t="s">
        <v>5026</v>
      </c>
      <c r="N1850" s="15" t="s">
        <v>5596</v>
      </c>
      <c r="O1850" s="15" t="s">
        <v>5597</v>
      </c>
    </row>
    <row r="1851" spans="1:15" s="1" customFormat="1" ht="14.25" customHeight="1">
      <c r="A1851" s="3" t="s">
        <v>557</v>
      </c>
      <c r="B1851" s="3" t="s">
        <v>4520</v>
      </c>
      <c r="C1851" s="3"/>
      <c r="D1851" s="5" t="s">
        <v>558</v>
      </c>
      <c r="E1851" s="5" t="s">
        <v>124</v>
      </c>
      <c r="F1851" s="3" t="s">
        <v>5598</v>
      </c>
      <c r="G1851" s="6">
        <f>29.101*L1851</f>
        <v>174.60599999999999</v>
      </c>
      <c r="H1851" s="7">
        <v>41822</v>
      </c>
      <c r="I1851" s="6" t="s">
        <v>346</v>
      </c>
      <c r="J1851" s="6" t="s">
        <v>11953</v>
      </c>
      <c r="K1851" s="6" t="s">
        <v>21</v>
      </c>
      <c r="L1851" s="6">
        <v>6</v>
      </c>
      <c r="M1851" s="15" t="s">
        <v>5599</v>
      </c>
      <c r="N1851" s="15" t="s">
        <v>1155</v>
      </c>
      <c r="O1851" s="15" t="s">
        <v>5600</v>
      </c>
    </row>
    <row r="1852" spans="1:15" s="1" customFormat="1" ht="14.25" customHeight="1">
      <c r="A1852" s="3" t="s">
        <v>772</v>
      </c>
      <c r="B1852" s="4"/>
      <c r="C1852" s="3"/>
      <c r="D1852" s="5" t="s">
        <v>773</v>
      </c>
      <c r="E1852" s="5" t="s">
        <v>124</v>
      </c>
      <c r="F1852" s="3" t="s">
        <v>5601</v>
      </c>
      <c r="G1852" s="6">
        <f>18.708*L1852</f>
        <v>243.20399999999998</v>
      </c>
      <c r="H1852" s="7">
        <v>41822</v>
      </c>
      <c r="I1852" s="6" t="s">
        <v>265</v>
      </c>
      <c r="J1852" s="6" t="s">
        <v>5602</v>
      </c>
      <c r="K1852" s="6" t="s">
        <v>21</v>
      </c>
      <c r="L1852" s="6">
        <v>13</v>
      </c>
      <c r="M1852" s="15" t="s">
        <v>5603</v>
      </c>
      <c r="N1852" s="15" t="s">
        <v>81</v>
      </c>
      <c r="O1852" s="15" t="s">
        <v>5603</v>
      </c>
    </row>
    <row r="1853" spans="1:15" ht="14.25" customHeight="1">
      <c r="A1853" s="22" t="s">
        <v>5604</v>
      </c>
      <c r="B1853" s="3"/>
      <c r="C1853" s="3"/>
      <c r="D1853" s="5" t="s">
        <v>3106</v>
      </c>
      <c r="E1853" s="5" t="s">
        <v>124</v>
      </c>
      <c r="F1853" s="3" t="s">
        <v>5605</v>
      </c>
      <c r="G1853" s="6">
        <f>17.498*L1853</f>
        <v>122.486</v>
      </c>
      <c r="H1853" s="7">
        <v>41822</v>
      </c>
      <c r="I1853" s="6" t="s">
        <v>172</v>
      </c>
      <c r="J1853" s="6" t="s">
        <v>5606</v>
      </c>
      <c r="K1853" s="6" t="s">
        <v>21</v>
      </c>
      <c r="L1853" s="6">
        <v>7</v>
      </c>
      <c r="M1853" s="15" t="s">
        <v>5519</v>
      </c>
      <c r="N1853" s="15" t="s">
        <v>5607</v>
      </c>
      <c r="O1853" s="15" t="s">
        <v>5608</v>
      </c>
    </row>
    <row r="1854" spans="1:15" ht="14.25" customHeight="1">
      <c r="A1854" s="22" t="s">
        <v>9276</v>
      </c>
      <c r="B1854" s="3"/>
      <c r="C1854" s="3"/>
      <c r="D1854" s="5" t="s">
        <v>2571</v>
      </c>
      <c r="E1854" s="5" t="s">
        <v>124</v>
      </c>
      <c r="F1854" s="3" t="s">
        <v>9277</v>
      </c>
      <c r="G1854" s="6">
        <f>17.498*L1854</f>
        <v>87.490000000000009</v>
      </c>
      <c r="H1854" s="7">
        <v>41822</v>
      </c>
      <c r="I1854" s="6" t="s">
        <v>6916</v>
      </c>
      <c r="J1854" s="6" t="s">
        <v>9278</v>
      </c>
      <c r="K1854" s="6" t="s">
        <v>21</v>
      </c>
      <c r="L1854" s="6">
        <v>5</v>
      </c>
      <c r="M1854" s="15" t="s">
        <v>9279</v>
      </c>
      <c r="N1854" s="15" t="s">
        <v>9280</v>
      </c>
      <c r="O1854" s="15" t="s">
        <v>9279</v>
      </c>
    </row>
    <row r="1855" spans="1:15" s="1" customFormat="1" ht="14.25" customHeight="1">
      <c r="A1855" s="3" t="s">
        <v>525</v>
      </c>
      <c r="B1855" s="3"/>
      <c r="C1855" s="3"/>
      <c r="D1855" s="5" t="s">
        <v>526</v>
      </c>
      <c r="E1855" s="5" t="s">
        <v>124</v>
      </c>
      <c r="F1855" s="3" t="s">
        <v>5609</v>
      </c>
      <c r="G1855" s="6">
        <f>17.498*L1855</f>
        <v>34.996000000000002</v>
      </c>
      <c r="H1855" s="7">
        <v>41822</v>
      </c>
      <c r="I1855" s="6" t="s">
        <v>913</v>
      </c>
      <c r="J1855" s="6" t="s">
        <v>5610</v>
      </c>
      <c r="K1855" s="6" t="s">
        <v>21</v>
      </c>
      <c r="L1855" s="6">
        <v>2</v>
      </c>
      <c r="M1855" s="15" t="s">
        <v>1207</v>
      </c>
      <c r="N1855" s="15" t="s">
        <v>836</v>
      </c>
      <c r="O1855" s="15" t="s">
        <v>5611</v>
      </c>
    </row>
    <row r="1856" spans="1:15" ht="14.25" customHeight="1">
      <c r="A1856" s="3" t="s">
        <v>1082</v>
      </c>
      <c r="B1856" s="3" t="s">
        <v>4520</v>
      </c>
      <c r="C1856" s="3"/>
      <c r="D1856" s="5" t="s">
        <v>1083</v>
      </c>
      <c r="E1856" s="5" t="s">
        <v>124</v>
      </c>
      <c r="F1856" s="3" t="s">
        <v>5612</v>
      </c>
      <c r="G1856" s="6">
        <f>9.871*L1856</f>
        <v>118.452</v>
      </c>
      <c r="H1856" s="7">
        <v>41822</v>
      </c>
      <c r="I1856" s="6" t="s">
        <v>161</v>
      </c>
      <c r="J1856" s="6" t="s">
        <v>5613</v>
      </c>
      <c r="K1856" s="6" t="s">
        <v>21</v>
      </c>
      <c r="L1856" s="6">
        <v>12</v>
      </c>
      <c r="M1856" s="15" t="s">
        <v>4900</v>
      </c>
      <c r="N1856" s="15" t="s">
        <v>1211</v>
      </c>
      <c r="O1856" s="15" t="s">
        <v>5614</v>
      </c>
    </row>
    <row r="1857" spans="1:15" s="1" customFormat="1" ht="14.25" customHeight="1">
      <c r="A1857" s="3" t="s">
        <v>1082</v>
      </c>
      <c r="B1857" s="3" t="s">
        <v>4520</v>
      </c>
      <c r="C1857" s="3"/>
      <c r="D1857" s="5" t="s">
        <v>1083</v>
      </c>
      <c r="E1857" s="5" t="s">
        <v>124</v>
      </c>
      <c r="F1857" s="3" t="s">
        <v>5615</v>
      </c>
      <c r="G1857" s="6">
        <f>9.871*L1857</f>
        <v>118.452</v>
      </c>
      <c r="H1857" s="7">
        <v>41822</v>
      </c>
      <c r="I1857" s="6" t="s">
        <v>161</v>
      </c>
      <c r="J1857" s="6" t="s">
        <v>5616</v>
      </c>
      <c r="K1857" s="6" t="s">
        <v>21</v>
      </c>
      <c r="L1857" s="6">
        <v>12</v>
      </c>
      <c r="M1857" s="15" t="s">
        <v>5617</v>
      </c>
      <c r="N1857" s="15" t="s">
        <v>164</v>
      </c>
      <c r="O1857" s="15" t="s">
        <v>5617</v>
      </c>
    </row>
    <row r="1858" spans="1:15" s="1" customFormat="1" ht="14.25" customHeight="1">
      <c r="A1858" s="3" t="s">
        <v>1082</v>
      </c>
      <c r="B1858" s="3" t="s">
        <v>4520</v>
      </c>
      <c r="C1858" s="3"/>
      <c r="D1858" s="5" t="s">
        <v>1083</v>
      </c>
      <c r="E1858" s="5" t="s">
        <v>124</v>
      </c>
      <c r="F1858" s="3" t="s">
        <v>5618</v>
      </c>
      <c r="G1858" s="6">
        <f>9.871*L1858</f>
        <v>128.32300000000001</v>
      </c>
      <c r="H1858" s="7">
        <v>41822</v>
      </c>
      <c r="I1858" s="6" t="s">
        <v>161</v>
      </c>
      <c r="J1858" s="6" t="s">
        <v>5619</v>
      </c>
      <c r="K1858" s="6" t="s">
        <v>21</v>
      </c>
      <c r="L1858" s="6">
        <v>13</v>
      </c>
      <c r="M1858" s="15" t="s">
        <v>5617</v>
      </c>
      <c r="N1858" s="15" t="s">
        <v>167</v>
      </c>
      <c r="O1858" s="15" t="s">
        <v>5620</v>
      </c>
    </row>
    <row r="1859" spans="1:15" s="1" customFormat="1" ht="14.25" customHeight="1">
      <c r="A1859" s="3" t="s">
        <v>1082</v>
      </c>
      <c r="B1859" s="3" t="s">
        <v>4520</v>
      </c>
      <c r="C1859" s="3"/>
      <c r="D1859" s="5" t="s">
        <v>1083</v>
      </c>
      <c r="E1859" s="5" t="s">
        <v>124</v>
      </c>
      <c r="F1859" s="3" t="s">
        <v>5621</v>
      </c>
      <c r="G1859" s="6">
        <f>9.871*L1859</f>
        <v>128.32300000000001</v>
      </c>
      <c r="H1859" s="7">
        <v>41822</v>
      </c>
      <c r="I1859" s="6" t="s">
        <v>161</v>
      </c>
      <c r="J1859" s="6" t="s">
        <v>5622</v>
      </c>
      <c r="K1859" s="6" t="s">
        <v>21</v>
      </c>
      <c r="L1859" s="6">
        <v>13</v>
      </c>
      <c r="M1859" s="15" t="s">
        <v>5623</v>
      </c>
      <c r="N1859" s="15" t="s">
        <v>167</v>
      </c>
      <c r="O1859" s="15" t="s">
        <v>5623</v>
      </c>
    </row>
    <row r="1860" spans="1:15" s="1" customFormat="1" ht="14.25" customHeight="1">
      <c r="A1860" s="3" t="s">
        <v>1108</v>
      </c>
      <c r="B1860" s="4"/>
      <c r="C1860" s="3"/>
      <c r="D1860" s="5" t="s">
        <v>391</v>
      </c>
      <c r="E1860" s="5" t="s">
        <v>124</v>
      </c>
      <c r="F1860" s="3" t="s">
        <v>5624</v>
      </c>
      <c r="G1860" s="6">
        <f>17.712*L1860</f>
        <v>212.54399999999998</v>
      </c>
      <c r="H1860" s="7">
        <v>41822</v>
      </c>
      <c r="I1860" s="6" t="s">
        <v>265</v>
      </c>
      <c r="J1860" s="6" t="s">
        <v>5625</v>
      </c>
      <c r="K1860" s="6" t="s">
        <v>21</v>
      </c>
      <c r="L1860" s="6">
        <v>12</v>
      </c>
      <c r="M1860" s="15" t="s">
        <v>5626</v>
      </c>
      <c r="N1860" s="15" t="s">
        <v>164</v>
      </c>
      <c r="O1860" s="15" t="s">
        <v>5626</v>
      </c>
    </row>
    <row r="1861" spans="1:15" ht="14.25" customHeight="1">
      <c r="A1861" s="3" t="s">
        <v>1108</v>
      </c>
      <c r="B1861" s="4"/>
      <c r="C1861" s="3"/>
      <c r="D1861" s="5" t="s">
        <v>391</v>
      </c>
      <c r="E1861" s="5" t="s">
        <v>124</v>
      </c>
      <c r="F1861" s="3" t="s">
        <v>5627</v>
      </c>
      <c r="G1861" s="6">
        <f>17.712*L1861</f>
        <v>230.256</v>
      </c>
      <c r="H1861" s="7">
        <v>41822</v>
      </c>
      <c r="I1861" s="6" t="s">
        <v>265</v>
      </c>
      <c r="J1861" s="6" t="s">
        <v>5628</v>
      </c>
      <c r="K1861" s="6" t="s">
        <v>21</v>
      </c>
      <c r="L1861" s="6">
        <v>13</v>
      </c>
      <c r="M1861" s="15" t="s">
        <v>5626</v>
      </c>
      <c r="N1861" s="15" t="s">
        <v>167</v>
      </c>
      <c r="O1861" s="15" t="s">
        <v>5629</v>
      </c>
    </row>
    <row r="1862" spans="1:15" s="1" customFormat="1" ht="14.25" customHeight="1">
      <c r="A1862" s="3" t="s">
        <v>1108</v>
      </c>
      <c r="B1862" s="3"/>
      <c r="C1862" s="3"/>
      <c r="D1862" s="5" t="s">
        <v>391</v>
      </c>
      <c r="E1862" s="5" t="s">
        <v>124</v>
      </c>
      <c r="F1862" s="3" t="s">
        <v>5630</v>
      </c>
      <c r="G1862" s="6">
        <f>17.712*L1862</f>
        <v>212.54399999999998</v>
      </c>
      <c r="H1862" s="7">
        <v>41822</v>
      </c>
      <c r="I1862" s="6" t="s">
        <v>265</v>
      </c>
      <c r="J1862" s="6" t="s">
        <v>5631</v>
      </c>
      <c r="K1862" s="6" t="s">
        <v>21</v>
      </c>
      <c r="L1862" s="6">
        <v>12</v>
      </c>
      <c r="M1862" s="15" t="s">
        <v>5632</v>
      </c>
      <c r="N1862" s="15" t="s">
        <v>164</v>
      </c>
      <c r="O1862" s="15" t="s">
        <v>5632</v>
      </c>
    </row>
    <row r="1863" spans="1:15" s="1" customFormat="1" ht="14.25" customHeight="1">
      <c r="A1863" s="3" t="s">
        <v>1072</v>
      </c>
      <c r="B1863" s="3"/>
      <c r="C1863" s="3"/>
      <c r="D1863" s="5" t="s">
        <v>1963</v>
      </c>
      <c r="E1863" s="5" t="s">
        <v>124</v>
      </c>
      <c r="F1863" s="3" t="s">
        <v>9281</v>
      </c>
      <c r="G1863" s="6">
        <f>17.712*L1863</f>
        <v>141.696</v>
      </c>
      <c r="H1863" s="7">
        <v>41822</v>
      </c>
      <c r="I1863" s="6" t="s">
        <v>265</v>
      </c>
      <c r="J1863" s="6" t="s">
        <v>9282</v>
      </c>
      <c r="K1863" s="6" t="s">
        <v>21</v>
      </c>
      <c r="L1863" s="6">
        <v>8</v>
      </c>
      <c r="M1863" s="15" t="s">
        <v>9283</v>
      </c>
      <c r="N1863" s="15" t="s">
        <v>9284</v>
      </c>
      <c r="O1863" s="15" t="s">
        <v>9283</v>
      </c>
    </row>
    <row r="1864" spans="1:15" s="1" customFormat="1" ht="14.25" customHeight="1">
      <c r="A1864" s="3" t="s">
        <v>3653</v>
      </c>
      <c r="B1864" s="4"/>
      <c r="C1864" s="3"/>
      <c r="D1864" s="5" t="s">
        <v>495</v>
      </c>
      <c r="E1864" s="5" t="s">
        <v>124</v>
      </c>
      <c r="F1864" s="3" t="s">
        <v>5633</v>
      </c>
      <c r="G1864" s="6">
        <f>12.838*L1864</f>
        <v>51.351999999999997</v>
      </c>
      <c r="H1864" s="7">
        <v>41822</v>
      </c>
      <c r="I1864" s="6" t="s">
        <v>471</v>
      </c>
      <c r="J1864" s="6" t="s">
        <v>5634</v>
      </c>
      <c r="K1864" s="6" t="s">
        <v>21</v>
      </c>
      <c r="L1864" s="6">
        <v>4</v>
      </c>
      <c r="M1864" s="15" t="s">
        <v>5635</v>
      </c>
      <c r="N1864" s="15" t="s">
        <v>1532</v>
      </c>
      <c r="O1864" s="15" t="s">
        <v>5635</v>
      </c>
    </row>
    <row r="1865" spans="1:15" s="1" customFormat="1" ht="14.25" customHeight="1">
      <c r="A1865" s="3" t="s">
        <v>1018</v>
      </c>
      <c r="B1865" s="4"/>
      <c r="C1865" s="3"/>
      <c r="D1865" s="5" t="s">
        <v>1019</v>
      </c>
      <c r="E1865" s="5" t="s">
        <v>124</v>
      </c>
      <c r="F1865" s="3" t="s">
        <v>5636</v>
      </c>
      <c r="G1865" s="6">
        <v>223.73</v>
      </c>
      <c r="H1865" s="7">
        <v>41822</v>
      </c>
      <c r="I1865" s="6" t="s">
        <v>209</v>
      </c>
      <c r="J1865" s="6" t="s">
        <v>5637</v>
      </c>
      <c r="K1865" s="6" t="s">
        <v>128</v>
      </c>
      <c r="L1865" s="6" t="s">
        <v>954</v>
      </c>
      <c r="M1865" s="15" t="s">
        <v>5638</v>
      </c>
      <c r="N1865" s="15" t="s">
        <v>5639</v>
      </c>
      <c r="O1865" s="15" t="s">
        <v>5640</v>
      </c>
    </row>
    <row r="1866" spans="1:15" ht="14.25" customHeight="1">
      <c r="A1866" s="3" t="s">
        <v>1349</v>
      </c>
      <c r="B1866" s="4"/>
      <c r="C1866" s="3"/>
      <c r="D1866" s="5" t="s">
        <v>2117</v>
      </c>
      <c r="E1866" s="5" t="s">
        <v>124</v>
      </c>
      <c r="F1866" s="3" t="s">
        <v>5641</v>
      </c>
      <c r="G1866" s="6">
        <v>245.62700000000001</v>
      </c>
      <c r="H1866" s="7">
        <v>41822</v>
      </c>
      <c r="I1866" s="6" t="s">
        <v>178</v>
      </c>
      <c r="J1866" s="6" t="s">
        <v>5642</v>
      </c>
      <c r="K1866" s="6" t="s">
        <v>128</v>
      </c>
      <c r="L1866" s="6" t="s">
        <v>5428</v>
      </c>
      <c r="M1866" s="15" t="s">
        <v>5643</v>
      </c>
      <c r="N1866" s="15" t="s">
        <v>5644</v>
      </c>
      <c r="O1866" s="15" t="s">
        <v>5645</v>
      </c>
    </row>
    <row r="1867" spans="1:15" ht="14.25" customHeight="1">
      <c r="A1867" s="3" t="s">
        <v>1349</v>
      </c>
      <c r="B1867" s="4"/>
      <c r="C1867" s="3"/>
      <c r="D1867" s="5" t="s">
        <v>2117</v>
      </c>
      <c r="E1867" s="5" t="s">
        <v>124</v>
      </c>
      <c r="F1867" s="3" t="s">
        <v>5646</v>
      </c>
      <c r="G1867" s="6">
        <v>139.50200000000001</v>
      </c>
      <c r="H1867" s="7">
        <v>41822</v>
      </c>
      <c r="I1867" s="6" t="s">
        <v>178</v>
      </c>
      <c r="J1867" s="6" t="s">
        <v>5647</v>
      </c>
      <c r="K1867" s="6" t="s">
        <v>128</v>
      </c>
      <c r="L1867" s="6" t="s">
        <v>2183</v>
      </c>
      <c r="M1867" s="15" t="s">
        <v>5648</v>
      </c>
      <c r="N1867" s="15" t="s">
        <v>5649</v>
      </c>
      <c r="O1867" s="15" t="s">
        <v>5650</v>
      </c>
    </row>
    <row r="1868" spans="1:15" ht="14.25" customHeight="1">
      <c r="A1868" s="22" t="s">
        <v>310</v>
      </c>
      <c r="B1868" s="3" t="s">
        <v>82</v>
      </c>
      <c r="C1868" s="3"/>
      <c r="D1868" s="5" t="s">
        <v>5651</v>
      </c>
      <c r="E1868" s="5" t="s">
        <v>124</v>
      </c>
      <c r="F1868" s="3" t="s">
        <v>5652</v>
      </c>
      <c r="G1868" s="6">
        <f>17.52*L1868</f>
        <v>35.04</v>
      </c>
      <c r="H1868" s="7">
        <v>41822</v>
      </c>
      <c r="I1868" s="6" t="s">
        <v>172</v>
      </c>
      <c r="J1868" s="6" t="s">
        <v>5653</v>
      </c>
      <c r="K1868" s="6" t="s">
        <v>21</v>
      </c>
      <c r="L1868" s="6">
        <v>2</v>
      </c>
      <c r="M1868" s="15" t="s">
        <v>5654</v>
      </c>
      <c r="N1868" s="15" t="s">
        <v>5655</v>
      </c>
      <c r="O1868" s="15" t="s">
        <v>5654</v>
      </c>
    </row>
    <row r="1869" spans="1:15" s="1" customFormat="1" ht="14.25" customHeight="1">
      <c r="A1869" s="3" t="s">
        <v>793</v>
      </c>
      <c r="B1869" s="4"/>
      <c r="C1869" s="3"/>
      <c r="D1869" s="5" t="s">
        <v>794</v>
      </c>
      <c r="E1869" s="5" t="s">
        <v>124</v>
      </c>
      <c r="F1869" s="3" t="s">
        <v>5656</v>
      </c>
      <c r="G1869" s="6">
        <f>8.137*L1869</f>
        <v>81.37</v>
      </c>
      <c r="H1869" s="7">
        <v>41823</v>
      </c>
      <c r="I1869" s="6" t="s">
        <v>186</v>
      </c>
      <c r="J1869" s="6" t="s">
        <v>5657</v>
      </c>
      <c r="K1869" s="6" t="s">
        <v>21</v>
      </c>
      <c r="L1869" s="6">
        <v>10</v>
      </c>
      <c r="M1869" s="15" t="s">
        <v>5658</v>
      </c>
      <c r="N1869" s="15" t="s">
        <v>4953</v>
      </c>
      <c r="O1869" s="15" t="s">
        <v>5658</v>
      </c>
    </row>
    <row r="1870" spans="1:15" s="1" customFormat="1" ht="14.25" customHeight="1">
      <c r="A1870" s="3" t="s">
        <v>1018</v>
      </c>
      <c r="B1870" s="4" t="s">
        <v>5659</v>
      </c>
      <c r="C1870" s="3"/>
      <c r="D1870" s="5" t="s">
        <v>1019</v>
      </c>
      <c r="E1870" s="5" t="s">
        <v>124</v>
      </c>
      <c r="F1870" s="3" t="s">
        <v>5660</v>
      </c>
      <c r="G1870" s="6">
        <v>103.57599999999999</v>
      </c>
      <c r="H1870" s="7">
        <v>41823</v>
      </c>
      <c r="I1870" s="6" t="s">
        <v>209</v>
      </c>
      <c r="J1870" s="6" t="s">
        <v>5661</v>
      </c>
      <c r="K1870" s="6" t="s">
        <v>128</v>
      </c>
      <c r="L1870" s="6" t="s">
        <v>1307</v>
      </c>
      <c r="M1870" s="15" t="s">
        <v>5662</v>
      </c>
      <c r="N1870" s="15" t="s">
        <v>5663</v>
      </c>
      <c r="O1870" s="15" t="s">
        <v>5664</v>
      </c>
    </row>
    <row r="1871" spans="1:15" s="1" customFormat="1" ht="14.25" customHeight="1">
      <c r="A1871" s="3" t="s">
        <v>1018</v>
      </c>
      <c r="B1871" s="15" t="s">
        <v>5659</v>
      </c>
      <c r="C1871" s="3"/>
      <c r="D1871" s="5" t="s">
        <v>1019</v>
      </c>
      <c r="E1871" s="5" t="s">
        <v>124</v>
      </c>
      <c r="F1871" s="3" t="s">
        <v>9285</v>
      </c>
      <c r="G1871" s="6">
        <v>103.649</v>
      </c>
      <c r="H1871" s="7">
        <v>41823</v>
      </c>
      <c r="I1871" s="6" t="s">
        <v>209</v>
      </c>
      <c r="J1871" s="6" t="s">
        <v>9286</v>
      </c>
      <c r="K1871" s="6" t="s">
        <v>128</v>
      </c>
      <c r="L1871" s="6" t="s">
        <v>1307</v>
      </c>
      <c r="M1871" s="15" t="s">
        <v>9287</v>
      </c>
      <c r="N1871" s="15" t="s">
        <v>9288</v>
      </c>
      <c r="O1871" s="15" t="s">
        <v>9289</v>
      </c>
    </row>
    <row r="1872" spans="1:15" s="1" customFormat="1" ht="14.25" customHeight="1">
      <c r="A1872" s="3" t="s">
        <v>918</v>
      </c>
      <c r="B1872" s="4"/>
      <c r="C1872" s="3"/>
      <c r="D1872" s="5" t="s">
        <v>919</v>
      </c>
      <c r="E1872" s="5" t="s">
        <v>124</v>
      </c>
      <c r="F1872" s="3" t="s">
        <v>5665</v>
      </c>
      <c r="G1872" s="6">
        <f t="shared" ref="G1872:G1877" si="70">17.712*L1872</f>
        <v>212.54399999999998</v>
      </c>
      <c r="H1872" s="7">
        <v>41827</v>
      </c>
      <c r="I1872" s="6" t="s">
        <v>265</v>
      </c>
      <c r="J1872" s="6" t="s">
        <v>5666</v>
      </c>
      <c r="K1872" s="6" t="s">
        <v>21</v>
      </c>
      <c r="L1872" s="6">
        <v>12</v>
      </c>
      <c r="M1872" s="15" t="s">
        <v>5667</v>
      </c>
      <c r="N1872" s="15" t="s">
        <v>164</v>
      </c>
      <c r="O1872" s="15" t="s">
        <v>5667</v>
      </c>
    </row>
    <row r="1873" spans="1:15" s="1" customFormat="1" ht="14.25" customHeight="1">
      <c r="A1873" s="3" t="s">
        <v>918</v>
      </c>
      <c r="B1873" s="4"/>
      <c r="C1873" s="3"/>
      <c r="D1873" s="5" t="s">
        <v>919</v>
      </c>
      <c r="E1873" s="5" t="s">
        <v>124</v>
      </c>
      <c r="F1873" s="3" t="s">
        <v>5668</v>
      </c>
      <c r="G1873" s="6">
        <f t="shared" si="70"/>
        <v>212.54399999999998</v>
      </c>
      <c r="H1873" s="7">
        <v>41827</v>
      </c>
      <c r="I1873" s="6" t="s">
        <v>265</v>
      </c>
      <c r="J1873" s="6" t="s">
        <v>5669</v>
      </c>
      <c r="K1873" s="6" t="s">
        <v>21</v>
      </c>
      <c r="L1873" s="6">
        <v>12</v>
      </c>
      <c r="M1873" s="15" t="s">
        <v>5670</v>
      </c>
      <c r="N1873" s="15" t="s">
        <v>164</v>
      </c>
      <c r="O1873" s="15" t="s">
        <v>5670</v>
      </c>
    </row>
    <row r="1874" spans="1:15" ht="14.25" customHeight="1">
      <c r="A1874" s="3" t="s">
        <v>918</v>
      </c>
      <c r="B1874" s="4"/>
      <c r="C1874" s="3"/>
      <c r="D1874" s="5" t="s">
        <v>919</v>
      </c>
      <c r="E1874" s="5" t="s">
        <v>124</v>
      </c>
      <c r="F1874" s="3" t="s">
        <v>5671</v>
      </c>
      <c r="G1874" s="6">
        <f t="shared" si="70"/>
        <v>230.256</v>
      </c>
      <c r="H1874" s="7">
        <v>41827</v>
      </c>
      <c r="I1874" s="6" t="s">
        <v>265</v>
      </c>
      <c r="J1874" s="6" t="s">
        <v>5672</v>
      </c>
      <c r="K1874" s="6" t="s">
        <v>21</v>
      </c>
      <c r="L1874" s="6">
        <v>13</v>
      </c>
      <c r="M1874" s="15" t="s">
        <v>5670</v>
      </c>
      <c r="N1874" s="15" t="s">
        <v>167</v>
      </c>
      <c r="O1874" s="15" t="s">
        <v>5673</v>
      </c>
    </row>
    <row r="1875" spans="1:15" ht="14.25" customHeight="1">
      <c r="A1875" s="3" t="s">
        <v>918</v>
      </c>
      <c r="B1875" s="4"/>
      <c r="C1875" s="3"/>
      <c r="D1875" s="5" t="s">
        <v>919</v>
      </c>
      <c r="E1875" s="5" t="s">
        <v>124</v>
      </c>
      <c r="F1875" s="3" t="s">
        <v>5674</v>
      </c>
      <c r="G1875" s="6">
        <f t="shared" si="70"/>
        <v>212.54399999999998</v>
      </c>
      <c r="H1875" s="7">
        <v>41827</v>
      </c>
      <c r="I1875" s="6" t="s">
        <v>265</v>
      </c>
      <c r="J1875" s="6" t="s">
        <v>5675</v>
      </c>
      <c r="K1875" s="6" t="s">
        <v>21</v>
      </c>
      <c r="L1875" s="6">
        <v>12</v>
      </c>
      <c r="M1875" s="15" t="s">
        <v>5676</v>
      </c>
      <c r="N1875" s="15" t="s">
        <v>164</v>
      </c>
      <c r="O1875" s="15" t="s">
        <v>5676</v>
      </c>
    </row>
    <row r="1876" spans="1:15" s="1" customFormat="1" ht="14.25" customHeight="1">
      <c r="A1876" s="3" t="s">
        <v>918</v>
      </c>
      <c r="B1876" s="4"/>
      <c r="C1876" s="3"/>
      <c r="D1876" s="5" t="s">
        <v>919</v>
      </c>
      <c r="E1876" s="5" t="s">
        <v>124</v>
      </c>
      <c r="F1876" s="3" t="s">
        <v>5677</v>
      </c>
      <c r="G1876" s="6">
        <f t="shared" si="70"/>
        <v>230.256</v>
      </c>
      <c r="H1876" s="7">
        <v>41827</v>
      </c>
      <c r="I1876" s="6" t="s">
        <v>265</v>
      </c>
      <c r="J1876" s="6" t="s">
        <v>5678</v>
      </c>
      <c r="K1876" s="6" t="s">
        <v>21</v>
      </c>
      <c r="L1876" s="6">
        <v>13</v>
      </c>
      <c r="M1876" s="15" t="s">
        <v>5676</v>
      </c>
      <c r="N1876" s="15" t="s">
        <v>167</v>
      </c>
      <c r="O1876" s="15" t="s">
        <v>5679</v>
      </c>
    </row>
    <row r="1877" spans="1:15" ht="14.25" customHeight="1">
      <c r="A1877" s="3" t="s">
        <v>918</v>
      </c>
      <c r="B1877" s="3"/>
      <c r="C1877" s="3"/>
      <c r="D1877" s="5" t="s">
        <v>919</v>
      </c>
      <c r="E1877" s="5" t="s">
        <v>124</v>
      </c>
      <c r="F1877" s="3" t="s">
        <v>9290</v>
      </c>
      <c r="G1877" s="6">
        <f t="shared" si="70"/>
        <v>230.256</v>
      </c>
      <c r="H1877" s="7">
        <v>41827</v>
      </c>
      <c r="I1877" s="6" t="s">
        <v>265</v>
      </c>
      <c r="J1877" s="6" t="s">
        <v>9291</v>
      </c>
      <c r="K1877" s="6" t="s">
        <v>21</v>
      </c>
      <c r="L1877" s="6">
        <v>13</v>
      </c>
      <c r="M1877" s="15" t="s">
        <v>5667</v>
      </c>
      <c r="N1877" s="15" t="s">
        <v>167</v>
      </c>
      <c r="O1877" s="15" t="s">
        <v>9292</v>
      </c>
    </row>
    <row r="1878" spans="1:15" s="1" customFormat="1" ht="14.25" customHeight="1">
      <c r="A1878" s="22" t="s">
        <v>5680</v>
      </c>
      <c r="B1878" s="3"/>
      <c r="C1878" s="3"/>
      <c r="D1878" s="5" t="s">
        <v>410</v>
      </c>
      <c r="E1878" s="5" t="s">
        <v>124</v>
      </c>
      <c r="F1878" s="3" t="s">
        <v>5681</v>
      </c>
      <c r="G1878" s="6">
        <f>17.52*L1878</f>
        <v>17.52</v>
      </c>
      <c r="H1878" s="7">
        <v>41828</v>
      </c>
      <c r="I1878" s="40" t="s">
        <v>5682</v>
      </c>
      <c r="J1878" s="6" t="s">
        <v>5683</v>
      </c>
      <c r="K1878" s="6" t="s">
        <v>21</v>
      </c>
      <c r="L1878" s="6">
        <v>1</v>
      </c>
      <c r="M1878" s="15" t="s">
        <v>5684</v>
      </c>
      <c r="N1878" s="15" t="s">
        <v>763</v>
      </c>
      <c r="O1878" s="15" t="s">
        <v>5685</v>
      </c>
    </row>
    <row r="1879" spans="1:15" s="1" customFormat="1" ht="13.5" customHeight="1">
      <c r="A1879" s="3" t="s">
        <v>1043</v>
      </c>
      <c r="B1879" s="4"/>
      <c r="C1879" s="3"/>
      <c r="D1879" s="5" t="s">
        <v>443</v>
      </c>
      <c r="E1879" s="5" t="s">
        <v>7026</v>
      </c>
      <c r="F1879" s="3" t="s">
        <v>8540</v>
      </c>
      <c r="G1879" s="6">
        <f t="shared" ref="G1879:G1884" si="71">18.708*L1879</f>
        <v>224.49599999999998</v>
      </c>
      <c r="H1879" s="7">
        <v>41828</v>
      </c>
      <c r="I1879" s="40" t="s">
        <v>8264</v>
      </c>
      <c r="J1879" s="6" t="s">
        <v>8541</v>
      </c>
      <c r="K1879" s="6" t="s">
        <v>21</v>
      </c>
      <c r="L1879" s="6">
        <v>12</v>
      </c>
      <c r="M1879" s="15" t="s">
        <v>8542</v>
      </c>
      <c r="N1879" s="15" t="s">
        <v>164</v>
      </c>
      <c r="O1879" s="15" t="s">
        <v>8543</v>
      </c>
    </row>
    <row r="1880" spans="1:15" s="1" customFormat="1" ht="13.5" customHeight="1">
      <c r="A1880" s="3" t="s">
        <v>1043</v>
      </c>
      <c r="B1880" s="4"/>
      <c r="C1880" s="3"/>
      <c r="D1880" s="5" t="s">
        <v>443</v>
      </c>
      <c r="E1880" s="5" t="s">
        <v>7026</v>
      </c>
      <c r="F1880" s="3" t="s">
        <v>8544</v>
      </c>
      <c r="G1880" s="6">
        <f t="shared" si="71"/>
        <v>243.20399999999998</v>
      </c>
      <c r="H1880" s="7">
        <v>41828</v>
      </c>
      <c r="I1880" s="40" t="s">
        <v>8264</v>
      </c>
      <c r="J1880" s="6" t="s">
        <v>8545</v>
      </c>
      <c r="K1880" s="6" t="s">
        <v>21</v>
      </c>
      <c r="L1880" s="6">
        <v>13</v>
      </c>
      <c r="M1880" s="15" t="s">
        <v>8542</v>
      </c>
      <c r="N1880" s="15" t="s">
        <v>167</v>
      </c>
      <c r="O1880" s="15" t="s">
        <v>8546</v>
      </c>
    </row>
    <row r="1881" spans="1:15">
      <c r="A1881" s="3" t="s">
        <v>1043</v>
      </c>
      <c r="B1881" s="4"/>
      <c r="C1881" s="3"/>
      <c r="D1881" s="5" t="s">
        <v>443</v>
      </c>
      <c r="E1881" s="5" t="s">
        <v>7026</v>
      </c>
      <c r="F1881" s="3" t="s">
        <v>8547</v>
      </c>
      <c r="G1881" s="6">
        <f t="shared" si="71"/>
        <v>224.49599999999998</v>
      </c>
      <c r="H1881" s="7">
        <v>41828</v>
      </c>
      <c r="I1881" s="40" t="s">
        <v>8264</v>
      </c>
      <c r="J1881" s="6" t="s">
        <v>8548</v>
      </c>
      <c r="K1881" s="6" t="s">
        <v>21</v>
      </c>
      <c r="L1881" s="6">
        <v>12</v>
      </c>
      <c r="M1881" s="15" t="s">
        <v>8549</v>
      </c>
      <c r="N1881" s="15" t="s">
        <v>164</v>
      </c>
      <c r="O1881" s="15"/>
    </row>
    <row r="1882" spans="1:15">
      <c r="A1882" s="3" t="s">
        <v>1043</v>
      </c>
      <c r="B1882" s="4"/>
      <c r="C1882" s="3"/>
      <c r="D1882" s="5" t="s">
        <v>443</v>
      </c>
      <c r="E1882" s="5" t="s">
        <v>7026</v>
      </c>
      <c r="F1882" s="3" t="s">
        <v>8550</v>
      </c>
      <c r="G1882" s="6">
        <f t="shared" si="71"/>
        <v>243.20399999999998</v>
      </c>
      <c r="H1882" s="7">
        <v>41828</v>
      </c>
      <c r="I1882" s="40" t="s">
        <v>8264</v>
      </c>
      <c r="J1882" s="6" t="s">
        <v>8551</v>
      </c>
      <c r="K1882" s="6" t="s">
        <v>21</v>
      </c>
      <c r="L1882" s="6">
        <v>13</v>
      </c>
      <c r="M1882" s="15" t="s">
        <v>8549</v>
      </c>
      <c r="N1882" s="15" t="s">
        <v>167</v>
      </c>
      <c r="O1882" s="15" t="s">
        <v>8552</v>
      </c>
    </row>
    <row r="1883" spans="1:15" ht="14.25" customHeight="1">
      <c r="A1883" s="3" t="s">
        <v>1043</v>
      </c>
      <c r="B1883" s="4"/>
      <c r="C1883" s="3"/>
      <c r="D1883" s="5" t="s">
        <v>443</v>
      </c>
      <c r="E1883" s="5" t="s">
        <v>7026</v>
      </c>
      <c r="F1883" s="3" t="s">
        <v>8553</v>
      </c>
      <c r="G1883" s="6">
        <f t="shared" si="71"/>
        <v>224.49599999999998</v>
      </c>
      <c r="H1883" s="7">
        <v>41828</v>
      </c>
      <c r="I1883" s="40" t="s">
        <v>8264</v>
      </c>
      <c r="J1883" s="6" t="s">
        <v>8554</v>
      </c>
      <c r="K1883" s="6" t="s">
        <v>21</v>
      </c>
      <c r="L1883" s="6">
        <v>12</v>
      </c>
      <c r="M1883" s="15" t="s">
        <v>8555</v>
      </c>
      <c r="N1883" s="15" t="s">
        <v>164</v>
      </c>
      <c r="O1883" s="15"/>
    </row>
    <row r="1884" spans="1:15" s="1" customFormat="1" ht="14.25" customHeight="1">
      <c r="A1884" s="3" t="s">
        <v>1043</v>
      </c>
      <c r="B1884" s="4"/>
      <c r="C1884" s="3"/>
      <c r="D1884" s="5" t="s">
        <v>443</v>
      </c>
      <c r="E1884" s="5" t="s">
        <v>7026</v>
      </c>
      <c r="F1884" s="3" t="s">
        <v>8556</v>
      </c>
      <c r="G1884" s="6">
        <f t="shared" si="71"/>
        <v>243.20399999999998</v>
      </c>
      <c r="H1884" s="7">
        <v>41828</v>
      </c>
      <c r="I1884" s="40" t="s">
        <v>8264</v>
      </c>
      <c r="J1884" s="6" t="s">
        <v>8557</v>
      </c>
      <c r="K1884" s="6" t="s">
        <v>21</v>
      </c>
      <c r="L1884" s="6">
        <v>13</v>
      </c>
      <c r="M1884" s="15" t="s">
        <v>8555</v>
      </c>
      <c r="N1884" s="15" t="s">
        <v>167</v>
      </c>
      <c r="O1884" s="15" t="s">
        <v>8558</v>
      </c>
    </row>
    <row r="1885" spans="1:15" s="1" customFormat="1" ht="14.25" customHeight="1">
      <c r="A1885" s="3" t="s">
        <v>918</v>
      </c>
      <c r="B1885" s="4"/>
      <c r="C1885" s="3"/>
      <c r="D1885" s="5" t="s">
        <v>919</v>
      </c>
      <c r="E1885" s="5" t="s">
        <v>124</v>
      </c>
      <c r="F1885" s="3" t="s">
        <v>5686</v>
      </c>
      <c r="G1885" s="6">
        <f>17.712*L1885</f>
        <v>212.54399999999998</v>
      </c>
      <c r="H1885" s="7">
        <v>41830</v>
      </c>
      <c r="I1885" s="6" t="s">
        <v>265</v>
      </c>
      <c r="J1885" s="6" t="s">
        <v>5687</v>
      </c>
      <c r="K1885" s="6" t="s">
        <v>21</v>
      </c>
      <c r="L1885" s="6">
        <v>12</v>
      </c>
      <c r="M1885" s="15" t="s">
        <v>5688</v>
      </c>
      <c r="N1885" s="15" t="s">
        <v>164</v>
      </c>
      <c r="O1885" s="15" t="s">
        <v>5688</v>
      </c>
    </row>
    <row r="1886" spans="1:15" ht="14.25" customHeight="1">
      <c r="A1886" s="3" t="s">
        <v>918</v>
      </c>
      <c r="B1886" s="4"/>
      <c r="C1886" s="3"/>
      <c r="D1886" s="5" t="s">
        <v>919</v>
      </c>
      <c r="E1886" s="5" t="s">
        <v>124</v>
      </c>
      <c r="F1886" s="3" t="s">
        <v>5689</v>
      </c>
      <c r="G1886" s="6">
        <f>17.712*L1886</f>
        <v>230.256</v>
      </c>
      <c r="H1886" s="7">
        <v>41830</v>
      </c>
      <c r="I1886" s="6" t="s">
        <v>265</v>
      </c>
      <c r="J1886" s="6" t="s">
        <v>5690</v>
      </c>
      <c r="K1886" s="6" t="s">
        <v>21</v>
      </c>
      <c r="L1886" s="6">
        <v>13</v>
      </c>
      <c r="M1886" s="15" t="s">
        <v>5688</v>
      </c>
      <c r="N1886" s="15" t="s">
        <v>167</v>
      </c>
      <c r="O1886" s="15" t="s">
        <v>5691</v>
      </c>
    </row>
    <row r="1887" spans="1:15" ht="14.25" customHeight="1">
      <c r="A1887" s="3" t="s">
        <v>1285</v>
      </c>
      <c r="B1887" s="3" t="s">
        <v>283</v>
      </c>
      <c r="C1887" s="3"/>
      <c r="D1887" s="5" t="s">
        <v>1287</v>
      </c>
      <c r="E1887" s="5" t="s">
        <v>124</v>
      </c>
      <c r="F1887" s="3" t="s">
        <v>5692</v>
      </c>
      <c r="G1887" s="6">
        <f>8.606*L1887</f>
        <v>129.09</v>
      </c>
      <c r="H1887" s="7">
        <v>41830</v>
      </c>
      <c r="I1887" s="6" t="s">
        <v>272</v>
      </c>
      <c r="J1887" s="6" t="s">
        <v>5693</v>
      </c>
      <c r="K1887" s="6" t="s">
        <v>21</v>
      </c>
      <c r="L1887" s="6">
        <v>15</v>
      </c>
      <c r="M1887" s="15" t="s">
        <v>5694</v>
      </c>
      <c r="N1887" s="15" t="s">
        <v>5066</v>
      </c>
      <c r="O1887" s="15" t="s">
        <v>5694</v>
      </c>
    </row>
    <row r="1888" spans="1:15" ht="14.25" customHeight="1">
      <c r="A1888" s="3" t="s">
        <v>494</v>
      </c>
      <c r="B1888" s="4"/>
      <c r="C1888" s="3"/>
      <c r="D1888" s="5" t="s">
        <v>495</v>
      </c>
      <c r="E1888" s="5" t="s">
        <v>124</v>
      </c>
      <c r="F1888" s="3" t="s">
        <v>5695</v>
      </c>
      <c r="G1888" s="6">
        <f>12.838*L1888</f>
        <v>166.89399999999998</v>
      </c>
      <c r="H1888" s="7">
        <v>41830</v>
      </c>
      <c r="I1888" s="6" t="s">
        <v>471</v>
      </c>
      <c r="J1888" s="6" t="s">
        <v>5696</v>
      </c>
      <c r="K1888" s="6" t="s">
        <v>21</v>
      </c>
      <c r="L1888" s="6">
        <v>13</v>
      </c>
      <c r="M1888" s="15" t="s">
        <v>5697</v>
      </c>
      <c r="N1888" s="15" t="s">
        <v>1215</v>
      </c>
      <c r="O1888" s="15" t="s">
        <v>5697</v>
      </c>
    </row>
    <row r="1889" spans="1:15" s="1" customFormat="1" ht="14.25" customHeight="1">
      <c r="A1889" s="3" t="s">
        <v>3653</v>
      </c>
      <c r="B1889" s="4"/>
      <c r="C1889" s="3"/>
      <c r="D1889" s="5" t="s">
        <v>495</v>
      </c>
      <c r="E1889" s="5" t="s">
        <v>124</v>
      </c>
      <c r="F1889" s="3" t="s">
        <v>5698</v>
      </c>
      <c r="G1889" s="6">
        <f>12.838*L1889</f>
        <v>154.05599999999998</v>
      </c>
      <c r="H1889" s="7">
        <v>41830</v>
      </c>
      <c r="I1889" s="6" t="s">
        <v>471</v>
      </c>
      <c r="J1889" s="6" t="s">
        <v>5699</v>
      </c>
      <c r="K1889" s="6" t="s">
        <v>21</v>
      </c>
      <c r="L1889" s="6">
        <v>12</v>
      </c>
      <c r="M1889" s="15" t="s">
        <v>5697</v>
      </c>
      <c r="N1889" s="15" t="s">
        <v>1211</v>
      </c>
      <c r="O1889" s="15" t="s">
        <v>5700</v>
      </c>
    </row>
    <row r="1890" spans="1:15" ht="14.25" customHeight="1">
      <c r="A1890" s="3" t="s">
        <v>1498</v>
      </c>
      <c r="B1890" s="4"/>
      <c r="C1890" s="3"/>
      <c r="D1890" s="5" t="s">
        <v>5701</v>
      </c>
      <c r="E1890" s="5" t="s">
        <v>124</v>
      </c>
      <c r="F1890" s="3" t="s">
        <v>5702</v>
      </c>
      <c r="G1890" s="6">
        <f>17.52*L1890</f>
        <v>210.24</v>
      </c>
      <c r="H1890" s="7">
        <v>41830</v>
      </c>
      <c r="I1890" s="6" t="s">
        <v>265</v>
      </c>
      <c r="J1890" s="6" t="s">
        <v>5703</v>
      </c>
      <c r="K1890" s="6" t="s">
        <v>21</v>
      </c>
      <c r="L1890" s="6">
        <v>12</v>
      </c>
      <c r="M1890" s="15" t="s">
        <v>5704</v>
      </c>
      <c r="N1890" s="15" t="s">
        <v>164</v>
      </c>
      <c r="O1890" s="15" t="s">
        <v>5704</v>
      </c>
    </row>
    <row r="1891" spans="1:15" ht="14.25" customHeight="1">
      <c r="A1891" s="3" t="s">
        <v>1498</v>
      </c>
      <c r="B1891" s="4"/>
      <c r="C1891" s="3"/>
      <c r="D1891" s="5" t="s">
        <v>5701</v>
      </c>
      <c r="E1891" s="5" t="s">
        <v>124</v>
      </c>
      <c r="F1891" s="3" t="s">
        <v>5705</v>
      </c>
      <c r="G1891" s="6">
        <f>17.52*L1891</f>
        <v>227.76</v>
      </c>
      <c r="H1891" s="7">
        <v>41830</v>
      </c>
      <c r="I1891" s="6" t="s">
        <v>265</v>
      </c>
      <c r="J1891" s="6" t="s">
        <v>5706</v>
      </c>
      <c r="K1891" s="6" t="s">
        <v>21</v>
      </c>
      <c r="L1891" s="6">
        <v>13</v>
      </c>
      <c r="M1891" s="15" t="s">
        <v>5704</v>
      </c>
      <c r="N1891" s="15" t="s">
        <v>167</v>
      </c>
      <c r="O1891" s="15" t="s">
        <v>5707</v>
      </c>
    </row>
    <row r="1892" spans="1:15" ht="14.25" customHeight="1">
      <c r="A1892" s="3" t="s">
        <v>846</v>
      </c>
      <c r="B1892" s="4"/>
      <c r="C1892" s="3"/>
      <c r="D1892" s="5" t="s">
        <v>191</v>
      </c>
      <c r="E1892" s="5" t="s">
        <v>124</v>
      </c>
      <c r="F1892" s="3" t="s">
        <v>5708</v>
      </c>
      <c r="G1892" s="6">
        <f>18.708*L1892</f>
        <v>224.49599999999998</v>
      </c>
      <c r="H1892" s="7">
        <v>41830</v>
      </c>
      <c r="I1892" s="6" t="s">
        <v>247</v>
      </c>
      <c r="J1892" s="6" t="s">
        <v>5709</v>
      </c>
      <c r="K1892" s="6" t="s">
        <v>21</v>
      </c>
      <c r="L1892" s="6">
        <v>12</v>
      </c>
      <c r="M1892" s="15" t="s">
        <v>5710</v>
      </c>
      <c r="N1892" s="15" t="s">
        <v>164</v>
      </c>
      <c r="O1892" s="15" t="s">
        <v>5710</v>
      </c>
    </row>
    <row r="1893" spans="1:15" s="1" customFormat="1" ht="14.25" customHeight="1">
      <c r="A1893" s="3" t="s">
        <v>846</v>
      </c>
      <c r="B1893" s="4"/>
      <c r="C1893" s="3"/>
      <c r="D1893" s="5" t="s">
        <v>191</v>
      </c>
      <c r="E1893" s="5" t="s">
        <v>124</v>
      </c>
      <c r="F1893" s="3" t="s">
        <v>5711</v>
      </c>
      <c r="G1893" s="6">
        <f>18.708*L1893</f>
        <v>243.20399999999998</v>
      </c>
      <c r="H1893" s="7">
        <v>41830</v>
      </c>
      <c r="I1893" s="6" t="s">
        <v>247</v>
      </c>
      <c r="J1893" s="6" t="s">
        <v>5712</v>
      </c>
      <c r="K1893" s="6" t="s">
        <v>21</v>
      </c>
      <c r="L1893" s="6">
        <v>13</v>
      </c>
      <c r="M1893" s="15" t="s">
        <v>5710</v>
      </c>
      <c r="N1893" s="15" t="s">
        <v>167</v>
      </c>
      <c r="O1893" s="15" t="s">
        <v>5713</v>
      </c>
    </row>
    <row r="1894" spans="1:15" ht="14.25" customHeight="1">
      <c r="A1894" s="3" t="s">
        <v>1087</v>
      </c>
      <c r="B1894" s="4" t="s">
        <v>4520</v>
      </c>
      <c r="C1894" s="3"/>
      <c r="D1894" s="5" t="s">
        <v>1088</v>
      </c>
      <c r="E1894" s="5" t="s">
        <v>124</v>
      </c>
      <c r="F1894" s="3" t="s">
        <v>5714</v>
      </c>
      <c r="G1894" s="6">
        <f t="shared" ref="G1894:G1901" si="72">9.804*L1894</f>
        <v>117.648</v>
      </c>
      <c r="H1894" s="7">
        <v>41830</v>
      </c>
      <c r="I1894" s="6" t="s">
        <v>1090</v>
      </c>
      <c r="J1894" s="6" t="s">
        <v>5715</v>
      </c>
      <c r="K1894" s="6" t="s">
        <v>21</v>
      </c>
      <c r="L1894" s="6">
        <v>12</v>
      </c>
      <c r="M1894" s="15" t="s">
        <v>5716</v>
      </c>
      <c r="N1894" s="15" t="s">
        <v>164</v>
      </c>
      <c r="O1894" s="15" t="s">
        <v>5716</v>
      </c>
    </row>
    <row r="1895" spans="1:15" ht="14.25" customHeight="1">
      <c r="A1895" s="3" t="s">
        <v>1087</v>
      </c>
      <c r="B1895" s="3" t="s">
        <v>4520</v>
      </c>
      <c r="C1895" s="3"/>
      <c r="D1895" s="5" t="s">
        <v>1088</v>
      </c>
      <c r="E1895" s="5" t="s">
        <v>124</v>
      </c>
      <c r="F1895" s="3" t="s">
        <v>5717</v>
      </c>
      <c r="G1895" s="6">
        <f t="shared" si="72"/>
        <v>127.452</v>
      </c>
      <c r="H1895" s="7">
        <v>41830</v>
      </c>
      <c r="I1895" s="6" t="s">
        <v>1090</v>
      </c>
      <c r="J1895" s="6" t="s">
        <v>5718</v>
      </c>
      <c r="K1895" s="6" t="s">
        <v>21</v>
      </c>
      <c r="L1895" s="6">
        <v>13</v>
      </c>
      <c r="M1895" s="15" t="s">
        <v>5716</v>
      </c>
      <c r="N1895" s="15" t="s">
        <v>167</v>
      </c>
      <c r="O1895" s="15" t="s">
        <v>5719</v>
      </c>
    </row>
    <row r="1896" spans="1:15" ht="14.25" customHeight="1">
      <c r="A1896" s="22" t="s">
        <v>1087</v>
      </c>
      <c r="B1896" s="3" t="s">
        <v>4520</v>
      </c>
      <c r="C1896" s="3"/>
      <c r="D1896" s="5" t="s">
        <v>1088</v>
      </c>
      <c r="E1896" s="5" t="s">
        <v>124</v>
      </c>
      <c r="F1896" s="3" t="s">
        <v>9299</v>
      </c>
      <c r="G1896" s="6">
        <f t="shared" si="72"/>
        <v>117.648</v>
      </c>
      <c r="H1896" s="7">
        <v>41830</v>
      </c>
      <c r="I1896" s="40" t="s">
        <v>1090</v>
      </c>
      <c r="J1896" s="6" t="s">
        <v>9300</v>
      </c>
      <c r="K1896" s="6" t="s">
        <v>21</v>
      </c>
      <c r="L1896" s="6">
        <v>12</v>
      </c>
      <c r="M1896" s="15" t="s">
        <v>5722</v>
      </c>
      <c r="N1896" s="15" t="s">
        <v>164</v>
      </c>
      <c r="O1896" s="15" t="s">
        <v>5722</v>
      </c>
    </row>
    <row r="1897" spans="1:15" ht="14.25" customHeight="1">
      <c r="A1897" s="3" t="s">
        <v>1087</v>
      </c>
      <c r="B1897" s="4" t="s">
        <v>4520</v>
      </c>
      <c r="C1897" s="3"/>
      <c r="D1897" s="5" t="s">
        <v>1088</v>
      </c>
      <c r="E1897" s="5" t="s">
        <v>124</v>
      </c>
      <c r="F1897" s="3" t="s">
        <v>5720</v>
      </c>
      <c r="G1897" s="6">
        <f t="shared" si="72"/>
        <v>127.452</v>
      </c>
      <c r="H1897" s="7">
        <v>41830</v>
      </c>
      <c r="I1897" s="6" t="s">
        <v>1090</v>
      </c>
      <c r="J1897" s="6" t="s">
        <v>5721</v>
      </c>
      <c r="K1897" s="6" t="s">
        <v>21</v>
      </c>
      <c r="L1897" s="6">
        <v>13</v>
      </c>
      <c r="M1897" s="15" t="s">
        <v>5722</v>
      </c>
      <c r="N1897" s="15" t="s">
        <v>167</v>
      </c>
      <c r="O1897" s="15" t="s">
        <v>5723</v>
      </c>
    </row>
    <row r="1898" spans="1:15" ht="14.25" customHeight="1">
      <c r="A1898" s="3" t="s">
        <v>1087</v>
      </c>
      <c r="B1898" s="4" t="s">
        <v>4520</v>
      </c>
      <c r="C1898" s="3"/>
      <c r="D1898" s="5" t="s">
        <v>1088</v>
      </c>
      <c r="E1898" s="5" t="s">
        <v>124</v>
      </c>
      <c r="F1898" s="3" t="s">
        <v>5724</v>
      </c>
      <c r="G1898" s="6">
        <f t="shared" si="72"/>
        <v>117.648</v>
      </c>
      <c r="H1898" s="7">
        <v>41830</v>
      </c>
      <c r="I1898" s="6" t="s">
        <v>1090</v>
      </c>
      <c r="J1898" s="6" t="s">
        <v>5725</v>
      </c>
      <c r="K1898" s="6" t="s">
        <v>21</v>
      </c>
      <c r="L1898" s="6">
        <v>12</v>
      </c>
      <c r="M1898" s="15" t="s">
        <v>5726</v>
      </c>
      <c r="N1898" s="15" t="s">
        <v>164</v>
      </c>
      <c r="O1898" s="15" t="s">
        <v>5726</v>
      </c>
    </row>
    <row r="1899" spans="1:15" ht="14.25" customHeight="1">
      <c r="A1899" s="3" t="s">
        <v>1087</v>
      </c>
      <c r="B1899" s="4" t="s">
        <v>4520</v>
      </c>
      <c r="C1899" s="3"/>
      <c r="D1899" s="5" t="s">
        <v>1088</v>
      </c>
      <c r="E1899" s="5" t="s">
        <v>124</v>
      </c>
      <c r="F1899" s="3" t="s">
        <v>5727</v>
      </c>
      <c r="G1899" s="6">
        <f t="shared" si="72"/>
        <v>127.452</v>
      </c>
      <c r="H1899" s="7">
        <v>41830</v>
      </c>
      <c r="I1899" s="6" t="s">
        <v>1090</v>
      </c>
      <c r="J1899" s="6" t="s">
        <v>5728</v>
      </c>
      <c r="K1899" s="6" t="s">
        <v>21</v>
      </c>
      <c r="L1899" s="6">
        <v>13</v>
      </c>
      <c r="M1899" s="15" t="s">
        <v>5726</v>
      </c>
      <c r="N1899" s="15" t="s">
        <v>167</v>
      </c>
      <c r="O1899" s="15" t="s">
        <v>5729</v>
      </c>
    </row>
    <row r="1900" spans="1:15" s="1" customFormat="1" ht="14.25" customHeight="1">
      <c r="A1900" s="3" t="s">
        <v>1087</v>
      </c>
      <c r="B1900" s="4" t="s">
        <v>4520</v>
      </c>
      <c r="C1900" s="3"/>
      <c r="D1900" s="5" t="s">
        <v>1088</v>
      </c>
      <c r="E1900" s="5" t="s">
        <v>124</v>
      </c>
      <c r="F1900" s="3" t="s">
        <v>5730</v>
      </c>
      <c r="G1900" s="6">
        <f t="shared" si="72"/>
        <v>117.648</v>
      </c>
      <c r="H1900" s="7">
        <v>41830</v>
      </c>
      <c r="I1900" s="6" t="s">
        <v>1090</v>
      </c>
      <c r="J1900" s="6" t="s">
        <v>5731</v>
      </c>
      <c r="K1900" s="6" t="s">
        <v>21</v>
      </c>
      <c r="L1900" s="6">
        <v>12</v>
      </c>
      <c r="M1900" s="15" t="s">
        <v>5732</v>
      </c>
      <c r="N1900" s="15" t="s">
        <v>164</v>
      </c>
      <c r="O1900" s="15" t="s">
        <v>5733</v>
      </c>
    </row>
    <row r="1901" spans="1:15" s="1" customFormat="1" ht="14.25" customHeight="1">
      <c r="A1901" s="3" t="s">
        <v>1087</v>
      </c>
      <c r="B1901" s="4" t="s">
        <v>4520</v>
      </c>
      <c r="C1901" s="3"/>
      <c r="D1901" s="5" t="s">
        <v>1088</v>
      </c>
      <c r="E1901" s="5" t="s">
        <v>124</v>
      </c>
      <c r="F1901" s="3" t="s">
        <v>5734</v>
      </c>
      <c r="G1901" s="6">
        <f t="shared" si="72"/>
        <v>127.452</v>
      </c>
      <c r="H1901" s="7">
        <v>41830</v>
      </c>
      <c r="I1901" s="6" t="s">
        <v>1090</v>
      </c>
      <c r="J1901" s="6" t="s">
        <v>5735</v>
      </c>
      <c r="K1901" s="6" t="s">
        <v>21</v>
      </c>
      <c r="L1901" s="6">
        <v>13</v>
      </c>
      <c r="M1901" s="15" t="s">
        <v>5732</v>
      </c>
      <c r="N1901" s="15" t="s">
        <v>167</v>
      </c>
      <c r="O1901" s="15" t="s">
        <v>5732</v>
      </c>
    </row>
    <row r="1902" spans="1:15" s="1" customFormat="1" ht="14.25" customHeight="1">
      <c r="A1902" s="3" t="s">
        <v>1216</v>
      </c>
      <c r="B1902" s="4"/>
      <c r="C1902" s="3"/>
      <c r="D1902" s="5" t="s">
        <v>2117</v>
      </c>
      <c r="E1902" s="5" t="s">
        <v>124</v>
      </c>
      <c r="F1902" s="3" t="s">
        <v>5736</v>
      </c>
      <c r="G1902" s="6">
        <v>170.86099999999999</v>
      </c>
      <c r="H1902" s="7">
        <v>41830</v>
      </c>
      <c r="I1902" s="6" t="s">
        <v>209</v>
      </c>
      <c r="J1902" s="6" t="s">
        <v>5737</v>
      </c>
      <c r="K1902" s="6" t="s">
        <v>128</v>
      </c>
      <c r="L1902" s="6" t="s">
        <v>2707</v>
      </c>
      <c r="M1902" s="15" t="s">
        <v>5738</v>
      </c>
      <c r="N1902" s="15" t="s">
        <v>5739</v>
      </c>
      <c r="O1902" s="15" t="s">
        <v>5740</v>
      </c>
    </row>
    <row r="1903" spans="1:15" ht="14.25" customHeight="1">
      <c r="A1903" s="3" t="s">
        <v>1216</v>
      </c>
      <c r="B1903" s="4"/>
      <c r="C1903" s="3"/>
      <c r="D1903" s="5" t="s">
        <v>2117</v>
      </c>
      <c r="E1903" s="5" t="s">
        <v>124</v>
      </c>
      <c r="F1903" s="3" t="s">
        <v>5741</v>
      </c>
      <c r="G1903" s="6">
        <v>170.81299999999999</v>
      </c>
      <c r="H1903" s="7">
        <v>41830</v>
      </c>
      <c r="I1903" s="6" t="s">
        <v>209</v>
      </c>
      <c r="J1903" s="6" t="s">
        <v>5742</v>
      </c>
      <c r="K1903" s="6" t="s">
        <v>128</v>
      </c>
      <c r="L1903" s="6" t="s">
        <v>2707</v>
      </c>
      <c r="M1903" s="15" t="s">
        <v>5648</v>
      </c>
      <c r="N1903" s="15" t="s">
        <v>5743</v>
      </c>
      <c r="O1903" s="15" t="s">
        <v>5744</v>
      </c>
    </row>
    <row r="1904" spans="1:15" s="1" customFormat="1" ht="14.25" customHeight="1">
      <c r="A1904" s="3" t="s">
        <v>1018</v>
      </c>
      <c r="B1904" s="4"/>
      <c r="C1904" s="3"/>
      <c r="D1904" s="5" t="s">
        <v>1019</v>
      </c>
      <c r="E1904" s="5" t="s">
        <v>124</v>
      </c>
      <c r="F1904" s="3" t="s">
        <v>5745</v>
      </c>
      <c r="G1904" s="6">
        <v>138.101</v>
      </c>
      <c r="H1904" s="7">
        <v>41830</v>
      </c>
      <c r="I1904" s="6" t="s">
        <v>209</v>
      </c>
      <c r="J1904" s="6" t="s">
        <v>5746</v>
      </c>
      <c r="K1904" s="6" t="s">
        <v>128</v>
      </c>
      <c r="L1904" s="6" t="s">
        <v>998</v>
      </c>
      <c r="M1904" s="15" t="s">
        <v>5747</v>
      </c>
      <c r="N1904" s="15" t="s">
        <v>5748</v>
      </c>
      <c r="O1904" s="15" t="s">
        <v>5749</v>
      </c>
    </row>
    <row r="1905" spans="1:15" s="1" customFormat="1" ht="14.25" customHeight="1">
      <c r="A1905" s="3" t="s">
        <v>1043</v>
      </c>
      <c r="B1905" s="4"/>
      <c r="C1905" s="3"/>
      <c r="D1905" s="5" t="s">
        <v>443</v>
      </c>
      <c r="E1905" s="5" t="s">
        <v>7026</v>
      </c>
      <c r="F1905" s="3" t="s">
        <v>8559</v>
      </c>
      <c r="G1905" s="6">
        <f>18.708*L1905</f>
        <v>224.49599999999998</v>
      </c>
      <c r="H1905" s="7">
        <v>41830</v>
      </c>
      <c r="I1905" s="40" t="s">
        <v>8264</v>
      </c>
      <c r="J1905" s="6" t="s">
        <v>8560</v>
      </c>
      <c r="K1905" s="6" t="s">
        <v>21</v>
      </c>
      <c r="L1905" s="6">
        <v>12</v>
      </c>
      <c r="M1905" s="15" t="s">
        <v>8561</v>
      </c>
      <c r="N1905" s="15" t="s">
        <v>164</v>
      </c>
      <c r="O1905" s="15" t="s">
        <v>8562</v>
      </c>
    </row>
    <row r="1906" spans="1:15" ht="14.25" customHeight="1">
      <c r="A1906" s="3" t="s">
        <v>1043</v>
      </c>
      <c r="B1906" s="4"/>
      <c r="C1906" s="3"/>
      <c r="D1906" s="5" t="s">
        <v>443</v>
      </c>
      <c r="E1906" s="5" t="s">
        <v>7026</v>
      </c>
      <c r="F1906" s="3" t="s">
        <v>8563</v>
      </c>
      <c r="G1906" s="6">
        <f>18.708*L1906</f>
        <v>243.20399999999998</v>
      </c>
      <c r="H1906" s="7">
        <v>41830</v>
      </c>
      <c r="I1906" s="40" t="s">
        <v>8264</v>
      </c>
      <c r="J1906" s="6" t="s">
        <v>8564</v>
      </c>
      <c r="K1906" s="6" t="s">
        <v>21</v>
      </c>
      <c r="L1906" s="6">
        <v>13</v>
      </c>
      <c r="M1906" s="15" t="s">
        <v>8561</v>
      </c>
      <c r="N1906" s="15" t="s">
        <v>167</v>
      </c>
      <c r="O1906" s="15" t="s">
        <v>8565</v>
      </c>
    </row>
    <row r="1907" spans="1:15" s="1" customFormat="1" ht="14.25" customHeight="1">
      <c r="A1907" s="3" t="s">
        <v>7024</v>
      </c>
      <c r="B1907" s="4"/>
      <c r="C1907" s="3"/>
      <c r="D1907" s="5" t="s">
        <v>7025</v>
      </c>
      <c r="E1907" s="5" t="s">
        <v>7026</v>
      </c>
      <c r="F1907" s="3" t="s">
        <v>8566</v>
      </c>
      <c r="G1907" s="6">
        <f>17.498*L1907</f>
        <v>209.976</v>
      </c>
      <c r="H1907" s="7">
        <v>41830</v>
      </c>
      <c r="I1907" s="6" t="s">
        <v>265</v>
      </c>
      <c r="J1907" s="6" t="s">
        <v>8567</v>
      </c>
      <c r="K1907" s="6" t="s">
        <v>21</v>
      </c>
      <c r="L1907" s="6">
        <v>12</v>
      </c>
      <c r="M1907" s="15" t="s">
        <v>8568</v>
      </c>
      <c r="N1907" s="15" t="s">
        <v>164</v>
      </c>
      <c r="O1907" s="15" t="s">
        <v>8569</v>
      </c>
    </row>
    <row r="1908" spans="1:15" ht="14.25" customHeight="1">
      <c r="A1908" s="3" t="s">
        <v>7024</v>
      </c>
      <c r="B1908" s="4"/>
      <c r="C1908" s="3"/>
      <c r="D1908" s="5" t="s">
        <v>7025</v>
      </c>
      <c r="E1908" s="5" t="s">
        <v>7026</v>
      </c>
      <c r="F1908" s="3" t="s">
        <v>8570</v>
      </c>
      <c r="G1908" s="6">
        <f>17.498*L1908</f>
        <v>227.47400000000002</v>
      </c>
      <c r="H1908" s="7">
        <v>41830</v>
      </c>
      <c r="I1908" s="6" t="s">
        <v>265</v>
      </c>
      <c r="J1908" s="6" t="s">
        <v>8571</v>
      </c>
      <c r="K1908" s="6" t="s">
        <v>21</v>
      </c>
      <c r="L1908" s="6">
        <v>13</v>
      </c>
      <c r="M1908" s="15" t="s">
        <v>8568</v>
      </c>
      <c r="N1908" s="15" t="s">
        <v>167</v>
      </c>
      <c r="O1908" s="15"/>
    </row>
    <row r="1909" spans="1:15" s="1" customFormat="1" ht="14.25" customHeight="1">
      <c r="A1909" s="22" t="s">
        <v>5750</v>
      </c>
      <c r="B1909" s="4"/>
      <c r="C1909" s="3"/>
      <c r="D1909" s="5" t="s">
        <v>5751</v>
      </c>
      <c r="E1909" s="5" t="s">
        <v>124</v>
      </c>
      <c r="F1909" s="3" t="s">
        <v>5752</v>
      </c>
      <c r="G1909" s="6">
        <v>29.173999999999999</v>
      </c>
      <c r="H1909" s="7">
        <v>41834</v>
      </c>
      <c r="I1909" s="40" t="s">
        <v>5753</v>
      </c>
      <c r="J1909" s="6" t="s">
        <v>5754</v>
      </c>
      <c r="K1909" s="6" t="s">
        <v>128</v>
      </c>
      <c r="L1909" s="6" t="s">
        <v>539</v>
      </c>
      <c r="M1909" s="15" t="s">
        <v>5755</v>
      </c>
      <c r="N1909" s="15" t="s">
        <v>5756</v>
      </c>
      <c r="O1909" s="15" t="s">
        <v>5757</v>
      </c>
    </row>
    <row r="1910" spans="1:15" ht="14.25" customHeight="1">
      <c r="A1910" s="22" t="s">
        <v>5758</v>
      </c>
      <c r="B1910" s="4"/>
      <c r="C1910" s="3"/>
      <c r="D1910" s="5" t="s">
        <v>5751</v>
      </c>
      <c r="E1910" s="5" t="s">
        <v>124</v>
      </c>
      <c r="F1910" s="3" t="s">
        <v>5759</v>
      </c>
      <c r="G1910" s="6">
        <v>10.131</v>
      </c>
      <c r="H1910" s="7">
        <v>41834</v>
      </c>
      <c r="I1910" s="40" t="s">
        <v>5760</v>
      </c>
      <c r="J1910" s="6" t="s">
        <v>5761</v>
      </c>
      <c r="K1910" s="6" t="s">
        <v>12997</v>
      </c>
      <c r="L1910" s="6" t="s">
        <v>690</v>
      </c>
      <c r="M1910" s="15" t="s">
        <v>5755</v>
      </c>
      <c r="N1910" s="15" t="s">
        <v>5762</v>
      </c>
      <c r="O1910" s="15" t="s">
        <v>5763</v>
      </c>
    </row>
    <row r="1911" spans="1:15" ht="14.25" customHeight="1">
      <c r="A1911" s="3" t="s">
        <v>649</v>
      </c>
      <c r="B1911" s="4" t="s">
        <v>5764</v>
      </c>
      <c r="C1911" s="3" t="s">
        <v>5765</v>
      </c>
      <c r="D1911" s="5" t="s">
        <v>4453</v>
      </c>
      <c r="E1911" s="5" t="s">
        <v>124</v>
      </c>
      <c r="F1911" s="3" t="s">
        <v>5766</v>
      </c>
      <c r="G1911" s="6">
        <v>240</v>
      </c>
      <c r="H1911" s="7">
        <v>41834</v>
      </c>
      <c r="I1911" s="40"/>
      <c r="J1911" s="6"/>
      <c r="K1911" s="6"/>
      <c r="L1911" s="6"/>
      <c r="M1911" s="15"/>
      <c r="N1911" s="15"/>
      <c r="O1911" s="28" t="s">
        <v>1918</v>
      </c>
    </row>
    <row r="1912" spans="1:15" s="1" customFormat="1" ht="14.25" customHeight="1">
      <c r="A1912" s="3" t="s">
        <v>1773</v>
      </c>
      <c r="B1912" s="4" t="s">
        <v>5764</v>
      </c>
      <c r="C1912" s="3" t="s">
        <v>5767</v>
      </c>
      <c r="D1912" s="5" t="s">
        <v>5768</v>
      </c>
      <c r="E1912" s="5" t="s">
        <v>124</v>
      </c>
      <c r="F1912" s="3" t="s">
        <v>5769</v>
      </c>
      <c r="G1912" s="6">
        <v>240</v>
      </c>
      <c r="H1912" s="7">
        <v>41834</v>
      </c>
      <c r="I1912" s="40"/>
      <c r="J1912" s="6"/>
      <c r="K1912" s="6"/>
      <c r="L1912" s="6"/>
      <c r="M1912" s="15"/>
      <c r="N1912" s="15"/>
      <c r="O1912" s="28" t="s">
        <v>1918</v>
      </c>
    </row>
    <row r="1913" spans="1:15" s="1" customFormat="1" ht="14.25" customHeight="1">
      <c r="A1913" s="3" t="s">
        <v>205</v>
      </c>
      <c r="B1913" s="4" t="s">
        <v>5764</v>
      </c>
      <c r="C1913" s="3" t="s">
        <v>5770</v>
      </c>
      <c r="D1913" s="5" t="s">
        <v>5771</v>
      </c>
      <c r="E1913" s="5" t="s">
        <v>124</v>
      </c>
      <c r="F1913" s="3" t="s">
        <v>5772</v>
      </c>
      <c r="G1913" s="6">
        <v>95</v>
      </c>
      <c r="H1913" s="7">
        <v>41834</v>
      </c>
      <c r="I1913" s="40"/>
      <c r="J1913" s="6"/>
      <c r="K1913" s="6"/>
      <c r="L1913" s="6"/>
      <c r="M1913" s="15"/>
      <c r="N1913" s="15"/>
      <c r="O1913" s="28" t="s">
        <v>1918</v>
      </c>
    </row>
    <row r="1914" spans="1:15" s="1" customFormat="1" ht="14.25" customHeight="1">
      <c r="A1914" s="22" t="s">
        <v>5773</v>
      </c>
      <c r="B1914" s="4"/>
      <c r="C1914" s="3"/>
      <c r="D1914" s="5" t="s">
        <v>5774</v>
      </c>
      <c r="E1914" s="5" t="s">
        <v>124</v>
      </c>
      <c r="F1914" s="3" t="s">
        <v>5775</v>
      </c>
      <c r="G1914" s="6">
        <v>16.431000000000001</v>
      </c>
      <c r="H1914" s="7">
        <v>41835</v>
      </c>
      <c r="I1914" s="40" t="s">
        <v>5760</v>
      </c>
      <c r="J1914" s="6" t="s">
        <v>5776</v>
      </c>
      <c r="K1914" s="6" t="s">
        <v>128</v>
      </c>
      <c r="L1914" s="6" t="s">
        <v>743</v>
      </c>
      <c r="M1914" s="15" t="s">
        <v>5777</v>
      </c>
      <c r="N1914" s="15" t="s">
        <v>5778</v>
      </c>
      <c r="O1914" s="15" t="s">
        <v>5779</v>
      </c>
    </row>
    <row r="1915" spans="1:15" ht="14.25" customHeight="1">
      <c r="A1915" s="3" t="s">
        <v>884</v>
      </c>
      <c r="B1915" s="3" t="s">
        <v>134</v>
      </c>
      <c r="C1915" s="3"/>
      <c r="D1915" s="5" t="s">
        <v>135</v>
      </c>
      <c r="E1915" s="5" t="s">
        <v>124</v>
      </c>
      <c r="F1915" s="3" t="s">
        <v>5780</v>
      </c>
      <c r="G1915" s="6">
        <f>29.101*L1915/2</f>
        <v>189.15649999999999</v>
      </c>
      <c r="H1915" s="7">
        <v>41836</v>
      </c>
      <c r="I1915" s="6" t="s">
        <v>886</v>
      </c>
      <c r="J1915" s="6" t="s">
        <v>5781</v>
      </c>
      <c r="K1915" s="6" t="s">
        <v>21</v>
      </c>
      <c r="L1915" s="6">
        <v>13</v>
      </c>
      <c r="M1915" s="15" t="s">
        <v>5782</v>
      </c>
      <c r="N1915" s="15" t="s">
        <v>81</v>
      </c>
      <c r="O1915" s="15" t="s">
        <v>5782</v>
      </c>
    </row>
    <row r="1916" spans="1:15" ht="14.25" customHeight="1">
      <c r="A1916" s="3" t="s">
        <v>846</v>
      </c>
      <c r="B1916" s="4"/>
      <c r="C1916" s="3"/>
      <c r="D1916" s="5" t="s">
        <v>191</v>
      </c>
      <c r="E1916" s="5" t="s">
        <v>124</v>
      </c>
      <c r="F1916" s="3" t="s">
        <v>5783</v>
      </c>
      <c r="G1916" s="6">
        <f t="shared" ref="G1916:G1923" si="73">18.708*L1916</f>
        <v>224.49599999999998</v>
      </c>
      <c r="H1916" s="7">
        <v>41836</v>
      </c>
      <c r="I1916" s="6" t="s">
        <v>247</v>
      </c>
      <c r="J1916" s="6" t="s">
        <v>5784</v>
      </c>
      <c r="K1916" s="6" t="s">
        <v>21</v>
      </c>
      <c r="L1916" s="6">
        <v>12</v>
      </c>
      <c r="M1916" s="15" t="s">
        <v>5785</v>
      </c>
      <c r="N1916" s="15" t="s">
        <v>164</v>
      </c>
      <c r="O1916" s="15" t="s">
        <v>5785</v>
      </c>
    </row>
    <row r="1917" spans="1:15" ht="14.25" customHeight="1">
      <c r="A1917" s="3" t="s">
        <v>846</v>
      </c>
      <c r="B1917" s="4"/>
      <c r="C1917" s="3"/>
      <c r="D1917" s="5" t="s">
        <v>191</v>
      </c>
      <c r="E1917" s="5" t="s">
        <v>124</v>
      </c>
      <c r="F1917" s="3" t="s">
        <v>5786</v>
      </c>
      <c r="G1917" s="6">
        <f t="shared" si="73"/>
        <v>243.20399999999998</v>
      </c>
      <c r="H1917" s="7">
        <v>41836</v>
      </c>
      <c r="I1917" s="6" t="s">
        <v>247</v>
      </c>
      <c r="J1917" s="6" t="s">
        <v>5787</v>
      </c>
      <c r="K1917" s="6" t="s">
        <v>21</v>
      </c>
      <c r="L1917" s="6">
        <v>13</v>
      </c>
      <c r="M1917" s="15" t="s">
        <v>5785</v>
      </c>
      <c r="N1917" s="15" t="s">
        <v>167</v>
      </c>
      <c r="O1917" s="15" t="s">
        <v>5788</v>
      </c>
    </row>
    <row r="1918" spans="1:15" s="1" customFormat="1" ht="14.25" customHeight="1">
      <c r="A1918" s="3" t="s">
        <v>846</v>
      </c>
      <c r="B1918" s="4"/>
      <c r="C1918" s="3"/>
      <c r="D1918" s="5" t="s">
        <v>191</v>
      </c>
      <c r="E1918" s="5" t="s">
        <v>124</v>
      </c>
      <c r="F1918" s="3" t="s">
        <v>5789</v>
      </c>
      <c r="G1918" s="6">
        <f t="shared" si="73"/>
        <v>224.49599999999998</v>
      </c>
      <c r="H1918" s="7">
        <v>41836</v>
      </c>
      <c r="I1918" s="6" t="s">
        <v>247</v>
      </c>
      <c r="J1918" s="6" t="s">
        <v>5790</v>
      </c>
      <c r="K1918" s="6" t="s">
        <v>21</v>
      </c>
      <c r="L1918" s="6">
        <v>12</v>
      </c>
      <c r="M1918" s="15" t="s">
        <v>5791</v>
      </c>
      <c r="N1918" s="15" t="s">
        <v>164</v>
      </c>
      <c r="O1918" s="15" t="s">
        <v>5791</v>
      </c>
    </row>
    <row r="1919" spans="1:15" s="1" customFormat="1" ht="14.25" customHeight="1">
      <c r="A1919" s="3" t="s">
        <v>846</v>
      </c>
      <c r="B1919" s="4"/>
      <c r="C1919" s="3"/>
      <c r="D1919" s="5" t="s">
        <v>191</v>
      </c>
      <c r="E1919" s="5" t="s">
        <v>124</v>
      </c>
      <c r="F1919" s="3" t="s">
        <v>5792</v>
      </c>
      <c r="G1919" s="6">
        <f t="shared" si="73"/>
        <v>205.78799999999998</v>
      </c>
      <c r="H1919" s="7">
        <v>41836</v>
      </c>
      <c r="I1919" s="6" t="s">
        <v>247</v>
      </c>
      <c r="J1919" s="6" t="s">
        <v>5793</v>
      </c>
      <c r="K1919" s="6" t="s">
        <v>21</v>
      </c>
      <c r="L1919" s="6">
        <v>11</v>
      </c>
      <c r="M1919" s="15" t="s">
        <v>5791</v>
      </c>
      <c r="N1919" s="15" t="s">
        <v>5794</v>
      </c>
      <c r="O1919" s="15" t="s">
        <v>5795</v>
      </c>
    </row>
    <row r="1920" spans="1:15" s="1" customFormat="1" ht="14.25" customHeight="1">
      <c r="A1920" s="3" t="s">
        <v>846</v>
      </c>
      <c r="B1920" s="4"/>
      <c r="C1920" s="3"/>
      <c r="D1920" s="5" t="s">
        <v>191</v>
      </c>
      <c r="E1920" s="5" t="s">
        <v>124</v>
      </c>
      <c r="F1920" s="3" t="s">
        <v>5796</v>
      </c>
      <c r="G1920" s="6">
        <f t="shared" si="73"/>
        <v>93.539999999999992</v>
      </c>
      <c r="H1920" s="7">
        <v>41836</v>
      </c>
      <c r="I1920" s="6" t="s">
        <v>247</v>
      </c>
      <c r="J1920" s="6" t="s">
        <v>5797</v>
      </c>
      <c r="K1920" s="6" t="s">
        <v>21</v>
      </c>
      <c r="L1920" s="6">
        <v>5</v>
      </c>
      <c r="M1920" s="15" t="s">
        <v>5798</v>
      </c>
      <c r="N1920" s="15" t="s">
        <v>1284</v>
      </c>
      <c r="O1920" s="15" t="s">
        <v>5798</v>
      </c>
    </row>
    <row r="1921" spans="1:15" s="1" customFormat="1" ht="14.25" customHeight="1">
      <c r="A1921" s="3" t="s">
        <v>846</v>
      </c>
      <c r="B1921" s="4"/>
      <c r="C1921" s="3"/>
      <c r="D1921" s="5" t="s">
        <v>191</v>
      </c>
      <c r="E1921" s="5" t="s">
        <v>124</v>
      </c>
      <c r="F1921" s="3" t="s">
        <v>5799</v>
      </c>
      <c r="G1921" s="6">
        <f t="shared" si="73"/>
        <v>224.49599999999998</v>
      </c>
      <c r="H1921" s="7">
        <v>41836</v>
      </c>
      <c r="I1921" s="6" t="s">
        <v>247</v>
      </c>
      <c r="J1921" s="6" t="s">
        <v>5800</v>
      </c>
      <c r="K1921" s="6" t="s">
        <v>21</v>
      </c>
      <c r="L1921" s="6">
        <v>12</v>
      </c>
      <c r="M1921" s="15" t="s">
        <v>5801</v>
      </c>
      <c r="N1921" s="15" t="s">
        <v>164</v>
      </c>
      <c r="O1921" s="15" t="s">
        <v>5801</v>
      </c>
    </row>
    <row r="1922" spans="1:15" ht="14.25" customHeight="1">
      <c r="A1922" s="3" t="s">
        <v>846</v>
      </c>
      <c r="B1922" s="4"/>
      <c r="C1922" s="3"/>
      <c r="D1922" s="5" t="s">
        <v>191</v>
      </c>
      <c r="E1922" s="5" t="s">
        <v>124</v>
      </c>
      <c r="F1922" s="3" t="s">
        <v>5802</v>
      </c>
      <c r="G1922" s="6">
        <f t="shared" si="73"/>
        <v>243.20399999999998</v>
      </c>
      <c r="H1922" s="7">
        <v>41836</v>
      </c>
      <c r="I1922" s="6" t="s">
        <v>247</v>
      </c>
      <c r="J1922" s="6" t="s">
        <v>5803</v>
      </c>
      <c r="K1922" s="6" t="s">
        <v>21</v>
      </c>
      <c r="L1922" s="6">
        <v>13</v>
      </c>
      <c r="M1922" s="15" t="s">
        <v>5801</v>
      </c>
      <c r="N1922" s="15" t="s">
        <v>167</v>
      </c>
      <c r="O1922" s="15" t="s">
        <v>5804</v>
      </c>
    </row>
    <row r="1923" spans="1:15" ht="14.25" customHeight="1">
      <c r="A1923" s="3" t="s">
        <v>772</v>
      </c>
      <c r="B1923" s="4"/>
      <c r="C1923" s="3"/>
      <c r="D1923" s="5" t="s">
        <v>773</v>
      </c>
      <c r="E1923" s="5" t="s">
        <v>124</v>
      </c>
      <c r="F1923" s="3" t="s">
        <v>5805</v>
      </c>
      <c r="G1923" s="6">
        <f t="shared" si="73"/>
        <v>149.66399999999999</v>
      </c>
      <c r="H1923" s="7">
        <v>41836</v>
      </c>
      <c r="I1923" s="6" t="s">
        <v>265</v>
      </c>
      <c r="J1923" s="6" t="s">
        <v>5806</v>
      </c>
      <c r="K1923" s="6" t="s">
        <v>21</v>
      </c>
      <c r="L1923" s="6">
        <v>8</v>
      </c>
      <c r="M1923" s="15" t="s">
        <v>5807</v>
      </c>
      <c r="N1923" s="15" t="s">
        <v>447</v>
      </c>
      <c r="O1923" s="15" t="s">
        <v>5807</v>
      </c>
    </row>
    <row r="1924" spans="1:15" s="1" customFormat="1" ht="14.25" customHeight="1">
      <c r="A1924" s="3" t="s">
        <v>1087</v>
      </c>
      <c r="B1924" s="4" t="s">
        <v>4520</v>
      </c>
      <c r="C1924" s="3"/>
      <c r="D1924" s="5" t="s">
        <v>1088</v>
      </c>
      <c r="E1924" s="5" t="s">
        <v>124</v>
      </c>
      <c r="F1924" s="3" t="s">
        <v>5808</v>
      </c>
      <c r="G1924" s="6">
        <f>9.804*L1924</f>
        <v>117.648</v>
      </c>
      <c r="H1924" s="7">
        <v>41836</v>
      </c>
      <c r="I1924" s="6" t="s">
        <v>1090</v>
      </c>
      <c r="J1924" s="6" t="s">
        <v>5809</v>
      </c>
      <c r="K1924" s="6" t="s">
        <v>21</v>
      </c>
      <c r="L1924" s="6">
        <v>12</v>
      </c>
      <c r="M1924" s="15" t="s">
        <v>5810</v>
      </c>
      <c r="N1924" s="15" t="s">
        <v>164</v>
      </c>
      <c r="O1924" s="15" t="s">
        <v>5810</v>
      </c>
    </row>
    <row r="1925" spans="1:15" ht="14.25" customHeight="1">
      <c r="A1925" s="3" t="s">
        <v>1087</v>
      </c>
      <c r="B1925" s="4" t="s">
        <v>4520</v>
      </c>
      <c r="C1925" s="3"/>
      <c r="D1925" s="5" t="s">
        <v>1088</v>
      </c>
      <c r="E1925" s="5" t="s">
        <v>124</v>
      </c>
      <c r="F1925" s="3" t="s">
        <v>5811</v>
      </c>
      <c r="G1925" s="6">
        <f>9.804*L1925</f>
        <v>127.452</v>
      </c>
      <c r="H1925" s="7">
        <v>41836</v>
      </c>
      <c r="I1925" s="6" t="s">
        <v>1090</v>
      </c>
      <c r="J1925" s="6" t="s">
        <v>5812</v>
      </c>
      <c r="K1925" s="6" t="s">
        <v>21</v>
      </c>
      <c r="L1925" s="6">
        <v>13</v>
      </c>
      <c r="M1925" s="15" t="s">
        <v>5810</v>
      </c>
      <c r="N1925" s="15" t="s">
        <v>167</v>
      </c>
      <c r="O1925" s="15" t="s">
        <v>5813</v>
      </c>
    </row>
    <row r="1926" spans="1:15" s="1" customFormat="1" ht="14.25" customHeight="1">
      <c r="A1926" s="3" t="s">
        <v>918</v>
      </c>
      <c r="B1926" s="4"/>
      <c r="C1926" s="3"/>
      <c r="D1926" s="5" t="s">
        <v>919</v>
      </c>
      <c r="E1926" s="5" t="s">
        <v>124</v>
      </c>
      <c r="F1926" s="3" t="s">
        <v>5814</v>
      </c>
      <c r="G1926" s="6">
        <f>17.712*L1926</f>
        <v>212.54399999999998</v>
      </c>
      <c r="H1926" s="7">
        <v>41836</v>
      </c>
      <c r="I1926" s="6" t="s">
        <v>265</v>
      </c>
      <c r="J1926" s="6" t="s">
        <v>5815</v>
      </c>
      <c r="K1926" s="6" t="s">
        <v>21</v>
      </c>
      <c r="L1926" s="6">
        <v>12</v>
      </c>
      <c r="M1926" s="15" t="s">
        <v>5816</v>
      </c>
      <c r="N1926" s="15" t="s">
        <v>164</v>
      </c>
      <c r="O1926" s="15" t="s">
        <v>5816</v>
      </c>
    </row>
    <row r="1927" spans="1:15" s="1" customFormat="1" ht="14.25" customHeight="1">
      <c r="A1927" s="3" t="s">
        <v>918</v>
      </c>
      <c r="B1927" s="3"/>
      <c r="C1927" s="3"/>
      <c r="D1927" s="5" t="s">
        <v>919</v>
      </c>
      <c r="E1927" s="5" t="s">
        <v>124</v>
      </c>
      <c r="F1927" s="3" t="s">
        <v>5817</v>
      </c>
      <c r="G1927" s="6">
        <f>17.712*L1927</f>
        <v>230.256</v>
      </c>
      <c r="H1927" s="7">
        <v>41836</v>
      </c>
      <c r="I1927" s="6" t="s">
        <v>265</v>
      </c>
      <c r="J1927" s="6" t="s">
        <v>5818</v>
      </c>
      <c r="K1927" s="6" t="s">
        <v>21</v>
      </c>
      <c r="L1927" s="6">
        <v>13</v>
      </c>
      <c r="M1927" s="15" t="s">
        <v>5816</v>
      </c>
      <c r="N1927" s="15" t="s">
        <v>167</v>
      </c>
      <c r="O1927" s="15" t="s">
        <v>5819</v>
      </c>
    </row>
    <row r="1928" spans="1:15" ht="14.25" customHeight="1">
      <c r="A1928" s="3" t="s">
        <v>918</v>
      </c>
      <c r="B1928" s="3"/>
      <c r="C1928" s="3"/>
      <c r="D1928" s="5" t="s">
        <v>919</v>
      </c>
      <c r="E1928" s="5" t="s">
        <v>124</v>
      </c>
      <c r="F1928" s="3" t="s">
        <v>5820</v>
      </c>
      <c r="G1928" s="6">
        <f>17.712*L1928</f>
        <v>177.12</v>
      </c>
      <c r="H1928" s="7">
        <v>41836</v>
      </c>
      <c r="I1928" s="6" t="s">
        <v>265</v>
      </c>
      <c r="J1928" s="6" t="s">
        <v>5821</v>
      </c>
      <c r="K1928" s="6" t="s">
        <v>21</v>
      </c>
      <c r="L1928" s="6">
        <v>10</v>
      </c>
      <c r="M1928" s="15" t="s">
        <v>5822</v>
      </c>
      <c r="N1928" s="15" t="s">
        <v>35</v>
      </c>
      <c r="O1928" s="15" t="s">
        <v>5822</v>
      </c>
    </row>
    <row r="1929" spans="1:15" s="1" customFormat="1" ht="14.25" customHeight="1">
      <c r="A1929" s="3" t="s">
        <v>1285</v>
      </c>
      <c r="B1929" s="3" t="s">
        <v>283</v>
      </c>
      <c r="C1929" s="3"/>
      <c r="D1929" s="5" t="s">
        <v>1287</v>
      </c>
      <c r="E1929" s="5" t="s">
        <v>124</v>
      </c>
      <c r="F1929" s="3" t="s">
        <v>5823</v>
      </c>
      <c r="G1929" s="6">
        <f>8.606*L1929</f>
        <v>34.423999999999999</v>
      </c>
      <c r="H1929" s="7">
        <v>41836</v>
      </c>
      <c r="I1929" s="6" t="s">
        <v>272</v>
      </c>
      <c r="J1929" s="6" t="s">
        <v>5824</v>
      </c>
      <c r="K1929" s="6" t="s">
        <v>21</v>
      </c>
      <c r="L1929" s="6">
        <v>4</v>
      </c>
      <c r="M1929" s="15" t="s">
        <v>5825</v>
      </c>
      <c r="N1929" s="15" t="s">
        <v>653</v>
      </c>
      <c r="O1929" s="15" t="s">
        <v>5825</v>
      </c>
    </row>
    <row r="1930" spans="1:15" s="1" customFormat="1" ht="14.25" customHeight="1">
      <c r="A1930" s="3" t="s">
        <v>1285</v>
      </c>
      <c r="B1930" s="3" t="s">
        <v>283</v>
      </c>
      <c r="C1930" s="3"/>
      <c r="D1930" s="5" t="s">
        <v>1287</v>
      </c>
      <c r="E1930" s="5" t="s">
        <v>124</v>
      </c>
      <c r="F1930" s="3" t="s">
        <v>5826</v>
      </c>
      <c r="G1930" s="6">
        <f>8.606*L1930</f>
        <v>86.06</v>
      </c>
      <c r="H1930" s="7">
        <v>41836</v>
      </c>
      <c r="I1930" s="6" t="s">
        <v>272</v>
      </c>
      <c r="J1930" s="6" t="s">
        <v>5827</v>
      </c>
      <c r="K1930" s="6" t="s">
        <v>21</v>
      </c>
      <c r="L1930" s="6">
        <v>10</v>
      </c>
      <c r="M1930" s="15" t="s">
        <v>5828</v>
      </c>
      <c r="N1930" s="15" t="s">
        <v>35</v>
      </c>
      <c r="O1930" s="15" t="s">
        <v>5828</v>
      </c>
    </row>
    <row r="1931" spans="1:15" s="1" customFormat="1" ht="14.25" customHeight="1">
      <c r="A1931" s="3" t="s">
        <v>494</v>
      </c>
      <c r="B1931" s="4"/>
      <c r="C1931" s="3"/>
      <c r="D1931" s="5" t="s">
        <v>495</v>
      </c>
      <c r="E1931" s="5" t="s">
        <v>124</v>
      </c>
      <c r="F1931" s="3" t="s">
        <v>5829</v>
      </c>
      <c r="G1931" s="6">
        <f>12.838*L1931</f>
        <v>192.57</v>
      </c>
      <c r="H1931" s="7">
        <v>41836</v>
      </c>
      <c r="I1931" s="6" t="s">
        <v>471</v>
      </c>
      <c r="J1931" s="6" t="s">
        <v>5830</v>
      </c>
      <c r="K1931" s="6" t="s">
        <v>21</v>
      </c>
      <c r="L1931" s="6">
        <v>15</v>
      </c>
      <c r="M1931" s="15" t="s">
        <v>5831</v>
      </c>
      <c r="N1931" s="15" t="s">
        <v>1149</v>
      </c>
      <c r="O1931" s="15" t="s">
        <v>5831</v>
      </c>
    </row>
    <row r="1932" spans="1:15" s="1" customFormat="1" ht="14.25" customHeight="1">
      <c r="A1932" s="3" t="s">
        <v>3653</v>
      </c>
      <c r="B1932" s="4"/>
      <c r="C1932" s="3"/>
      <c r="D1932" s="5" t="s">
        <v>495</v>
      </c>
      <c r="E1932" s="5" t="s">
        <v>124</v>
      </c>
      <c r="F1932" s="3" t="s">
        <v>5832</v>
      </c>
      <c r="G1932" s="6">
        <f>12.838*L1932</f>
        <v>128.38</v>
      </c>
      <c r="H1932" s="7">
        <v>41836</v>
      </c>
      <c r="I1932" s="6" t="s">
        <v>471</v>
      </c>
      <c r="J1932" s="6" t="s">
        <v>5833</v>
      </c>
      <c r="K1932" s="6" t="s">
        <v>21</v>
      </c>
      <c r="L1932" s="6">
        <v>10</v>
      </c>
      <c r="M1932" s="15" t="s">
        <v>5831</v>
      </c>
      <c r="N1932" s="15" t="s">
        <v>114</v>
      </c>
      <c r="O1932" s="15" t="s">
        <v>5834</v>
      </c>
    </row>
    <row r="1933" spans="1:15" ht="14.25" customHeight="1">
      <c r="A1933" s="3" t="s">
        <v>5351</v>
      </c>
      <c r="B1933" s="3"/>
      <c r="C1933" s="3"/>
      <c r="D1933" s="5" t="s">
        <v>364</v>
      </c>
      <c r="E1933" s="5" t="s">
        <v>124</v>
      </c>
      <c r="F1933" s="3" t="s">
        <v>5835</v>
      </c>
      <c r="G1933" s="6">
        <f>12.838*L1933</f>
        <v>102.70399999999999</v>
      </c>
      <c r="H1933" s="7">
        <v>41836</v>
      </c>
      <c r="I1933" s="6" t="s">
        <v>126</v>
      </c>
      <c r="J1933" s="6" t="s">
        <v>5836</v>
      </c>
      <c r="K1933" s="6" t="s">
        <v>21</v>
      </c>
      <c r="L1933" s="6">
        <v>8</v>
      </c>
      <c r="M1933" s="15" t="s">
        <v>5837</v>
      </c>
      <c r="N1933" s="15" t="s">
        <v>447</v>
      </c>
      <c r="O1933" s="15" t="s">
        <v>5837</v>
      </c>
    </row>
    <row r="1934" spans="1:15" ht="14.25" customHeight="1">
      <c r="A1934" s="3" t="s">
        <v>1127</v>
      </c>
      <c r="B1934" s="4"/>
      <c r="C1934" s="3"/>
      <c r="D1934" s="5" t="s">
        <v>1128</v>
      </c>
      <c r="E1934" s="5" t="s">
        <v>7026</v>
      </c>
      <c r="F1934" s="3" t="s">
        <v>8572</v>
      </c>
      <c r="G1934" s="6">
        <f t="shared" ref="G1934:G1939" si="74">29.101*L1934</f>
        <v>349.21199999999999</v>
      </c>
      <c r="H1934" s="7">
        <v>41836</v>
      </c>
      <c r="I1934" s="40" t="s">
        <v>8264</v>
      </c>
      <c r="J1934" s="6" t="s">
        <v>8573</v>
      </c>
      <c r="K1934" s="6" t="s">
        <v>21</v>
      </c>
      <c r="L1934" s="6">
        <v>12</v>
      </c>
      <c r="M1934" s="15" t="s">
        <v>8574</v>
      </c>
      <c r="N1934" s="15" t="s">
        <v>164</v>
      </c>
      <c r="O1934" s="15" t="s">
        <v>8575</v>
      </c>
    </row>
    <row r="1935" spans="1:15" s="1" customFormat="1" ht="14.25" customHeight="1">
      <c r="A1935" s="3" t="s">
        <v>1127</v>
      </c>
      <c r="B1935" s="4"/>
      <c r="C1935" s="3"/>
      <c r="D1935" s="5" t="s">
        <v>1128</v>
      </c>
      <c r="E1935" s="5" t="s">
        <v>7026</v>
      </c>
      <c r="F1935" s="3" t="s">
        <v>8576</v>
      </c>
      <c r="G1935" s="6">
        <f t="shared" si="74"/>
        <v>378.31299999999999</v>
      </c>
      <c r="H1935" s="7">
        <v>41836</v>
      </c>
      <c r="I1935" s="40" t="s">
        <v>8264</v>
      </c>
      <c r="J1935" s="6" t="s">
        <v>8577</v>
      </c>
      <c r="K1935" s="6" t="s">
        <v>21</v>
      </c>
      <c r="L1935" s="6">
        <v>13</v>
      </c>
      <c r="M1935" s="15" t="s">
        <v>8574</v>
      </c>
      <c r="N1935" s="15" t="s">
        <v>167</v>
      </c>
      <c r="O1935" s="15" t="s">
        <v>8578</v>
      </c>
    </row>
    <row r="1936" spans="1:15" ht="14.25" customHeight="1">
      <c r="A1936" s="3" t="s">
        <v>1127</v>
      </c>
      <c r="B1936" s="4"/>
      <c r="C1936" s="3"/>
      <c r="D1936" s="5" t="s">
        <v>1128</v>
      </c>
      <c r="E1936" s="5" t="s">
        <v>7026</v>
      </c>
      <c r="F1936" s="3" t="s">
        <v>8579</v>
      </c>
      <c r="G1936" s="6">
        <f t="shared" si="74"/>
        <v>349.21199999999999</v>
      </c>
      <c r="H1936" s="7">
        <v>41836</v>
      </c>
      <c r="I1936" s="40" t="s">
        <v>8264</v>
      </c>
      <c r="J1936" s="6" t="s">
        <v>8580</v>
      </c>
      <c r="K1936" s="6" t="s">
        <v>21</v>
      </c>
      <c r="L1936" s="6">
        <v>12</v>
      </c>
      <c r="M1936" s="15" t="s">
        <v>8581</v>
      </c>
      <c r="N1936" s="15" t="s">
        <v>164</v>
      </c>
      <c r="O1936" s="15" t="s">
        <v>8582</v>
      </c>
    </row>
    <row r="1937" spans="1:15" s="1" customFormat="1" ht="14.25" customHeight="1">
      <c r="A1937" s="3" t="s">
        <v>1127</v>
      </c>
      <c r="B1937" s="4"/>
      <c r="C1937" s="3"/>
      <c r="D1937" s="5" t="s">
        <v>1128</v>
      </c>
      <c r="E1937" s="5" t="s">
        <v>7026</v>
      </c>
      <c r="F1937" s="3" t="s">
        <v>8583</v>
      </c>
      <c r="G1937" s="6">
        <f t="shared" si="74"/>
        <v>378.31299999999999</v>
      </c>
      <c r="H1937" s="7">
        <v>41836</v>
      </c>
      <c r="I1937" s="40" t="s">
        <v>8264</v>
      </c>
      <c r="J1937" s="6" t="s">
        <v>8584</v>
      </c>
      <c r="K1937" s="6" t="s">
        <v>21</v>
      </c>
      <c r="L1937" s="6">
        <v>13</v>
      </c>
      <c r="M1937" s="15" t="s">
        <v>8581</v>
      </c>
      <c r="N1937" s="15" t="s">
        <v>167</v>
      </c>
      <c r="O1937" s="15" t="s">
        <v>8585</v>
      </c>
    </row>
    <row r="1938" spans="1:15" ht="14.25" customHeight="1">
      <c r="A1938" s="3" t="s">
        <v>1127</v>
      </c>
      <c r="B1938" s="4"/>
      <c r="C1938" s="3"/>
      <c r="D1938" s="5" t="s">
        <v>1128</v>
      </c>
      <c r="E1938" s="5" t="s">
        <v>7026</v>
      </c>
      <c r="F1938" s="3" t="s">
        <v>8586</v>
      </c>
      <c r="G1938" s="6">
        <f t="shared" si="74"/>
        <v>349.21199999999999</v>
      </c>
      <c r="H1938" s="7">
        <v>41836</v>
      </c>
      <c r="I1938" s="40" t="s">
        <v>8264</v>
      </c>
      <c r="J1938" s="6" t="s">
        <v>8587</v>
      </c>
      <c r="K1938" s="6" t="s">
        <v>21</v>
      </c>
      <c r="L1938" s="6">
        <v>12</v>
      </c>
      <c r="M1938" s="15" t="s">
        <v>8588</v>
      </c>
      <c r="N1938" s="15" t="s">
        <v>164</v>
      </c>
      <c r="O1938" s="15" t="s">
        <v>8589</v>
      </c>
    </row>
    <row r="1939" spans="1:15" ht="14.25" customHeight="1">
      <c r="A1939" s="3" t="s">
        <v>1127</v>
      </c>
      <c r="B1939" s="4"/>
      <c r="C1939" s="3"/>
      <c r="D1939" s="5" t="s">
        <v>1128</v>
      </c>
      <c r="E1939" s="5" t="s">
        <v>7026</v>
      </c>
      <c r="F1939" s="3" t="s">
        <v>8590</v>
      </c>
      <c r="G1939" s="6">
        <f t="shared" si="74"/>
        <v>378.31299999999999</v>
      </c>
      <c r="H1939" s="7">
        <v>41836</v>
      </c>
      <c r="I1939" s="40" t="s">
        <v>8264</v>
      </c>
      <c r="J1939" s="6" t="s">
        <v>8591</v>
      </c>
      <c r="K1939" s="6" t="s">
        <v>21</v>
      </c>
      <c r="L1939" s="6">
        <v>13</v>
      </c>
      <c r="M1939" s="15" t="s">
        <v>8588</v>
      </c>
      <c r="N1939" s="15" t="s">
        <v>167</v>
      </c>
      <c r="O1939" s="15" t="s">
        <v>8592</v>
      </c>
    </row>
    <row r="1940" spans="1:15" s="1" customFormat="1" ht="14.25" customHeight="1">
      <c r="A1940" s="3" t="s">
        <v>1043</v>
      </c>
      <c r="B1940" s="4"/>
      <c r="C1940" s="3"/>
      <c r="D1940" s="5" t="s">
        <v>443</v>
      </c>
      <c r="E1940" s="5" t="s">
        <v>7026</v>
      </c>
      <c r="F1940" s="3" t="s">
        <v>8593</v>
      </c>
      <c r="G1940" s="6">
        <f>18.708*L1940</f>
        <v>224.49599999999998</v>
      </c>
      <c r="H1940" s="7">
        <v>41836</v>
      </c>
      <c r="I1940" s="40" t="s">
        <v>8264</v>
      </c>
      <c r="J1940" s="6" t="s">
        <v>8594</v>
      </c>
      <c r="K1940" s="6" t="s">
        <v>21</v>
      </c>
      <c r="L1940" s="6">
        <v>12</v>
      </c>
      <c r="M1940" s="15" t="s">
        <v>8595</v>
      </c>
      <c r="N1940" s="15" t="s">
        <v>164</v>
      </c>
      <c r="O1940" s="15" t="s">
        <v>8596</v>
      </c>
    </row>
    <row r="1941" spans="1:15" ht="14.25" customHeight="1">
      <c r="A1941" s="3" t="s">
        <v>1043</v>
      </c>
      <c r="B1941" s="4"/>
      <c r="C1941" s="3"/>
      <c r="D1941" s="5" t="s">
        <v>443</v>
      </c>
      <c r="E1941" s="5" t="s">
        <v>7026</v>
      </c>
      <c r="F1941" s="3" t="s">
        <v>8597</v>
      </c>
      <c r="G1941" s="6">
        <f>18.708*L1941</f>
        <v>243.20399999999998</v>
      </c>
      <c r="H1941" s="7">
        <v>41836</v>
      </c>
      <c r="I1941" s="40" t="s">
        <v>8264</v>
      </c>
      <c r="J1941" s="6" t="s">
        <v>8598</v>
      </c>
      <c r="K1941" s="6" t="s">
        <v>21</v>
      </c>
      <c r="L1941" s="6">
        <v>13</v>
      </c>
      <c r="M1941" s="15" t="s">
        <v>8595</v>
      </c>
      <c r="N1941" s="15" t="s">
        <v>167</v>
      </c>
      <c r="O1941" s="15" t="s">
        <v>8599</v>
      </c>
    </row>
    <row r="1942" spans="1:15" s="1" customFormat="1" ht="14.25" customHeight="1">
      <c r="A1942" s="3" t="s">
        <v>631</v>
      </c>
      <c r="B1942" s="3"/>
      <c r="C1942" s="3"/>
      <c r="D1942" s="5" t="s">
        <v>632</v>
      </c>
      <c r="E1942" s="5" t="s">
        <v>124</v>
      </c>
      <c r="F1942" s="3" t="s">
        <v>9311</v>
      </c>
      <c r="G1942" s="6">
        <f>17.498*6</f>
        <v>104.988</v>
      </c>
      <c r="H1942" s="7">
        <v>41836</v>
      </c>
      <c r="I1942" s="6" t="s">
        <v>471</v>
      </c>
      <c r="J1942" s="6" t="s">
        <v>9312</v>
      </c>
      <c r="K1942" s="6" t="s">
        <v>21</v>
      </c>
      <c r="L1942" s="6" t="s">
        <v>9313</v>
      </c>
      <c r="M1942" s="15" t="s">
        <v>9314</v>
      </c>
      <c r="N1942" s="15" t="s">
        <v>9315</v>
      </c>
      <c r="O1942" s="15" t="s">
        <v>9316</v>
      </c>
    </row>
    <row r="1943" spans="1:15" ht="14.25" customHeight="1">
      <c r="A1943" s="3" t="s">
        <v>68</v>
      </c>
      <c r="B1943" s="4" t="s">
        <v>82</v>
      </c>
      <c r="C1943" s="3"/>
      <c r="D1943" s="5" t="s">
        <v>69</v>
      </c>
      <c r="E1943" s="5" t="s">
        <v>17</v>
      </c>
      <c r="F1943" s="3" t="s">
        <v>83</v>
      </c>
      <c r="G1943" s="6">
        <f>9.175*L1943</f>
        <v>110.10000000000001</v>
      </c>
      <c r="H1943" s="7">
        <v>41837</v>
      </c>
      <c r="I1943" s="6" t="s">
        <v>71</v>
      </c>
      <c r="J1943" s="6" t="s">
        <v>84</v>
      </c>
      <c r="K1943" s="6" t="s">
        <v>21</v>
      </c>
      <c r="L1943" s="6">
        <v>12</v>
      </c>
      <c r="M1943" s="15" t="s">
        <v>85</v>
      </c>
      <c r="N1943" s="15" t="s">
        <v>78</v>
      </c>
      <c r="O1943" s="15"/>
    </row>
    <row r="1944" spans="1:15" ht="14.25" customHeight="1">
      <c r="A1944" s="3" t="s">
        <v>68</v>
      </c>
      <c r="B1944" s="4" t="s">
        <v>82</v>
      </c>
      <c r="C1944" s="3"/>
      <c r="D1944" s="5" t="s">
        <v>69</v>
      </c>
      <c r="E1944" s="5" t="s">
        <v>17</v>
      </c>
      <c r="F1944" s="3" t="s">
        <v>86</v>
      </c>
      <c r="G1944" s="6">
        <f>9.175*L1944</f>
        <v>119.27500000000001</v>
      </c>
      <c r="H1944" s="7">
        <v>41837</v>
      </c>
      <c r="I1944" s="6" t="s">
        <v>71</v>
      </c>
      <c r="J1944" s="6" t="s">
        <v>87</v>
      </c>
      <c r="K1944" s="6" t="s">
        <v>21</v>
      </c>
      <c r="L1944" s="6">
        <v>13</v>
      </c>
      <c r="M1944" s="15" t="s">
        <v>85</v>
      </c>
      <c r="N1944" s="15" t="s">
        <v>81</v>
      </c>
      <c r="O1944" s="15"/>
    </row>
    <row r="1945" spans="1:15" ht="14.25" customHeight="1">
      <c r="A1945" s="3" t="s">
        <v>884</v>
      </c>
      <c r="B1945" s="3" t="s">
        <v>134</v>
      </c>
      <c r="C1945" s="3"/>
      <c r="D1945" s="5" t="s">
        <v>135</v>
      </c>
      <c r="E1945" s="5" t="s">
        <v>124</v>
      </c>
      <c r="F1945" s="3" t="s">
        <v>5838</v>
      </c>
      <c r="G1945" s="6">
        <f>29.101*L1945/2</f>
        <v>101.8535</v>
      </c>
      <c r="H1945" s="7">
        <v>41842</v>
      </c>
      <c r="I1945" s="6" t="s">
        <v>886</v>
      </c>
      <c r="J1945" s="6" t="s">
        <v>5839</v>
      </c>
      <c r="K1945" s="6" t="s">
        <v>21</v>
      </c>
      <c r="L1945" s="6">
        <v>7</v>
      </c>
      <c r="M1945" s="15" t="s">
        <v>5840</v>
      </c>
      <c r="N1945" s="15" t="s">
        <v>4178</v>
      </c>
      <c r="O1945" s="15" t="s">
        <v>5840</v>
      </c>
    </row>
    <row r="1946" spans="1:15" s="1" customFormat="1" ht="14.25" customHeight="1">
      <c r="A1946" s="3" t="s">
        <v>416</v>
      </c>
      <c r="B1946" s="4"/>
      <c r="C1946" s="3"/>
      <c r="D1946" s="5" t="s">
        <v>417</v>
      </c>
      <c r="E1946" s="5" t="s">
        <v>124</v>
      </c>
      <c r="F1946" s="3" t="s">
        <v>5841</v>
      </c>
      <c r="G1946" s="6">
        <f>29.101*L1946</f>
        <v>232.80799999999999</v>
      </c>
      <c r="H1946" s="7">
        <v>41842</v>
      </c>
      <c r="I1946" s="6" t="s">
        <v>419</v>
      </c>
      <c r="J1946" s="6" t="s">
        <v>5842</v>
      </c>
      <c r="K1946" s="6" t="s">
        <v>21</v>
      </c>
      <c r="L1946" s="6">
        <v>8</v>
      </c>
      <c r="M1946" s="15" t="s">
        <v>5843</v>
      </c>
      <c r="N1946" s="15" t="s">
        <v>5844</v>
      </c>
      <c r="O1946" s="15" t="s">
        <v>5843</v>
      </c>
    </row>
    <row r="1947" spans="1:15" ht="14.25" customHeight="1">
      <c r="A1947" s="3" t="s">
        <v>846</v>
      </c>
      <c r="B1947" s="4"/>
      <c r="C1947" s="3"/>
      <c r="D1947" s="5" t="s">
        <v>191</v>
      </c>
      <c r="E1947" s="5" t="s">
        <v>124</v>
      </c>
      <c r="F1947" s="3" t="s">
        <v>5845</v>
      </c>
      <c r="G1947" s="6">
        <f>18.708*L1947</f>
        <v>205.78799999999998</v>
      </c>
      <c r="H1947" s="7">
        <v>41842</v>
      </c>
      <c r="I1947" s="6" t="s">
        <v>247</v>
      </c>
      <c r="J1947" s="6" t="s">
        <v>5846</v>
      </c>
      <c r="K1947" s="6" t="s">
        <v>21</v>
      </c>
      <c r="L1947" s="6">
        <v>11</v>
      </c>
      <c r="M1947" s="15" t="s">
        <v>5847</v>
      </c>
      <c r="N1947" s="15" t="s">
        <v>626</v>
      </c>
      <c r="O1947" s="15" t="s">
        <v>5847</v>
      </c>
    </row>
    <row r="1948" spans="1:15" s="1" customFormat="1" ht="14.25" customHeight="1">
      <c r="A1948" s="3" t="s">
        <v>846</v>
      </c>
      <c r="B1948" s="4"/>
      <c r="C1948" s="3"/>
      <c r="D1948" s="5" t="s">
        <v>191</v>
      </c>
      <c r="E1948" s="5" t="s">
        <v>124</v>
      </c>
      <c r="F1948" s="3" t="s">
        <v>5848</v>
      </c>
      <c r="G1948" s="6">
        <f>18.708*L1948</f>
        <v>224.49599999999998</v>
      </c>
      <c r="H1948" s="7">
        <v>41842</v>
      </c>
      <c r="I1948" s="6" t="s">
        <v>247</v>
      </c>
      <c r="J1948" s="6" t="s">
        <v>5849</v>
      </c>
      <c r="K1948" s="6" t="s">
        <v>21</v>
      </c>
      <c r="L1948" s="6">
        <v>12</v>
      </c>
      <c r="M1948" s="15" t="s">
        <v>5847</v>
      </c>
      <c r="N1948" s="15" t="s">
        <v>5850</v>
      </c>
      <c r="O1948" s="15" t="s">
        <v>5851</v>
      </c>
    </row>
    <row r="1949" spans="1:15" ht="14.25" customHeight="1">
      <c r="A1949" s="3" t="s">
        <v>846</v>
      </c>
      <c r="B1949" s="4"/>
      <c r="C1949" s="3"/>
      <c r="D1949" s="5" t="s">
        <v>191</v>
      </c>
      <c r="E1949" s="5" t="s">
        <v>124</v>
      </c>
      <c r="F1949" s="3" t="s">
        <v>5852</v>
      </c>
      <c r="G1949" s="6">
        <f>18.708*L1949</f>
        <v>205.78799999999998</v>
      </c>
      <c r="H1949" s="7">
        <v>41842</v>
      </c>
      <c r="I1949" s="6" t="s">
        <v>247</v>
      </c>
      <c r="J1949" s="6" t="s">
        <v>5853</v>
      </c>
      <c r="K1949" s="6" t="s">
        <v>21</v>
      </c>
      <c r="L1949" s="6">
        <v>11</v>
      </c>
      <c r="M1949" s="15" t="s">
        <v>5854</v>
      </c>
      <c r="N1949" s="15" t="s">
        <v>626</v>
      </c>
      <c r="O1949" s="15" t="s">
        <v>5854</v>
      </c>
    </row>
    <row r="1950" spans="1:15" ht="14.25" customHeight="1">
      <c r="A1950" s="3" t="s">
        <v>469</v>
      </c>
      <c r="B1950" s="4"/>
      <c r="C1950" s="3"/>
      <c r="D1950" s="5" t="s">
        <v>276</v>
      </c>
      <c r="E1950" s="5" t="s">
        <v>124</v>
      </c>
      <c r="F1950" s="3" t="s">
        <v>5855</v>
      </c>
      <c r="G1950" s="6">
        <f>6.405*L1950</f>
        <v>70.454999999999998</v>
      </c>
      <c r="H1950" s="7">
        <v>41842</v>
      </c>
      <c r="I1950" s="6" t="s">
        <v>471</v>
      </c>
      <c r="J1950" s="6" t="s">
        <v>5856</v>
      </c>
      <c r="K1950" s="6" t="s">
        <v>21</v>
      </c>
      <c r="L1950" s="6">
        <v>11</v>
      </c>
      <c r="M1950" s="15" t="s">
        <v>5857</v>
      </c>
      <c r="N1950" s="15" t="s">
        <v>4504</v>
      </c>
      <c r="O1950" s="15" t="s">
        <v>5857</v>
      </c>
    </row>
    <row r="1951" spans="1:15" s="1" customFormat="1" ht="14.25" customHeight="1">
      <c r="A1951" s="3" t="s">
        <v>469</v>
      </c>
      <c r="B1951" s="4"/>
      <c r="C1951" s="3"/>
      <c r="D1951" s="5" t="s">
        <v>276</v>
      </c>
      <c r="E1951" s="5" t="s">
        <v>124</v>
      </c>
      <c r="F1951" s="3" t="s">
        <v>5858</v>
      </c>
      <c r="G1951" s="6">
        <f>6.405*L1951</f>
        <v>76.86</v>
      </c>
      <c r="H1951" s="7">
        <v>41842</v>
      </c>
      <c r="I1951" s="6" t="s">
        <v>471</v>
      </c>
      <c r="J1951" s="6" t="s">
        <v>5859</v>
      </c>
      <c r="K1951" s="6" t="s">
        <v>21</v>
      </c>
      <c r="L1951" s="6">
        <v>12</v>
      </c>
      <c r="M1951" s="15" t="s">
        <v>5857</v>
      </c>
      <c r="N1951" s="15" t="s">
        <v>5860</v>
      </c>
      <c r="O1951" s="15" t="s">
        <v>5861</v>
      </c>
    </row>
    <row r="1952" spans="1:15" s="1" customFormat="1" ht="14.25" customHeight="1">
      <c r="A1952" s="3" t="s">
        <v>793</v>
      </c>
      <c r="B1952" s="3"/>
      <c r="C1952" s="3"/>
      <c r="D1952" s="5" t="s">
        <v>794</v>
      </c>
      <c r="E1952" s="5" t="s">
        <v>124</v>
      </c>
      <c r="F1952" s="3" t="s">
        <v>5862</v>
      </c>
      <c r="G1952" s="6">
        <f>8.137*L1952</f>
        <v>97.644000000000005</v>
      </c>
      <c r="H1952" s="7">
        <v>41842</v>
      </c>
      <c r="I1952" s="6" t="s">
        <v>186</v>
      </c>
      <c r="J1952" s="6" t="s">
        <v>5863</v>
      </c>
      <c r="K1952" s="6" t="s">
        <v>21</v>
      </c>
      <c r="L1952" s="6">
        <v>12</v>
      </c>
      <c r="M1952" s="15" t="s">
        <v>5864</v>
      </c>
      <c r="N1952" s="15" t="s">
        <v>78</v>
      </c>
      <c r="O1952" s="15" t="s">
        <v>5864</v>
      </c>
    </row>
    <row r="1953" spans="1:15" s="1" customFormat="1" ht="14.25" customHeight="1">
      <c r="A1953" s="3" t="s">
        <v>793</v>
      </c>
      <c r="B1953" s="3"/>
      <c r="C1953" s="3"/>
      <c r="D1953" s="5" t="s">
        <v>794</v>
      </c>
      <c r="E1953" s="5" t="s">
        <v>124</v>
      </c>
      <c r="F1953" s="3" t="s">
        <v>5865</v>
      </c>
      <c r="G1953" s="6">
        <f>8.137*L1953</f>
        <v>105.78100000000001</v>
      </c>
      <c r="H1953" s="7">
        <v>41842</v>
      </c>
      <c r="I1953" s="6" t="s">
        <v>186</v>
      </c>
      <c r="J1953" s="6" t="s">
        <v>5866</v>
      </c>
      <c r="K1953" s="6" t="s">
        <v>21</v>
      </c>
      <c r="L1953" s="6">
        <v>13</v>
      </c>
      <c r="M1953" s="15" t="s">
        <v>5864</v>
      </c>
      <c r="N1953" s="15" t="s">
        <v>81</v>
      </c>
      <c r="O1953" s="15" t="s">
        <v>5867</v>
      </c>
    </row>
    <row r="1954" spans="1:15" s="1" customFormat="1" ht="14.25" customHeight="1">
      <c r="A1954" s="3" t="s">
        <v>1127</v>
      </c>
      <c r="B1954" s="4"/>
      <c r="C1954" s="3"/>
      <c r="D1954" s="5" t="s">
        <v>1128</v>
      </c>
      <c r="E1954" s="5" t="s">
        <v>7026</v>
      </c>
      <c r="F1954" s="3" t="s">
        <v>8600</v>
      </c>
      <c r="G1954" s="6">
        <f t="shared" ref="G1954:G1959" si="75">29.101*L1954</f>
        <v>349.21199999999999</v>
      </c>
      <c r="H1954" s="7">
        <v>41842</v>
      </c>
      <c r="I1954" s="6" t="s">
        <v>178</v>
      </c>
      <c r="J1954" s="6" t="s">
        <v>8601</v>
      </c>
      <c r="K1954" s="6" t="s">
        <v>21</v>
      </c>
      <c r="L1954" s="6">
        <v>12</v>
      </c>
      <c r="M1954" s="15" t="s">
        <v>8602</v>
      </c>
      <c r="N1954" s="15" t="s">
        <v>164</v>
      </c>
      <c r="O1954" s="15" t="s">
        <v>8603</v>
      </c>
    </row>
    <row r="1955" spans="1:15" s="1" customFormat="1" ht="14.25" customHeight="1">
      <c r="A1955" s="3" t="s">
        <v>1127</v>
      </c>
      <c r="B1955" s="4"/>
      <c r="C1955" s="3"/>
      <c r="D1955" s="5" t="s">
        <v>1128</v>
      </c>
      <c r="E1955" s="5" t="s">
        <v>7026</v>
      </c>
      <c r="F1955" s="3" t="s">
        <v>8604</v>
      </c>
      <c r="G1955" s="6">
        <f t="shared" si="75"/>
        <v>378.31299999999999</v>
      </c>
      <c r="H1955" s="7">
        <v>41842</v>
      </c>
      <c r="I1955" s="6" t="s">
        <v>178</v>
      </c>
      <c r="J1955" s="6" t="s">
        <v>8605</v>
      </c>
      <c r="K1955" s="6" t="s">
        <v>21</v>
      </c>
      <c r="L1955" s="6">
        <v>13</v>
      </c>
      <c r="M1955" s="15" t="s">
        <v>8602</v>
      </c>
      <c r="N1955" s="15" t="s">
        <v>167</v>
      </c>
      <c r="O1955" s="15" t="s">
        <v>8606</v>
      </c>
    </row>
    <row r="1956" spans="1:15" s="1" customFormat="1" ht="14.25" customHeight="1">
      <c r="A1956" s="3" t="s">
        <v>1127</v>
      </c>
      <c r="B1956" s="4"/>
      <c r="C1956" s="3"/>
      <c r="D1956" s="5" t="s">
        <v>1128</v>
      </c>
      <c r="E1956" s="5" t="s">
        <v>7026</v>
      </c>
      <c r="F1956" s="3" t="s">
        <v>8607</v>
      </c>
      <c r="G1956" s="6">
        <f t="shared" si="75"/>
        <v>349.21199999999999</v>
      </c>
      <c r="H1956" s="7">
        <v>41842</v>
      </c>
      <c r="I1956" s="6" t="s">
        <v>178</v>
      </c>
      <c r="J1956" s="6" t="s">
        <v>8608</v>
      </c>
      <c r="K1956" s="6" t="s">
        <v>21</v>
      </c>
      <c r="L1956" s="6">
        <v>12</v>
      </c>
      <c r="M1956" s="15" t="s">
        <v>8609</v>
      </c>
      <c r="N1956" s="15" t="s">
        <v>164</v>
      </c>
      <c r="O1956" s="15" t="s">
        <v>8610</v>
      </c>
    </row>
    <row r="1957" spans="1:15" s="1" customFormat="1" ht="14.25" customHeight="1">
      <c r="A1957" s="3" t="s">
        <v>1127</v>
      </c>
      <c r="B1957" s="4"/>
      <c r="C1957" s="3"/>
      <c r="D1957" s="5" t="s">
        <v>1128</v>
      </c>
      <c r="E1957" s="5" t="s">
        <v>7026</v>
      </c>
      <c r="F1957" s="3" t="s">
        <v>8611</v>
      </c>
      <c r="G1957" s="6">
        <f t="shared" si="75"/>
        <v>378.31299999999999</v>
      </c>
      <c r="H1957" s="7">
        <v>41842</v>
      </c>
      <c r="I1957" s="6" t="s">
        <v>178</v>
      </c>
      <c r="J1957" s="6" t="s">
        <v>8612</v>
      </c>
      <c r="K1957" s="6" t="s">
        <v>21</v>
      </c>
      <c r="L1957" s="6">
        <v>13</v>
      </c>
      <c r="M1957" s="15" t="s">
        <v>8609</v>
      </c>
      <c r="N1957" s="15" t="s">
        <v>167</v>
      </c>
      <c r="O1957" s="15" t="s">
        <v>8613</v>
      </c>
    </row>
    <row r="1958" spans="1:15" ht="14.25" customHeight="1">
      <c r="A1958" s="3" t="s">
        <v>1127</v>
      </c>
      <c r="B1958" s="4"/>
      <c r="C1958" s="3"/>
      <c r="D1958" s="5" t="s">
        <v>1128</v>
      </c>
      <c r="E1958" s="5" t="s">
        <v>7026</v>
      </c>
      <c r="F1958" s="3" t="s">
        <v>8614</v>
      </c>
      <c r="G1958" s="6">
        <f t="shared" si="75"/>
        <v>349.21199999999999</v>
      </c>
      <c r="H1958" s="7">
        <v>41842</v>
      </c>
      <c r="I1958" s="6" t="s">
        <v>178</v>
      </c>
      <c r="J1958" s="6" t="s">
        <v>8615</v>
      </c>
      <c r="K1958" s="6" t="s">
        <v>21</v>
      </c>
      <c r="L1958" s="6">
        <v>12</v>
      </c>
      <c r="M1958" s="15" t="s">
        <v>8616</v>
      </c>
      <c r="N1958" s="15" t="s">
        <v>164</v>
      </c>
      <c r="O1958" s="15" t="s">
        <v>8617</v>
      </c>
    </row>
    <row r="1959" spans="1:15" s="1" customFormat="1" ht="14.25" customHeight="1">
      <c r="A1959" s="3" t="s">
        <v>1127</v>
      </c>
      <c r="B1959" s="4"/>
      <c r="C1959" s="3"/>
      <c r="D1959" s="5" t="s">
        <v>1128</v>
      </c>
      <c r="E1959" s="5" t="s">
        <v>7026</v>
      </c>
      <c r="F1959" s="3" t="s">
        <v>8618</v>
      </c>
      <c r="G1959" s="6">
        <f t="shared" si="75"/>
        <v>378.31299999999999</v>
      </c>
      <c r="H1959" s="7">
        <v>41842</v>
      </c>
      <c r="I1959" s="6" t="s">
        <v>178</v>
      </c>
      <c r="J1959" s="6" t="s">
        <v>8619</v>
      </c>
      <c r="K1959" s="6" t="s">
        <v>21</v>
      </c>
      <c r="L1959" s="6">
        <v>13</v>
      </c>
      <c r="M1959" s="15" t="s">
        <v>8616</v>
      </c>
      <c r="N1959" s="15" t="s">
        <v>167</v>
      </c>
      <c r="O1959" s="15" t="s">
        <v>8620</v>
      </c>
    </row>
    <row r="1960" spans="1:15" s="1" customFormat="1" ht="14.25" customHeight="1">
      <c r="A1960" s="3" t="s">
        <v>846</v>
      </c>
      <c r="B1960" s="3"/>
      <c r="C1960" s="3"/>
      <c r="D1960" s="5" t="s">
        <v>191</v>
      </c>
      <c r="E1960" s="5" t="s">
        <v>124</v>
      </c>
      <c r="F1960" s="3" t="s">
        <v>9317</v>
      </c>
      <c r="G1960" s="6">
        <f>18.708*L1960</f>
        <v>224.49599999999998</v>
      </c>
      <c r="H1960" s="7">
        <v>41842</v>
      </c>
      <c r="I1960" s="6" t="s">
        <v>247</v>
      </c>
      <c r="J1960" s="6" t="s">
        <v>9318</v>
      </c>
      <c r="K1960" s="6" t="s">
        <v>21</v>
      </c>
      <c r="L1960" s="6">
        <v>12</v>
      </c>
      <c r="M1960" s="15" t="s">
        <v>5854</v>
      </c>
      <c r="N1960" s="15" t="s">
        <v>9319</v>
      </c>
      <c r="O1960" s="15" t="s">
        <v>9320</v>
      </c>
    </row>
    <row r="1961" spans="1:15" ht="14.25" customHeight="1">
      <c r="A1961" s="3" t="s">
        <v>772</v>
      </c>
      <c r="B1961" s="4"/>
      <c r="C1961" s="3"/>
      <c r="D1961" s="5" t="s">
        <v>773</v>
      </c>
      <c r="E1961" s="5" t="s">
        <v>124</v>
      </c>
      <c r="F1961" s="3" t="s">
        <v>5868</v>
      </c>
      <c r="G1961" s="6">
        <f>18.708*L1961</f>
        <v>149.66399999999999</v>
      </c>
      <c r="H1961" s="7">
        <v>41843</v>
      </c>
      <c r="I1961" s="6" t="s">
        <v>265</v>
      </c>
      <c r="J1961" s="6" t="s">
        <v>5869</v>
      </c>
      <c r="K1961" s="6" t="s">
        <v>21</v>
      </c>
      <c r="L1961" s="6">
        <v>8</v>
      </c>
      <c r="M1961" s="15" t="s">
        <v>5807</v>
      </c>
      <c r="N1961" s="15" t="s">
        <v>5870</v>
      </c>
      <c r="O1961" s="15" t="s">
        <v>5871</v>
      </c>
    </row>
    <row r="1962" spans="1:15" s="1" customFormat="1" ht="14.25" customHeight="1">
      <c r="A1962" s="3" t="s">
        <v>3870</v>
      </c>
      <c r="B1962" s="4"/>
      <c r="C1962" s="3"/>
      <c r="D1962" s="5" t="s">
        <v>3871</v>
      </c>
      <c r="E1962" s="5" t="s">
        <v>124</v>
      </c>
      <c r="F1962" s="3" t="s">
        <v>5872</v>
      </c>
      <c r="G1962" s="6">
        <f>13.006*L1962</f>
        <v>52.024000000000001</v>
      </c>
      <c r="H1962" s="7">
        <v>41843</v>
      </c>
      <c r="I1962" s="6" t="s">
        <v>3873</v>
      </c>
      <c r="J1962" s="6" t="s">
        <v>5873</v>
      </c>
      <c r="K1962" s="6" t="s">
        <v>21</v>
      </c>
      <c r="L1962" s="6">
        <v>4</v>
      </c>
      <c r="M1962" s="15" t="s">
        <v>5874</v>
      </c>
      <c r="N1962" s="15" t="s">
        <v>3740</v>
      </c>
      <c r="O1962" s="15" t="s">
        <v>5874</v>
      </c>
    </row>
    <row r="1963" spans="1:15" s="1" customFormat="1" ht="14.25" customHeight="1">
      <c r="A1963" s="3" t="s">
        <v>812</v>
      </c>
      <c r="B1963" s="3"/>
      <c r="C1963" s="3"/>
      <c r="D1963" s="5" t="s">
        <v>3759</v>
      </c>
      <c r="E1963" s="5" t="s">
        <v>124</v>
      </c>
      <c r="F1963" s="3" t="s">
        <v>5875</v>
      </c>
      <c r="G1963" s="6">
        <v>174.87200000000001</v>
      </c>
      <c r="H1963" s="7">
        <v>41843</v>
      </c>
      <c r="I1963" s="6" t="s">
        <v>209</v>
      </c>
      <c r="J1963" s="6" t="s">
        <v>5876</v>
      </c>
      <c r="K1963" s="6" t="s">
        <v>128</v>
      </c>
      <c r="L1963" s="6" t="s">
        <v>5877</v>
      </c>
      <c r="M1963" s="15" t="s">
        <v>5878</v>
      </c>
      <c r="N1963" s="15" t="s">
        <v>5879</v>
      </c>
      <c r="O1963" s="15" t="s">
        <v>5880</v>
      </c>
    </row>
    <row r="1964" spans="1:15" ht="14.25" customHeight="1">
      <c r="A1964" s="3" t="s">
        <v>1043</v>
      </c>
      <c r="B1964" s="3"/>
      <c r="C1964" s="3"/>
      <c r="D1964" s="5" t="s">
        <v>443</v>
      </c>
      <c r="E1964" s="5" t="s">
        <v>7026</v>
      </c>
      <c r="F1964" s="3" t="s">
        <v>8621</v>
      </c>
      <c r="G1964" s="6">
        <f t="shared" ref="G1964:G1969" si="76">18.708*L1964</f>
        <v>224.49599999999998</v>
      </c>
      <c r="H1964" s="7">
        <v>41843</v>
      </c>
      <c r="I1964" s="40" t="s">
        <v>8264</v>
      </c>
      <c r="J1964" s="6" t="s">
        <v>8622</v>
      </c>
      <c r="K1964" s="6" t="s">
        <v>21</v>
      </c>
      <c r="L1964" s="6">
        <v>12</v>
      </c>
      <c r="M1964" s="15" t="s">
        <v>8623</v>
      </c>
      <c r="N1964" s="15" t="s">
        <v>164</v>
      </c>
      <c r="O1964" s="15" t="s">
        <v>8624</v>
      </c>
    </row>
    <row r="1965" spans="1:15" s="1" customFormat="1" ht="14.25" customHeight="1">
      <c r="A1965" s="3" t="s">
        <v>1043</v>
      </c>
      <c r="B1965" s="4"/>
      <c r="C1965" s="3"/>
      <c r="D1965" s="5" t="s">
        <v>443</v>
      </c>
      <c r="E1965" s="5" t="s">
        <v>7026</v>
      </c>
      <c r="F1965" s="3" t="s">
        <v>8625</v>
      </c>
      <c r="G1965" s="6">
        <f t="shared" si="76"/>
        <v>243.20399999999998</v>
      </c>
      <c r="H1965" s="7">
        <v>41843</v>
      </c>
      <c r="I1965" s="40" t="s">
        <v>8264</v>
      </c>
      <c r="J1965" s="6" t="s">
        <v>8626</v>
      </c>
      <c r="K1965" s="6" t="s">
        <v>21</v>
      </c>
      <c r="L1965" s="6">
        <v>13</v>
      </c>
      <c r="M1965" s="15" t="s">
        <v>8623</v>
      </c>
      <c r="N1965" s="15" t="s">
        <v>167</v>
      </c>
      <c r="O1965" s="15" t="s">
        <v>8627</v>
      </c>
    </row>
    <row r="1966" spans="1:15" ht="14.25" customHeight="1">
      <c r="A1966" s="3" t="s">
        <v>1043</v>
      </c>
      <c r="B1966" s="4"/>
      <c r="C1966" s="3"/>
      <c r="D1966" s="5" t="s">
        <v>443</v>
      </c>
      <c r="E1966" s="5" t="s">
        <v>7026</v>
      </c>
      <c r="F1966" s="3" t="s">
        <v>8628</v>
      </c>
      <c r="G1966" s="6">
        <f t="shared" si="76"/>
        <v>224.49599999999998</v>
      </c>
      <c r="H1966" s="7">
        <v>41843</v>
      </c>
      <c r="I1966" s="40" t="s">
        <v>8264</v>
      </c>
      <c r="J1966" s="6" t="s">
        <v>8629</v>
      </c>
      <c r="K1966" s="6" t="s">
        <v>21</v>
      </c>
      <c r="L1966" s="6">
        <v>12</v>
      </c>
      <c r="M1966" s="15" t="s">
        <v>8630</v>
      </c>
      <c r="N1966" s="15" t="s">
        <v>164</v>
      </c>
      <c r="O1966" s="15" t="s">
        <v>8631</v>
      </c>
    </row>
    <row r="1967" spans="1:15" s="1" customFormat="1" ht="14.25" customHeight="1">
      <c r="A1967" s="3" t="s">
        <v>1043</v>
      </c>
      <c r="B1967" s="4"/>
      <c r="C1967" s="3"/>
      <c r="D1967" s="5" t="s">
        <v>443</v>
      </c>
      <c r="E1967" s="5" t="s">
        <v>7026</v>
      </c>
      <c r="F1967" s="3" t="s">
        <v>8632</v>
      </c>
      <c r="G1967" s="6">
        <f t="shared" si="76"/>
        <v>243.20399999999998</v>
      </c>
      <c r="H1967" s="7">
        <v>41843</v>
      </c>
      <c r="I1967" s="40" t="s">
        <v>8264</v>
      </c>
      <c r="J1967" s="6" t="s">
        <v>8633</v>
      </c>
      <c r="K1967" s="6" t="s">
        <v>21</v>
      </c>
      <c r="L1967" s="6">
        <v>13</v>
      </c>
      <c r="M1967" s="15" t="s">
        <v>8630</v>
      </c>
      <c r="N1967" s="15" t="s">
        <v>167</v>
      </c>
      <c r="O1967" s="15" t="s">
        <v>8634</v>
      </c>
    </row>
    <row r="1968" spans="1:15" s="1" customFormat="1" ht="14.25" customHeight="1">
      <c r="A1968" s="3" t="s">
        <v>1043</v>
      </c>
      <c r="B1968" s="4"/>
      <c r="C1968" s="3"/>
      <c r="D1968" s="5" t="s">
        <v>443</v>
      </c>
      <c r="E1968" s="5" t="s">
        <v>7026</v>
      </c>
      <c r="F1968" s="3" t="s">
        <v>8635</v>
      </c>
      <c r="G1968" s="6">
        <f t="shared" si="76"/>
        <v>224.49599999999998</v>
      </c>
      <c r="H1968" s="7">
        <v>41843</v>
      </c>
      <c r="I1968" s="40" t="s">
        <v>8264</v>
      </c>
      <c r="J1968" s="6" t="s">
        <v>8636</v>
      </c>
      <c r="K1968" s="6" t="s">
        <v>21</v>
      </c>
      <c r="L1968" s="6">
        <v>12</v>
      </c>
      <c r="M1968" s="15" t="s">
        <v>8637</v>
      </c>
      <c r="N1968" s="15" t="s">
        <v>164</v>
      </c>
      <c r="O1968" s="15" t="s">
        <v>8638</v>
      </c>
    </row>
    <row r="1969" spans="1:15" ht="14.25" customHeight="1">
      <c r="A1969" s="3" t="s">
        <v>1043</v>
      </c>
      <c r="B1969" s="4"/>
      <c r="C1969" s="3"/>
      <c r="D1969" s="5" t="s">
        <v>443</v>
      </c>
      <c r="E1969" s="5" t="s">
        <v>7026</v>
      </c>
      <c r="F1969" s="3" t="s">
        <v>8639</v>
      </c>
      <c r="G1969" s="6">
        <f t="shared" si="76"/>
        <v>243.20399999999998</v>
      </c>
      <c r="H1969" s="7">
        <v>41843</v>
      </c>
      <c r="I1969" s="40" t="s">
        <v>8264</v>
      </c>
      <c r="J1969" s="6" t="s">
        <v>8640</v>
      </c>
      <c r="K1969" s="6" t="s">
        <v>21</v>
      </c>
      <c r="L1969" s="6">
        <v>13</v>
      </c>
      <c r="M1969" s="15" t="s">
        <v>8637</v>
      </c>
      <c r="N1969" s="15" t="s">
        <v>167</v>
      </c>
      <c r="O1969" s="15" t="s">
        <v>8641</v>
      </c>
    </row>
    <row r="1970" spans="1:15" ht="14.25" customHeight="1">
      <c r="A1970" s="22" t="s">
        <v>5881</v>
      </c>
      <c r="B1970" s="4" t="s">
        <v>5882</v>
      </c>
      <c r="C1970" s="3"/>
      <c r="D1970" s="5" t="s">
        <v>5883</v>
      </c>
      <c r="E1970" s="5" t="s">
        <v>124</v>
      </c>
      <c r="F1970" s="3" t="s">
        <v>5884</v>
      </c>
      <c r="G1970" s="6">
        <v>218.249</v>
      </c>
      <c r="H1970" s="7">
        <v>41848</v>
      </c>
      <c r="I1970" s="6" t="s">
        <v>209</v>
      </c>
      <c r="J1970" s="6" t="s">
        <v>5885</v>
      </c>
      <c r="K1970" s="6" t="s">
        <v>128</v>
      </c>
      <c r="L1970" s="6" t="s">
        <v>5886</v>
      </c>
      <c r="M1970" s="15" t="s">
        <v>5887</v>
      </c>
      <c r="N1970" s="15" t="s">
        <v>5888</v>
      </c>
      <c r="O1970" s="15" t="s">
        <v>5889</v>
      </c>
    </row>
    <row r="1971" spans="1:15" ht="14.25" customHeight="1">
      <c r="A1971" s="22" t="s">
        <v>5890</v>
      </c>
      <c r="B1971" s="3" t="s">
        <v>5891</v>
      </c>
      <c r="C1971" s="3"/>
      <c r="D1971" s="5" t="s">
        <v>5892</v>
      </c>
      <c r="E1971" s="5" t="s">
        <v>124</v>
      </c>
      <c r="F1971" s="3" t="s">
        <v>5893</v>
      </c>
      <c r="G1971" s="6">
        <v>222.614</v>
      </c>
      <c r="H1971" s="7">
        <v>41848</v>
      </c>
      <c r="I1971" s="6" t="s">
        <v>178</v>
      </c>
      <c r="J1971" s="6" t="s">
        <v>5894</v>
      </c>
      <c r="K1971" s="6" t="s">
        <v>128</v>
      </c>
      <c r="L1971" s="6" t="s">
        <v>5895</v>
      </c>
      <c r="M1971" s="15" t="s">
        <v>5896</v>
      </c>
      <c r="N1971" s="15" t="s">
        <v>5897</v>
      </c>
      <c r="O1971" s="15" t="s">
        <v>5898</v>
      </c>
    </row>
    <row r="1972" spans="1:15" ht="14.25" customHeight="1">
      <c r="A1972" s="22" t="s">
        <v>5899</v>
      </c>
      <c r="B1972" s="4" t="s">
        <v>5900</v>
      </c>
      <c r="C1972" s="3"/>
      <c r="D1972" s="5" t="s">
        <v>5892</v>
      </c>
      <c r="E1972" s="5" t="s">
        <v>124</v>
      </c>
      <c r="F1972" s="3" t="s">
        <v>5901</v>
      </c>
      <c r="G1972" s="6">
        <v>242.86099999999999</v>
      </c>
      <c r="H1972" s="7">
        <v>41848</v>
      </c>
      <c r="I1972" s="6" t="s">
        <v>209</v>
      </c>
      <c r="J1972" s="6" t="s">
        <v>5902</v>
      </c>
      <c r="K1972" s="6" t="s">
        <v>128</v>
      </c>
      <c r="L1972" s="6" t="s">
        <v>5903</v>
      </c>
      <c r="M1972" s="15" t="s">
        <v>5904</v>
      </c>
      <c r="N1972" s="15" t="s">
        <v>5905</v>
      </c>
      <c r="O1972" s="15" t="s">
        <v>5906</v>
      </c>
    </row>
    <row r="1973" spans="1:15" ht="14.25" customHeight="1">
      <c r="A1973" s="3" t="s">
        <v>1259</v>
      </c>
      <c r="B1973" s="3"/>
      <c r="C1973" s="3"/>
      <c r="D1973" s="5" t="s">
        <v>170</v>
      </c>
      <c r="E1973" s="5" t="s">
        <v>7026</v>
      </c>
      <c r="F1973" s="3" t="s">
        <v>8642</v>
      </c>
      <c r="G1973" s="6">
        <f>17.498*L1973</f>
        <v>244.97200000000001</v>
      </c>
      <c r="H1973" s="7">
        <v>41848</v>
      </c>
      <c r="I1973" s="6" t="s">
        <v>265</v>
      </c>
      <c r="J1973" s="6" t="s">
        <v>8643</v>
      </c>
      <c r="K1973" s="6" t="s">
        <v>21</v>
      </c>
      <c r="L1973" s="6">
        <v>14</v>
      </c>
      <c r="M1973" s="15" t="s">
        <v>8644</v>
      </c>
      <c r="N1973" s="15" t="s">
        <v>8645</v>
      </c>
      <c r="O1973" s="15" t="s">
        <v>8646</v>
      </c>
    </row>
    <row r="1974" spans="1:15" s="1" customFormat="1" ht="14.25" customHeight="1">
      <c r="A1974" s="3" t="s">
        <v>1127</v>
      </c>
      <c r="B1974" s="4"/>
      <c r="C1974" s="3"/>
      <c r="D1974" s="5" t="s">
        <v>1128</v>
      </c>
      <c r="E1974" s="5" t="s">
        <v>7026</v>
      </c>
      <c r="F1974" s="3" t="s">
        <v>8647</v>
      </c>
      <c r="G1974" s="6">
        <f t="shared" ref="G1974:G1982" si="77">29.101*L1974</f>
        <v>349.21199999999999</v>
      </c>
      <c r="H1974" s="7">
        <v>41848</v>
      </c>
      <c r="I1974" s="6" t="s">
        <v>178</v>
      </c>
      <c r="J1974" s="6" t="s">
        <v>8648</v>
      </c>
      <c r="K1974" s="6" t="s">
        <v>21</v>
      </c>
      <c r="L1974" s="6">
        <v>12</v>
      </c>
      <c r="M1974" s="15" t="s">
        <v>8649</v>
      </c>
      <c r="N1974" s="15" t="s">
        <v>164</v>
      </c>
      <c r="O1974" s="15" t="s">
        <v>8650</v>
      </c>
    </row>
    <row r="1975" spans="1:15" ht="14.25" customHeight="1">
      <c r="A1975" s="3" t="s">
        <v>1127</v>
      </c>
      <c r="B1975" s="4"/>
      <c r="C1975" s="3"/>
      <c r="D1975" s="5" t="s">
        <v>1128</v>
      </c>
      <c r="E1975" s="5" t="s">
        <v>7026</v>
      </c>
      <c r="F1975" s="3" t="s">
        <v>8651</v>
      </c>
      <c r="G1975" s="6">
        <f t="shared" si="77"/>
        <v>378.31299999999999</v>
      </c>
      <c r="H1975" s="7">
        <v>41848</v>
      </c>
      <c r="I1975" s="6" t="s">
        <v>178</v>
      </c>
      <c r="J1975" s="6" t="s">
        <v>8652</v>
      </c>
      <c r="K1975" s="6" t="s">
        <v>21</v>
      </c>
      <c r="L1975" s="6">
        <v>13</v>
      </c>
      <c r="M1975" s="15" t="s">
        <v>8649</v>
      </c>
      <c r="N1975" s="15" t="s">
        <v>167</v>
      </c>
      <c r="O1975" s="15" t="s">
        <v>8653</v>
      </c>
    </row>
    <row r="1976" spans="1:15" s="1" customFormat="1" ht="14.25" customHeight="1">
      <c r="A1976" s="3" t="s">
        <v>1127</v>
      </c>
      <c r="B1976" s="4"/>
      <c r="C1976" s="3"/>
      <c r="D1976" s="5" t="s">
        <v>1128</v>
      </c>
      <c r="E1976" s="5" t="s">
        <v>7026</v>
      </c>
      <c r="F1976" s="3" t="s">
        <v>8654</v>
      </c>
      <c r="G1976" s="6">
        <f t="shared" si="77"/>
        <v>291.01</v>
      </c>
      <c r="H1976" s="7">
        <v>41848</v>
      </c>
      <c r="I1976" s="6" t="s">
        <v>178</v>
      </c>
      <c r="J1976" s="6" t="s">
        <v>8655</v>
      </c>
      <c r="K1976" s="6" t="s">
        <v>21</v>
      </c>
      <c r="L1976" s="6">
        <v>10</v>
      </c>
      <c r="M1976" s="15" t="s">
        <v>8656</v>
      </c>
      <c r="N1976" s="15" t="s">
        <v>4872</v>
      </c>
      <c r="O1976" s="15" t="s">
        <v>8657</v>
      </c>
    </row>
    <row r="1977" spans="1:15" ht="14.25" customHeight="1">
      <c r="A1977" s="3" t="s">
        <v>1127</v>
      </c>
      <c r="B1977" s="3"/>
      <c r="C1977" s="3"/>
      <c r="D1977" s="5" t="s">
        <v>1128</v>
      </c>
      <c r="E1977" s="5" t="s">
        <v>7026</v>
      </c>
      <c r="F1977" s="3" t="s">
        <v>8658</v>
      </c>
      <c r="G1977" s="6">
        <f t="shared" si="77"/>
        <v>349.21199999999999</v>
      </c>
      <c r="H1977" s="7">
        <v>41848</v>
      </c>
      <c r="I1977" s="6" t="s">
        <v>178</v>
      </c>
      <c r="J1977" s="6" t="s">
        <v>8659</v>
      </c>
      <c r="K1977" s="6" t="s">
        <v>21</v>
      </c>
      <c r="L1977" s="6">
        <v>12</v>
      </c>
      <c r="M1977" s="15" t="s">
        <v>8660</v>
      </c>
      <c r="N1977" s="15" t="s">
        <v>164</v>
      </c>
      <c r="O1977" s="15" t="s">
        <v>8661</v>
      </c>
    </row>
    <row r="1978" spans="1:15" ht="14.25" customHeight="1">
      <c r="A1978" s="3" t="s">
        <v>1127</v>
      </c>
      <c r="B1978" s="4"/>
      <c r="C1978" s="3"/>
      <c r="D1978" s="5" t="s">
        <v>1128</v>
      </c>
      <c r="E1978" s="5" t="s">
        <v>7026</v>
      </c>
      <c r="F1978" s="3" t="s">
        <v>8662</v>
      </c>
      <c r="G1978" s="6">
        <f t="shared" si="77"/>
        <v>378.31299999999999</v>
      </c>
      <c r="H1978" s="7">
        <v>41848</v>
      </c>
      <c r="I1978" s="6" t="s">
        <v>178</v>
      </c>
      <c r="J1978" s="6" t="s">
        <v>8663</v>
      </c>
      <c r="K1978" s="6" t="s">
        <v>21</v>
      </c>
      <c r="L1978" s="6">
        <v>13</v>
      </c>
      <c r="M1978" s="15" t="s">
        <v>8660</v>
      </c>
      <c r="N1978" s="15" t="s">
        <v>167</v>
      </c>
      <c r="O1978" s="15" t="s">
        <v>8664</v>
      </c>
    </row>
    <row r="1979" spans="1:15" ht="14.25" customHeight="1">
      <c r="A1979" s="3" t="s">
        <v>1127</v>
      </c>
      <c r="B1979" s="4"/>
      <c r="C1979" s="3"/>
      <c r="D1979" s="5" t="s">
        <v>1128</v>
      </c>
      <c r="E1979" s="5" t="s">
        <v>7026</v>
      </c>
      <c r="F1979" s="3" t="s">
        <v>8665</v>
      </c>
      <c r="G1979" s="6">
        <f t="shared" si="77"/>
        <v>349.21199999999999</v>
      </c>
      <c r="H1979" s="7">
        <v>41848</v>
      </c>
      <c r="I1979" s="6" t="s">
        <v>178</v>
      </c>
      <c r="J1979" s="6" t="s">
        <v>8666</v>
      </c>
      <c r="K1979" s="6" t="s">
        <v>21</v>
      </c>
      <c r="L1979" s="6">
        <v>12</v>
      </c>
      <c r="M1979" s="15" t="s">
        <v>8667</v>
      </c>
      <c r="N1979" s="15" t="s">
        <v>164</v>
      </c>
      <c r="O1979" s="15" t="s">
        <v>8668</v>
      </c>
    </row>
    <row r="1980" spans="1:15" ht="14.25" customHeight="1">
      <c r="A1980" s="3" t="s">
        <v>1127</v>
      </c>
      <c r="B1980" s="4"/>
      <c r="C1980" s="3"/>
      <c r="D1980" s="5" t="s">
        <v>1128</v>
      </c>
      <c r="E1980" s="5" t="s">
        <v>7026</v>
      </c>
      <c r="F1980" s="3" t="s">
        <v>8669</v>
      </c>
      <c r="G1980" s="6">
        <f t="shared" si="77"/>
        <v>378.31299999999999</v>
      </c>
      <c r="H1980" s="7">
        <v>41848</v>
      </c>
      <c r="I1980" s="6" t="s">
        <v>178</v>
      </c>
      <c r="J1980" s="6" t="s">
        <v>8670</v>
      </c>
      <c r="K1980" s="6" t="s">
        <v>21</v>
      </c>
      <c r="L1980" s="6">
        <v>13</v>
      </c>
      <c r="M1980" s="15" t="s">
        <v>8667</v>
      </c>
      <c r="N1980" s="15" t="s">
        <v>167</v>
      </c>
      <c r="O1980" s="15" t="s">
        <v>8671</v>
      </c>
    </row>
    <row r="1981" spans="1:15" s="1" customFormat="1" ht="14.25" customHeight="1">
      <c r="A1981" s="3" t="s">
        <v>1127</v>
      </c>
      <c r="B1981" s="4"/>
      <c r="C1981" s="3"/>
      <c r="D1981" s="5" t="s">
        <v>1128</v>
      </c>
      <c r="E1981" s="5" t="s">
        <v>7026</v>
      </c>
      <c r="F1981" s="3" t="s">
        <v>8672</v>
      </c>
      <c r="G1981" s="6">
        <f t="shared" si="77"/>
        <v>349.21199999999999</v>
      </c>
      <c r="H1981" s="7">
        <v>41848</v>
      </c>
      <c r="I1981" s="6" t="s">
        <v>178</v>
      </c>
      <c r="J1981" s="6" t="s">
        <v>8673</v>
      </c>
      <c r="K1981" s="6" t="s">
        <v>21</v>
      </c>
      <c r="L1981" s="6">
        <v>12</v>
      </c>
      <c r="M1981" s="15" t="s">
        <v>8674</v>
      </c>
      <c r="N1981" s="15" t="s">
        <v>164</v>
      </c>
      <c r="O1981" s="15" t="s">
        <v>8675</v>
      </c>
    </row>
    <row r="1982" spans="1:15" ht="14.25" customHeight="1">
      <c r="A1982" s="3" t="s">
        <v>1127</v>
      </c>
      <c r="B1982" s="4"/>
      <c r="C1982" s="3"/>
      <c r="D1982" s="5" t="s">
        <v>1128</v>
      </c>
      <c r="E1982" s="5" t="s">
        <v>7026</v>
      </c>
      <c r="F1982" s="3" t="s">
        <v>8676</v>
      </c>
      <c r="G1982" s="6">
        <f t="shared" si="77"/>
        <v>378.31299999999999</v>
      </c>
      <c r="H1982" s="7">
        <v>41848</v>
      </c>
      <c r="I1982" s="6" t="s">
        <v>178</v>
      </c>
      <c r="J1982" s="6" t="s">
        <v>8677</v>
      </c>
      <c r="K1982" s="6" t="s">
        <v>21</v>
      </c>
      <c r="L1982" s="6">
        <v>13</v>
      </c>
      <c r="M1982" s="15" t="s">
        <v>8674</v>
      </c>
      <c r="N1982" s="15" t="s">
        <v>167</v>
      </c>
      <c r="O1982" s="15" t="s">
        <v>8678</v>
      </c>
    </row>
    <row r="1983" spans="1:15" s="1" customFormat="1" ht="14.25" customHeight="1">
      <c r="A1983" s="3" t="s">
        <v>1043</v>
      </c>
      <c r="B1983" s="4"/>
      <c r="C1983" s="3"/>
      <c r="D1983" s="5" t="s">
        <v>443</v>
      </c>
      <c r="E1983" s="5" t="s">
        <v>7026</v>
      </c>
      <c r="F1983" s="3" t="s">
        <v>8679</v>
      </c>
      <c r="G1983" s="6">
        <f t="shared" ref="G1983:G1988" si="78">18.708*L1983</f>
        <v>187.07999999999998</v>
      </c>
      <c r="H1983" s="7">
        <v>41848</v>
      </c>
      <c r="I1983" s="40" t="s">
        <v>8264</v>
      </c>
      <c r="J1983" s="6" t="s">
        <v>8680</v>
      </c>
      <c r="K1983" s="6" t="s">
        <v>21</v>
      </c>
      <c r="L1983" s="6">
        <v>10</v>
      </c>
      <c r="M1983" s="15" t="s">
        <v>8681</v>
      </c>
      <c r="N1983" s="15" t="s">
        <v>8682</v>
      </c>
      <c r="O1983" s="15" t="s">
        <v>8683</v>
      </c>
    </row>
    <row r="1984" spans="1:15" ht="14.25" customHeight="1">
      <c r="A1984" s="3" t="s">
        <v>1043</v>
      </c>
      <c r="B1984" s="3"/>
      <c r="C1984" s="3"/>
      <c r="D1984" s="5" t="s">
        <v>443</v>
      </c>
      <c r="E1984" s="5" t="s">
        <v>7026</v>
      </c>
      <c r="F1984" s="3" t="s">
        <v>8684</v>
      </c>
      <c r="G1984" s="6">
        <f t="shared" si="78"/>
        <v>261.91199999999998</v>
      </c>
      <c r="H1984" s="7">
        <v>41848</v>
      </c>
      <c r="I1984" s="40" t="s">
        <v>8264</v>
      </c>
      <c r="J1984" s="6" t="s">
        <v>8685</v>
      </c>
      <c r="K1984" s="6" t="s">
        <v>21</v>
      </c>
      <c r="L1984" s="6">
        <v>14</v>
      </c>
      <c r="M1984" s="15" t="s">
        <v>8681</v>
      </c>
      <c r="N1984" s="15" t="s">
        <v>8686</v>
      </c>
      <c r="O1984" s="15" t="s">
        <v>8687</v>
      </c>
    </row>
    <row r="1985" spans="1:15" s="1" customFormat="1" ht="14.25" customHeight="1">
      <c r="A1985" s="3" t="s">
        <v>1043</v>
      </c>
      <c r="B1985" s="4"/>
      <c r="C1985" s="3"/>
      <c r="D1985" s="5" t="s">
        <v>443</v>
      </c>
      <c r="E1985" s="5" t="s">
        <v>7026</v>
      </c>
      <c r="F1985" s="3" t="s">
        <v>8688</v>
      </c>
      <c r="G1985" s="6">
        <f t="shared" si="78"/>
        <v>187.07999999999998</v>
      </c>
      <c r="H1985" s="7">
        <v>41848</v>
      </c>
      <c r="I1985" s="40" t="s">
        <v>8264</v>
      </c>
      <c r="J1985" s="6" t="s">
        <v>8689</v>
      </c>
      <c r="K1985" s="6" t="s">
        <v>21</v>
      </c>
      <c r="L1985" s="6">
        <v>10</v>
      </c>
      <c r="M1985" s="15" t="s">
        <v>8690</v>
      </c>
      <c r="N1985" s="15" t="s">
        <v>4953</v>
      </c>
      <c r="O1985" s="15" t="s">
        <v>8691</v>
      </c>
    </row>
    <row r="1986" spans="1:15" s="1" customFormat="1" ht="14.25" customHeight="1">
      <c r="A1986" s="3" t="s">
        <v>1043</v>
      </c>
      <c r="B1986" s="4"/>
      <c r="C1986" s="3"/>
      <c r="D1986" s="5" t="s">
        <v>443</v>
      </c>
      <c r="E1986" s="5" t="s">
        <v>7026</v>
      </c>
      <c r="F1986" s="3" t="s">
        <v>8692</v>
      </c>
      <c r="G1986" s="6">
        <f t="shared" si="78"/>
        <v>187.07999999999998</v>
      </c>
      <c r="H1986" s="7">
        <v>41848</v>
      </c>
      <c r="I1986" s="40" t="s">
        <v>8264</v>
      </c>
      <c r="J1986" s="6" t="s">
        <v>8693</v>
      </c>
      <c r="K1986" s="6" t="s">
        <v>21</v>
      </c>
      <c r="L1986" s="6">
        <v>10</v>
      </c>
      <c r="M1986" s="15" t="s">
        <v>8690</v>
      </c>
      <c r="N1986" s="15" t="s">
        <v>8694</v>
      </c>
      <c r="O1986" s="15" t="s">
        <v>8695</v>
      </c>
    </row>
    <row r="1987" spans="1:15" s="1" customFormat="1" ht="14.25" customHeight="1">
      <c r="A1987" s="3" t="s">
        <v>1043</v>
      </c>
      <c r="B1987" s="3"/>
      <c r="C1987" s="3"/>
      <c r="D1987" s="5" t="s">
        <v>443</v>
      </c>
      <c r="E1987" s="5" t="s">
        <v>7026</v>
      </c>
      <c r="F1987" s="3" t="s">
        <v>8696</v>
      </c>
      <c r="G1987" s="6">
        <f t="shared" si="78"/>
        <v>224.49599999999998</v>
      </c>
      <c r="H1987" s="7">
        <v>41848</v>
      </c>
      <c r="I1987" s="40" t="s">
        <v>8264</v>
      </c>
      <c r="J1987" s="6" t="s">
        <v>8697</v>
      </c>
      <c r="K1987" s="6" t="s">
        <v>21</v>
      </c>
      <c r="L1987" s="6">
        <v>12</v>
      </c>
      <c r="M1987" s="15" t="s">
        <v>8698</v>
      </c>
      <c r="N1987" s="15" t="s">
        <v>164</v>
      </c>
      <c r="O1987" s="15" t="s">
        <v>8699</v>
      </c>
    </row>
    <row r="1988" spans="1:15" s="1" customFormat="1" ht="14.25" customHeight="1">
      <c r="A1988" s="3" t="s">
        <v>1043</v>
      </c>
      <c r="B1988" s="3"/>
      <c r="C1988" s="3"/>
      <c r="D1988" s="5" t="s">
        <v>443</v>
      </c>
      <c r="E1988" s="5" t="s">
        <v>7026</v>
      </c>
      <c r="F1988" s="3" t="s">
        <v>8700</v>
      </c>
      <c r="G1988" s="6">
        <f t="shared" si="78"/>
        <v>243.20399999999998</v>
      </c>
      <c r="H1988" s="7">
        <v>41848</v>
      </c>
      <c r="I1988" s="40" t="s">
        <v>8264</v>
      </c>
      <c r="J1988" s="6" t="s">
        <v>8701</v>
      </c>
      <c r="K1988" s="6" t="s">
        <v>21</v>
      </c>
      <c r="L1988" s="6">
        <v>13</v>
      </c>
      <c r="M1988" s="15" t="s">
        <v>8698</v>
      </c>
      <c r="N1988" s="15" t="s">
        <v>167</v>
      </c>
      <c r="O1988" s="15" t="s">
        <v>8702</v>
      </c>
    </row>
    <row r="1989" spans="1:15" ht="14.25" customHeight="1">
      <c r="A1989" s="22" t="s">
        <v>1908</v>
      </c>
      <c r="B1989" s="3" t="s">
        <v>82</v>
      </c>
      <c r="C1989" s="3"/>
      <c r="D1989" s="5" t="s">
        <v>9321</v>
      </c>
      <c r="E1989" s="5" t="s">
        <v>124</v>
      </c>
      <c r="F1989" s="3" t="s">
        <v>9322</v>
      </c>
      <c r="G1989" s="6">
        <f>27.688*L1989</f>
        <v>55.375999999999998</v>
      </c>
      <c r="H1989" s="7">
        <v>41849</v>
      </c>
      <c r="I1989" s="6" t="s">
        <v>12354</v>
      </c>
      <c r="J1989" s="6" t="s">
        <v>9323</v>
      </c>
      <c r="K1989" s="6" t="s">
        <v>21</v>
      </c>
      <c r="L1989" s="6">
        <v>2</v>
      </c>
      <c r="M1989" s="15" t="s">
        <v>9324</v>
      </c>
      <c r="N1989" s="15" t="s">
        <v>9325</v>
      </c>
      <c r="O1989" s="28" t="s">
        <v>9324</v>
      </c>
    </row>
    <row r="1990" spans="1:15" s="1" customFormat="1" ht="14.25" customHeight="1">
      <c r="A1990" s="3" t="s">
        <v>5881</v>
      </c>
      <c r="B1990" s="4" t="s">
        <v>5882</v>
      </c>
      <c r="C1990" s="3"/>
      <c r="D1990" s="5" t="s">
        <v>5883</v>
      </c>
      <c r="E1990" s="5" t="s">
        <v>124</v>
      </c>
      <c r="F1990" s="3" t="s">
        <v>5907</v>
      </c>
      <c r="G1990" s="6">
        <v>221.79599999999999</v>
      </c>
      <c r="H1990" s="7">
        <v>41849</v>
      </c>
      <c r="I1990" s="6" t="s">
        <v>209</v>
      </c>
      <c r="J1990" s="6" t="s">
        <v>5908</v>
      </c>
      <c r="K1990" s="6" t="s">
        <v>128</v>
      </c>
      <c r="L1990" s="6" t="s">
        <v>5886</v>
      </c>
      <c r="M1990" s="15" t="s">
        <v>5909</v>
      </c>
      <c r="N1990" s="15" t="s">
        <v>5910</v>
      </c>
      <c r="O1990" s="15" t="s">
        <v>5911</v>
      </c>
    </row>
    <row r="1991" spans="1:15" s="1" customFormat="1" ht="14.25" customHeight="1">
      <c r="A1991" s="3" t="s">
        <v>5899</v>
      </c>
      <c r="B1991" s="4" t="s">
        <v>5900</v>
      </c>
      <c r="C1991" s="3"/>
      <c r="D1991" s="5" t="s">
        <v>5892</v>
      </c>
      <c r="E1991" s="5" t="s">
        <v>124</v>
      </c>
      <c r="F1991" s="3" t="s">
        <v>5912</v>
      </c>
      <c r="G1991" s="6">
        <v>50.613</v>
      </c>
      <c r="H1991" s="7">
        <v>41850</v>
      </c>
      <c r="I1991" s="6" t="s">
        <v>209</v>
      </c>
      <c r="J1991" s="6" t="s">
        <v>5913</v>
      </c>
      <c r="K1991" s="6" t="s">
        <v>128</v>
      </c>
      <c r="L1991" s="6" t="s">
        <v>301</v>
      </c>
      <c r="M1991" s="15" t="s">
        <v>5914</v>
      </c>
      <c r="N1991" s="15" t="s">
        <v>5915</v>
      </c>
      <c r="O1991" s="15" t="s">
        <v>5916</v>
      </c>
    </row>
    <row r="1992" spans="1:15" ht="14.25" customHeight="1">
      <c r="A1992" s="3" t="s">
        <v>5572</v>
      </c>
      <c r="B1992" s="3"/>
      <c r="C1992" s="3"/>
      <c r="D1992" s="5" t="s">
        <v>5573</v>
      </c>
      <c r="E1992" s="5" t="s">
        <v>124</v>
      </c>
      <c r="F1992" s="3" t="s">
        <v>9331</v>
      </c>
      <c r="G1992" s="6">
        <v>69.046999999999997</v>
      </c>
      <c r="H1992" s="7">
        <v>41850</v>
      </c>
      <c r="I1992" s="6" t="s">
        <v>5437</v>
      </c>
      <c r="J1992" s="6" t="s">
        <v>9332</v>
      </c>
      <c r="K1992" s="6" t="s">
        <v>21</v>
      </c>
      <c r="L1992" s="6" t="s">
        <v>1658</v>
      </c>
      <c r="M1992" s="15" t="s">
        <v>9333</v>
      </c>
      <c r="N1992" s="15" t="s">
        <v>9334</v>
      </c>
      <c r="O1992" s="15" t="s">
        <v>9335</v>
      </c>
    </row>
    <row r="1993" spans="1:15" s="1" customFormat="1" ht="14.25" customHeight="1">
      <c r="A1993" s="3" t="s">
        <v>5572</v>
      </c>
      <c r="B1993" s="4"/>
      <c r="C1993" s="3"/>
      <c r="D1993" s="5" t="s">
        <v>5573</v>
      </c>
      <c r="E1993" s="5" t="s">
        <v>124</v>
      </c>
      <c r="F1993" s="3" t="s">
        <v>5917</v>
      </c>
      <c r="G1993" s="6">
        <v>82.355000000000004</v>
      </c>
      <c r="H1993" s="7">
        <v>41850</v>
      </c>
      <c r="I1993" s="6" t="s">
        <v>5437</v>
      </c>
      <c r="J1993" s="6" t="s">
        <v>5918</v>
      </c>
      <c r="K1993" s="6" t="s">
        <v>21</v>
      </c>
      <c r="L1993" s="6" t="s">
        <v>2788</v>
      </c>
      <c r="M1993" s="15" t="s">
        <v>5919</v>
      </c>
      <c r="N1993" s="15" t="s">
        <v>5920</v>
      </c>
      <c r="O1993" s="15" t="s">
        <v>5921</v>
      </c>
    </row>
    <row r="1994" spans="1:15" ht="14.25" customHeight="1">
      <c r="A1994" s="3" t="s">
        <v>854</v>
      </c>
      <c r="B1994" s="3"/>
      <c r="C1994" s="3"/>
      <c r="D1994" s="5" t="s">
        <v>5294</v>
      </c>
      <c r="E1994" s="5" t="s">
        <v>124</v>
      </c>
      <c r="F1994" s="3" t="s">
        <v>5922</v>
      </c>
      <c r="G1994" s="6">
        <f t="shared" ref="G1994:G1999" si="79">17.52*L1994</f>
        <v>210.24</v>
      </c>
      <c r="H1994" s="7">
        <v>41850</v>
      </c>
      <c r="I1994" s="6" t="s">
        <v>209</v>
      </c>
      <c r="J1994" s="6" t="s">
        <v>5923</v>
      </c>
      <c r="K1994" s="6" t="s">
        <v>21</v>
      </c>
      <c r="L1994" s="6">
        <v>12</v>
      </c>
      <c r="M1994" s="15" t="s">
        <v>5924</v>
      </c>
      <c r="N1994" s="15" t="s">
        <v>78</v>
      </c>
      <c r="O1994" s="15" t="s">
        <v>5924</v>
      </c>
    </row>
    <row r="1995" spans="1:15" s="1" customFormat="1" ht="14.25" customHeight="1">
      <c r="A1995" s="3" t="s">
        <v>854</v>
      </c>
      <c r="B1995" s="4"/>
      <c r="C1995" s="3"/>
      <c r="D1995" s="5" t="s">
        <v>5294</v>
      </c>
      <c r="E1995" s="5" t="s">
        <v>124</v>
      </c>
      <c r="F1995" s="3" t="s">
        <v>5925</v>
      </c>
      <c r="G1995" s="6">
        <f t="shared" si="79"/>
        <v>227.76</v>
      </c>
      <c r="H1995" s="7">
        <v>41850</v>
      </c>
      <c r="I1995" s="6" t="s">
        <v>209</v>
      </c>
      <c r="J1995" s="6" t="s">
        <v>5926</v>
      </c>
      <c r="K1995" s="6" t="s">
        <v>21</v>
      </c>
      <c r="L1995" s="6">
        <v>13</v>
      </c>
      <c r="M1995" s="15" t="s">
        <v>5924</v>
      </c>
      <c r="N1995" s="15" t="s">
        <v>81</v>
      </c>
      <c r="O1995" s="15" t="s">
        <v>5927</v>
      </c>
    </row>
    <row r="1996" spans="1:15" ht="14.25" customHeight="1">
      <c r="A1996" s="3" t="s">
        <v>854</v>
      </c>
      <c r="B1996" s="4"/>
      <c r="C1996" s="3"/>
      <c r="D1996" s="5" t="s">
        <v>5294</v>
      </c>
      <c r="E1996" s="5" t="s">
        <v>124</v>
      </c>
      <c r="F1996" s="3" t="s">
        <v>5928</v>
      </c>
      <c r="G1996" s="6">
        <f t="shared" si="79"/>
        <v>87.6</v>
      </c>
      <c r="H1996" s="7">
        <v>41850</v>
      </c>
      <c r="I1996" s="6" t="s">
        <v>209</v>
      </c>
      <c r="J1996" s="6" t="s">
        <v>5929</v>
      </c>
      <c r="K1996" s="6" t="s">
        <v>21</v>
      </c>
      <c r="L1996" s="6">
        <v>5</v>
      </c>
      <c r="M1996" s="15" t="s">
        <v>5930</v>
      </c>
      <c r="N1996" s="15" t="s">
        <v>4602</v>
      </c>
      <c r="O1996" s="15" t="s">
        <v>5930</v>
      </c>
    </row>
    <row r="1997" spans="1:15" s="1" customFormat="1" ht="14.25" customHeight="1">
      <c r="A1997" s="22" t="s">
        <v>5931</v>
      </c>
      <c r="B1997" s="3"/>
      <c r="C1997" s="3"/>
      <c r="D1997" s="5" t="s">
        <v>586</v>
      </c>
      <c r="E1997" s="5" t="s">
        <v>124</v>
      </c>
      <c r="F1997" s="3" t="s">
        <v>5932</v>
      </c>
      <c r="G1997" s="6">
        <f t="shared" si="79"/>
        <v>87.6</v>
      </c>
      <c r="H1997" s="7">
        <v>41850</v>
      </c>
      <c r="I1997" s="6" t="s">
        <v>5437</v>
      </c>
      <c r="J1997" s="6" t="s">
        <v>5933</v>
      </c>
      <c r="K1997" s="6" t="s">
        <v>5478</v>
      </c>
      <c r="L1997" s="6">
        <v>5</v>
      </c>
      <c r="M1997" s="15" t="s">
        <v>5934</v>
      </c>
      <c r="N1997" s="15" t="s">
        <v>5935</v>
      </c>
      <c r="O1997" s="15" t="s">
        <v>5934</v>
      </c>
    </row>
    <row r="1998" spans="1:15" s="1" customFormat="1" ht="14.25" customHeight="1">
      <c r="A1998" s="3" t="s">
        <v>316</v>
      </c>
      <c r="B1998" s="3"/>
      <c r="C1998" s="3"/>
      <c r="D1998" s="5" t="s">
        <v>317</v>
      </c>
      <c r="E1998" s="5" t="s">
        <v>124</v>
      </c>
      <c r="F1998" s="3" t="s">
        <v>5936</v>
      </c>
      <c r="G1998" s="6">
        <f t="shared" si="79"/>
        <v>105.12</v>
      </c>
      <c r="H1998" s="7">
        <v>41850</v>
      </c>
      <c r="I1998" s="6" t="s">
        <v>209</v>
      </c>
      <c r="J1998" s="6" t="s">
        <v>5937</v>
      </c>
      <c r="K1998" s="6" t="s">
        <v>21</v>
      </c>
      <c r="L1998" s="6">
        <v>6</v>
      </c>
      <c r="M1998" s="15" t="s">
        <v>5026</v>
      </c>
      <c r="N1998" s="15" t="s">
        <v>5938</v>
      </c>
      <c r="O1998" s="15" t="s">
        <v>5939</v>
      </c>
    </row>
    <row r="1999" spans="1:15" s="1" customFormat="1" ht="14.25" customHeight="1">
      <c r="A1999" s="3" t="s">
        <v>1773</v>
      </c>
      <c r="B1999" s="4"/>
      <c r="C1999" s="3"/>
      <c r="D1999" s="5" t="s">
        <v>552</v>
      </c>
      <c r="E1999" s="5" t="s">
        <v>124</v>
      </c>
      <c r="F1999" s="3" t="s">
        <v>5940</v>
      </c>
      <c r="G1999" s="6">
        <f t="shared" si="79"/>
        <v>192.72</v>
      </c>
      <c r="H1999" s="7">
        <v>41850</v>
      </c>
      <c r="I1999" s="6" t="s">
        <v>265</v>
      </c>
      <c r="J1999" s="6" t="s">
        <v>5941</v>
      </c>
      <c r="K1999" s="6" t="s">
        <v>21</v>
      </c>
      <c r="L1999" s="6">
        <v>11</v>
      </c>
      <c r="M1999" s="15" t="s">
        <v>5942</v>
      </c>
      <c r="N1999" s="15" t="s">
        <v>5943</v>
      </c>
      <c r="O1999" s="15" t="s">
        <v>5940</v>
      </c>
    </row>
    <row r="2000" spans="1:15" s="1" customFormat="1" ht="14.25" customHeight="1">
      <c r="A2000" s="3" t="s">
        <v>1187</v>
      </c>
      <c r="B2000" s="4"/>
      <c r="C2000" s="3"/>
      <c r="D2000" s="5" t="s">
        <v>1188</v>
      </c>
      <c r="E2000" s="5" t="s">
        <v>124</v>
      </c>
      <c r="F2000" s="3" t="s">
        <v>5944</v>
      </c>
      <c r="G2000" s="6">
        <f>29.101*L2000</f>
        <v>203.70699999999999</v>
      </c>
      <c r="H2000" s="7">
        <v>41850</v>
      </c>
      <c r="I2000" s="6" t="s">
        <v>178</v>
      </c>
      <c r="J2000" s="6" t="s">
        <v>5945</v>
      </c>
      <c r="K2000" s="6" t="s">
        <v>21</v>
      </c>
      <c r="L2000" s="6">
        <v>7</v>
      </c>
      <c r="M2000" s="15" t="s">
        <v>5946</v>
      </c>
      <c r="N2000" s="15" t="s">
        <v>1141</v>
      </c>
      <c r="O2000" s="15" t="s">
        <v>5944</v>
      </c>
    </row>
    <row r="2001" spans="1:15" s="1" customFormat="1" ht="14.25" customHeight="1">
      <c r="A2001" s="3" t="s">
        <v>1187</v>
      </c>
      <c r="B2001" s="3"/>
      <c r="C2001" s="3"/>
      <c r="D2001" s="5" t="s">
        <v>1188</v>
      </c>
      <c r="E2001" s="5" t="s">
        <v>124</v>
      </c>
      <c r="F2001" s="3" t="s">
        <v>5947</v>
      </c>
      <c r="G2001" s="6">
        <f>29.101*L2001</f>
        <v>232.80799999999999</v>
      </c>
      <c r="H2001" s="7">
        <v>41850</v>
      </c>
      <c r="I2001" s="6" t="s">
        <v>178</v>
      </c>
      <c r="J2001" s="6" t="s">
        <v>5948</v>
      </c>
      <c r="K2001" s="6" t="s">
        <v>21</v>
      </c>
      <c r="L2001" s="6">
        <v>8</v>
      </c>
      <c r="M2001" s="15" t="s">
        <v>5949</v>
      </c>
      <c r="N2001" s="15" t="s">
        <v>447</v>
      </c>
      <c r="O2001" s="15" t="s">
        <v>5947</v>
      </c>
    </row>
    <row r="2002" spans="1:15" s="1" customFormat="1" ht="14.25" customHeight="1">
      <c r="A2002" s="3" t="s">
        <v>772</v>
      </c>
      <c r="B2002" s="4"/>
      <c r="C2002" s="3"/>
      <c r="D2002" s="5" t="s">
        <v>773</v>
      </c>
      <c r="E2002" s="5" t="s">
        <v>124</v>
      </c>
      <c r="F2002" s="3" t="s">
        <v>5950</v>
      </c>
      <c r="G2002" s="6">
        <f>18.708*L2002</f>
        <v>168.37199999999999</v>
      </c>
      <c r="H2002" s="7">
        <v>41850</v>
      </c>
      <c r="I2002" s="6" t="s">
        <v>265</v>
      </c>
      <c r="J2002" s="6" t="s">
        <v>5951</v>
      </c>
      <c r="K2002" s="6" t="s">
        <v>21</v>
      </c>
      <c r="L2002" s="6">
        <v>9</v>
      </c>
      <c r="M2002" s="15" t="s">
        <v>5807</v>
      </c>
      <c r="N2002" s="15" t="s">
        <v>4974</v>
      </c>
      <c r="O2002" s="15" t="s">
        <v>5952</v>
      </c>
    </row>
    <row r="2003" spans="1:15" ht="14.25" customHeight="1">
      <c r="A2003" s="3" t="s">
        <v>772</v>
      </c>
      <c r="B2003" s="4"/>
      <c r="C2003" s="3"/>
      <c r="D2003" s="5" t="s">
        <v>773</v>
      </c>
      <c r="E2003" s="5" t="s">
        <v>124</v>
      </c>
      <c r="F2003" s="3" t="s">
        <v>5953</v>
      </c>
      <c r="G2003" s="6">
        <f>18.708*L2003</f>
        <v>187.07999999999998</v>
      </c>
      <c r="H2003" s="7">
        <v>41850</v>
      </c>
      <c r="I2003" s="6" t="s">
        <v>265</v>
      </c>
      <c r="J2003" s="6" t="s">
        <v>5954</v>
      </c>
      <c r="K2003" s="6" t="s">
        <v>21</v>
      </c>
      <c r="L2003" s="6">
        <v>10</v>
      </c>
      <c r="M2003" s="15" t="s">
        <v>5955</v>
      </c>
      <c r="N2003" s="15" t="s">
        <v>5085</v>
      </c>
      <c r="O2003" s="15" t="s">
        <v>5955</v>
      </c>
    </row>
    <row r="2004" spans="1:15" s="1" customFormat="1" ht="14.25" customHeight="1">
      <c r="A2004" s="3" t="s">
        <v>772</v>
      </c>
      <c r="B2004" s="4"/>
      <c r="C2004" s="3"/>
      <c r="D2004" s="5" t="s">
        <v>773</v>
      </c>
      <c r="E2004" s="5" t="s">
        <v>124</v>
      </c>
      <c r="F2004" s="3" t="s">
        <v>5956</v>
      </c>
      <c r="G2004" s="6">
        <f>18.708*L2004</f>
        <v>205.78799999999998</v>
      </c>
      <c r="H2004" s="7">
        <v>41850</v>
      </c>
      <c r="I2004" s="6" t="s">
        <v>265</v>
      </c>
      <c r="J2004" s="6" t="s">
        <v>5957</v>
      </c>
      <c r="K2004" s="6" t="s">
        <v>21</v>
      </c>
      <c r="L2004" s="6">
        <v>11</v>
      </c>
      <c r="M2004" s="15" t="s">
        <v>5955</v>
      </c>
      <c r="N2004" s="15" t="s">
        <v>5088</v>
      </c>
      <c r="O2004" s="15" t="s">
        <v>5958</v>
      </c>
    </row>
    <row r="2005" spans="1:15" ht="14.25" customHeight="1">
      <c r="A2005" s="3" t="s">
        <v>290</v>
      </c>
      <c r="B2005" s="3"/>
      <c r="C2005" s="3"/>
      <c r="D2005" s="5" t="s">
        <v>291</v>
      </c>
      <c r="E2005" s="5" t="s">
        <v>124</v>
      </c>
      <c r="F2005" s="3" t="s">
        <v>9338</v>
      </c>
      <c r="G2005" s="6">
        <f>17.498*L2005</f>
        <v>174.98000000000002</v>
      </c>
      <c r="H2005" s="7">
        <v>41850</v>
      </c>
      <c r="I2005" s="6" t="s">
        <v>265</v>
      </c>
      <c r="J2005" s="6" t="s">
        <v>9339</v>
      </c>
      <c r="K2005" s="6" t="s">
        <v>21</v>
      </c>
      <c r="L2005" s="6">
        <v>10</v>
      </c>
      <c r="M2005" s="15" t="s">
        <v>5961</v>
      </c>
      <c r="N2005" s="15" t="s">
        <v>35</v>
      </c>
      <c r="O2005" s="15" t="s">
        <v>5961</v>
      </c>
    </row>
    <row r="2006" spans="1:15" s="1" customFormat="1" ht="14.25" customHeight="1">
      <c r="A2006" s="3" t="s">
        <v>290</v>
      </c>
      <c r="B2006" s="4"/>
      <c r="C2006" s="3"/>
      <c r="D2006" s="5" t="s">
        <v>291</v>
      </c>
      <c r="E2006" s="5" t="s">
        <v>124</v>
      </c>
      <c r="F2006" s="3" t="s">
        <v>5959</v>
      </c>
      <c r="G2006" s="6">
        <f>17.498*L2006</f>
        <v>192.47800000000001</v>
      </c>
      <c r="H2006" s="7">
        <v>41850</v>
      </c>
      <c r="I2006" s="6" t="s">
        <v>265</v>
      </c>
      <c r="J2006" s="6" t="s">
        <v>5960</v>
      </c>
      <c r="K2006" s="6" t="s">
        <v>21</v>
      </c>
      <c r="L2006" s="6">
        <v>11</v>
      </c>
      <c r="M2006" s="15" t="s">
        <v>5961</v>
      </c>
      <c r="N2006" s="15" t="s">
        <v>5962</v>
      </c>
      <c r="O2006" s="15" t="s">
        <v>5963</v>
      </c>
    </row>
    <row r="2007" spans="1:15" s="1" customFormat="1" ht="14.25" customHeight="1">
      <c r="A2007" s="22" t="s">
        <v>5964</v>
      </c>
      <c r="B2007" s="3"/>
      <c r="C2007" s="3"/>
      <c r="D2007" s="5" t="s">
        <v>5965</v>
      </c>
      <c r="E2007" s="5" t="s">
        <v>124</v>
      </c>
      <c r="F2007" s="3" t="s">
        <v>5966</v>
      </c>
      <c r="G2007" s="6">
        <f>14.405*L2007</f>
        <v>72.024999999999991</v>
      </c>
      <c r="H2007" s="7">
        <v>41850</v>
      </c>
      <c r="I2007" s="6" t="s">
        <v>278</v>
      </c>
      <c r="J2007" s="6" t="s">
        <v>5967</v>
      </c>
      <c r="K2007" s="6" t="s">
        <v>5478</v>
      </c>
      <c r="L2007" s="6">
        <v>5</v>
      </c>
      <c r="M2007" s="15" t="s">
        <v>5968</v>
      </c>
      <c r="N2007" s="15" t="s">
        <v>5969</v>
      </c>
      <c r="O2007" s="15" t="s">
        <v>5968</v>
      </c>
    </row>
    <row r="2008" spans="1:15" s="1" customFormat="1" ht="14.25" customHeight="1">
      <c r="A2008" s="3" t="s">
        <v>649</v>
      </c>
      <c r="B2008" s="4"/>
      <c r="C2008" s="3"/>
      <c r="D2008" s="5" t="s">
        <v>3106</v>
      </c>
      <c r="E2008" s="5" t="s">
        <v>124</v>
      </c>
      <c r="F2008" s="3" t="s">
        <v>5970</v>
      </c>
      <c r="G2008" s="6">
        <f>17.498*L2008</f>
        <v>69.992000000000004</v>
      </c>
      <c r="H2008" s="7">
        <v>41850</v>
      </c>
      <c r="I2008" s="6" t="s">
        <v>265</v>
      </c>
      <c r="J2008" s="6" t="s">
        <v>5971</v>
      </c>
      <c r="K2008" s="6" t="s">
        <v>21</v>
      </c>
      <c r="L2008" s="6">
        <v>4</v>
      </c>
      <c r="M2008" s="15" t="s">
        <v>5519</v>
      </c>
      <c r="N2008" s="15" t="s">
        <v>5972</v>
      </c>
      <c r="O2008" s="15" t="s">
        <v>13425</v>
      </c>
    </row>
    <row r="2009" spans="1:15" s="1" customFormat="1" ht="14.25" customHeight="1">
      <c r="A2009" s="3" t="s">
        <v>649</v>
      </c>
      <c r="B2009" s="4"/>
      <c r="C2009" s="3"/>
      <c r="D2009" s="5" t="s">
        <v>3106</v>
      </c>
      <c r="E2009" s="5" t="s">
        <v>124</v>
      </c>
      <c r="F2009" s="3" t="s">
        <v>5973</v>
      </c>
      <c r="G2009" s="6">
        <f>17.498*L2009</f>
        <v>122.486</v>
      </c>
      <c r="H2009" s="7">
        <v>41850</v>
      </c>
      <c r="I2009" s="6" t="s">
        <v>265</v>
      </c>
      <c r="J2009" s="6" t="s">
        <v>5974</v>
      </c>
      <c r="K2009" s="6" t="s">
        <v>21</v>
      </c>
      <c r="L2009" s="6">
        <v>7</v>
      </c>
      <c r="M2009" s="15" t="s">
        <v>5975</v>
      </c>
      <c r="N2009" s="15" t="s">
        <v>5472</v>
      </c>
      <c r="O2009" s="15" t="s">
        <v>5975</v>
      </c>
    </row>
    <row r="2010" spans="1:15" s="1" customFormat="1" ht="14.25" customHeight="1">
      <c r="A2010" s="3" t="s">
        <v>649</v>
      </c>
      <c r="B2010" s="4"/>
      <c r="C2010" s="3"/>
      <c r="D2010" s="5" t="s">
        <v>3106</v>
      </c>
      <c r="E2010" s="5" t="s">
        <v>124</v>
      </c>
      <c r="F2010" s="3" t="s">
        <v>13206</v>
      </c>
      <c r="G2010" s="6">
        <f>17.498*L2010</f>
        <v>227.47400000000002</v>
      </c>
      <c r="H2010" s="7">
        <v>41850</v>
      </c>
      <c r="I2010" s="6" t="s">
        <v>265</v>
      </c>
      <c r="J2010" s="6" t="s">
        <v>5976</v>
      </c>
      <c r="K2010" s="6" t="s">
        <v>21</v>
      </c>
      <c r="L2010" s="6">
        <v>13</v>
      </c>
      <c r="M2010" s="15" t="s">
        <v>5977</v>
      </c>
      <c r="N2010" s="15" t="s">
        <v>81</v>
      </c>
      <c r="O2010" s="15" t="s">
        <v>13426</v>
      </c>
    </row>
    <row r="2011" spans="1:15" s="1" customFormat="1" ht="14.25" customHeight="1">
      <c r="A2011" s="3" t="s">
        <v>649</v>
      </c>
      <c r="B2011" s="4"/>
      <c r="C2011" s="3"/>
      <c r="D2011" s="5" t="s">
        <v>3106</v>
      </c>
      <c r="E2011" s="5" t="s">
        <v>124</v>
      </c>
      <c r="F2011" s="3" t="s">
        <v>5978</v>
      </c>
      <c r="G2011" s="6">
        <f>17.498*L2011</f>
        <v>34.996000000000002</v>
      </c>
      <c r="H2011" s="7">
        <v>41850</v>
      </c>
      <c r="I2011" s="6" t="s">
        <v>265</v>
      </c>
      <c r="J2011" s="6" t="s">
        <v>5979</v>
      </c>
      <c r="K2011" s="6" t="s">
        <v>5478</v>
      </c>
      <c r="L2011" s="6">
        <v>2</v>
      </c>
      <c r="M2011" s="15" t="s">
        <v>5980</v>
      </c>
      <c r="N2011" s="15" t="s">
        <v>5655</v>
      </c>
      <c r="O2011" s="15" t="s">
        <v>5980</v>
      </c>
    </row>
    <row r="2012" spans="1:15" s="1" customFormat="1" ht="14.25" customHeight="1">
      <c r="A2012" s="3" t="s">
        <v>3870</v>
      </c>
      <c r="B2012" s="4"/>
      <c r="C2012" s="3"/>
      <c r="D2012" s="5" t="s">
        <v>3871</v>
      </c>
      <c r="E2012" s="5" t="s">
        <v>124</v>
      </c>
      <c r="F2012" s="3" t="s">
        <v>5981</v>
      </c>
      <c r="G2012" s="6">
        <f>13.006*L2012</f>
        <v>156.072</v>
      </c>
      <c r="H2012" s="7">
        <v>41850</v>
      </c>
      <c r="I2012" s="6" t="s">
        <v>3873</v>
      </c>
      <c r="J2012" s="6" t="s">
        <v>5982</v>
      </c>
      <c r="K2012" s="6" t="s">
        <v>21</v>
      </c>
      <c r="L2012" s="6">
        <v>12</v>
      </c>
      <c r="M2012" s="15" t="s">
        <v>5983</v>
      </c>
      <c r="N2012" s="15" t="s">
        <v>78</v>
      </c>
      <c r="O2012" s="15" t="s">
        <v>5983</v>
      </c>
    </row>
    <row r="2013" spans="1:15" s="1" customFormat="1" ht="14.25" customHeight="1">
      <c r="A2013" s="3" t="s">
        <v>3870</v>
      </c>
      <c r="B2013" s="4"/>
      <c r="C2013" s="3"/>
      <c r="D2013" s="5" t="s">
        <v>3871</v>
      </c>
      <c r="E2013" s="5" t="s">
        <v>124</v>
      </c>
      <c r="F2013" s="3" t="s">
        <v>5984</v>
      </c>
      <c r="G2013" s="6">
        <f>13.006*L2013</f>
        <v>169.078</v>
      </c>
      <c r="H2013" s="7">
        <v>41850</v>
      </c>
      <c r="I2013" s="6" t="s">
        <v>3873</v>
      </c>
      <c r="J2013" s="6" t="s">
        <v>5985</v>
      </c>
      <c r="K2013" s="6" t="s">
        <v>21</v>
      </c>
      <c r="L2013" s="6">
        <v>13</v>
      </c>
      <c r="M2013" s="15" t="s">
        <v>5983</v>
      </c>
      <c r="N2013" s="15" t="s">
        <v>81</v>
      </c>
      <c r="O2013" s="77" t="s">
        <v>13427</v>
      </c>
    </row>
    <row r="2014" spans="1:15" ht="14.25" customHeight="1">
      <c r="A2014" s="3" t="s">
        <v>494</v>
      </c>
      <c r="B2014" s="4"/>
      <c r="C2014" s="3"/>
      <c r="D2014" s="5" t="s">
        <v>495</v>
      </c>
      <c r="E2014" s="5" t="s">
        <v>124</v>
      </c>
      <c r="F2014" s="3" t="s">
        <v>5986</v>
      </c>
      <c r="G2014" s="6">
        <f>12.838*L2014</f>
        <v>128.38</v>
      </c>
      <c r="H2014" s="7">
        <v>41850</v>
      </c>
      <c r="I2014" s="6" t="s">
        <v>471</v>
      </c>
      <c r="J2014" s="6" t="s">
        <v>5987</v>
      </c>
      <c r="K2014" s="6" t="s">
        <v>21</v>
      </c>
      <c r="L2014" s="6">
        <v>10</v>
      </c>
      <c r="M2014" s="15" t="s">
        <v>5988</v>
      </c>
      <c r="N2014" s="15" t="s">
        <v>556</v>
      </c>
      <c r="O2014" s="15" t="s">
        <v>13428</v>
      </c>
    </row>
    <row r="2015" spans="1:15" s="1" customFormat="1" ht="14.25" customHeight="1">
      <c r="A2015" s="3" t="s">
        <v>793</v>
      </c>
      <c r="B2015" s="3"/>
      <c r="C2015" s="3"/>
      <c r="D2015" s="5" t="s">
        <v>794</v>
      </c>
      <c r="E2015" s="5" t="s">
        <v>124</v>
      </c>
      <c r="F2015" s="3" t="s">
        <v>5989</v>
      </c>
      <c r="G2015" s="6">
        <f>8.137*L2015</f>
        <v>105.78100000000001</v>
      </c>
      <c r="H2015" s="7">
        <v>41850</v>
      </c>
      <c r="I2015" s="6" t="s">
        <v>186</v>
      </c>
      <c r="J2015" s="6" t="s">
        <v>5990</v>
      </c>
      <c r="K2015" s="6" t="s">
        <v>21</v>
      </c>
      <c r="L2015" s="6">
        <v>13</v>
      </c>
      <c r="M2015" s="15" t="s">
        <v>5991</v>
      </c>
      <c r="N2015" s="15" t="s">
        <v>81</v>
      </c>
      <c r="O2015" s="15" t="s">
        <v>13429</v>
      </c>
    </row>
    <row r="2016" spans="1:15" s="1" customFormat="1" ht="14.25" customHeight="1">
      <c r="A2016" s="3" t="s">
        <v>1150</v>
      </c>
      <c r="B2016" s="4"/>
      <c r="C2016" s="3"/>
      <c r="D2016" s="5" t="s">
        <v>1151</v>
      </c>
      <c r="E2016" s="5" t="s">
        <v>7026</v>
      </c>
      <c r="F2016" s="3" t="s">
        <v>8703</v>
      </c>
      <c r="G2016" s="6">
        <f t="shared" ref="G2016:G2023" si="80">17.712*L2016</f>
        <v>212.54399999999998</v>
      </c>
      <c r="H2016" s="7">
        <v>41850</v>
      </c>
      <c r="I2016" s="6" t="s">
        <v>265</v>
      </c>
      <c r="J2016" s="6" t="s">
        <v>8704</v>
      </c>
      <c r="K2016" s="6" t="s">
        <v>21</v>
      </c>
      <c r="L2016" s="6">
        <v>12</v>
      </c>
      <c r="M2016" s="15" t="s">
        <v>8705</v>
      </c>
      <c r="N2016" s="15" t="s">
        <v>164</v>
      </c>
      <c r="O2016" s="15" t="s">
        <v>8706</v>
      </c>
    </row>
    <row r="2017" spans="1:15" s="1" customFormat="1" ht="14.25" customHeight="1">
      <c r="A2017" s="3" t="s">
        <v>1150</v>
      </c>
      <c r="B2017" s="4"/>
      <c r="C2017" s="3"/>
      <c r="D2017" s="5" t="s">
        <v>1151</v>
      </c>
      <c r="E2017" s="5" t="s">
        <v>7026</v>
      </c>
      <c r="F2017" s="3" t="s">
        <v>8707</v>
      </c>
      <c r="G2017" s="6">
        <f t="shared" si="80"/>
        <v>230.256</v>
      </c>
      <c r="H2017" s="7">
        <v>41850</v>
      </c>
      <c r="I2017" s="6" t="s">
        <v>265</v>
      </c>
      <c r="J2017" s="6" t="s">
        <v>8708</v>
      </c>
      <c r="K2017" s="6" t="s">
        <v>21</v>
      </c>
      <c r="L2017" s="6">
        <v>13</v>
      </c>
      <c r="M2017" s="15" t="s">
        <v>8705</v>
      </c>
      <c r="N2017" s="15" t="s">
        <v>167</v>
      </c>
      <c r="O2017" s="15" t="s">
        <v>8709</v>
      </c>
    </row>
    <row r="2018" spans="1:15" s="1" customFormat="1" ht="14.25" customHeight="1">
      <c r="A2018" s="3" t="s">
        <v>1150</v>
      </c>
      <c r="B2018" s="3"/>
      <c r="C2018" s="3"/>
      <c r="D2018" s="5" t="s">
        <v>1151</v>
      </c>
      <c r="E2018" s="5" t="s">
        <v>7026</v>
      </c>
      <c r="F2018" s="3" t="s">
        <v>8710</v>
      </c>
      <c r="G2018" s="6">
        <f t="shared" si="80"/>
        <v>212.54399999999998</v>
      </c>
      <c r="H2018" s="7">
        <v>41850</v>
      </c>
      <c r="I2018" s="6" t="s">
        <v>265</v>
      </c>
      <c r="J2018" s="6" t="s">
        <v>8711</v>
      </c>
      <c r="K2018" s="6" t="s">
        <v>21</v>
      </c>
      <c r="L2018" s="6">
        <v>12</v>
      </c>
      <c r="M2018" s="15" t="s">
        <v>8712</v>
      </c>
      <c r="N2018" s="15" t="s">
        <v>164</v>
      </c>
      <c r="O2018" s="15" t="s">
        <v>8713</v>
      </c>
    </row>
    <row r="2019" spans="1:15" s="1" customFormat="1" ht="14.25" customHeight="1">
      <c r="A2019" s="3" t="s">
        <v>1150</v>
      </c>
      <c r="B2019" s="4"/>
      <c r="C2019" s="3"/>
      <c r="D2019" s="5" t="s">
        <v>1151</v>
      </c>
      <c r="E2019" s="5" t="s">
        <v>7026</v>
      </c>
      <c r="F2019" s="3" t="s">
        <v>8714</v>
      </c>
      <c r="G2019" s="6">
        <f t="shared" si="80"/>
        <v>230.256</v>
      </c>
      <c r="H2019" s="7">
        <v>41850</v>
      </c>
      <c r="I2019" s="6" t="s">
        <v>265</v>
      </c>
      <c r="J2019" s="6" t="s">
        <v>8715</v>
      </c>
      <c r="K2019" s="6" t="s">
        <v>21</v>
      </c>
      <c r="L2019" s="6">
        <v>13</v>
      </c>
      <c r="M2019" s="15" t="s">
        <v>8712</v>
      </c>
      <c r="N2019" s="15" t="s">
        <v>167</v>
      </c>
      <c r="O2019" s="15" t="s">
        <v>8716</v>
      </c>
    </row>
    <row r="2020" spans="1:15" s="1" customFormat="1" ht="14.25" customHeight="1">
      <c r="A2020" s="3" t="s">
        <v>1150</v>
      </c>
      <c r="B2020" s="4"/>
      <c r="C2020" s="3"/>
      <c r="D2020" s="5" t="s">
        <v>1151</v>
      </c>
      <c r="E2020" s="5" t="s">
        <v>7026</v>
      </c>
      <c r="F2020" s="3" t="s">
        <v>8717</v>
      </c>
      <c r="G2020" s="6">
        <f t="shared" si="80"/>
        <v>212.54399999999998</v>
      </c>
      <c r="H2020" s="7">
        <v>41850</v>
      </c>
      <c r="I2020" s="6" t="s">
        <v>265</v>
      </c>
      <c r="J2020" s="6" t="s">
        <v>8718</v>
      </c>
      <c r="K2020" s="6" t="s">
        <v>21</v>
      </c>
      <c r="L2020" s="6">
        <v>12</v>
      </c>
      <c r="M2020" s="15" t="s">
        <v>8719</v>
      </c>
      <c r="N2020" s="15" t="s">
        <v>8720</v>
      </c>
      <c r="O2020" s="15" t="s">
        <v>8721</v>
      </c>
    </row>
    <row r="2021" spans="1:15" s="1" customFormat="1" ht="14.25" customHeight="1">
      <c r="A2021" s="3" t="s">
        <v>1150</v>
      </c>
      <c r="B2021" s="4"/>
      <c r="C2021" s="3"/>
      <c r="D2021" s="5" t="s">
        <v>1151</v>
      </c>
      <c r="E2021" s="5" t="s">
        <v>7026</v>
      </c>
      <c r="F2021" s="3" t="s">
        <v>8722</v>
      </c>
      <c r="G2021" s="6">
        <f t="shared" si="80"/>
        <v>212.54399999999998</v>
      </c>
      <c r="H2021" s="7">
        <v>41850</v>
      </c>
      <c r="I2021" s="6" t="s">
        <v>265</v>
      </c>
      <c r="J2021" s="6" t="s">
        <v>8723</v>
      </c>
      <c r="K2021" s="6" t="s">
        <v>21</v>
      </c>
      <c r="L2021" s="6">
        <v>12</v>
      </c>
      <c r="M2021" s="15" t="s">
        <v>8719</v>
      </c>
      <c r="N2021" s="15" t="s">
        <v>1211</v>
      </c>
      <c r="O2021" s="15" t="s">
        <v>8724</v>
      </c>
    </row>
    <row r="2022" spans="1:15" s="1" customFormat="1" ht="14.25" customHeight="1">
      <c r="A2022" s="3" t="s">
        <v>1150</v>
      </c>
      <c r="B2022" s="4"/>
      <c r="C2022" s="3"/>
      <c r="D2022" s="5" t="s">
        <v>1151</v>
      </c>
      <c r="E2022" s="5" t="s">
        <v>7026</v>
      </c>
      <c r="F2022" s="3" t="s">
        <v>8725</v>
      </c>
      <c r="G2022" s="6">
        <f t="shared" si="80"/>
        <v>212.54399999999998</v>
      </c>
      <c r="H2022" s="7">
        <v>41850</v>
      </c>
      <c r="I2022" s="6" t="s">
        <v>265</v>
      </c>
      <c r="J2022" s="6" t="s">
        <v>8726</v>
      </c>
      <c r="K2022" s="6" t="s">
        <v>21</v>
      </c>
      <c r="L2022" s="6">
        <v>12</v>
      </c>
      <c r="M2022" s="15" t="s">
        <v>8727</v>
      </c>
      <c r="N2022" s="15" t="s">
        <v>164</v>
      </c>
      <c r="O2022" s="15" t="s">
        <v>8728</v>
      </c>
    </row>
    <row r="2023" spans="1:15" s="1" customFormat="1" ht="14.25" customHeight="1">
      <c r="A2023" s="3" t="s">
        <v>1150</v>
      </c>
      <c r="B2023" s="4"/>
      <c r="C2023" s="3"/>
      <c r="D2023" s="5" t="s">
        <v>1151</v>
      </c>
      <c r="E2023" s="5" t="s">
        <v>7026</v>
      </c>
      <c r="F2023" s="3" t="s">
        <v>8729</v>
      </c>
      <c r="G2023" s="6">
        <f t="shared" si="80"/>
        <v>230.256</v>
      </c>
      <c r="H2023" s="7">
        <v>41850</v>
      </c>
      <c r="I2023" s="6" t="s">
        <v>265</v>
      </c>
      <c r="J2023" s="6" t="s">
        <v>8730</v>
      </c>
      <c r="K2023" s="6" t="s">
        <v>21</v>
      </c>
      <c r="L2023" s="6">
        <v>13</v>
      </c>
      <c r="M2023" s="15" t="s">
        <v>8727</v>
      </c>
      <c r="N2023" s="15" t="s">
        <v>167</v>
      </c>
      <c r="O2023" s="15" t="s">
        <v>8731</v>
      </c>
    </row>
    <row r="2024" spans="1:15" ht="14.25" customHeight="1">
      <c r="A2024" s="22" t="s">
        <v>8732</v>
      </c>
      <c r="B2024" s="3" t="s">
        <v>8733</v>
      </c>
      <c r="C2024" s="3"/>
      <c r="D2024" s="5" t="s">
        <v>2241</v>
      </c>
      <c r="E2024" s="5" t="s">
        <v>7026</v>
      </c>
      <c r="F2024" s="3" t="s">
        <v>8734</v>
      </c>
      <c r="G2024" s="6">
        <f>29.101*L2024</f>
        <v>29.100999999999999</v>
      </c>
      <c r="H2024" s="7">
        <v>41850</v>
      </c>
      <c r="I2024" s="6" t="s">
        <v>419</v>
      </c>
      <c r="J2024" s="6" t="s">
        <v>8735</v>
      </c>
      <c r="K2024" s="6" t="s">
        <v>21</v>
      </c>
      <c r="L2024" s="6">
        <v>1</v>
      </c>
      <c r="M2024" s="15" t="s">
        <v>8736</v>
      </c>
      <c r="N2024" s="15" t="s">
        <v>4938</v>
      </c>
      <c r="O2024" s="15" t="s">
        <v>8737</v>
      </c>
    </row>
    <row r="2025" spans="1:15" ht="14.25" customHeight="1">
      <c r="A2025" s="3" t="s">
        <v>649</v>
      </c>
      <c r="B2025" s="3"/>
      <c r="C2025" s="3"/>
      <c r="D2025" s="5" t="s">
        <v>3106</v>
      </c>
      <c r="E2025" s="5" t="s">
        <v>124</v>
      </c>
      <c r="F2025" s="3" t="s">
        <v>9344</v>
      </c>
      <c r="G2025" s="6">
        <f>17.498*L2025</f>
        <v>209.976</v>
      </c>
      <c r="H2025" s="7">
        <v>41850</v>
      </c>
      <c r="I2025" s="6" t="s">
        <v>11912</v>
      </c>
      <c r="J2025" s="6" t="s">
        <v>9345</v>
      </c>
      <c r="K2025" s="6" t="s">
        <v>21</v>
      </c>
      <c r="L2025" s="6">
        <v>12</v>
      </c>
      <c r="M2025" s="15" t="s">
        <v>5977</v>
      </c>
      <c r="N2025" s="15" t="s">
        <v>78</v>
      </c>
      <c r="O2025" s="15" t="s">
        <v>9344</v>
      </c>
    </row>
    <row r="2026" spans="1:15" s="1" customFormat="1" ht="14.25" customHeight="1">
      <c r="A2026" s="3" t="s">
        <v>793</v>
      </c>
      <c r="B2026" s="3"/>
      <c r="C2026" s="3"/>
      <c r="D2026" s="5" t="s">
        <v>794</v>
      </c>
      <c r="E2026" s="5" t="s">
        <v>124</v>
      </c>
      <c r="F2026" s="3" t="s">
        <v>9348</v>
      </c>
      <c r="G2026" s="6">
        <f>8.137*L2026</f>
        <v>97.644000000000005</v>
      </c>
      <c r="H2026" s="7">
        <v>41850</v>
      </c>
      <c r="I2026" s="6" t="s">
        <v>186</v>
      </c>
      <c r="J2026" s="6" t="s">
        <v>9349</v>
      </c>
      <c r="K2026" s="6" t="s">
        <v>21</v>
      </c>
      <c r="L2026" s="6">
        <v>12</v>
      </c>
      <c r="M2026" s="15" t="s">
        <v>5991</v>
      </c>
      <c r="N2026" s="15" t="s">
        <v>78</v>
      </c>
      <c r="O2026" s="15" t="s">
        <v>5991</v>
      </c>
    </row>
    <row r="2027" spans="1:15" s="1" customFormat="1" ht="14.25" customHeight="1">
      <c r="A2027" s="3" t="s">
        <v>5899</v>
      </c>
      <c r="B2027" s="4" t="s">
        <v>5900</v>
      </c>
      <c r="C2027" s="3"/>
      <c r="D2027" s="5" t="s">
        <v>5892</v>
      </c>
      <c r="E2027" s="5" t="s">
        <v>124</v>
      </c>
      <c r="F2027" s="3" t="s">
        <v>5992</v>
      </c>
      <c r="G2027" s="6">
        <v>202.62299999999999</v>
      </c>
      <c r="H2027" s="7">
        <v>41851</v>
      </c>
      <c r="I2027" s="6" t="s">
        <v>209</v>
      </c>
      <c r="J2027" s="6" t="s">
        <v>5993</v>
      </c>
      <c r="K2027" s="6" t="s">
        <v>128</v>
      </c>
      <c r="L2027" s="6" t="s">
        <v>2131</v>
      </c>
      <c r="M2027" s="15" t="s">
        <v>5994</v>
      </c>
      <c r="N2027" s="15" t="s">
        <v>5995</v>
      </c>
      <c r="O2027" s="15" t="s">
        <v>5996</v>
      </c>
    </row>
    <row r="2028" spans="1:15" s="1" customFormat="1" ht="14.25" customHeight="1">
      <c r="A2028" s="3" t="s">
        <v>469</v>
      </c>
      <c r="B2028" s="4"/>
      <c r="C2028" s="3"/>
      <c r="D2028" s="5" t="s">
        <v>276</v>
      </c>
      <c r="E2028" s="5" t="s">
        <v>124</v>
      </c>
      <c r="F2028" s="3" t="s">
        <v>5997</v>
      </c>
      <c r="G2028" s="6">
        <f>6.405*L2028</f>
        <v>32.024999999999999</v>
      </c>
      <c r="H2028" s="7">
        <v>41851</v>
      </c>
      <c r="I2028" s="6" t="s">
        <v>471</v>
      </c>
      <c r="J2028" s="6" t="s">
        <v>5998</v>
      </c>
      <c r="K2028" s="6" t="s">
        <v>21</v>
      </c>
      <c r="L2028" s="6">
        <v>5</v>
      </c>
      <c r="M2028" s="15" t="s">
        <v>5999</v>
      </c>
      <c r="N2028" s="15" t="s">
        <v>6000</v>
      </c>
      <c r="O2028" s="15" t="s">
        <v>5997</v>
      </c>
    </row>
    <row r="2029" spans="1:15" s="1" customFormat="1" ht="14.25" customHeight="1">
      <c r="A2029" s="3" t="s">
        <v>275</v>
      </c>
      <c r="B2029" s="3"/>
      <c r="C2029" s="3"/>
      <c r="D2029" s="5" t="s">
        <v>276</v>
      </c>
      <c r="E2029" s="5" t="s">
        <v>124</v>
      </c>
      <c r="F2029" s="3" t="s">
        <v>6001</v>
      </c>
      <c r="G2029" s="6">
        <f>6.405*L2029</f>
        <v>76.86</v>
      </c>
      <c r="H2029" s="7">
        <v>41851</v>
      </c>
      <c r="I2029" s="6" t="s">
        <v>471</v>
      </c>
      <c r="J2029" s="6" t="s">
        <v>6002</v>
      </c>
      <c r="K2029" s="6" t="s">
        <v>21</v>
      </c>
      <c r="L2029" s="6">
        <v>12</v>
      </c>
      <c r="M2029" s="15" t="s">
        <v>6003</v>
      </c>
      <c r="N2029" s="15" t="s">
        <v>164</v>
      </c>
      <c r="O2029" s="15" t="s">
        <v>6001</v>
      </c>
    </row>
    <row r="2030" spans="1:15" s="1" customFormat="1" ht="14.25" customHeight="1">
      <c r="A2030" s="3" t="s">
        <v>3897</v>
      </c>
      <c r="B2030" s="3"/>
      <c r="C2030" s="3"/>
      <c r="D2030" s="5" t="s">
        <v>276</v>
      </c>
      <c r="E2030" s="5" t="s">
        <v>124</v>
      </c>
      <c r="F2030" s="3" t="s">
        <v>6004</v>
      </c>
      <c r="G2030" s="6">
        <f>6.405*L2030</f>
        <v>96.075000000000003</v>
      </c>
      <c r="H2030" s="7">
        <v>41851</v>
      </c>
      <c r="I2030" s="6" t="s">
        <v>3899</v>
      </c>
      <c r="J2030" s="6" t="s">
        <v>6005</v>
      </c>
      <c r="K2030" s="6" t="s">
        <v>21</v>
      </c>
      <c r="L2030" s="6">
        <v>15</v>
      </c>
      <c r="M2030" s="15" t="s">
        <v>5271</v>
      </c>
      <c r="N2030" s="15" t="s">
        <v>5066</v>
      </c>
      <c r="O2030" s="15" t="s">
        <v>6004</v>
      </c>
    </row>
    <row r="2031" spans="1:15" ht="14.25" customHeight="1">
      <c r="A2031" s="3" t="s">
        <v>6006</v>
      </c>
      <c r="B2031" s="3"/>
      <c r="C2031" s="3"/>
      <c r="D2031" s="5" t="s">
        <v>276</v>
      </c>
      <c r="E2031" s="5" t="s">
        <v>124</v>
      </c>
      <c r="F2031" s="3" t="s">
        <v>6007</v>
      </c>
      <c r="G2031" s="6">
        <f>6.405*L2031</f>
        <v>64.05</v>
      </c>
      <c r="H2031" s="7">
        <v>41851</v>
      </c>
      <c r="I2031" s="6" t="s">
        <v>6008</v>
      </c>
      <c r="J2031" s="6" t="s">
        <v>6009</v>
      </c>
      <c r="K2031" s="6" t="s">
        <v>21</v>
      </c>
      <c r="L2031" s="6">
        <v>10</v>
      </c>
      <c r="M2031" s="15" t="s">
        <v>5999</v>
      </c>
      <c r="N2031" s="15" t="s">
        <v>4872</v>
      </c>
      <c r="O2031" s="15" t="s">
        <v>6010</v>
      </c>
    </row>
    <row r="2032" spans="1:15" ht="14.25" customHeight="1">
      <c r="A2032" s="3" t="s">
        <v>6006</v>
      </c>
      <c r="B2032" s="3"/>
      <c r="C2032" s="3"/>
      <c r="D2032" s="5" t="s">
        <v>276</v>
      </c>
      <c r="E2032" s="5" t="s">
        <v>124</v>
      </c>
      <c r="F2032" s="3" t="s">
        <v>6011</v>
      </c>
      <c r="G2032" s="6">
        <f>6.405*L2032</f>
        <v>12.81</v>
      </c>
      <c r="H2032" s="7">
        <v>41851</v>
      </c>
      <c r="I2032" s="6" t="s">
        <v>6008</v>
      </c>
      <c r="J2032" s="6" t="s">
        <v>6012</v>
      </c>
      <c r="K2032" s="6" t="s">
        <v>21</v>
      </c>
      <c r="L2032" s="6">
        <v>2</v>
      </c>
      <c r="M2032" s="15" t="s">
        <v>6013</v>
      </c>
      <c r="N2032" s="15" t="s">
        <v>5185</v>
      </c>
      <c r="O2032" s="15" t="s">
        <v>6013</v>
      </c>
    </row>
    <row r="2033" spans="1:15" s="1" customFormat="1" ht="14.25" customHeight="1">
      <c r="A2033" s="3" t="s">
        <v>9357</v>
      </c>
      <c r="B2033" s="3"/>
      <c r="C2033" s="3"/>
      <c r="D2033" s="5" t="s">
        <v>552</v>
      </c>
      <c r="E2033" s="5" t="s">
        <v>124</v>
      </c>
      <c r="F2033" s="3" t="s">
        <v>9358</v>
      </c>
      <c r="G2033" s="6">
        <f>17.52*L2033</f>
        <v>70.08</v>
      </c>
      <c r="H2033" s="7">
        <v>41851</v>
      </c>
      <c r="I2033" s="6" t="s">
        <v>265</v>
      </c>
      <c r="J2033" s="6" t="s">
        <v>9359</v>
      </c>
      <c r="K2033" s="6" t="s">
        <v>5478</v>
      </c>
      <c r="L2033" s="6">
        <v>4</v>
      </c>
      <c r="M2033" s="15" t="s">
        <v>5942</v>
      </c>
      <c r="N2033" s="15" t="s">
        <v>5972</v>
      </c>
      <c r="O2033" s="15" t="s">
        <v>9360</v>
      </c>
    </row>
    <row r="2034" spans="1:15" ht="14.25" customHeight="1">
      <c r="A2034" s="3" t="s">
        <v>664</v>
      </c>
      <c r="B2034" s="4"/>
      <c r="C2034" s="3"/>
      <c r="D2034" s="5" t="s">
        <v>665</v>
      </c>
      <c r="E2034" s="5" t="s">
        <v>124</v>
      </c>
      <c r="F2034" s="3" t="s">
        <v>6014</v>
      </c>
      <c r="G2034" s="6">
        <v>85.2</v>
      </c>
      <c r="H2034" s="7">
        <v>41851</v>
      </c>
      <c r="I2034" s="6" t="s">
        <v>209</v>
      </c>
      <c r="J2034" s="6" t="s">
        <v>11834</v>
      </c>
      <c r="K2034" s="6" t="s">
        <v>128</v>
      </c>
      <c r="L2034" s="6" t="s">
        <v>1329</v>
      </c>
      <c r="M2034" s="15" t="s">
        <v>6015</v>
      </c>
      <c r="N2034" s="15" t="s">
        <v>6016</v>
      </c>
      <c r="O2034" s="15" t="s">
        <v>6017</v>
      </c>
    </row>
    <row r="2035" spans="1:15" s="1" customFormat="1" ht="14.25" customHeight="1">
      <c r="A2035" s="3" t="s">
        <v>765</v>
      </c>
      <c r="B2035" s="4"/>
      <c r="C2035" s="3"/>
      <c r="D2035" s="5" t="s">
        <v>207</v>
      </c>
      <c r="E2035" s="5" t="s">
        <v>124</v>
      </c>
      <c r="F2035" s="3" t="s">
        <v>6018</v>
      </c>
      <c r="G2035" s="6">
        <v>86.057000000000002</v>
      </c>
      <c r="H2035" s="7">
        <v>41851</v>
      </c>
      <c r="I2035" s="6" t="s">
        <v>209</v>
      </c>
      <c r="J2035" s="6" t="s">
        <v>6019</v>
      </c>
      <c r="K2035" s="6" t="s">
        <v>128</v>
      </c>
      <c r="L2035" s="6" t="s">
        <v>768</v>
      </c>
      <c r="M2035" s="15" t="s">
        <v>6020</v>
      </c>
      <c r="N2035" s="15" t="s">
        <v>6021</v>
      </c>
      <c r="O2035" s="15" t="s">
        <v>6022</v>
      </c>
    </row>
    <row r="2036" spans="1:15" s="1" customFormat="1" ht="14.25" customHeight="1">
      <c r="A2036" s="3" t="s">
        <v>686</v>
      </c>
      <c r="B2036" s="3"/>
      <c r="C2036" s="3"/>
      <c r="D2036" s="5" t="s">
        <v>687</v>
      </c>
      <c r="E2036" s="5" t="s">
        <v>124</v>
      </c>
      <c r="F2036" s="3" t="s">
        <v>6023</v>
      </c>
      <c r="G2036" s="6">
        <v>83.063000000000002</v>
      </c>
      <c r="H2036" s="7">
        <v>41851</v>
      </c>
      <c r="I2036" s="6" t="s">
        <v>209</v>
      </c>
      <c r="J2036" s="6" t="s">
        <v>6024</v>
      </c>
      <c r="K2036" s="6" t="s">
        <v>128</v>
      </c>
      <c r="L2036" s="6" t="s">
        <v>1039</v>
      </c>
      <c r="M2036" s="15" t="s">
        <v>6025</v>
      </c>
      <c r="N2036" s="15" t="s">
        <v>6026</v>
      </c>
      <c r="O2036" s="15" t="s">
        <v>6027</v>
      </c>
    </row>
    <row r="2037" spans="1:15" s="1" customFormat="1" ht="14.25" customHeight="1">
      <c r="A2037" s="3" t="s">
        <v>1018</v>
      </c>
      <c r="B2037" s="4"/>
      <c r="C2037" s="3"/>
      <c r="D2037" s="5" t="s">
        <v>1019</v>
      </c>
      <c r="E2037" s="5" t="s">
        <v>124</v>
      </c>
      <c r="F2037" s="3" t="s">
        <v>6028</v>
      </c>
      <c r="G2037" s="6">
        <v>207.22800000000001</v>
      </c>
      <c r="H2037" s="7">
        <v>41851</v>
      </c>
      <c r="I2037" s="6" t="s">
        <v>209</v>
      </c>
      <c r="J2037" s="6" t="s">
        <v>6029</v>
      </c>
      <c r="K2037" s="6" t="s">
        <v>128</v>
      </c>
      <c r="L2037" s="6" t="s">
        <v>948</v>
      </c>
      <c r="M2037" s="15" t="s">
        <v>6030</v>
      </c>
      <c r="N2037" s="15" t="s">
        <v>6031</v>
      </c>
      <c r="O2037" s="15" t="s">
        <v>13207</v>
      </c>
    </row>
    <row r="2038" spans="1:15" s="1" customFormat="1" ht="14.25" customHeight="1">
      <c r="A2038" s="3" t="s">
        <v>1018</v>
      </c>
      <c r="B2038" s="4"/>
      <c r="C2038" s="3"/>
      <c r="D2038" s="5" t="s">
        <v>1019</v>
      </c>
      <c r="E2038" s="5" t="s">
        <v>124</v>
      </c>
      <c r="F2038" s="3" t="s">
        <v>6032</v>
      </c>
      <c r="G2038" s="6">
        <v>86.536000000000001</v>
      </c>
      <c r="H2038" s="7">
        <v>41851</v>
      </c>
      <c r="I2038" s="6" t="s">
        <v>209</v>
      </c>
      <c r="J2038" s="6" t="s">
        <v>6033</v>
      </c>
      <c r="K2038" s="6" t="s">
        <v>128</v>
      </c>
      <c r="L2038" s="6" t="s">
        <v>768</v>
      </c>
      <c r="M2038" s="15" t="s">
        <v>6034</v>
      </c>
      <c r="N2038" s="15" t="s">
        <v>6035</v>
      </c>
      <c r="O2038" s="15" t="s">
        <v>13209</v>
      </c>
    </row>
    <row r="2039" spans="1:15" s="1" customFormat="1" ht="14.25" customHeight="1">
      <c r="A2039" s="3" t="s">
        <v>3664</v>
      </c>
      <c r="B2039" s="4"/>
      <c r="C2039" s="3"/>
      <c r="D2039" s="5" t="s">
        <v>672</v>
      </c>
      <c r="E2039" s="5" t="s">
        <v>124</v>
      </c>
      <c r="F2039" s="3" t="s">
        <v>6036</v>
      </c>
      <c r="G2039" s="6">
        <v>152.523</v>
      </c>
      <c r="H2039" s="7">
        <v>41851</v>
      </c>
      <c r="I2039" s="6" t="s">
        <v>209</v>
      </c>
      <c r="J2039" s="6" t="s">
        <v>6037</v>
      </c>
      <c r="K2039" s="6" t="s">
        <v>128</v>
      </c>
      <c r="L2039" s="6" t="s">
        <v>808</v>
      </c>
      <c r="M2039" s="15" t="s">
        <v>6038</v>
      </c>
      <c r="N2039" s="15" t="s">
        <v>5154</v>
      </c>
      <c r="O2039" s="15" t="s">
        <v>6039</v>
      </c>
    </row>
    <row r="2040" spans="1:15" s="1" customFormat="1" ht="14.25" customHeight="1">
      <c r="A2040" s="3" t="s">
        <v>3664</v>
      </c>
      <c r="B2040" s="4"/>
      <c r="C2040" s="3"/>
      <c r="D2040" s="5" t="s">
        <v>672</v>
      </c>
      <c r="E2040" s="5" t="s">
        <v>124</v>
      </c>
      <c r="F2040" s="3" t="s">
        <v>6040</v>
      </c>
      <c r="G2040" s="6">
        <v>155.16</v>
      </c>
      <c r="H2040" s="7">
        <v>41851</v>
      </c>
      <c r="I2040" s="6" t="s">
        <v>209</v>
      </c>
      <c r="J2040" s="6" t="s">
        <v>6041</v>
      </c>
      <c r="K2040" s="6" t="s">
        <v>128</v>
      </c>
      <c r="L2040" s="6" t="s">
        <v>5240</v>
      </c>
      <c r="M2040" s="15" t="s">
        <v>6042</v>
      </c>
      <c r="N2040" s="15" t="s">
        <v>6043</v>
      </c>
      <c r="O2040" s="15" t="s">
        <v>6044</v>
      </c>
    </row>
    <row r="2041" spans="1:15" ht="14.25" customHeight="1">
      <c r="A2041" s="3" t="s">
        <v>205</v>
      </c>
      <c r="B2041" s="4"/>
      <c r="C2041" s="3"/>
      <c r="D2041" s="5" t="s">
        <v>207</v>
      </c>
      <c r="E2041" s="5" t="s">
        <v>124</v>
      </c>
      <c r="F2041" s="3" t="s">
        <v>6045</v>
      </c>
      <c r="G2041" s="6">
        <v>86.207999999999998</v>
      </c>
      <c r="H2041" s="7">
        <v>41851</v>
      </c>
      <c r="I2041" s="6" t="s">
        <v>209</v>
      </c>
      <c r="J2041" s="6" t="s">
        <v>6046</v>
      </c>
      <c r="K2041" s="6" t="s">
        <v>128</v>
      </c>
      <c r="L2041" s="6" t="s">
        <v>768</v>
      </c>
      <c r="M2041" s="15" t="s">
        <v>6047</v>
      </c>
      <c r="N2041" s="15" t="s">
        <v>6048</v>
      </c>
      <c r="O2041" s="15" t="s">
        <v>6022</v>
      </c>
    </row>
    <row r="2042" spans="1:15" s="1" customFormat="1" ht="14.25" customHeight="1">
      <c r="A2042" s="3" t="s">
        <v>5768</v>
      </c>
      <c r="B2042" s="3"/>
      <c r="C2042" s="3"/>
      <c r="D2042" s="5" t="s">
        <v>552</v>
      </c>
      <c r="E2042" s="5" t="s">
        <v>124</v>
      </c>
      <c r="F2042" s="3" t="s">
        <v>6049</v>
      </c>
      <c r="G2042" s="6">
        <f>17.52*L2042</f>
        <v>175.2</v>
      </c>
      <c r="H2042" s="7">
        <v>41852</v>
      </c>
      <c r="I2042" s="6" t="s">
        <v>265</v>
      </c>
      <c r="J2042" s="6" t="s">
        <v>6050</v>
      </c>
      <c r="K2042" s="6" t="s">
        <v>5478</v>
      </c>
      <c r="L2042" s="6">
        <v>10</v>
      </c>
      <c r="M2042" s="15" t="s">
        <v>6051</v>
      </c>
      <c r="N2042" s="15" t="s">
        <v>4872</v>
      </c>
      <c r="O2042" s="15" t="s">
        <v>6051</v>
      </c>
    </row>
    <row r="2043" spans="1:15" ht="14.25" customHeight="1">
      <c r="A2043" s="3" t="s">
        <v>551</v>
      </c>
      <c r="B2043" s="3"/>
      <c r="C2043" s="3"/>
      <c r="D2043" s="5" t="s">
        <v>552</v>
      </c>
      <c r="E2043" s="5" t="s">
        <v>124</v>
      </c>
      <c r="F2043" s="3" t="s">
        <v>9366</v>
      </c>
      <c r="G2043" s="6">
        <f>17.52*L2043</f>
        <v>140.16</v>
      </c>
      <c r="H2043" s="7">
        <v>41852</v>
      </c>
      <c r="I2043" s="6" t="s">
        <v>265</v>
      </c>
      <c r="J2043" s="6" t="s">
        <v>9367</v>
      </c>
      <c r="K2043" s="6" t="s">
        <v>21</v>
      </c>
      <c r="L2043" s="6">
        <v>8</v>
      </c>
      <c r="M2043" s="15" t="s">
        <v>6054</v>
      </c>
      <c r="N2043" s="15" t="s">
        <v>5844</v>
      </c>
      <c r="O2043" s="15" t="s">
        <v>6054</v>
      </c>
    </row>
    <row r="2044" spans="1:15" ht="14.25" customHeight="1">
      <c r="A2044" s="3" t="s">
        <v>1773</v>
      </c>
      <c r="B2044" s="4"/>
      <c r="C2044" s="3"/>
      <c r="D2044" s="5" t="s">
        <v>552</v>
      </c>
      <c r="E2044" s="5" t="s">
        <v>124</v>
      </c>
      <c r="F2044" s="3" t="s">
        <v>6052</v>
      </c>
      <c r="G2044" s="6">
        <f>17.52*L2044</f>
        <v>140.16</v>
      </c>
      <c r="H2044" s="7">
        <v>41852</v>
      </c>
      <c r="I2044" s="6" t="s">
        <v>265</v>
      </c>
      <c r="J2044" s="6" t="s">
        <v>6053</v>
      </c>
      <c r="K2044" s="6" t="s">
        <v>21</v>
      </c>
      <c r="L2044" s="6">
        <v>8</v>
      </c>
      <c r="M2044" s="15" t="s">
        <v>6054</v>
      </c>
      <c r="N2044" s="15" t="s">
        <v>5870</v>
      </c>
      <c r="O2044" s="15" t="s">
        <v>6055</v>
      </c>
    </row>
    <row r="2045" spans="1:15" s="1" customFormat="1" ht="14.25" customHeight="1">
      <c r="A2045" s="3" t="s">
        <v>1773</v>
      </c>
      <c r="B2045" s="4"/>
      <c r="C2045" s="3"/>
      <c r="D2045" s="5" t="s">
        <v>552</v>
      </c>
      <c r="E2045" s="5" t="s">
        <v>124</v>
      </c>
      <c r="F2045" s="3" t="s">
        <v>6056</v>
      </c>
      <c r="G2045" s="6">
        <f>17.52*L2045</f>
        <v>157.68</v>
      </c>
      <c r="H2045" s="7">
        <v>41852</v>
      </c>
      <c r="I2045" s="6" t="s">
        <v>265</v>
      </c>
      <c r="J2045" s="6" t="s">
        <v>6057</v>
      </c>
      <c r="K2045" s="6" t="s">
        <v>21</v>
      </c>
      <c r="L2045" s="6">
        <v>9</v>
      </c>
      <c r="M2045" s="15" t="s">
        <v>6054</v>
      </c>
      <c r="N2045" s="15" t="s">
        <v>4974</v>
      </c>
      <c r="O2045" s="15" t="s">
        <v>6058</v>
      </c>
    </row>
    <row r="2046" spans="1:15" ht="14.25" customHeight="1">
      <c r="A2046" s="3" t="s">
        <v>1087</v>
      </c>
      <c r="B2046" s="3" t="s">
        <v>4520</v>
      </c>
      <c r="C2046" s="3"/>
      <c r="D2046" s="5" t="s">
        <v>1088</v>
      </c>
      <c r="E2046" s="5" t="s">
        <v>124</v>
      </c>
      <c r="F2046" s="3" t="s">
        <v>6059</v>
      </c>
      <c r="G2046" s="6">
        <f t="shared" ref="G2046:G2051" si="81">9.804*L2046</f>
        <v>117.648</v>
      </c>
      <c r="H2046" s="7">
        <v>41852</v>
      </c>
      <c r="I2046" s="6" t="s">
        <v>1090</v>
      </c>
      <c r="J2046" s="6" t="s">
        <v>6060</v>
      </c>
      <c r="K2046" s="6" t="s">
        <v>21</v>
      </c>
      <c r="L2046" s="6">
        <v>12</v>
      </c>
      <c r="M2046" s="15" t="s">
        <v>6061</v>
      </c>
      <c r="N2046" s="15" t="s">
        <v>164</v>
      </c>
      <c r="O2046" s="15" t="s">
        <v>6062</v>
      </c>
    </row>
    <row r="2047" spans="1:15" ht="14.25" customHeight="1">
      <c r="A2047" s="3" t="s">
        <v>1087</v>
      </c>
      <c r="B2047" s="3" t="s">
        <v>4520</v>
      </c>
      <c r="C2047" s="3"/>
      <c r="D2047" s="5" t="s">
        <v>1088</v>
      </c>
      <c r="E2047" s="5" t="s">
        <v>124</v>
      </c>
      <c r="F2047" s="3" t="s">
        <v>6063</v>
      </c>
      <c r="G2047" s="6">
        <f t="shared" si="81"/>
        <v>127.452</v>
      </c>
      <c r="H2047" s="7">
        <v>41852</v>
      </c>
      <c r="I2047" s="6" t="s">
        <v>1090</v>
      </c>
      <c r="J2047" s="6" t="s">
        <v>6064</v>
      </c>
      <c r="K2047" s="6" t="s">
        <v>21</v>
      </c>
      <c r="L2047" s="6">
        <v>13</v>
      </c>
      <c r="M2047" s="15" t="s">
        <v>6061</v>
      </c>
      <c r="N2047" s="15" t="s">
        <v>167</v>
      </c>
      <c r="O2047" s="15" t="s">
        <v>6061</v>
      </c>
    </row>
    <row r="2048" spans="1:15" ht="14.25" customHeight="1">
      <c r="A2048" s="3" t="s">
        <v>1087</v>
      </c>
      <c r="B2048" s="3" t="s">
        <v>4520</v>
      </c>
      <c r="C2048" s="3"/>
      <c r="D2048" s="5" t="s">
        <v>1088</v>
      </c>
      <c r="E2048" s="5" t="s">
        <v>124</v>
      </c>
      <c r="F2048" s="3" t="s">
        <v>6065</v>
      </c>
      <c r="G2048" s="6">
        <f t="shared" si="81"/>
        <v>117.648</v>
      </c>
      <c r="H2048" s="7">
        <v>41852</v>
      </c>
      <c r="I2048" s="6" t="s">
        <v>1090</v>
      </c>
      <c r="J2048" s="6" t="s">
        <v>6066</v>
      </c>
      <c r="K2048" s="6" t="s">
        <v>21</v>
      </c>
      <c r="L2048" s="6">
        <v>12</v>
      </c>
      <c r="M2048" s="15" t="s">
        <v>6067</v>
      </c>
      <c r="N2048" s="15" t="s">
        <v>164</v>
      </c>
      <c r="O2048" s="15" t="s">
        <v>6068</v>
      </c>
    </row>
    <row r="2049" spans="1:15" s="1" customFormat="1" ht="14.25" customHeight="1">
      <c r="A2049" s="3" t="s">
        <v>1087</v>
      </c>
      <c r="B2049" s="3" t="s">
        <v>4520</v>
      </c>
      <c r="C2049" s="3"/>
      <c r="D2049" s="5" t="s">
        <v>1088</v>
      </c>
      <c r="E2049" s="5" t="s">
        <v>124</v>
      </c>
      <c r="F2049" s="3" t="s">
        <v>6069</v>
      </c>
      <c r="G2049" s="6">
        <f t="shared" si="81"/>
        <v>127.452</v>
      </c>
      <c r="H2049" s="7">
        <v>41852</v>
      </c>
      <c r="I2049" s="6" t="s">
        <v>1090</v>
      </c>
      <c r="J2049" s="6" t="s">
        <v>6070</v>
      </c>
      <c r="K2049" s="6" t="s">
        <v>21</v>
      </c>
      <c r="L2049" s="6">
        <v>13</v>
      </c>
      <c r="M2049" s="15" t="s">
        <v>6067</v>
      </c>
      <c r="N2049" s="15" t="s">
        <v>167</v>
      </c>
      <c r="O2049" s="15" t="s">
        <v>6067</v>
      </c>
    </row>
    <row r="2050" spans="1:15" ht="14.25" customHeight="1">
      <c r="A2050" s="3" t="s">
        <v>1087</v>
      </c>
      <c r="B2050" s="3" t="s">
        <v>4520</v>
      </c>
      <c r="C2050" s="3"/>
      <c r="D2050" s="5" t="s">
        <v>1088</v>
      </c>
      <c r="E2050" s="5" t="s">
        <v>124</v>
      </c>
      <c r="F2050" s="3" t="s">
        <v>6071</v>
      </c>
      <c r="G2050" s="6">
        <f t="shared" si="81"/>
        <v>117.648</v>
      </c>
      <c r="H2050" s="7">
        <v>41852</v>
      </c>
      <c r="I2050" s="6" t="s">
        <v>1090</v>
      </c>
      <c r="J2050" s="6" t="s">
        <v>6072</v>
      </c>
      <c r="K2050" s="6" t="s">
        <v>21</v>
      </c>
      <c r="L2050" s="6">
        <v>12</v>
      </c>
      <c r="M2050" s="15" t="s">
        <v>6073</v>
      </c>
      <c r="N2050" s="15" t="s">
        <v>164</v>
      </c>
      <c r="O2050" s="15" t="s">
        <v>6073</v>
      </c>
    </row>
    <row r="2051" spans="1:15" ht="14.25" customHeight="1">
      <c r="A2051" s="3" t="s">
        <v>1087</v>
      </c>
      <c r="B2051" s="3" t="s">
        <v>4520</v>
      </c>
      <c r="C2051" s="3"/>
      <c r="D2051" s="5" t="s">
        <v>1088</v>
      </c>
      <c r="E2051" s="5" t="s">
        <v>124</v>
      </c>
      <c r="F2051" s="3" t="s">
        <v>6074</v>
      </c>
      <c r="G2051" s="6">
        <f t="shared" si="81"/>
        <v>127.452</v>
      </c>
      <c r="H2051" s="7">
        <v>41852</v>
      </c>
      <c r="I2051" s="6" t="s">
        <v>1090</v>
      </c>
      <c r="J2051" s="6" t="s">
        <v>6075</v>
      </c>
      <c r="K2051" s="6" t="s">
        <v>21</v>
      </c>
      <c r="L2051" s="6">
        <v>13</v>
      </c>
      <c r="M2051" s="15" t="s">
        <v>6073</v>
      </c>
      <c r="N2051" s="15" t="s">
        <v>167</v>
      </c>
      <c r="O2051" s="15" t="s">
        <v>6076</v>
      </c>
    </row>
    <row r="2052" spans="1:15" ht="14.25" customHeight="1">
      <c r="A2052" s="3" t="s">
        <v>6077</v>
      </c>
      <c r="B2052" s="4" t="s">
        <v>5764</v>
      </c>
      <c r="C2052" s="3"/>
      <c r="D2052" s="5" t="s">
        <v>6078</v>
      </c>
      <c r="E2052" s="5" t="s">
        <v>124</v>
      </c>
      <c r="F2052" s="3" t="s">
        <v>6079</v>
      </c>
      <c r="G2052" s="6">
        <v>3</v>
      </c>
      <c r="H2052" s="7">
        <v>41852</v>
      </c>
      <c r="I2052" s="6"/>
      <c r="J2052" s="6"/>
      <c r="K2052" s="6"/>
      <c r="L2052" s="6"/>
      <c r="M2052" s="15"/>
      <c r="N2052" s="15"/>
      <c r="O2052" s="15" t="s">
        <v>1918</v>
      </c>
    </row>
    <row r="2053" spans="1:15" s="1" customFormat="1" ht="14.25" customHeight="1">
      <c r="A2053" s="3" t="s">
        <v>6080</v>
      </c>
      <c r="B2053" s="4" t="s">
        <v>5764</v>
      </c>
      <c r="C2053" s="3"/>
      <c r="D2053" s="5" t="s">
        <v>1216</v>
      </c>
      <c r="E2053" s="5" t="s">
        <v>124</v>
      </c>
      <c r="F2053" s="3" t="s">
        <v>6081</v>
      </c>
      <c r="G2053" s="6">
        <v>80</v>
      </c>
      <c r="H2053" s="7">
        <v>41852</v>
      </c>
      <c r="I2053" s="6"/>
      <c r="J2053" s="6"/>
      <c r="K2053" s="6"/>
      <c r="L2053" s="6"/>
      <c r="M2053" s="15"/>
      <c r="N2053" s="15"/>
      <c r="O2053" s="15" t="s">
        <v>1918</v>
      </c>
    </row>
    <row r="2054" spans="1:15" s="1" customFormat="1" ht="14.25" customHeight="1">
      <c r="A2054" s="3" t="s">
        <v>6082</v>
      </c>
      <c r="B2054" s="4" t="s">
        <v>5764</v>
      </c>
      <c r="C2054" s="3"/>
      <c r="D2054" s="5" t="s">
        <v>1534</v>
      </c>
      <c r="E2054" s="5" t="s">
        <v>124</v>
      </c>
      <c r="F2054" s="3" t="s">
        <v>6083</v>
      </c>
      <c r="G2054" s="6">
        <v>200</v>
      </c>
      <c r="H2054" s="7">
        <v>41852</v>
      </c>
      <c r="I2054" s="6"/>
      <c r="J2054" s="6"/>
      <c r="K2054" s="6"/>
      <c r="L2054" s="6"/>
      <c r="M2054" s="15"/>
      <c r="N2054" s="15"/>
      <c r="O2054" s="15" t="s">
        <v>1918</v>
      </c>
    </row>
    <row r="2055" spans="1:15" s="1" customFormat="1" ht="14.25" customHeight="1">
      <c r="A2055" s="3" t="s">
        <v>7024</v>
      </c>
      <c r="B2055" s="4"/>
      <c r="C2055" s="3"/>
      <c r="D2055" s="5" t="s">
        <v>7025</v>
      </c>
      <c r="E2055" s="5" t="s">
        <v>7026</v>
      </c>
      <c r="F2055" s="3" t="s">
        <v>8738</v>
      </c>
      <c r="G2055" s="6">
        <f>17.498*L2055</f>
        <v>209.976</v>
      </c>
      <c r="H2055" s="7">
        <v>41852</v>
      </c>
      <c r="I2055" s="6" t="s">
        <v>265</v>
      </c>
      <c r="J2055" s="6" t="s">
        <v>8739</v>
      </c>
      <c r="K2055" s="6" t="s">
        <v>21</v>
      </c>
      <c r="L2055" s="6">
        <v>12</v>
      </c>
      <c r="M2055" s="15" t="s">
        <v>8740</v>
      </c>
      <c r="N2055" s="15" t="s">
        <v>164</v>
      </c>
      <c r="O2055" s="15" t="s">
        <v>8741</v>
      </c>
    </row>
    <row r="2056" spans="1:15" s="1" customFormat="1" ht="14.25" customHeight="1">
      <c r="A2056" s="3" t="s">
        <v>7024</v>
      </c>
      <c r="B2056" s="3"/>
      <c r="C2056" s="3"/>
      <c r="D2056" s="5" t="s">
        <v>7025</v>
      </c>
      <c r="E2056" s="5" t="s">
        <v>7026</v>
      </c>
      <c r="F2056" s="3" t="s">
        <v>8742</v>
      </c>
      <c r="G2056" s="6">
        <f>17.498*L2056</f>
        <v>227.47400000000002</v>
      </c>
      <c r="H2056" s="7">
        <v>41852</v>
      </c>
      <c r="I2056" s="6" t="s">
        <v>265</v>
      </c>
      <c r="J2056" s="6" t="s">
        <v>8743</v>
      </c>
      <c r="K2056" s="6" t="s">
        <v>21</v>
      </c>
      <c r="L2056" s="6">
        <v>13</v>
      </c>
      <c r="M2056" s="15" t="s">
        <v>8740</v>
      </c>
      <c r="N2056" s="15" t="s">
        <v>167</v>
      </c>
      <c r="O2056" s="15" t="s">
        <v>8744</v>
      </c>
    </row>
    <row r="2057" spans="1:15" ht="14.25" customHeight="1">
      <c r="A2057" s="3" t="s">
        <v>654</v>
      </c>
      <c r="B2057" s="4"/>
      <c r="C2057" s="3"/>
      <c r="D2057" s="5" t="s">
        <v>5294</v>
      </c>
      <c r="E2057" s="5" t="s">
        <v>124</v>
      </c>
      <c r="F2057" s="3" t="s">
        <v>6084</v>
      </c>
      <c r="G2057" s="6">
        <f>17.52*L2057</f>
        <v>140.16</v>
      </c>
      <c r="H2057" s="7">
        <v>41855</v>
      </c>
      <c r="I2057" s="6" t="s">
        <v>209</v>
      </c>
      <c r="J2057" s="6" t="s">
        <v>6085</v>
      </c>
      <c r="K2057" s="6" t="s">
        <v>21</v>
      </c>
      <c r="L2057" s="6">
        <v>8</v>
      </c>
      <c r="M2057" s="15" t="s">
        <v>6086</v>
      </c>
      <c r="N2057" s="15" t="s">
        <v>5844</v>
      </c>
      <c r="O2057" s="15" t="s">
        <v>6086</v>
      </c>
    </row>
    <row r="2058" spans="1:15" s="1" customFormat="1" ht="14.25" customHeight="1">
      <c r="A2058" s="3" t="s">
        <v>5435</v>
      </c>
      <c r="B2058" s="3"/>
      <c r="C2058" s="3"/>
      <c r="D2058" s="5" t="s">
        <v>855</v>
      </c>
      <c r="E2058" s="5" t="s">
        <v>124</v>
      </c>
      <c r="F2058" s="3" t="s">
        <v>6088</v>
      </c>
      <c r="G2058" s="6">
        <f>17.52*L2058</f>
        <v>122.64</v>
      </c>
      <c r="H2058" s="7">
        <v>41855</v>
      </c>
      <c r="I2058" s="6" t="s">
        <v>5437</v>
      </c>
      <c r="J2058" s="6" t="s">
        <v>6089</v>
      </c>
      <c r="K2058" s="6" t="s">
        <v>21</v>
      </c>
      <c r="L2058" s="6">
        <v>7</v>
      </c>
      <c r="M2058" s="15" t="s">
        <v>5335</v>
      </c>
      <c r="N2058" s="15" t="s">
        <v>5472</v>
      </c>
      <c r="O2058" s="15" t="s">
        <v>13503</v>
      </c>
    </row>
    <row r="2059" spans="1:15" s="1" customFormat="1" ht="14.25" customHeight="1">
      <c r="A2059" s="3" t="s">
        <v>1498</v>
      </c>
      <c r="B2059" s="3"/>
      <c r="C2059" s="3"/>
      <c r="D2059" s="5" t="s">
        <v>1499</v>
      </c>
      <c r="E2059" s="5" t="s">
        <v>124</v>
      </c>
      <c r="F2059" s="3" t="s">
        <v>6091</v>
      </c>
      <c r="G2059" s="6">
        <f>17.52*L2059</f>
        <v>70.08</v>
      </c>
      <c r="H2059" s="7">
        <v>41855</v>
      </c>
      <c r="I2059" s="6" t="s">
        <v>265</v>
      </c>
      <c r="J2059" s="6" t="s">
        <v>6092</v>
      </c>
      <c r="K2059" s="6" t="s">
        <v>21</v>
      </c>
      <c r="L2059" s="6">
        <v>4</v>
      </c>
      <c r="M2059" s="15" t="s">
        <v>6093</v>
      </c>
      <c r="N2059" s="15" t="s">
        <v>5972</v>
      </c>
      <c r="O2059" s="15" t="s">
        <v>6093</v>
      </c>
    </row>
    <row r="2060" spans="1:15" s="1" customFormat="1" ht="14.25" customHeight="1">
      <c r="A2060" s="3" t="s">
        <v>777</v>
      </c>
      <c r="B2060" s="3"/>
      <c r="C2060" s="3"/>
      <c r="D2060" s="5" t="s">
        <v>778</v>
      </c>
      <c r="E2060" s="5" t="s">
        <v>124</v>
      </c>
      <c r="F2060" s="3" t="s">
        <v>6095</v>
      </c>
      <c r="G2060" s="6">
        <f>17.52*L2060</f>
        <v>52.56</v>
      </c>
      <c r="H2060" s="7">
        <v>41855</v>
      </c>
      <c r="I2060" s="6" t="s">
        <v>265</v>
      </c>
      <c r="J2060" s="6" t="s">
        <v>6096</v>
      </c>
      <c r="K2060" s="6" t="s">
        <v>21</v>
      </c>
      <c r="L2060" s="6">
        <v>3</v>
      </c>
      <c r="M2060" s="15" t="s">
        <v>5332</v>
      </c>
      <c r="N2060" s="15" t="s">
        <v>6097</v>
      </c>
      <c r="O2060" s="15" t="s">
        <v>13504</v>
      </c>
    </row>
    <row r="2061" spans="1:15" s="1" customFormat="1" ht="14.25" customHeight="1">
      <c r="A2061" s="3" t="s">
        <v>416</v>
      </c>
      <c r="B2061" s="3"/>
      <c r="C2061" s="3"/>
      <c r="D2061" s="5" t="s">
        <v>417</v>
      </c>
      <c r="E2061" s="5" t="s">
        <v>124</v>
      </c>
      <c r="F2061" s="3" t="s">
        <v>6099</v>
      </c>
      <c r="G2061" s="6">
        <f>29.101*L2061</f>
        <v>232.80799999999999</v>
      </c>
      <c r="H2061" s="7">
        <v>41855</v>
      </c>
      <c r="I2061" s="6" t="s">
        <v>419</v>
      </c>
      <c r="J2061" s="6" t="s">
        <v>6100</v>
      </c>
      <c r="K2061" s="6" t="s">
        <v>21</v>
      </c>
      <c r="L2061" s="6">
        <v>8</v>
      </c>
      <c r="M2061" s="15" t="s">
        <v>5843</v>
      </c>
      <c r="N2061" s="15" t="s">
        <v>5870</v>
      </c>
      <c r="O2061" s="15" t="s">
        <v>13505</v>
      </c>
    </row>
    <row r="2062" spans="1:15" s="1" customFormat="1" ht="14.25" customHeight="1">
      <c r="A2062" s="3" t="s">
        <v>416</v>
      </c>
      <c r="B2062" s="4"/>
      <c r="C2062" s="3"/>
      <c r="D2062" s="5" t="s">
        <v>417</v>
      </c>
      <c r="E2062" s="5" t="s">
        <v>124</v>
      </c>
      <c r="F2062" s="3" t="s">
        <v>6102</v>
      </c>
      <c r="G2062" s="6">
        <f>29.101*L2062</f>
        <v>261.90899999999999</v>
      </c>
      <c r="H2062" s="7">
        <v>41855</v>
      </c>
      <c r="I2062" s="6" t="s">
        <v>419</v>
      </c>
      <c r="J2062" s="6" t="s">
        <v>6103</v>
      </c>
      <c r="K2062" s="6" t="s">
        <v>21</v>
      </c>
      <c r="L2062" s="6">
        <v>9</v>
      </c>
      <c r="M2062" s="15" t="s">
        <v>5843</v>
      </c>
      <c r="N2062" s="15" t="s">
        <v>896</v>
      </c>
      <c r="O2062" s="15" t="s">
        <v>13506</v>
      </c>
    </row>
    <row r="2063" spans="1:15" ht="14.25" customHeight="1">
      <c r="A2063" s="3" t="s">
        <v>442</v>
      </c>
      <c r="B2063" s="4"/>
      <c r="C2063" s="3"/>
      <c r="D2063" s="5" t="s">
        <v>443</v>
      </c>
      <c r="E2063" s="5" t="s">
        <v>124</v>
      </c>
      <c r="F2063" s="3" t="s">
        <v>6105</v>
      </c>
      <c r="G2063" s="6">
        <f>18.708*L2063</f>
        <v>224.49599999999998</v>
      </c>
      <c r="H2063" s="7">
        <v>41855</v>
      </c>
      <c r="I2063" s="6" t="s">
        <v>247</v>
      </c>
      <c r="J2063" s="6" t="s">
        <v>6106</v>
      </c>
      <c r="K2063" s="6" t="s">
        <v>21</v>
      </c>
      <c r="L2063" s="6">
        <v>12</v>
      </c>
      <c r="M2063" s="15" t="s">
        <v>6107</v>
      </c>
      <c r="N2063" s="15" t="s">
        <v>78</v>
      </c>
      <c r="O2063" s="15" t="s">
        <v>6107</v>
      </c>
    </row>
    <row r="2064" spans="1:15" s="1" customFormat="1" ht="14.25" customHeight="1">
      <c r="A2064" s="3" t="s">
        <v>442</v>
      </c>
      <c r="B2064" s="3"/>
      <c r="C2064" s="3"/>
      <c r="D2064" s="5" t="s">
        <v>443</v>
      </c>
      <c r="E2064" s="5" t="s">
        <v>124</v>
      </c>
      <c r="F2064" s="3" t="s">
        <v>6108</v>
      </c>
      <c r="G2064" s="6">
        <f>18.708*L2064</f>
        <v>243.20399999999998</v>
      </c>
      <c r="H2064" s="7">
        <v>41855</v>
      </c>
      <c r="I2064" s="6" t="s">
        <v>247</v>
      </c>
      <c r="J2064" s="6" t="s">
        <v>6109</v>
      </c>
      <c r="K2064" s="6" t="s">
        <v>21</v>
      </c>
      <c r="L2064" s="6">
        <v>13</v>
      </c>
      <c r="M2064" s="15" t="s">
        <v>6107</v>
      </c>
      <c r="N2064" s="15" t="s">
        <v>81</v>
      </c>
      <c r="O2064" s="15" t="s">
        <v>6110</v>
      </c>
    </row>
    <row r="2065" spans="1:15" ht="14.25" customHeight="1">
      <c r="A2065" s="3" t="s">
        <v>631</v>
      </c>
      <c r="B2065" s="3"/>
      <c r="C2065" s="3"/>
      <c r="D2065" s="5" t="s">
        <v>632</v>
      </c>
      <c r="E2065" s="5" t="s">
        <v>124</v>
      </c>
      <c r="F2065" s="3" t="s">
        <v>6111</v>
      </c>
      <c r="G2065" s="6">
        <f>17.498*4</f>
        <v>69.992000000000004</v>
      </c>
      <c r="H2065" s="7">
        <v>41855</v>
      </c>
      <c r="I2065" s="6" t="s">
        <v>471</v>
      </c>
      <c r="J2065" s="6" t="s">
        <v>6112</v>
      </c>
      <c r="K2065" s="6" t="s">
        <v>21</v>
      </c>
      <c r="L2065" s="6" t="s">
        <v>6113</v>
      </c>
      <c r="M2065" s="15" t="s">
        <v>6114</v>
      </c>
      <c r="N2065" s="15" t="s">
        <v>6115</v>
      </c>
      <c r="O2065" s="15" t="s">
        <v>6116</v>
      </c>
    </row>
    <row r="2066" spans="1:15" s="1" customFormat="1" ht="14.25" customHeight="1">
      <c r="A2066" s="3" t="s">
        <v>5572</v>
      </c>
      <c r="B2066" s="3"/>
      <c r="C2066" s="3"/>
      <c r="D2066" s="5" t="s">
        <v>5573</v>
      </c>
      <c r="E2066" s="5" t="s">
        <v>124</v>
      </c>
      <c r="F2066" s="3" t="s">
        <v>6117</v>
      </c>
      <c r="G2066" s="6">
        <v>81.662000000000006</v>
      </c>
      <c r="H2066" s="7">
        <v>41856</v>
      </c>
      <c r="I2066" s="6" t="s">
        <v>5437</v>
      </c>
      <c r="J2066" s="6" t="s">
        <v>6118</v>
      </c>
      <c r="K2066" s="6" t="s">
        <v>21</v>
      </c>
      <c r="L2066" s="6" t="s">
        <v>2788</v>
      </c>
      <c r="M2066" s="15" t="s">
        <v>6119</v>
      </c>
      <c r="N2066" s="15" t="s">
        <v>6120</v>
      </c>
      <c r="O2066" s="15" t="s">
        <v>6121</v>
      </c>
    </row>
    <row r="2067" spans="1:15" ht="14.25" customHeight="1">
      <c r="A2067" s="3" t="s">
        <v>1082</v>
      </c>
      <c r="B2067" s="3" t="s">
        <v>4520</v>
      </c>
      <c r="C2067" s="3"/>
      <c r="D2067" s="5" t="s">
        <v>1083</v>
      </c>
      <c r="E2067" s="5" t="s">
        <v>124</v>
      </c>
      <c r="F2067" s="3" t="s">
        <v>6122</v>
      </c>
      <c r="G2067" s="6">
        <f t="shared" ref="G2067:G2074" si="82">9.871*L2067</f>
        <v>118.452</v>
      </c>
      <c r="H2067" s="7">
        <v>41856</v>
      </c>
      <c r="I2067" s="6" t="s">
        <v>161</v>
      </c>
      <c r="J2067" s="6" t="s">
        <v>6123</v>
      </c>
      <c r="K2067" s="6" t="s">
        <v>21</v>
      </c>
      <c r="L2067" s="6">
        <v>12</v>
      </c>
      <c r="M2067" s="15" t="s">
        <v>5623</v>
      </c>
      <c r="N2067" s="15" t="s">
        <v>164</v>
      </c>
      <c r="O2067" s="15" t="s">
        <v>6124</v>
      </c>
    </row>
    <row r="2068" spans="1:15" s="1" customFormat="1" ht="14.25" customHeight="1">
      <c r="A2068" s="3" t="s">
        <v>1082</v>
      </c>
      <c r="B2068" s="3" t="s">
        <v>4520</v>
      </c>
      <c r="C2068" s="3"/>
      <c r="D2068" s="5" t="s">
        <v>1083</v>
      </c>
      <c r="E2068" s="5" t="s">
        <v>124</v>
      </c>
      <c r="F2068" s="3" t="s">
        <v>6125</v>
      </c>
      <c r="G2068" s="6">
        <f t="shared" si="82"/>
        <v>88.838999999999999</v>
      </c>
      <c r="H2068" s="7">
        <v>41856</v>
      </c>
      <c r="I2068" s="6" t="s">
        <v>161</v>
      </c>
      <c r="J2068" s="6" t="s">
        <v>6126</v>
      </c>
      <c r="K2068" s="6" t="s">
        <v>21</v>
      </c>
      <c r="L2068" s="6">
        <v>9</v>
      </c>
      <c r="M2068" s="15" t="s">
        <v>6127</v>
      </c>
      <c r="N2068" s="15" t="s">
        <v>6128</v>
      </c>
      <c r="O2068" s="15" t="s">
        <v>6127</v>
      </c>
    </row>
    <row r="2069" spans="1:15" s="1" customFormat="1" ht="14.25" customHeight="1">
      <c r="A2069" s="3" t="s">
        <v>1082</v>
      </c>
      <c r="B2069" s="3" t="s">
        <v>4520</v>
      </c>
      <c r="C2069" s="3"/>
      <c r="D2069" s="5" t="s">
        <v>1083</v>
      </c>
      <c r="E2069" s="5" t="s">
        <v>124</v>
      </c>
      <c r="F2069" s="3" t="s">
        <v>6129</v>
      </c>
      <c r="G2069" s="6">
        <f t="shared" si="82"/>
        <v>88.838999999999999</v>
      </c>
      <c r="H2069" s="7">
        <v>41856</v>
      </c>
      <c r="I2069" s="6" t="s">
        <v>161</v>
      </c>
      <c r="J2069" s="6" t="s">
        <v>6130</v>
      </c>
      <c r="K2069" s="6" t="s">
        <v>21</v>
      </c>
      <c r="L2069" s="6">
        <v>9</v>
      </c>
      <c r="M2069" s="15" t="s">
        <v>6127</v>
      </c>
      <c r="N2069" s="15" t="s">
        <v>896</v>
      </c>
      <c r="O2069" s="15" t="s">
        <v>6131</v>
      </c>
    </row>
    <row r="2070" spans="1:15" s="1" customFormat="1" ht="14.25" customHeight="1">
      <c r="A2070" s="3" t="s">
        <v>1082</v>
      </c>
      <c r="B2070" s="3" t="s">
        <v>4520</v>
      </c>
      <c r="C2070" s="3"/>
      <c r="D2070" s="5" t="s">
        <v>1083</v>
      </c>
      <c r="E2070" s="5" t="s">
        <v>124</v>
      </c>
      <c r="F2070" s="3" t="s">
        <v>9376</v>
      </c>
      <c r="G2070" s="6">
        <f t="shared" si="82"/>
        <v>118.452</v>
      </c>
      <c r="H2070" s="7">
        <v>41856</v>
      </c>
      <c r="I2070" s="6" t="s">
        <v>161</v>
      </c>
      <c r="J2070" s="6" t="s">
        <v>9377</v>
      </c>
      <c r="K2070" s="6" t="s">
        <v>21</v>
      </c>
      <c r="L2070" s="6">
        <v>12</v>
      </c>
      <c r="M2070" s="15" t="s">
        <v>6134</v>
      </c>
      <c r="N2070" s="15" t="s">
        <v>164</v>
      </c>
      <c r="O2070" s="15" t="s">
        <v>6134</v>
      </c>
    </row>
    <row r="2071" spans="1:15" s="1" customFormat="1" ht="14.25" customHeight="1">
      <c r="A2071" s="3" t="s">
        <v>1082</v>
      </c>
      <c r="B2071" s="3" t="s">
        <v>4520</v>
      </c>
      <c r="C2071" s="3"/>
      <c r="D2071" s="5" t="s">
        <v>1083</v>
      </c>
      <c r="E2071" s="5" t="s">
        <v>124</v>
      </c>
      <c r="F2071" s="3" t="s">
        <v>6132</v>
      </c>
      <c r="G2071" s="6">
        <f t="shared" si="82"/>
        <v>128.32300000000001</v>
      </c>
      <c r="H2071" s="7">
        <v>41856</v>
      </c>
      <c r="I2071" s="6" t="s">
        <v>161</v>
      </c>
      <c r="J2071" s="6" t="s">
        <v>6133</v>
      </c>
      <c r="K2071" s="6" t="s">
        <v>21</v>
      </c>
      <c r="L2071" s="6">
        <v>13</v>
      </c>
      <c r="M2071" s="15" t="s">
        <v>6134</v>
      </c>
      <c r="N2071" s="15" t="s">
        <v>167</v>
      </c>
      <c r="O2071" s="15" t="s">
        <v>6135</v>
      </c>
    </row>
    <row r="2072" spans="1:15" ht="14.25" customHeight="1">
      <c r="A2072" s="3" t="s">
        <v>1082</v>
      </c>
      <c r="B2072" s="3" t="s">
        <v>4520</v>
      </c>
      <c r="C2072" s="3"/>
      <c r="D2072" s="5" t="s">
        <v>1083</v>
      </c>
      <c r="E2072" s="5" t="s">
        <v>124</v>
      </c>
      <c r="F2072" s="3" t="s">
        <v>6136</v>
      </c>
      <c r="G2072" s="6">
        <f t="shared" si="82"/>
        <v>118.452</v>
      </c>
      <c r="H2072" s="7">
        <v>41856</v>
      </c>
      <c r="I2072" s="6" t="s">
        <v>161</v>
      </c>
      <c r="J2072" s="6" t="s">
        <v>6137</v>
      </c>
      <c r="K2072" s="6" t="s">
        <v>21</v>
      </c>
      <c r="L2072" s="6">
        <v>12</v>
      </c>
      <c r="M2072" s="15" t="s">
        <v>6138</v>
      </c>
      <c r="N2072" s="15" t="s">
        <v>164</v>
      </c>
      <c r="O2072" s="15" t="s">
        <v>6138</v>
      </c>
    </row>
    <row r="2073" spans="1:15" s="1" customFormat="1" ht="14.25" customHeight="1">
      <c r="A2073" s="3" t="s">
        <v>1082</v>
      </c>
      <c r="B2073" s="3" t="s">
        <v>4520</v>
      </c>
      <c r="C2073" s="3"/>
      <c r="D2073" s="5" t="s">
        <v>1083</v>
      </c>
      <c r="E2073" s="5" t="s">
        <v>124</v>
      </c>
      <c r="F2073" s="3" t="s">
        <v>9378</v>
      </c>
      <c r="G2073" s="6">
        <f t="shared" si="82"/>
        <v>128.32300000000001</v>
      </c>
      <c r="H2073" s="7">
        <v>41856</v>
      </c>
      <c r="I2073" s="6" t="s">
        <v>161</v>
      </c>
      <c r="J2073" s="6" t="s">
        <v>9379</v>
      </c>
      <c r="K2073" s="6" t="s">
        <v>21</v>
      </c>
      <c r="L2073" s="6">
        <v>13</v>
      </c>
      <c r="M2073" s="15" t="s">
        <v>6138</v>
      </c>
      <c r="N2073" s="15" t="s">
        <v>167</v>
      </c>
      <c r="O2073" s="15" t="s">
        <v>9380</v>
      </c>
    </row>
    <row r="2074" spans="1:15" s="1" customFormat="1" ht="14.25" customHeight="1">
      <c r="A2074" s="3" t="s">
        <v>1082</v>
      </c>
      <c r="B2074" s="3" t="s">
        <v>4520</v>
      </c>
      <c r="C2074" s="3"/>
      <c r="D2074" s="5" t="s">
        <v>1083</v>
      </c>
      <c r="E2074" s="5" t="s">
        <v>124</v>
      </c>
      <c r="F2074" s="3" t="s">
        <v>6139</v>
      </c>
      <c r="G2074" s="6">
        <f t="shared" si="82"/>
        <v>98.710000000000008</v>
      </c>
      <c r="H2074" s="7">
        <v>41856</v>
      </c>
      <c r="I2074" s="6" t="s">
        <v>161</v>
      </c>
      <c r="J2074" s="6" t="s">
        <v>6140</v>
      </c>
      <c r="K2074" s="6" t="s">
        <v>21</v>
      </c>
      <c r="L2074" s="6">
        <v>10</v>
      </c>
      <c r="M2074" s="15" t="s">
        <v>6141</v>
      </c>
      <c r="N2074" s="15" t="s">
        <v>4953</v>
      </c>
      <c r="O2074" s="15" t="s">
        <v>6141</v>
      </c>
    </row>
    <row r="2075" spans="1:15" s="1" customFormat="1" ht="14.25" customHeight="1">
      <c r="A2075" s="3" t="s">
        <v>918</v>
      </c>
      <c r="B2075" s="4"/>
      <c r="C2075" s="3"/>
      <c r="D2075" s="5" t="s">
        <v>919</v>
      </c>
      <c r="E2075" s="5" t="s">
        <v>124</v>
      </c>
      <c r="F2075" s="3" t="s">
        <v>6142</v>
      </c>
      <c r="G2075" s="6">
        <f>17.712*L2075</f>
        <v>265.68</v>
      </c>
      <c r="H2075" s="7">
        <v>41856</v>
      </c>
      <c r="I2075" s="6" t="s">
        <v>265</v>
      </c>
      <c r="J2075" s="6" t="s">
        <v>6143</v>
      </c>
      <c r="K2075" s="6" t="s">
        <v>21</v>
      </c>
      <c r="L2075" s="6">
        <v>15</v>
      </c>
      <c r="M2075" s="15" t="s">
        <v>5822</v>
      </c>
      <c r="N2075" s="15" t="s">
        <v>2771</v>
      </c>
      <c r="O2075" s="15" t="s">
        <v>6144</v>
      </c>
    </row>
    <row r="2076" spans="1:15" ht="14.25" customHeight="1">
      <c r="A2076" s="3" t="s">
        <v>918</v>
      </c>
      <c r="B2076" s="3"/>
      <c r="C2076" s="3"/>
      <c r="D2076" s="5" t="s">
        <v>919</v>
      </c>
      <c r="E2076" s="5" t="s">
        <v>124</v>
      </c>
      <c r="F2076" s="3" t="s">
        <v>6145</v>
      </c>
      <c r="G2076" s="6">
        <f>17.712*L2076</f>
        <v>212.54399999999998</v>
      </c>
      <c r="H2076" s="7">
        <v>41856</v>
      </c>
      <c r="I2076" s="6" t="s">
        <v>265</v>
      </c>
      <c r="J2076" s="6" t="s">
        <v>6146</v>
      </c>
      <c r="K2076" s="6" t="s">
        <v>21</v>
      </c>
      <c r="L2076" s="6">
        <v>12</v>
      </c>
      <c r="M2076" s="15" t="s">
        <v>6147</v>
      </c>
      <c r="N2076" s="15" t="s">
        <v>164</v>
      </c>
      <c r="O2076" s="15" t="s">
        <v>6147</v>
      </c>
    </row>
    <row r="2077" spans="1:15" s="1" customFormat="1" ht="14.25" customHeight="1">
      <c r="A2077" s="3" t="s">
        <v>918</v>
      </c>
      <c r="B2077" s="4"/>
      <c r="C2077" s="3"/>
      <c r="D2077" s="5" t="s">
        <v>919</v>
      </c>
      <c r="E2077" s="5" t="s">
        <v>124</v>
      </c>
      <c r="F2077" s="3" t="s">
        <v>6148</v>
      </c>
      <c r="G2077" s="6">
        <f>17.712*L2077</f>
        <v>230.256</v>
      </c>
      <c r="H2077" s="7">
        <v>41856</v>
      </c>
      <c r="I2077" s="6" t="s">
        <v>265</v>
      </c>
      <c r="J2077" s="6" t="s">
        <v>6149</v>
      </c>
      <c r="K2077" s="6" t="s">
        <v>21</v>
      </c>
      <c r="L2077" s="6">
        <v>13</v>
      </c>
      <c r="M2077" s="15" t="s">
        <v>6147</v>
      </c>
      <c r="N2077" s="15" t="s">
        <v>167</v>
      </c>
      <c r="O2077" s="15" t="s">
        <v>6150</v>
      </c>
    </row>
    <row r="2078" spans="1:15" ht="14.25" customHeight="1">
      <c r="A2078" s="3" t="s">
        <v>1285</v>
      </c>
      <c r="B2078" s="3" t="s">
        <v>283</v>
      </c>
      <c r="C2078" s="3"/>
      <c r="D2078" s="5" t="s">
        <v>1287</v>
      </c>
      <c r="E2078" s="5" t="s">
        <v>124</v>
      </c>
      <c r="F2078" s="3" t="s">
        <v>6151</v>
      </c>
      <c r="G2078" s="6">
        <f>8.606*L2078</f>
        <v>103.27199999999999</v>
      </c>
      <c r="H2078" s="7">
        <v>41856</v>
      </c>
      <c r="I2078" s="6" t="s">
        <v>272</v>
      </c>
      <c r="J2078" s="6" t="s">
        <v>6152</v>
      </c>
      <c r="K2078" s="6" t="s">
        <v>21</v>
      </c>
      <c r="L2078" s="6">
        <v>12</v>
      </c>
      <c r="M2078" s="15" t="s">
        <v>6153</v>
      </c>
      <c r="N2078" s="15" t="s">
        <v>164</v>
      </c>
      <c r="O2078" s="15" t="s">
        <v>6153</v>
      </c>
    </row>
    <row r="2079" spans="1:15" ht="14.25" customHeight="1">
      <c r="A2079" s="3" t="s">
        <v>1285</v>
      </c>
      <c r="B2079" s="3" t="s">
        <v>283</v>
      </c>
      <c r="C2079" s="3"/>
      <c r="D2079" s="5" t="s">
        <v>1287</v>
      </c>
      <c r="E2079" s="5" t="s">
        <v>124</v>
      </c>
      <c r="F2079" s="3" t="s">
        <v>6154</v>
      </c>
      <c r="G2079" s="6">
        <f>8.606*L2079</f>
        <v>111.878</v>
      </c>
      <c r="H2079" s="7">
        <v>41856</v>
      </c>
      <c r="I2079" s="6" t="s">
        <v>272</v>
      </c>
      <c r="J2079" s="6" t="s">
        <v>6155</v>
      </c>
      <c r="K2079" s="6" t="s">
        <v>21</v>
      </c>
      <c r="L2079" s="6">
        <v>13</v>
      </c>
      <c r="M2079" s="15" t="s">
        <v>6153</v>
      </c>
      <c r="N2079" s="15" t="s">
        <v>167</v>
      </c>
      <c r="O2079" s="15" t="s">
        <v>6156</v>
      </c>
    </row>
    <row r="2080" spans="1:15" ht="14.25" customHeight="1">
      <c r="A2080" s="22" t="s">
        <v>9381</v>
      </c>
      <c r="B2080" s="3"/>
      <c r="C2080" s="3"/>
      <c r="D2080" s="5" t="s">
        <v>9382</v>
      </c>
      <c r="E2080" s="5" t="s">
        <v>124</v>
      </c>
      <c r="F2080" s="3" t="s">
        <v>9383</v>
      </c>
      <c r="G2080" s="6">
        <f>14.405*L2080</f>
        <v>86.429999999999993</v>
      </c>
      <c r="H2080" s="7">
        <v>41856</v>
      </c>
      <c r="I2080" s="6" t="s">
        <v>193</v>
      </c>
      <c r="J2080" s="6" t="s">
        <v>9384</v>
      </c>
      <c r="K2080" s="6" t="s">
        <v>5478</v>
      </c>
      <c r="L2080" s="6">
        <v>6</v>
      </c>
      <c r="M2080" s="15" t="s">
        <v>9385</v>
      </c>
      <c r="N2080" s="15" t="s">
        <v>706</v>
      </c>
      <c r="O2080" s="15" t="s">
        <v>9386</v>
      </c>
    </row>
    <row r="2081" spans="1:15" s="1" customFormat="1" ht="14.25" customHeight="1">
      <c r="A2081" s="3" t="s">
        <v>627</v>
      </c>
      <c r="B2081" s="3"/>
      <c r="C2081" s="3"/>
      <c r="D2081" s="5" t="s">
        <v>443</v>
      </c>
      <c r="E2081" s="5" t="s">
        <v>7026</v>
      </c>
      <c r="F2081" s="3" t="s">
        <v>8745</v>
      </c>
      <c r="G2081" s="6">
        <f>18.708*L2081</f>
        <v>224.49599999999998</v>
      </c>
      <c r="H2081" s="7">
        <v>41856</v>
      </c>
      <c r="I2081" s="6" t="s">
        <v>265</v>
      </c>
      <c r="J2081" s="6" t="s">
        <v>8746</v>
      </c>
      <c r="K2081" s="6" t="s">
        <v>21</v>
      </c>
      <c r="L2081" s="6">
        <v>12</v>
      </c>
      <c r="M2081" s="15" t="s">
        <v>8747</v>
      </c>
      <c r="N2081" s="15" t="s">
        <v>164</v>
      </c>
      <c r="O2081" s="15" t="s">
        <v>6087</v>
      </c>
    </row>
    <row r="2082" spans="1:15" s="1" customFormat="1" ht="14.25" customHeight="1">
      <c r="A2082" s="3" t="s">
        <v>7024</v>
      </c>
      <c r="B2082" s="4"/>
      <c r="C2082" s="3"/>
      <c r="D2082" s="5" t="s">
        <v>7025</v>
      </c>
      <c r="E2082" s="5" t="s">
        <v>7026</v>
      </c>
      <c r="F2082" s="3" t="s">
        <v>8748</v>
      </c>
      <c r="G2082" s="6">
        <f>17.498*L2082</f>
        <v>209.976</v>
      </c>
      <c r="H2082" s="7">
        <v>41856</v>
      </c>
      <c r="I2082" s="6" t="s">
        <v>265</v>
      </c>
      <c r="J2082" s="6" t="s">
        <v>8749</v>
      </c>
      <c r="K2082" s="6" t="s">
        <v>21</v>
      </c>
      <c r="L2082" s="6">
        <v>12</v>
      </c>
      <c r="M2082" s="15" t="s">
        <v>8750</v>
      </c>
      <c r="N2082" s="15" t="s">
        <v>164</v>
      </c>
      <c r="O2082" s="15" t="s">
        <v>6090</v>
      </c>
    </row>
    <row r="2083" spans="1:15" ht="14.25" customHeight="1">
      <c r="A2083" s="3" t="s">
        <v>7024</v>
      </c>
      <c r="B2083" s="4"/>
      <c r="C2083" s="3"/>
      <c r="D2083" s="5" t="s">
        <v>7025</v>
      </c>
      <c r="E2083" s="5" t="s">
        <v>7026</v>
      </c>
      <c r="F2083" s="3" t="s">
        <v>8751</v>
      </c>
      <c r="G2083" s="6">
        <f>17.498*L2083</f>
        <v>227.47400000000002</v>
      </c>
      <c r="H2083" s="7">
        <v>41856</v>
      </c>
      <c r="I2083" s="6" t="s">
        <v>265</v>
      </c>
      <c r="J2083" s="6" t="s">
        <v>8752</v>
      </c>
      <c r="K2083" s="6" t="s">
        <v>21</v>
      </c>
      <c r="L2083" s="6">
        <v>13</v>
      </c>
      <c r="M2083" s="15" t="s">
        <v>8750</v>
      </c>
      <c r="N2083" s="15" t="s">
        <v>167</v>
      </c>
      <c r="O2083" s="15" t="s">
        <v>6094</v>
      </c>
    </row>
    <row r="2084" spans="1:15" s="1" customFormat="1" ht="14.25" customHeight="1">
      <c r="A2084" s="3" t="s">
        <v>7024</v>
      </c>
      <c r="B2084" s="4"/>
      <c r="C2084" s="3"/>
      <c r="D2084" s="5" t="s">
        <v>7025</v>
      </c>
      <c r="E2084" s="5" t="s">
        <v>7026</v>
      </c>
      <c r="F2084" s="3" t="s">
        <v>8753</v>
      </c>
      <c r="G2084" s="6">
        <f>17.498*L2084</f>
        <v>209.976</v>
      </c>
      <c r="H2084" s="7">
        <v>41856</v>
      </c>
      <c r="I2084" s="6" t="s">
        <v>265</v>
      </c>
      <c r="J2084" s="6" t="s">
        <v>8754</v>
      </c>
      <c r="K2084" s="6" t="s">
        <v>21</v>
      </c>
      <c r="L2084" s="6">
        <v>12</v>
      </c>
      <c r="M2084" s="15" t="s">
        <v>8755</v>
      </c>
      <c r="N2084" s="15" t="s">
        <v>164</v>
      </c>
      <c r="O2084" s="15" t="s">
        <v>6098</v>
      </c>
    </row>
    <row r="2085" spans="1:15" ht="14.25" customHeight="1">
      <c r="A2085" s="3" t="s">
        <v>7024</v>
      </c>
      <c r="B2085" s="4"/>
      <c r="C2085" s="3"/>
      <c r="D2085" s="5" t="s">
        <v>7025</v>
      </c>
      <c r="E2085" s="5" t="s">
        <v>7026</v>
      </c>
      <c r="F2085" s="3" t="s">
        <v>8756</v>
      </c>
      <c r="G2085" s="6">
        <f>17.498*L2085</f>
        <v>227.47400000000002</v>
      </c>
      <c r="H2085" s="7">
        <v>41856</v>
      </c>
      <c r="I2085" s="6" t="s">
        <v>265</v>
      </c>
      <c r="J2085" s="6" t="s">
        <v>8757</v>
      </c>
      <c r="K2085" s="6" t="s">
        <v>21</v>
      </c>
      <c r="L2085" s="6">
        <v>13</v>
      </c>
      <c r="M2085" s="15" t="s">
        <v>8755</v>
      </c>
      <c r="N2085" s="15" t="s">
        <v>167</v>
      </c>
      <c r="O2085" s="15" t="s">
        <v>6101</v>
      </c>
    </row>
    <row r="2086" spans="1:15" ht="14.25" customHeight="1">
      <c r="A2086" s="22" t="s">
        <v>6157</v>
      </c>
      <c r="B2086" s="3" t="s">
        <v>82</v>
      </c>
      <c r="C2086" s="3"/>
      <c r="D2086" s="5" t="s">
        <v>6158</v>
      </c>
      <c r="E2086" s="5" t="s">
        <v>124</v>
      </c>
      <c r="F2086" s="3" t="s">
        <v>6159</v>
      </c>
      <c r="G2086" s="6">
        <v>15.518000000000001</v>
      </c>
      <c r="H2086" s="7">
        <v>41857</v>
      </c>
      <c r="I2086" s="6" t="s">
        <v>209</v>
      </c>
      <c r="J2086" s="6" t="s">
        <v>6160</v>
      </c>
      <c r="K2086" s="6" t="s">
        <v>5478</v>
      </c>
      <c r="L2086" s="6" t="s">
        <v>690</v>
      </c>
      <c r="M2086" s="15" t="s">
        <v>6161</v>
      </c>
      <c r="N2086" s="15" t="s">
        <v>6162</v>
      </c>
      <c r="O2086" s="15" t="s">
        <v>6104</v>
      </c>
    </row>
    <row r="2087" spans="1:15" ht="14.25" customHeight="1">
      <c r="A2087" s="22" t="s">
        <v>6163</v>
      </c>
      <c r="B2087" s="4" t="s">
        <v>82</v>
      </c>
      <c r="C2087" s="3"/>
      <c r="D2087" s="5" t="s">
        <v>6164</v>
      </c>
      <c r="E2087" s="5" t="s">
        <v>124</v>
      </c>
      <c r="F2087" s="3" t="s">
        <v>6165</v>
      </c>
      <c r="G2087" s="6">
        <v>30.818000000000001</v>
      </c>
      <c r="H2087" s="7">
        <v>41857</v>
      </c>
      <c r="I2087" s="6" t="s">
        <v>209</v>
      </c>
      <c r="J2087" s="6" t="s">
        <v>6166</v>
      </c>
      <c r="K2087" s="6" t="s">
        <v>5478</v>
      </c>
      <c r="L2087" s="6" t="s">
        <v>129</v>
      </c>
      <c r="M2087" s="15" t="s">
        <v>6167</v>
      </c>
      <c r="N2087" s="15" t="s">
        <v>6168</v>
      </c>
      <c r="O2087" s="15" t="s">
        <v>6169</v>
      </c>
    </row>
    <row r="2088" spans="1:15" ht="14.25" customHeight="1">
      <c r="A2088" s="22" t="s">
        <v>6170</v>
      </c>
      <c r="B2088" s="4"/>
      <c r="C2088" s="3"/>
      <c r="D2088" s="5" t="s">
        <v>1128</v>
      </c>
      <c r="E2088" s="5" t="s">
        <v>124</v>
      </c>
      <c r="F2088" s="3" t="s">
        <v>6171</v>
      </c>
      <c r="G2088" s="6">
        <f>29.101*L2088</f>
        <v>145.505</v>
      </c>
      <c r="H2088" s="7">
        <v>41857</v>
      </c>
      <c r="I2088" s="6" t="s">
        <v>6172</v>
      </c>
      <c r="J2088" s="6" t="s">
        <v>6173</v>
      </c>
      <c r="K2088" s="6" t="s">
        <v>5478</v>
      </c>
      <c r="L2088" s="6">
        <v>5</v>
      </c>
      <c r="M2088" s="15" t="s">
        <v>6174</v>
      </c>
      <c r="N2088" s="15" t="s">
        <v>6175</v>
      </c>
      <c r="O2088" s="15" t="s">
        <v>6176</v>
      </c>
    </row>
    <row r="2089" spans="1:15" s="1" customFormat="1" ht="14.25" customHeight="1">
      <c r="A2089" s="3" t="s">
        <v>3870</v>
      </c>
      <c r="B2089" s="4"/>
      <c r="C2089" s="3"/>
      <c r="D2089" s="5" t="s">
        <v>3871</v>
      </c>
      <c r="E2089" s="5" t="s">
        <v>124</v>
      </c>
      <c r="F2089" s="3" t="s">
        <v>6177</v>
      </c>
      <c r="G2089" s="6">
        <f>13.006*L2089</f>
        <v>156.072</v>
      </c>
      <c r="H2089" s="7">
        <v>41857</v>
      </c>
      <c r="I2089" s="6" t="s">
        <v>3873</v>
      </c>
      <c r="J2089" s="6" t="s">
        <v>6178</v>
      </c>
      <c r="K2089" s="6" t="s">
        <v>21</v>
      </c>
      <c r="L2089" s="6">
        <v>12</v>
      </c>
      <c r="M2089" s="15" t="s">
        <v>6179</v>
      </c>
      <c r="N2089" s="15" t="s">
        <v>78</v>
      </c>
      <c r="O2089" s="15" t="s">
        <v>6179</v>
      </c>
    </row>
    <row r="2090" spans="1:15" s="1" customFormat="1" ht="14.25" customHeight="1">
      <c r="A2090" s="3" t="s">
        <v>3870</v>
      </c>
      <c r="B2090" s="4"/>
      <c r="C2090" s="3"/>
      <c r="D2090" s="5" t="s">
        <v>3871</v>
      </c>
      <c r="E2090" s="5" t="s">
        <v>124</v>
      </c>
      <c r="F2090" s="3" t="s">
        <v>6180</v>
      </c>
      <c r="G2090" s="6">
        <f>13.006*L2090</f>
        <v>169.078</v>
      </c>
      <c r="H2090" s="7">
        <v>41857</v>
      </c>
      <c r="I2090" s="6" t="s">
        <v>3873</v>
      </c>
      <c r="J2090" s="6" t="s">
        <v>6181</v>
      </c>
      <c r="K2090" s="6" t="s">
        <v>21</v>
      </c>
      <c r="L2090" s="6">
        <v>13</v>
      </c>
      <c r="M2090" s="15" t="s">
        <v>6179</v>
      </c>
      <c r="N2090" s="15" t="s">
        <v>81</v>
      </c>
      <c r="O2090" s="15" t="s">
        <v>6182</v>
      </c>
    </row>
    <row r="2091" spans="1:15" ht="14.25" customHeight="1">
      <c r="A2091" s="3" t="s">
        <v>3870</v>
      </c>
      <c r="B2091" s="3"/>
      <c r="C2091" s="3"/>
      <c r="D2091" s="5" t="s">
        <v>3871</v>
      </c>
      <c r="E2091" s="5" t="s">
        <v>124</v>
      </c>
      <c r="F2091" s="3" t="s">
        <v>6183</v>
      </c>
      <c r="G2091" s="6">
        <f>13.006*L2091</f>
        <v>195.09</v>
      </c>
      <c r="H2091" s="7">
        <v>41857</v>
      </c>
      <c r="I2091" s="6" t="s">
        <v>3873</v>
      </c>
      <c r="J2091" s="6" t="s">
        <v>6184</v>
      </c>
      <c r="K2091" s="6" t="s">
        <v>21</v>
      </c>
      <c r="L2091" s="6">
        <v>15</v>
      </c>
      <c r="M2091" s="15" t="s">
        <v>6185</v>
      </c>
      <c r="N2091" s="15" t="s">
        <v>6186</v>
      </c>
      <c r="O2091" s="15" t="s">
        <v>6185</v>
      </c>
    </row>
    <row r="2092" spans="1:15" s="1" customFormat="1" ht="14.25" customHeight="1">
      <c r="A2092" s="3" t="s">
        <v>5287</v>
      </c>
      <c r="B2092" s="4"/>
      <c r="C2092" s="3"/>
      <c r="D2092" s="5" t="s">
        <v>5288</v>
      </c>
      <c r="E2092" s="5" t="s">
        <v>124</v>
      </c>
      <c r="F2092" s="3" t="s">
        <v>6187</v>
      </c>
      <c r="G2092" s="6">
        <v>139.61600000000001</v>
      </c>
      <c r="H2092" s="7">
        <v>41857</v>
      </c>
      <c r="I2092" s="6" t="s">
        <v>209</v>
      </c>
      <c r="J2092" s="6" t="s">
        <v>6188</v>
      </c>
      <c r="K2092" s="6" t="s">
        <v>128</v>
      </c>
      <c r="L2092" s="6" t="s">
        <v>6189</v>
      </c>
      <c r="M2092" s="15" t="s">
        <v>6190</v>
      </c>
      <c r="N2092" s="15" t="s">
        <v>6191</v>
      </c>
      <c r="O2092" s="15" t="s">
        <v>6192</v>
      </c>
    </row>
    <row r="2093" spans="1:15" s="1" customFormat="1" ht="14.25" customHeight="1">
      <c r="A2093" s="3" t="s">
        <v>5287</v>
      </c>
      <c r="B2093" s="4"/>
      <c r="C2093" s="3"/>
      <c r="D2093" s="5" t="s">
        <v>5288</v>
      </c>
      <c r="E2093" s="5" t="s">
        <v>124</v>
      </c>
      <c r="F2093" s="3" t="s">
        <v>6193</v>
      </c>
      <c r="G2093" s="6">
        <v>80.021000000000001</v>
      </c>
      <c r="H2093" s="7">
        <v>41857</v>
      </c>
      <c r="I2093" s="6" t="s">
        <v>209</v>
      </c>
      <c r="J2093" s="6" t="s">
        <v>6194</v>
      </c>
      <c r="K2093" s="6" t="s">
        <v>128</v>
      </c>
      <c r="L2093" s="6" t="s">
        <v>6195</v>
      </c>
      <c r="M2093" s="15" t="s">
        <v>6196</v>
      </c>
      <c r="N2093" s="15" t="s">
        <v>6197</v>
      </c>
      <c r="O2093" s="15" t="s">
        <v>6198</v>
      </c>
    </row>
    <row r="2094" spans="1:15" ht="14.25" customHeight="1">
      <c r="A2094" s="3" t="s">
        <v>654</v>
      </c>
      <c r="B2094" s="3"/>
      <c r="C2094" s="3"/>
      <c r="D2094" s="5" t="s">
        <v>5294</v>
      </c>
      <c r="E2094" s="5" t="s">
        <v>124</v>
      </c>
      <c r="F2094" s="3" t="s">
        <v>6199</v>
      </c>
      <c r="G2094" s="6">
        <f>17.52*L2094</f>
        <v>87.6</v>
      </c>
      <c r="H2094" s="7">
        <v>41857</v>
      </c>
      <c r="I2094" s="6" t="s">
        <v>209</v>
      </c>
      <c r="J2094" s="6" t="s">
        <v>6200</v>
      </c>
      <c r="K2094" s="6" t="s">
        <v>21</v>
      </c>
      <c r="L2094" s="6">
        <v>5</v>
      </c>
      <c r="M2094" s="15" t="s">
        <v>6201</v>
      </c>
      <c r="N2094" s="15" t="s">
        <v>6000</v>
      </c>
      <c r="O2094" s="15" t="s">
        <v>6201</v>
      </c>
    </row>
    <row r="2095" spans="1:15" ht="14.25" customHeight="1">
      <c r="A2095" s="3" t="s">
        <v>1498</v>
      </c>
      <c r="B2095" s="4"/>
      <c r="C2095" s="3"/>
      <c r="D2095" s="5" t="s">
        <v>1499</v>
      </c>
      <c r="E2095" s="5" t="s">
        <v>124</v>
      </c>
      <c r="F2095" s="3" t="s">
        <v>6202</v>
      </c>
      <c r="G2095" s="6">
        <f>17.52*L2095</f>
        <v>87.6</v>
      </c>
      <c r="H2095" s="7">
        <v>41857</v>
      </c>
      <c r="I2095" s="6" t="s">
        <v>265</v>
      </c>
      <c r="J2095" s="6" t="s">
        <v>6203</v>
      </c>
      <c r="K2095" s="6" t="s">
        <v>21</v>
      </c>
      <c r="L2095" s="6">
        <v>5</v>
      </c>
      <c r="M2095" s="15" t="s">
        <v>6204</v>
      </c>
      <c r="N2095" s="15" t="s">
        <v>4602</v>
      </c>
      <c r="O2095" s="15" t="s">
        <v>6204</v>
      </c>
    </row>
    <row r="2096" spans="1:15" ht="14.25" customHeight="1">
      <c r="A2096" s="3" t="s">
        <v>609</v>
      </c>
      <c r="B2096" s="3"/>
      <c r="C2096" s="3"/>
      <c r="D2096" s="5" t="s">
        <v>610</v>
      </c>
      <c r="E2096" s="5" t="s">
        <v>124</v>
      </c>
      <c r="F2096" s="3" t="s">
        <v>9387</v>
      </c>
      <c r="G2096" s="6">
        <f>17.52*L2096</f>
        <v>87.6</v>
      </c>
      <c r="H2096" s="7">
        <v>41857</v>
      </c>
      <c r="I2096" s="6" t="s">
        <v>761</v>
      </c>
      <c r="J2096" s="6" t="s">
        <v>9388</v>
      </c>
      <c r="K2096" s="6" t="s">
        <v>21</v>
      </c>
      <c r="L2096" s="6">
        <v>5</v>
      </c>
      <c r="M2096" s="15" t="s">
        <v>9389</v>
      </c>
      <c r="N2096" s="15" t="s">
        <v>1194</v>
      </c>
      <c r="O2096" s="15" t="s">
        <v>9390</v>
      </c>
    </row>
    <row r="2097" spans="1:15" ht="14.25" customHeight="1">
      <c r="A2097" s="3" t="s">
        <v>5768</v>
      </c>
      <c r="B2097" s="3"/>
      <c r="C2097" s="3"/>
      <c r="D2097" s="5" t="s">
        <v>552</v>
      </c>
      <c r="E2097" s="5" t="s">
        <v>124</v>
      </c>
      <c r="F2097" s="3" t="s">
        <v>6205</v>
      </c>
      <c r="G2097" s="6">
        <f>17.52*L2097</f>
        <v>175.2</v>
      </c>
      <c r="H2097" s="7">
        <v>41857</v>
      </c>
      <c r="I2097" s="6" t="s">
        <v>265</v>
      </c>
      <c r="J2097" s="6" t="s">
        <v>6206</v>
      </c>
      <c r="K2097" s="6" t="s">
        <v>5478</v>
      </c>
      <c r="L2097" s="6">
        <v>10</v>
      </c>
      <c r="M2097" s="15" t="s">
        <v>6207</v>
      </c>
      <c r="N2097" s="15" t="s">
        <v>4953</v>
      </c>
      <c r="O2097" s="15" t="s">
        <v>6207</v>
      </c>
    </row>
    <row r="2098" spans="1:15" ht="14.25" customHeight="1">
      <c r="A2098" s="3" t="s">
        <v>3816</v>
      </c>
      <c r="B2098" s="3"/>
      <c r="C2098" s="3"/>
      <c r="D2098" s="5" t="s">
        <v>377</v>
      </c>
      <c r="E2098" s="5" t="s">
        <v>124</v>
      </c>
      <c r="F2098" s="3" t="s">
        <v>6208</v>
      </c>
      <c r="G2098" s="6">
        <f>18.708*L2098</f>
        <v>112.24799999999999</v>
      </c>
      <c r="H2098" s="7">
        <v>41857</v>
      </c>
      <c r="I2098" s="6" t="s">
        <v>265</v>
      </c>
      <c r="J2098" s="6" t="s">
        <v>6209</v>
      </c>
      <c r="K2098" s="6" t="s">
        <v>21</v>
      </c>
      <c r="L2098" s="6">
        <v>6</v>
      </c>
      <c r="M2098" s="15" t="s">
        <v>4278</v>
      </c>
      <c r="N2098" s="15" t="s">
        <v>1070</v>
      </c>
      <c r="O2098" s="15" t="s">
        <v>6210</v>
      </c>
    </row>
    <row r="2099" spans="1:15" ht="14.25" customHeight="1">
      <c r="A2099" s="3" t="s">
        <v>898</v>
      </c>
      <c r="B2099" s="3"/>
      <c r="C2099" s="3"/>
      <c r="D2099" s="5" t="s">
        <v>899</v>
      </c>
      <c r="E2099" s="5" t="s">
        <v>124</v>
      </c>
      <c r="F2099" s="3" t="s">
        <v>6211</v>
      </c>
      <c r="G2099" s="6">
        <f>18.708*L2099</f>
        <v>56.123999999999995</v>
      </c>
      <c r="H2099" s="7">
        <v>41857</v>
      </c>
      <c r="I2099" s="6" t="s">
        <v>209</v>
      </c>
      <c r="J2099" s="6" t="s">
        <v>6212</v>
      </c>
      <c r="K2099" s="6" t="s">
        <v>21</v>
      </c>
      <c r="L2099" s="6">
        <v>3</v>
      </c>
      <c r="M2099" s="15" t="s">
        <v>6213</v>
      </c>
      <c r="N2099" s="15" t="s">
        <v>6214</v>
      </c>
      <c r="O2099" s="15" t="s">
        <v>6213</v>
      </c>
    </row>
    <row r="2100" spans="1:15" s="1" customFormat="1" ht="14.25" customHeight="1">
      <c r="A2100" s="3" t="s">
        <v>205</v>
      </c>
      <c r="B2100" s="4"/>
      <c r="C2100" s="3"/>
      <c r="D2100" s="5" t="s">
        <v>207</v>
      </c>
      <c r="E2100" s="5" t="s">
        <v>124</v>
      </c>
      <c r="F2100" s="3" t="s">
        <v>6215</v>
      </c>
      <c r="G2100" s="6">
        <v>51.831000000000003</v>
      </c>
      <c r="H2100" s="7">
        <v>41857</v>
      </c>
      <c r="I2100" s="6" t="s">
        <v>209</v>
      </c>
      <c r="J2100" s="6" t="s">
        <v>6216</v>
      </c>
      <c r="K2100" s="6" t="s">
        <v>128</v>
      </c>
      <c r="L2100" s="6" t="s">
        <v>2068</v>
      </c>
      <c r="M2100" s="15" t="s">
        <v>6217</v>
      </c>
      <c r="N2100" s="15" t="s">
        <v>6218</v>
      </c>
      <c r="O2100" s="15" t="s">
        <v>6219</v>
      </c>
    </row>
    <row r="2101" spans="1:15" s="1" customFormat="1" ht="14.25" customHeight="1">
      <c r="A2101" s="3" t="s">
        <v>205</v>
      </c>
      <c r="B2101" s="3"/>
      <c r="C2101" s="3"/>
      <c r="D2101" s="5" t="s">
        <v>207</v>
      </c>
      <c r="E2101" s="5" t="s">
        <v>124</v>
      </c>
      <c r="F2101" s="3" t="s">
        <v>6220</v>
      </c>
      <c r="G2101" s="6">
        <v>138.291</v>
      </c>
      <c r="H2101" s="7">
        <v>41857</v>
      </c>
      <c r="I2101" s="6" t="s">
        <v>209</v>
      </c>
      <c r="J2101" s="6" t="s">
        <v>6221</v>
      </c>
      <c r="K2101" s="6" t="s">
        <v>128</v>
      </c>
      <c r="L2101" s="6" t="s">
        <v>998</v>
      </c>
      <c r="M2101" s="15" t="s">
        <v>6222</v>
      </c>
      <c r="N2101" s="15" t="s">
        <v>6223</v>
      </c>
      <c r="O2101" s="15" t="s">
        <v>6224</v>
      </c>
    </row>
    <row r="2102" spans="1:15" s="1" customFormat="1" ht="14.25" customHeight="1">
      <c r="A2102" s="3" t="s">
        <v>88</v>
      </c>
      <c r="B2102" s="3"/>
      <c r="C2102" s="3"/>
      <c r="D2102" s="5" t="s">
        <v>55</v>
      </c>
      <c r="E2102" s="5" t="s">
        <v>17</v>
      </c>
      <c r="F2102" s="3" t="s">
        <v>89</v>
      </c>
      <c r="G2102" s="6">
        <f>8.926*L2102</f>
        <v>107.11199999999999</v>
      </c>
      <c r="H2102" s="7">
        <v>41858</v>
      </c>
      <c r="I2102" s="6" t="s">
        <v>50</v>
      </c>
      <c r="J2102" s="6" t="s">
        <v>90</v>
      </c>
      <c r="K2102" s="6" t="s">
        <v>21</v>
      </c>
      <c r="L2102" s="6">
        <v>12</v>
      </c>
      <c r="M2102" s="15" t="s">
        <v>91</v>
      </c>
      <c r="N2102" s="15" t="s">
        <v>78</v>
      </c>
      <c r="O2102" s="15"/>
    </row>
    <row r="2103" spans="1:15" ht="14.25" customHeight="1">
      <c r="A2103" s="3" t="s">
        <v>465</v>
      </c>
      <c r="B2103" s="3"/>
      <c r="C2103" s="3"/>
      <c r="D2103" s="5" t="s">
        <v>391</v>
      </c>
      <c r="E2103" s="5" t="s">
        <v>124</v>
      </c>
      <c r="F2103" s="3" t="s">
        <v>6225</v>
      </c>
      <c r="G2103" s="6">
        <f>17.712*L2103</f>
        <v>123.98399999999999</v>
      </c>
      <c r="H2103" s="7">
        <v>41858</v>
      </c>
      <c r="I2103" s="6" t="s">
        <v>265</v>
      </c>
      <c r="J2103" s="6" t="s">
        <v>6226</v>
      </c>
      <c r="K2103" s="6" t="s">
        <v>21</v>
      </c>
      <c r="L2103" s="6">
        <v>7</v>
      </c>
      <c r="M2103" s="15" t="s">
        <v>5632</v>
      </c>
      <c r="N2103" s="15" t="s">
        <v>5596</v>
      </c>
      <c r="O2103" s="15" t="s">
        <v>6227</v>
      </c>
    </row>
    <row r="2104" spans="1:15" ht="14.25" customHeight="1">
      <c r="A2104" s="3" t="s">
        <v>918</v>
      </c>
      <c r="B2104" s="3"/>
      <c r="C2104" s="3"/>
      <c r="D2104" s="5" t="s">
        <v>919</v>
      </c>
      <c r="E2104" s="5" t="s">
        <v>124</v>
      </c>
      <c r="F2104" s="3" t="s">
        <v>6228</v>
      </c>
      <c r="G2104" s="6">
        <f>17.712*L2104</f>
        <v>212.54399999999998</v>
      </c>
      <c r="H2104" s="7">
        <v>41858</v>
      </c>
      <c r="I2104" s="6" t="s">
        <v>265</v>
      </c>
      <c r="J2104" s="6" t="s">
        <v>6229</v>
      </c>
      <c r="K2104" s="6" t="s">
        <v>21</v>
      </c>
      <c r="L2104" s="6">
        <v>12</v>
      </c>
      <c r="M2104" s="15" t="s">
        <v>6230</v>
      </c>
      <c r="N2104" s="15" t="s">
        <v>164</v>
      </c>
      <c r="O2104" s="15" t="s">
        <v>6230</v>
      </c>
    </row>
    <row r="2105" spans="1:15" s="1" customFormat="1" ht="14.25" customHeight="1">
      <c r="A2105" s="3" t="s">
        <v>918</v>
      </c>
      <c r="B2105" s="3"/>
      <c r="C2105" s="3"/>
      <c r="D2105" s="5" t="s">
        <v>919</v>
      </c>
      <c r="E2105" s="5" t="s">
        <v>124</v>
      </c>
      <c r="F2105" s="3" t="s">
        <v>6231</v>
      </c>
      <c r="G2105" s="6">
        <f>17.712*L2105</f>
        <v>230.256</v>
      </c>
      <c r="H2105" s="7">
        <v>41858</v>
      </c>
      <c r="I2105" s="6" t="s">
        <v>265</v>
      </c>
      <c r="J2105" s="6" t="s">
        <v>6232</v>
      </c>
      <c r="K2105" s="6" t="s">
        <v>21</v>
      </c>
      <c r="L2105" s="6">
        <v>13</v>
      </c>
      <c r="M2105" s="15" t="s">
        <v>6230</v>
      </c>
      <c r="N2105" s="15" t="s">
        <v>167</v>
      </c>
      <c r="O2105" s="15" t="s">
        <v>6233</v>
      </c>
    </row>
    <row r="2106" spans="1:15" ht="14.25" customHeight="1">
      <c r="A2106" s="3" t="s">
        <v>3653</v>
      </c>
      <c r="B2106" s="3"/>
      <c r="C2106" s="3"/>
      <c r="D2106" s="5" t="s">
        <v>495</v>
      </c>
      <c r="E2106" s="5" t="s">
        <v>124</v>
      </c>
      <c r="F2106" s="3" t="s">
        <v>6234</v>
      </c>
      <c r="G2106" s="6">
        <f>12.838*L2106</f>
        <v>64.19</v>
      </c>
      <c r="H2106" s="7">
        <v>41858</v>
      </c>
      <c r="I2106" s="6" t="s">
        <v>471</v>
      </c>
      <c r="J2106" s="6" t="s">
        <v>6235</v>
      </c>
      <c r="K2106" s="6" t="s">
        <v>21</v>
      </c>
      <c r="L2106" s="6">
        <v>5</v>
      </c>
      <c r="M2106" s="15" t="s">
        <v>5988</v>
      </c>
      <c r="N2106" s="15" t="s">
        <v>1284</v>
      </c>
      <c r="O2106" s="15" t="s">
        <v>6236</v>
      </c>
    </row>
    <row r="2107" spans="1:15" ht="14.25" customHeight="1">
      <c r="A2107" s="3" t="s">
        <v>469</v>
      </c>
      <c r="B2107" s="4"/>
      <c r="C2107" s="3"/>
      <c r="D2107" s="5" t="s">
        <v>276</v>
      </c>
      <c r="E2107" s="5" t="s">
        <v>124</v>
      </c>
      <c r="F2107" s="3" t="s">
        <v>6237</v>
      </c>
      <c r="G2107" s="6">
        <f>6.405*L2107</f>
        <v>64.05</v>
      </c>
      <c r="H2107" s="7">
        <v>41858</v>
      </c>
      <c r="I2107" s="6" t="s">
        <v>471</v>
      </c>
      <c r="J2107" s="6" t="s">
        <v>6238</v>
      </c>
      <c r="K2107" s="6" t="s">
        <v>21</v>
      </c>
      <c r="L2107" s="6">
        <v>10</v>
      </c>
      <c r="M2107" s="15" t="s">
        <v>6239</v>
      </c>
      <c r="N2107" s="15" t="s">
        <v>4953</v>
      </c>
      <c r="O2107" s="15" t="s">
        <v>6239</v>
      </c>
    </row>
    <row r="2108" spans="1:15" s="1" customFormat="1" ht="14.25" customHeight="1">
      <c r="A2108" s="3" t="s">
        <v>793</v>
      </c>
      <c r="B2108" s="3"/>
      <c r="C2108" s="3"/>
      <c r="D2108" s="5" t="s">
        <v>794</v>
      </c>
      <c r="E2108" s="5" t="s">
        <v>124</v>
      </c>
      <c r="F2108" s="3" t="s">
        <v>6240</v>
      </c>
      <c r="G2108" s="6">
        <f>8.137*L2108</f>
        <v>122.05500000000001</v>
      </c>
      <c r="H2108" s="7">
        <v>41858</v>
      </c>
      <c r="I2108" s="6" t="s">
        <v>186</v>
      </c>
      <c r="J2108" s="6" t="s">
        <v>6241</v>
      </c>
      <c r="K2108" s="6" t="s">
        <v>21</v>
      </c>
      <c r="L2108" s="6">
        <v>15</v>
      </c>
      <c r="M2108" s="15" t="s">
        <v>5658</v>
      </c>
      <c r="N2108" s="15" t="s">
        <v>5066</v>
      </c>
      <c r="O2108" s="15" t="s">
        <v>6242</v>
      </c>
    </row>
    <row r="2109" spans="1:15" s="1" customFormat="1" ht="14.25" customHeight="1">
      <c r="A2109" s="3" t="s">
        <v>4431</v>
      </c>
      <c r="B2109" s="3"/>
      <c r="C2109" s="3"/>
      <c r="D2109" s="5" t="s">
        <v>4432</v>
      </c>
      <c r="E2109" s="5" t="s">
        <v>124</v>
      </c>
      <c r="F2109" s="3" t="s">
        <v>6243</v>
      </c>
      <c r="G2109" s="6">
        <f>17.52*L2109</f>
        <v>52.56</v>
      </c>
      <c r="H2109" s="7">
        <v>41858</v>
      </c>
      <c r="I2109" s="6" t="s">
        <v>265</v>
      </c>
      <c r="J2109" s="6" t="s">
        <v>6244</v>
      </c>
      <c r="K2109" s="6" t="s">
        <v>21</v>
      </c>
      <c r="L2109" s="6">
        <v>3</v>
      </c>
      <c r="M2109" s="15" t="s">
        <v>6245</v>
      </c>
      <c r="N2109" s="15" t="s">
        <v>6246</v>
      </c>
      <c r="O2109" s="15" t="s">
        <v>6247</v>
      </c>
    </row>
    <row r="2110" spans="1:15" ht="14.25" customHeight="1">
      <c r="A2110" s="3" t="s">
        <v>6170</v>
      </c>
      <c r="B2110" s="4"/>
      <c r="C2110" s="3"/>
      <c r="D2110" s="5" t="s">
        <v>1128</v>
      </c>
      <c r="E2110" s="5" t="s">
        <v>6248</v>
      </c>
      <c r="F2110" s="3" t="s">
        <v>6249</v>
      </c>
      <c r="G2110" s="6">
        <f>29.101*L2110</f>
        <v>203.70699999999999</v>
      </c>
      <c r="H2110" s="7">
        <v>41863</v>
      </c>
      <c r="I2110" s="6" t="s">
        <v>6172</v>
      </c>
      <c r="J2110" s="6" t="s">
        <v>6250</v>
      </c>
      <c r="K2110" s="6" t="s">
        <v>5478</v>
      </c>
      <c r="L2110" s="6">
        <v>7</v>
      </c>
      <c r="M2110" s="15" t="s">
        <v>6251</v>
      </c>
      <c r="N2110" s="15" t="s">
        <v>1460</v>
      </c>
      <c r="O2110" s="15" t="s">
        <v>6251</v>
      </c>
    </row>
    <row r="2111" spans="1:15" ht="14.25" customHeight="1">
      <c r="A2111" s="3" t="s">
        <v>6170</v>
      </c>
      <c r="B2111" s="4"/>
      <c r="C2111" s="3"/>
      <c r="D2111" s="5" t="s">
        <v>1128</v>
      </c>
      <c r="E2111" s="5" t="s">
        <v>6248</v>
      </c>
      <c r="F2111" s="3" t="s">
        <v>6252</v>
      </c>
      <c r="G2111" s="6">
        <f>29.101*L2111</f>
        <v>203.70699999999999</v>
      </c>
      <c r="H2111" s="7">
        <v>41863</v>
      </c>
      <c r="I2111" s="6" t="s">
        <v>6172</v>
      </c>
      <c r="J2111" s="6" t="s">
        <v>6253</v>
      </c>
      <c r="K2111" s="6" t="s">
        <v>5478</v>
      </c>
      <c r="L2111" s="6">
        <v>7</v>
      </c>
      <c r="M2111" s="15" t="s">
        <v>6251</v>
      </c>
      <c r="N2111" s="15" t="s">
        <v>234</v>
      </c>
      <c r="O2111" s="15" t="s">
        <v>6254</v>
      </c>
    </row>
    <row r="2112" spans="1:15" s="1" customFormat="1" ht="14.25" customHeight="1">
      <c r="A2112" s="3" t="s">
        <v>6170</v>
      </c>
      <c r="B2112" s="4"/>
      <c r="C2112" s="3"/>
      <c r="D2112" s="5" t="s">
        <v>1128</v>
      </c>
      <c r="E2112" s="5" t="s">
        <v>6248</v>
      </c>
      <c r="F2112" s="3" t="s">
        <v>6255</v>
      </c>
      <c r="G2112" s="6">
        <f>29.101*L2112</f>
        <v>174.60599999999999</v>
      </c>
      <c r="H2112" s="7">
        <v>41863</v>
      </c>
      <c r="I2112" s="6" t="s">
        <v>6172</v>
      </c>
      <c r="J2112" s="6" t="s">
        <v>6256</v>
      </c>
      <c r="K2112" s="6" t="s">
        <v>5478</v>
      </c>
      <c r="L2112" s="6">
        <v>6</v>
      </c>
      <c r="M2112" s="15" t="s">
        <v>6251</v>
      </c>
      <c r="N2112" s="15" t="s">
        <v>6257</v>
      </c>
      <c r="O2112" s="15" t="s">
        <v>6258</v>
      </c>
    </row>
    <row r="2113" spans="1:15" s="1" customFormat="1" ht="14.25" customHeight="1">
      <c r="A2113" s="3" t="s">
        <v>819</v>
      </c>
      <c r="B2113" s="4"/>
      <c r="C2113" s="3"/>
      <c r="D2113" s="5" t="s">
        <v>820</v>
      </c>
      <c r="E2113" s="5" t="s">
        <v>124</v>
      </c>
      <c r="F2113" s="3" t="s">
        <v>6259</v>
      </c>
      <c r="G2113" s="6">
        <f>29.101*L2113</f>
        <v>145.505</v>
      </c>
      <c r="H2113" s="7">
        <v>41863</v>
      </c>
      <c r="I2113" s="6" t="s">
        <v>178</v>
      </c>
      <c r="J2113" s="6" t="s">
        <v>6260</v>
      </c>
      <c r="K2113" s="6" t="s">
        <v>21</v>
      </c>
      <c r="L2113" s="6">
        <v>5</v>
      </c>
      <c r="M2113" s="15" t="s">
        <v>6261</v>
      </c>
      <c r="N2113" s="15" t="s">
        <v>59</v>
      </c>
      <c r="O2113" s="15" t="s">
        <v>6261</v>
      </c>
    </row>
    <row r="2114" spans="1:15" s="1" customFormat="1" ht="14.25" customHeight="1">
      <c r="A2114" s="3" t="s">
        <v>884</v>
      </c>
      <c r="B2114" s="3" t="s">
        <v>134</v>
      </c>
      <c r="C2114" s="3"/>
      <c r="D2114" s="5" t="s">
        <v>135</v>
      </c>
      <c r="E2114" s="5" t="s">
        <v>124</v>
      </c>
      <c r="F2114" s="3" t="s">
        <v>6262</v>
      </c>
      <c r="G2114" s="6">
        <f>29.101*L2114/2</f>
        <v>72.752499999999998</v>
      </c>
      <c r="H2114" s="7">
        <v>41863</v>
      </c>
      <c r="I2114" s="6" t="s">
        <v>886</v>
      </c>
      <c r="J2114" s="6" t="s">
        <v>6263</v>
      </c>
      <c r="K2114" s="6" t="s">
        <v>21</v>
      </c>
      <c r="L2114" s="6">
        <v>5</v>
      </c>
      <c r="M2114" s="15" t="s">
        <v>6264</v>
      </c>
      <c r="N2114" s="15" t="s">
        <v>5969</v>
      </c>
      <c r="O2114" s="15" t="s">
        <v>6264</v>
      </c>
    </row>
    <row r="2115" spans="1:15" ht="14.25" customHeight="1">
      <c r="A2115" s="3" t="s">
        <v>5899</v>
      </c>
      <c r="B2115" s="4" t="s">
        <v>5900</v>
      </c>
      <c r="C2115" s="3"/>
      <c r="D2115" s="5" t="s">
        <v>5892</v>
      </c>
      <c r="E2115" s="5" t="s">
        <v>124</v>
      </c>
      <c r="F2115" s="3" t="s">
        <v>6265</v>
      </c>
      <c r="G2115" s="6">
        <v>141.81200000000001</v>
      </c>
      <c r="H2115" s="7">
        <v>41863</v>
      </c>
      <c r="I2115" s="6" t="s">
        <v>209</v>
      </c>
      <c r="J2115" s="6" t="s">
        <v>6266</v>
      </c>
      <c r="K2115" s="6" t="s">
        <v>128</v>
      </c>
      <c r="L2115" s="6" t="s">
        <v>1329</v>
      </c>
      <c r="M2115" s="15" t="s">
        <v>6267</v>
      </c>
      <c r="N2115" s="15" t="s">
        <v>6268</v>
      </c>
      <c r="O2115" s="15" t="s">
        <v>6269</v>
      </c>
    </row>
    <row r="2116" spans="1:15" s="1" customFormat="1" ht="14.25" customHeight="1">
      <c r="A2116" s="22" t="s">
        <v>5890</v>
      </c>
      <c r="B2116" s="3" t="s">
        <v>82</v>
      </c>
      <c r="C2116" s="3"/>
      <c r="D2116" s="5" t="s">
        <v>5892</v>
      </c>
      <c r="E2116" s="5" t="s">
        <v>124</v>
      </c>
      <c r="F2116" s="3" t="s">
        <v>6270</v>
      </c>
      <c r="G2116" s="6">
        <v>81.037000000000006</v>
      </c>
      <c r="H2116" s="7">
        <v>41863</v>
      </c>
      <c r="I2116" s="6" t="s">
        <v>178</v>
      </c>
      <c r="J2116" s="6" t="s">
        <v>6271</v>
      </c>
      <c r="K2116" s="6" t="s">
        <v>128</v>
      </c>
      <c r="L2116" s="6" t="s">
        <v>1990</v>
      </c>
      <c r="M2116" s="15" t="s">
        <v>6272</v>
      </c>
      <c r="N2116" s="15" t="s">
        <v>6273</v>
      </c>
      <c r="O2116" s="15" t="s">
        <v>6274</v>
      </c>
    </row>
    <row r="2117" spans="1:15" ht="13.5" customHeight="1">
      <c r="A2117" s="3" t="s">
        <v>1018</v>
      </c>
      <c r="B2117" s="4"/>
      <c r="C2117" s="3"/>
      <c r="D2117" s="5" t="s">
        <v>1019</v>
      </c>
      <c r="E2117" s="5" t="s">
        <v>124</v>
      </c>
      <c r="F2117" s="3" t="s">
        <v>6275</v>
      </c>
      <c r="G2117" s="6">
        <v>137.66300000000001</v>
      </c>
      <c r="H2117" s="7">
        <v>41863</v>
      </c>
      <c r="I2117" s="6" t="s">
        <v>209</v>
      </c>
      <c r="J2117" s="6" t="s">
        <v>6276</v>
      </c>
      <c r="K2117" s="6" t="s">
        <v>128</v>
      </c>
      <c r="L2117" s="6" t="s">
        <v>998</v>
      </c>
      <c r="M2117" s="15" t="s">
        <v>6277</v>
      </c>
      <c r="N2117" s="15" t="s">
        <v>5748</v>
      </c>
      <c r="O2117" s="15" t="s">
        <v>6278</v>
      </c>
    </row>
    <row r="2118" spans="1:15" ht="14.25" customHeight="1">
      <c r="A2118" s="3" t="s">
        <v>205</v>
      </c>
      <c r="B2118" s="4" t="s">
        <v>6279</v>
      </c>
      <c r="C2118" s="3"/>
      <c r="D2118" s="5" t="s">
        <v>1355</v>
      </c>
      <c r="E2118" s="5" t="s">
        <v>124</v>
      </c>
      <c r="F2118" s="3" t="s">
        <v>6280</v>
      </c>
      <c r="G2118" s="6">
        <v>20</v>
      </c>
      <c r="H2118" s="7">
        <v>41863</v>
      </c>
      <c r="I2118" s="6"/>
      <c r="J2118" s="6"/>
      <c r="K2118" s="6"/>
      <c r="L2118" s="6"/>
      <c r="M2118" s="15"/>
      <c r="N2118" s="15"/>
      <c r="O2118" s="15" t="s">
        <v>1918</v>
      </c>
    </row>
    <row r="2119" spans="1:15" s="1" customFormat="1" ht="14.25" customHeight="1">
      <c r="A2119" s="3" t="s">
        <v>205</v>
      </c>
      <c r="B2119" s="4" t="s">
        <v>6281</v>
      </c>
      <c r="C2119" s="3"/>
      <c r="D2119" s="5" t="s">
        <v>765</v>
      </c>
      <c r="E2119" s="5" t="s">
        <v>124</v>
      </c>
      <c r="F2119" s="3" t="s">
        <v>6282</v>
      </c>
      <c r="G2119" s="6">
        <v>135</v>
      </c>
      <c r="H2119" s="7">
        <v>41863</v>
      </c>
      <c r="I2119" s="6"/>
      <c r="J2119" s="6"/>
      <c r="K2119" s="6"/>
      <c r="L2119" s="6"/>
      <c r="M2119" s="15"/>
      <c r="N2119" s="15"/>
      <c r="O2119" s="15" t="s">
        <v>1918</v>
      </c>
    </row>
    <row r="2120" spans="1:15" s="1" customFormat="1" ht="14.25" customHeight="1">
      <c r="A2120" s="3" t="s">
        <v>6283</v>
      </c>
      <c r="B2120" s="4" t="s">
        <v>6284</v>
      </c>
      <c r="C2120" s="3"/>
      <c r="D2120" s="5" t="s">
        <v>6285</v>
      </c>
      <c r="E2120" s="5" t="s">
        <v>124</v>
      </c>
      <c r="F2120" s="3" t="s">
        <v>6286</v>
      </c>
      <c r="G2120" s="6">
        <v>10</v>
      </c>
      <c r="H2120" s="7">
        <v>41863</v>
      </c>
      <c r="I2120" s="6"/>
      <c r="J2120" s="6"/>
      <c r="K2120" s="6"/>
      <c r="L2120" s="6"/>
      <c r="M2120" s="15"/>
      <c r="N2120" s="15"/>
      <c r="O2120" s="15" t="s">
        <v>1918</v>
      </c>
    </row>
    <row r="2121" spans="1:15" s="1" customFormat="1" ht="14.25" customHeight="1">
      <c r="A2121" s="3" t="s">
        <v>819</v>
      </c>
      <c r="B2121" s="3"/>
      <c r="C2121" s="3"/>
      <c r="D2121" s="5" t="s">
        <v>820</v>
      </c>
      <c r="E2121" s="5" t="s">
        <v>124</v>
      </c>
      <c r="F2121" s="3" t="s">
        <v>9395</v>
      </c>
      <c r="G2121" s="6">
        <f>29.101*L2121</f>
        <v>145.505</v>
      </c>
      <c r="H2121" s="7">
        <v>41863</v>
      </c>
      <c r="I2121" s="6" t="s">
        <v>178</v>
      </c>
      <c r="J2121" s="6" t="s">
        <v>9396</v>
      </c>
      <c r="K2121" s="6" t="s">
        <v>21</v>
      </c>
      <c r="L2121" s="6">
        <v>5</v>
      </c>
      <c r="M2121" s="15" t="s">
        <v>6261</v>
      </c>
      <c r="N2121" s="15" t="s">
        <v>1194</v>
      </c>
      <c r="O2121" s="15" t="s">
        <v>9397</v>
      </c>
    </row>
    <row r="2122" spans="1:15" s="1" customFormat="1" ht="14.25" customHeight="1">
      <c r="A2122" s="3" t="s">
        <v>525</v>
      </c>
      <c r="B2122" s="3"/>
      <c r="C2122" s="3"/>
      <c r="D2122" s="5" t="s">
        <v>526</v>
      </c>
      <c r="E2122" s="5" t="s">
        <v>124</v>
      </c>
      <c r="F2122" s="3" t="s">
        <v>9398</v>
      </c>
      <c r="G2122" s="6">
        <f>17.498*L2122</f>
        <v>69.992000000000004</v>
      </c>
      <c r="H2122" s="7">
        <v>41863</v>
      </c>
      <c r="I2122" s="6" t="s">
        <v>913</v>
      </c>
      <c r="J2122" s="6" t="s">
        <v>9399</v>
      </c>
      <c r="K2122" s="6" t="s">
        <v>21</v>
      </c>
      <c r="L2122" s="6">
        <v>4</v>
      </c>
      <c r="M2122" s="15" t="s">
        <v>9400</v>
      </c>
      <c r="N2122" s="15" t="s">
        <v>7351</v>
      </c>
      <c r="O2122" s="15" t="s">
        <v>9401</v>
      </c>
    </row>
    <row r="2123" spans="1:15" s="1" customFormat="1" ht="14.25" customHeight="1">
      <c r="A2123" s="3" t="s">
        <v>169</v>
      </c>
      <c r="B2123" s="3"/>
      <c r="C2123" s="3"/>
      <c r="D2123" s="5" t="s">
        <v>170</v>
      </c>
      <c r="E2123" s="5" t="s">
        <v>7026</v>
      </c>
      <c r="F2123" s="3" t="s">
        <v>8758</v>
      </c>
      <c r="G2123" s="6">
        <f>17.498*L2123</f>
        <v>104.988</v>
      </c>
      <c r="H2123" s="7">
        <v>41864</v>
      </c>
      <c r="I2123" s="6" t="s">
        <v>265</v>
      </c>
      <c r="J2123" s="6" t="s">
        <v>8759</v>
      </c>
      <c r="K2123" s="6" t="s">
        <v>21</v>
      </c>
      <c r="L2123" s="6">
        <v>6</v>
      </c>
      <c r="M2123" s="15" t="s">
        <v>8760</v>
      </c>
      <c r="N2123" s="15" t="s">
        <v>74</v>
      </c>
      <c r="O2123" s="15" t="s">
        <v>6104</v>
      </c>
    </row>
    <row r="2124" spans="1:15" ht="14.25" customHeight="1">
      <c r="A2124" s="3" t="s">
        <v>1127</v>
      </c>
      <c r="B2124" s="4"/>
      <c r="C2124" s="3"/>
      <c r="D2124" s="5" t="s">
        <v>1128</v>
      </c>
      <c r="E2124" s="5" t="s">
        <v>7026</v>
      </c>
      <c r="F2124" s="3" t="s">
        <v>8761</v>
      </c>
      <c r="G2124" s="6">
        <f t="shared" ref="G2124:G2133" si="83">29.101*L2124</f>
        <v>349.21199999999999</v>
      </c>
      <c r="H2124" s="7">
        <v>41864</v>
      </c>
      <c r="I2124" s="6" t="s">
        <v>178</v>
      </c>
      <c r="J2124" s="6" t="s">
        <v>8762</v>
      </c>
      <c r="K2124" s="6" t="s">
        <v>21</v>
      </c>
      <c r="L2124" s="6">
        <v>12</v>
      </c>
      <c r="M2124" s="15" t="s">
        <v>8763</v>
      </c>
      <c r="N2124" s="15" t="s">
        <v>164</v>
      </c>
      <c r="O2124" s="15" t="s">
        <v>8764</v>
      </c>
    </row>
    <row r="2125" spans="1:15" s="1" customFormat="1" ht="14.25" customHeight="1">
      <c r="A2125" s="3" t="s">
        <v>1127</v>
      </c>
      <c r="B2125" s="4"/>
      <c r="C2125" s="3"/>
      <c r="D2125" s="5" t="s">
        <v>1128</v>
      </c>
      <c r="E2125" s="5" t="s">
        <v>7026</v>
      </c>
      <c r="F2125" s="3" t="s">
        <v>8765</v>
      </c>
      <c r="G2125" s="6">
        <f t="shared" si="83"/>
        <v>378.31299999999999</v>
      </c>
      <c r="H2125" s="7">
        <v>41864</v>
      </c>
      <c r="I2125" s="6" t="s">
        <v>178</v>
      </c>
      <c r="J2125" s="6" t="s">
        <v>8766</v>
      </c>
      <c r="K2125" s="6" t="s">
        <v>21</v>
      </c>
      <c r="L2125" s="6">
        <v>13</v>
      </c>
      <c r="M2125" s="15" t="s">
        <v>8763</v>
      </c>
      <c r="N2125" s="15" t="s">
        <v>167</v>
      </c>
      <c r="O2125" s="15" t="s">
        <v>8767</v>
      </c>
    </row>
    <row r="2126" spans="1:15" s="1" customFormat="1" ht="14.25" customHeight="1">
      <c r="A2126" s="3" t="s">
        <v>1127</v>
      </c>
      <c r="B2126" s="4"/>
      <c r="C2126" s="3"/>
      <c r="D2126" s="5" t="s">
        <v>1128</v>
      </c>
      <c r="E2126" s="5" t="s">
        <v>7026</v>
      </c>
      <c r="F2126" s="3" t="s">
        <v>8768</v>
      </c>
      <c r="G2126" s="6">
        <f t="shared" si="83"/>
        <v>349.21199999999999</v>
      </c>
      <c r="H2126" s="7">
        <v>41864</v>
      </c>
      <c r="I2126" s="6" t="s">
        <v>178</v>
      </c>
      <c r="J2126" s="6" t="s">
        <v>8769</v>
      </c>
      <c r="K2126" s="6" t="s">
        <v>21</v>
      </c>
      <c r="L2126" s="6">
        <v>12</v>
      </c>
      <c r="M2126" s="15" t="s">
        <v>8770</v>
      </c>
      <c r="N2126" s="15" t="s">
        <v>164</v>
      </c>
      <c r="O2126" s="15" t="s">
        <v>8771</v>
      </c>
    </row>
    <row r="2127" spans="1:15" s="1" customFormat="1" ht="14.25" customHeight="1">
      <c r="A2127" s="3" t="s">
        <v>1127</v>
      </c>
      <c r="B2127" s="4"/>
      <c r="C2127" s="3"/>
      <c r="D2127" s="5" t="s">
        <v>1128</v>
      </c>
      <c r="E2127" s="5" t="s">
        <v>7026</v>
      </c>
      <c r="F2127" s="3" t="s">
        <v>8772</v>
      </c>
      <c r="G2127" s="6">
        <f t="shared" si="83"/>
        <v>378.31299999999999</v>
      </c>
      <c r="H2127" s="7">
        <v>41864</v>
      </c>
      <c r="I2127" s="6" t="s">
        <v>178</v>
      </c>
      <c r="J2127" s="6" t="s">
        <v>8773</v>
      </c>
      <c r="K2127" s="6" t="s">
        <v>21</v>
      </c>
      <c r="L2127" s="6">
        <v>13</v>
      </c>
      <c r="M2127" s="15" t="s">
        <v>8770</v>
      </c>
      <c r="N2127" s="15" t="s">
        <v>167</v>
      </c>
      <c r="O2127" s="15" t="s">
        <v>8774</v>
      </c>
    </row>
    <row r="2128" spans="1:15" s="1" customFormat="1" ht="14.25" customHeight="1">
      <c r="A2128" s="3" t="s">
        <v>1127</v>
      </c>
      <c r="B2128" s="4"/>
      <c r="C2128" s="3"/>
      <c r="D2128" s="5" t="s">
        <v>1128</v>
      </c>
      <c r="E2128" s="5" t="s">
        <v>7026</v>
      </c>
      <c r="F2128" s="3" t="s">
        <v>8775</v>
      </c>
      <c r="G2128" s="6">
        <f t="shared" si="83"/>
        <v>291.01</v>
      </c>
      <c r="H2128" s="7">
        <v>41864</v>
      </c>
      <c r="I2128" s="6" t="s">
        <v>178</v>
      </c>
      <c r="J2128" s="6" t="s">
        <v>8776</v>
      </c>
      <c r="K2128" s="6" t="s">
        <v>21</v>
      </c>
      <c r="L2128" s="6">
        <v>10</v>
      </c>
      <c r="M2128" s="15" t="s">
        <v>8777</v>
      </c>
      <c r="N2128" s="15" t="s">
        <v>4953</v>
      </c>
      <c r="O2128" s="15" t="s">
        <v>8778</v>
      </c>
    </row>
    <row r="2129" spans="1:15" s="1" customFormat="1" ht="14.25" customHeight="1">
      <c r="A2129" s="3" t="s">
        <v>1127</v>
      </c>
      <c r="B2129" s="4"/>
      <c r="C2129" s="3"/>
      <c r="D2129" s="5" t="s">
        <v>1128</v>
      </c>
      <c r="E2129" s="5" t="s">
        <v>7026</v>
      </c>
      <c r="F2129" s="3" t="s">
        <v>8779</v>
      </c>
      <c r="G2129" s="6">
        <f t="shared" si="83"/>
        <v>291.01</v>
      </c>
      <c r="H2129" s="7">
        <v>41864</v>
      </c>
      <c r="I2129" s="6" t="s">
        <v>178</v>
      </c>
      <c r="J2129" s="6" t="s">
        <v>8780</v>
      </c>
      <c r="K2129" s="6" t="s">
        <v>21</v>
      </c>
      <c r="L2129" s="6">
        <v>10</v>
      </c>
      <c r="M2129" s="15" t="s">
        <v>8777</v>
      </c>
      <c r="N2129" s="15" t="s">
        <v>556</v>
      </c>
      <c r="O2129" s="15" t="s">
        <v>8781</v>
      </c>
    </row>
    <row r="2130" spans="1:15" s="1" customFormat="1" ht="14.25" customHeight="1">
      <c r="A2130" s="3" t="s">
        <v>1127</v>
      </c>
      <c r="B2130" s="4"/>
      <c r="C2130" s="3"/>
      <c r="D2130" s="5" t="s">
        <v>1128</v>
      </c>
      <c r="E2130" s="5" t="s">
        <v>7026</v>
      </c>
      <c r="F2130" s="3" t="s">
        <v>8782</v>
      </c>
      <c r="G2130" s="6">
        <f t="shared" si="83"/>
        <v>349.21199999999999</v>
      </c>
      <c r="H2130" s="7">
        <v>41864</v>
      </c>
      <c r="I2130" s="6" t="s">
        <v>178</v>
      </c>
      <c r="J2130" s="6" t="s">
        <v>8783</v>
      </c>
      <c r="K2130" s="6" t="s">
        <v>21</v>
      </c>
      <c r="L2130" s="6">
        <v>12</v>
      </c>
      <c r="M2130" s="15" t="s">
        <v>8784</v>
      </c>
      <c r="N2130" s="15" t="s">
        <v>164</v>
      </c>
      <c r="O2130" s="15" t="s">
        <v>8785</v>
      </c>
    </row>
    <row r="2131" spans="1:15" s="1" customFormat="1" ht="14.25" customHeight="1">
      <c r="A2131" s="3" t="s">
        <v>1127</v>
      </c>
      <c r="B2131" s="4"/>
      <c r="C2131" s="3"/>
      <c r="D2131" s="5" t="s">
        <v>1128</v>
      </c>
      <c r="E2131" s="5" t="s">
        <v>7026</v>
      </c>
      <c r="F2131" s="3" t="s">
        <v>8786</v>
      </c>
      <c r="G2131" s="6">
        <f t="shared" si="83"/>
        <v>349.21199999999999</v>
      </c>
      <c r="H2131" s="7">
        <v>41864</v>
      </c>
      <c r="I2131" s="6" t="s">
        <v>178</v>
      </c>
      <c r="J2131" s="6" t="s">
        <v>8787</v>
      </c>
      <c r="K2131" s="6" t="s">
        <v>21</v>
      </c>
      <c r="L2131" s="6">
        <v>12</v>
      </c>
      <c r="M2131" s="15" t="s">
        <v>8784</v>
      </c>
      <c r="N2131" s="15" t="s">
        <v>8788</v>
      </c>
      <c r="O2131" s="15" t="s">
        <v>8789</v>
      </c>
    </row>
    <row r="2132" spans="1:15" s="1" customFormat="1" ht="14.25" customHeight="1">
      <c r="A2132" s="3" t="s">
        <v>1127</v>
      </c>
      <c r="B2132" s="4"/>
      <c r="C2132" s="3"/>
      <c r="D2132" s="5" t="s">
        <v>1128</v>
      </c>
      <c r="E2132" s="5" t="s">
        <v>7026</v>
      </c>
      <c r="F2132" s="3" t="s">
        <v>8790</v>
      </c>
      <c r="G2132" s="6">
        <f t="shared" si="83"/>
        <v>349.21199999999999</v>
      </c>
      <c r="H2132" s="7">
        <v>41864</v>
      </c>
      <c r="I2132" s="6" t="s">
        <v>178</v>
      </c>
      <c r="J2132" s="6" t="s">
        <v>8791</v>
      </c>
      <c r="K2132" s="6" t="s">
        <v>21</v>
      </c>
      <c r="L2132" s="6">
        <v>12</v>
      </c>
      <c r="M2132" s="15" t="s">
        <v>8792</v>
      </c>
      <c r="N2132" s="15" t="s">
        <v>164</v>
      </c>
      <c r="O2132" s="15" t="s">
        <v>8793</v>
      </c>
    </row>
    <row r="2133" spans="1:15" s="1" customFormat="1" ht="14.25" customHeight="1">
      <c r="A2133" s="3" t="s">
        <v>1127</v>
      </c>
      <c r="B2133" s="4"/>
      <c r="C2133" s="3"/>
      <c r="D2133" s="5" t="s">
        <v>1128</v>
      </c>
      <c r="E2133" s="5" t="s">
        <v>7026</v>
      </c>
      <c r="F2133" s="3" t="s">
        <v>8794</v>
      </c>
      <c r="G2133" s="6">
        <f t="shared" si="83"/>
        <v>378.31299999999999</v>
      </c>
      <c r="H2133" s="7">
        <v>41864</v>
      </c>
      <c r="I2133" s="6" t="s">
        <v>178</v>
      </c>
      <c r="J2133" s="6" t="s">
        <v>8795</v>
      </c>
      <c r="K2133" s="6" t="s">
        <v>21</v>
      </c>
      <c r="L2133" s="6">
        <v>13</v>
      </c>
      <c r="M2133" s="15" t="s">
        <v>8792</v>
      </c>
      <c r="N2133" s="15" t="s">
        <v>167</v>
      </c>
      <c r="O2133" s="15" t="s">
        <v>8796</v>
      </c>
    </row>
    <row r="2134" spans="1:15" s="1" customFormat="1" ht="14.25" customHeight="1">
      <c r="A2134" s="3" t="s">
        <v>724</v>
      </c>
      <c r="B2134" s="3"/>
      <c r="C2134" s="3"/>
      <c r="D2134" s="5" t="s">
        <v>725</v>
      </c>
      <c r="E2134" s="5" t="s">
        <v>124</v>
      </c>
      <c r="F2134" s="3" t="s">
        <v>9407</v>
      </c>
      <c r="G2134" s="6">
        <v>33.582000000000001</v>
      </c>
      <c r="H2134" s="7">
        <v>41866</v>
      </c>
      <c r="I2134" s="6" t="s">
        <v>209</v>
      </c>
      <c r="J2134" s="6" t="s">
        <v>9408</v>
      </c>
      <c r="K2134" s="6" t="s">
        <v>128</v>
      </c>
      <c r="L2134" s="6" t="s">
        <v>2968</v>
      </c>
      <c r="M2134" s="15" t="s">
        <v>9409</v>
      </c>
      <c r="N2134" s="15" t="s">
        <v>9410</v>
      </c>
      <c r="O2134" s="15" t="s">
        <v>9411</v>
      </c>
    </row>
    <row r="2135" spans="1:15" s="1" customFormat="1" ht="14.25" customHeight="1">
      <c r="A2135" s="3" t="s">
        <v>772</v>
      </c>
      <c r="B2135" s="3"/>
      <c r="C2135" s="3"/>
      <c r="D2135" s="5" t="s">
        <v>773</v>
      </c>
      <c r="E2135" s="5" t="s">
        <v>124</v>
      </c>
      <c r="F2135" s="3" t="s">
        <v>6287</v>
      </c>
      <c r="G2135" s="6">
        <f>18.708*L2135</f>
        <v>224.49599999999998</v>
      </c>
      <c r="H2135" s="7">
        <v>41866</v>
      </c>
      <c r="I2135" s="6" t="s">
        <v>265</v>
      </c>
      <c r="J2135" s="6" t="s">
        <v>6288</v>
      </c>
      <c r="K2135" s="6" t="s">
        <v>21</v>
      </c>
      <c r="L2135" s="6">
        <v>12</v>
      </c>
      <c r="M2135" s="15" t="s">
        <v>6289</v>
      </c>
      <c r="N2135" s="15" t="s">
        <v>164</v>
      </c>
      <c r="O2135" s="15" t="s">
        <v>6289</v>
      </c>
    </row>
    <row r="2136" spans="1:15" s="1" customFormat="1" ht="14.25" customHeight="1">
      <c r="A2136" s="3" t="s">
        <v>772</v>
      </c>
      <c r="B2136" s="3"/>
      <c r="C2136" s="3"/>
      <c r="D2136" s="5" t="s">
        <v>773</v>
      </c>
      <c r="E2136" s="5" t="s">
        <v>124</v>
      </c>
      <c r="F2136" s="3" t="s">
        <v>6290</v>
      </c>
      <c r="G2136" s="6">
        <f>18.708*L2136</f>
        <v>243.20399999999998</v>
      </c>
      <c r="H2136" s="7">
        <v>41866</v>
      </c>
      <c r="I2136" s="6" t="s">
        <v>265</v>
      </c>
      <c r="J2136" s="6" t="s">
        <v>6291</v>
      </c>
      <c r="K2136" s="6" t="s">
        <v>21</v>
      </c>
      <c r="L2136" s="6">
        <v>13</v>
      </c>
      <c r="M2136" s="15" t="s">
        <v>6289</v>
      </c>
      <c r="N2136" s="15" t="s">
        <v>167</v>
      </c>
      <c r="O2136" s="15" t="s">
        <v>6292</v>
      </c>
    </row>
    <row r="2137" spans="1:15" s="1" customFormat="1" ht="14.25" customHeight="1">
      <c r="A2137" s="3" t="s">
        <v>772</v>
      </c>
      <c r="B2137" s="3"/>
      <c r="C2137" s="3"/>
      <c r="D2137" s="5" t="s">
        <v>773</v>
      </c>
      <c r="E2137" s="5" t="s">
        <v>124</v>
      </c>
      <c r="F2137" s="3" t="s">
        <v>6293</v>
      </c>
      <c r="G2137" s="6">
        <f>18.708*L2137</f>
        <v>224.49599999999998</v>
      </c>
      <c r="H2137" s="7">
        <v>41866</v>
      </c>
      <c r="I2137" s="6" t="s">
        <v>265</v>
      </c>
      <c r="J2137" s="6" t="s">
        <v>6294</v>
      </c>
      <c r="K2137" s="6" t="s">
        <v>21</v>
      </c>
      <c r="L2137" s="6">
        <v>12</v>
      </c>
      <c r="M2137" s="15" t="s">
        <v>6295</v>
      </c>
      <c r="N2137" s="15" t="s">
        <v>164</v>
      </c>
      <c r="O2137" s="15" t="s">
        <v>6295</v>
      </c>
    </row>
    <row r="2138" spans="1:15" s="1" customFormat="1" ht="14.25" customHeight="1">
      <c r="A2138" s="3" t="s">
        <v>1087</v>
      </c>
      <c r="B2138" s="3" t="s">
        <v>4520</v>
      </c>
      <c r="C2138" s="3"/>
      <c r="D2138" s="5" t="s">
        <v>1088</v>
      </c>
      <c r="E2138" s="5" t="s">
        <v>124</v>
      </c>
      <c r="F2138" s="3" t="s">
        <v>6296</v>
      </c>
      <c r="G2138" s="6">
        <f>9.804*L2138</f>
        <v>88.236000000000004</v>
      </c>
      <c r="H2138" s="7">
        <v>41866</v>
      </c>
      <c r="I2138" s="6" t="s">
        <v>1090</v>
      </c>
      <c r="J2138" s="6" t="s">
        <v>6297</v>
      </c>
      <c r="K2138" s="6" t="s">
        <v>21</v>
      </c>
      <c r="L2138" s="6">
        <v>9</v>
      </c>
      <c r="M2138" s="15" t="s">
        <v>6298</v>
      </c>
      <c r="N2138" s="15" t="s">
        <v>6299</v>
      </c>
      <c r="O2138" s="28" t="s">
        <v>6298</v>
      </c>
    </row>
    <row r="2139" spans="1:15" ht="14.25" customHeight="1">
      <c r="A2139" s="3" t="s">
        <v>1087</v>
      </c>
      <c r="B2139" s="3" t="s">
        <v>4520</v>
      </c>
      <c r="C2139" s="3"/>
      <c r="D2139" s="5" t="s">
        <v>1088</v>
      </c>
      <c r="E2139" s="5" t="s">
        <v>124</v>
      </c>
      <c r="F2139" s="3" t="s">
        <v>6300</v>
      </c>
      <c r="G2139" s="6">
        <f>9.804*L2139</f>
        <v>98.04</v>
      </c>
      <c r="H2139" s="7">
        <v>41866</v>
      </c>
      <c r="I2139" s="6" t="s">
        <v>1090</v>
      </c>
      <c r="J2139" s="6" t="s">
        <v>6301</v>
      </c>
      <c r="K2139" s="6" t="s">
        <v>21</v>
      </c>
      <c r="L2139" s="6">
        <v>10</v>
      </c>
      <c r="M2139" s="15" t="s">
        <v>6298</v>
      </c>
      <c r="N2139" s="15" t="s">
        <v>4872</v>
      </c>
      <c r="O2139" s="28" t="s">
        <v>6302</v>
      </c>
    </row>
    <row r="2140" spans="1:15" s="1" customFormat="1" ht="14.25" customHeight="1">
      <c r="A2140" s="3" t="s">
        <v>1082</v>
      </c>
      <c r="B2140" s="3" t="s">
        <v>4520</v>
      </c>
      <c r="C2140" s="3"/>
      <c r="D2140" s="5" t="s">
        <v>1083</v>
      </c>
      <c r="E2140" s="5" t="s">
        <v>124</v>
      </c>
      <c r="F2140" s="3" t="s">
        <v>6303</v>
      </c>
      <c r="G2140" s="6">
        <f>9.871*L2140</f>
        <v>118.452</v>
      </c>
      <c r="H2140" s="7">
        <v>41866</v>
      </c>
      <c r="I2140" s="6" t="s">
        <v>161</v>
      </c>
      <c r="J2140" s="6" t="s">
        <v>6304</v>
      </c>
      <c r="K2140" s="6" t="s">
        <v>21</v>
      </c>
      <c r="L2140" s="6">
        <v>12</v>
      </c>
      <c r="M2140" s="15" t="s">
        <v>6305</v>
      </c>
      <c r="N2140" s="15" t="s">
        <v>164</v>
      </c>
      <c r="O2140" s="28" t="s">
        <v>6305</v>
      </c>
    </row>
    <row r="2141" spans="1:15" s="1" customFormat="1" ht="14.25" customHeight="1">
      <c r="A2141" s="3" t="s">
        <v>1082</v>
      </c>
      <c r="B2141" s="3" t="s">
        <v>4520</v>
      </c>
      <c r="C2141" s="3"/>
      <c r="D2141" s="5" t="s">
        <v>1083</v>
      </c>
      <c r="E2141" s="5" t="s">
        <v>124</v>
      </c>
      <c r="F2141" s="3" t="s">
        <v>6306</v>
      </c>
      <c r="G2141" s="6">
        <f>9.871*L2141</f>
        <v>128.32300000000001</v>
      </c>
      <c r="H2141" s="7">
        <v>41866</v>
      </c>
      <c r="I2141" s="6" t="s">
        <v>161</v>
      </c>
      <c r="J2141" s="6" t="s">
        <v>6307</v>
      </c>
      <c r="K2141" s="6" t="s">
        <v>21</v>
      </c>
      <c r="L2141" s="6">
        <v>13</v>
      </c>
      <c r="M2141" s="15" t="s">
        <v>6305</v>
      </c>
      <c r="N2141" s="15" t="s">
        <v>167</v>
      </c>
      <c r="O2141" s="28" t="s">
        <v>6308</v>
      </c>
    </row>
    <row r="2142" spans="1:15" ht="14.25" customHeight="1">
      <c r="A2142" s="22" t="s">
        <v>5304</v>
      </c>
      <c r="B2142" s="4"/>
      <c r="C2142" s="3"/>
      <c r="D2142" s="5" t="s">
        <v>6309</v>
      </c>
      <c r="E2142" s="5" t="s">
        <v>124</v>
      </c>
      <c r="F2142" s="3" t="s">
        <v>6310</v>
      </c>
      <c r="G2142" s="6">
        <f>27.688*L2142</f>
        <v>55.375999999999998</v>
      </c>
      <c r="H2142" s="7">
        <v>41866</v>
      </c>
      <c r="I2142" s="6" t="s">
        <v>265</v>
      </c>
      <c r="J2142" s="6" t="s">
        <v>6311</v>
      </c>
      <c r="K2142" s="6" t="s">
        <v>21</v>
      </c>
      <c r="L2142" s="6">
        <v>2</v>
      </c>
      <c r="M2142" s="15" t="s">
        <v>6312</v>
      </c>
      <c r="N2142" s="15" t="s">
        <v>6313</v>
      </c>
      <c r="O2142" s="28" t="s">
        <v>6312</v>
      </c>
    </row>
    <row r="2143" spans="1:15" ht="14.25" customHeight="1">
      <c r="A2143" s="3" t="s">
        <v>543</v>
      </c>
      <c r="B2143" s="3"/>
      <c r="C2143" s="3"/>
      <c r="D2143" s="5" t="s">
        <v>544</v>
      </c>
      <c r="E2143" s="5" t="s">
        <v>124</v>
      </c>
      <c r="F2143" s="3" t="s">
        <v>6314</v>
      </c>
      <c r="G2143" s="6">
        <v>33.146999999999998</v>
      </c>
      <c r="H2143" s="7">
        <v>41866</v>
      </c>
      <c r="I2143" s="6" t="s">
        <v>209</v>
      </c>
      <c r="J2143" s="6" t="s">
        <v>6315</v>
      </c>
      <c r="K2143" s="6" t="s">
        <v>128</v>
      </c>
      <c r="L2143" s="6" t="s">
        <v>2968</v>
      </c>
      <c r="M2143" s="15" t="s">
        <v>6316</v>
      </c>
      <c r="N2143" s="15" t="s">
        <v>6317</v>
      </c>
      <c r="O2143" s="28" t="s">
        <v>6318</v>
      </c>
    </row>
    <row r="2144" spans="1:15" s="1" customFormat="1" ht="14.25" customHeight="1">
      <c r="A2144" s="3" t="s">
        <v>1349</v>
      </c>
      <c r="B2144" s="3"/>
      <c r="C2144" s="3"/>
      <c r="D2144" s="5" t="s">
        <v>2117</v>
      </c>
      <c r="E2144" s="5" t="s">
        <v>124</v>
      </c>
      <c r="F2144" s="3" t="s">
        <v>6319</v>
      </c>
      <c r="G2144" s="6">
        <v>170.90600000000001</v>
      </c>
      <c r="H2144" s="7">
        <v>41866</v>
      </c>
      <c r="I2144" s="6" t="s">
        <v>178</v>
      </c>
      <c r="J2144" s="6" t="s">
        <v>6320</v>
      </c>
      <c r="K2144" s="6" t="s">
        <v>128</v>
      </c>
      <c r="L2144" s="6" t="s">
        <v>2707</v>
      </c>
      <c r="M2144" s="15" t="s">
        <v>6321</v>
      </c>
      <c r="N2144" s="15" t="s">
        <v>6322</v>
      </c>
      <c r="O2144" s="28" t="s">
        <v>6323</v>
      </c>
    </row>
    <row r="2145" spans="1:15" ht="14.25" customHeight="1">
      <c r="A2145" s="3" t="s">
        <v>1216</v>
      </c>
      <c r="B2145" s="3"/>
      <c r="C2145" s="3"/>
      <c r="D2145" s="5" t="s">
        <v>2117</v>
      </c>
      <c r="E2145" s="5" t="s">
        <v>124</v>
      </c>
      <c r="F2145" s="3" t="s">
        <v>6324</v>
      </c>
      <c r="G2145" s="6">
        <v>232.69900000000001</v>
      </c>
      <c r="H2145" s="7">
        <v>41866</v>
      </c>
      <c r="I2145" s="6" t="s">
        <v>209</v>
      </c>
      <c r="J2145" s="6" t="s">
        <v>6325</v>
      </c>
      <c r="K2145" s="6" t="s">
        <v>128</v>
      </c>
      <c r="L2145" s="6" t="s">
        <v>1226</v>
      </c>
      <c r="M2145" s="15" t="s">
        <v>6326</v>
      </c>
      <c r="N2145" s="15" t="s">
        <v>6327</v>
      </c>
      <c r="O2145" s="28" t="s">
        <v>6328</v>
      </c>
    </row>
    <row r="2146" spans="1:15" s="1" customFormat="1" ht="14.25" customHeight="1">
      <c r="A2146" s="3" t="s">
        <v>1216</v>
      </c>
      <c r="B2146" s="3"/>
      <c r="C2146" s="3"/>
      <c r="D2146" s="5" t="s">
        <v>2117</v>
      </c>
      <c r="E2146" s="5" t="s">
        <v>124</v>
      </c>
      <c r="F2146" s="3" t="s">
        <v>9412</v>
      </c>
      <c r="G2146" s="6">
        <v>108.702</v>
      </c>
      <c r="H2146" s="7">
        <v>41866</v>
      </c>
      <c r="I2146" s="6" t="s">
        <v>209</v>
      </c>
      <c r="J2146" s="6" t="s">
        <v>9413</v>
      </c>
      <c r="K2146" s="6" t="s">
        <v>128</v>
      </c>
      <c r="L2146" s="6" t="s">
        <v>6475</v>
      </c>
      <c r="M2146" s="15" t="s">
        <v>6321</v>
      </c>
      <c r="N2146" s="15" t="s">
        <v>9414</v>
      </c>
      <c r="O2146" s="28" t="s">
        <v>9415</v>
      </c>
    </row>
    <row r="2147" spans="1:15" ht="14.25" customHeight="1">
      <c r="A2147" s="3" t="s">
        <v>5890</v>
      </c>
      <c r="B2147" s="3" t="s">
        <v>82</v>
      </c>
      <c r="C2147" s="3"/>
      <c r="D2147" s="5" t="s">
        <v>5892</v>
      </c>
      <c r="E2147" s="5" t="s">
        <v>124</v>
      </c>
      <c r="F2147" s="3" t="s">
        <v>6329</v>
      </c>
      <c r="G2147" s="6">
        <v>253.28</v>
      </c>
      <c r="H2147" s="7">
        <v>41869</v>
      </c>
      <c r="I2147" s="6" t="s">
        <v>178</v>
      </c>
      <c r="J2147" s="6" t="s">
        <v>6330</v>
      </c>
      <c r="K2147" s="6" t="s">
        <v>128</v>
      </c>
      <c r="L2147" s="6" t="s">
        <v>808</v>
      </c>
      <c r="M2147" s="15" t="s">
        <v>6331</v>
      </c>
      <c r="N2147" s="15" t="s">
        <v>6332</v>
      </c>
      <c r="O2147" s="28" t="s">
        <v>6333</v>
      </c>
    </row>
    <row r="2148" spans="1:15" s="1" customFormat="1" ht="14.25" customHeight="1">
      <c r="A2148" s="22" t="s">
        <v>6334</v>
      </c>
      <c r="B2148" s="3"/>
      <c r="C2148" s="3"/>
      <c r="D2148" s="5" t="s">
        <v>245</v>
      </c>
      <c r="E2148" s="5" t="s">
        <v>124</v>
      </c>
      <c r="F2148" s="3" t="s">
        <v>6335</v>
      </c>
      <c r="G2148" s="6">
        <f>18.708*L2148</f>
        <v>168.37199999999999</v>
      </c>
      <c r="H2148" s="7">
        <v>41869</v>
      </c>
      <c r="I2148" s="6" t="s">
        <v>247</v>
      </c>
      <c r="J2148" s="6" t="s">
        <v>6336</v>
      </c>
      <c r="K2148" s="6" t="s">
        <v>21</v>
      </c>
      <c r="L2148" s="6">
        <v>9</v>
      </c>
      <c r="M2148" s="15" t="s">
        <v>6337</v>
      </c>
      <c r="N2148" s="15" t="s">
        <v>6338</v>
      </c>
      <c r="O2148" s="28" t="s">
        <v>6337</v>
      </c>
    </row>
    <row r="2149" spans="1:15" s="1" customFormat="1" ht="14.25" customHeight="1">
      <c r="A2149" s="3" t="s">
        <v>68</v>
      </c>
      <c r="B2149" s="3"/>
      <c r="C2149" s="3"/>
      <c r="D2149" s="5" t="s">
        <v>69</v>
      </c>
      <c r="E2149" s="5" t="s">
        <v>17</v>
      </c>
      <c r="F2149" s="3" t="s">
        <v>92</v>
      </c>
      <c r="G2149" s="6">
        <f>9.175*L2149</f>
        <v>100.92500000000001</v>
      </c>
      <c r="H2149" s="7">
        <v>41870</v>
      </c>
      <c r="I2149" s="6" t="s">
        <v>71</v>
      </c>
      <c r="J2149" s="6" t="s">
        <v>93</v>
      </c>
      <c r="K2149" s="6" t="s">
        <v>21</v>
      </c>
      <c r="L2149" s="6">
        <v>11</v>
      </c>
      <c r="M2149" s="15" t="s">
        <v>94</v>
      </c>
      <c r="N2149" s="15" t="s">
        <v>95</v>
      </c>
      <c r="O2149" s="28"/>
    </row>
    <row r="2150" spans="1:15" ht="14.25" customHeight="1">
      <c r="A2150" s="3" t="s">
        <v>6170</v>
      </c>
      <c r="B2150" s="3"/>
      <c r="C2150" s="3"/>
      <c r="D2150" s="5" t="s">
        <v>1128</v>
      </c>
      <c r="E2150" s="5" t="s">
        <v>124</v>
      </c>
      <c r="F2150" s="3" t="s">
        <v>6339</v>
      </c>
      <c r="G2150" s="6">
        <f>29.101*L2150</f>
        <v>87.302999999999997</v>
      </c>
      <c r="H2150" s="7">
        <v>41870</v>
      </c>
      <c r="I2150" s="6" t="s">
        <v>6172</v>
      </c>
      <c r="J2150" s="6" t="s">
        <v>6340</v>
      </c>
      <c r="K2150" s="6" t="s">
        <v>5478</v>
      </c>
      <c r="L2150" s="6">
        <v>3</v>
      </c>
      <c r="M2150" s="15" t="s">
        <v>6251</v>
      </c>
      <c r="N2150" s="15" t="s">
        <v>6341</v>
      </c>
      <c r="O2150" s="28" t="s">
        <v>6342</v>
      </c>
    </row>
    <row r="2151" spans="1:15" s="1" customFormat="1" ht="14.25" customHeight="1">
      <c r="A2151" s="3" t="s">
        <v>1087</v>
      </c>
      <c r="B2151" s="3" t="s">
        <v>4520</v>
      </c>
      <c r="C2151" s="3"/>
      <c r="D2151" s="5" t="s">
        <v>1088</v>
      </c>
      <c r="E2151" s="5" t="s">
        <v>124</v>
      </c>
      <c r="F2151" s="3" t="s">
        <v>6343</v>
      </c>
      <c r="G2151" s="6">
        <f>9.804*L2151</f>
        <v>39.216000000000001</v>
      </c>
      <c r="H2151" s="7">
        <v>41870</v>
      </c>
      <c r="I2151" s="6" t="s">
        <v>1090</v>
      </c>
      <c r="J2151" s="6" t="s">
        <v>6344</v>
      </c>
      <c r="K2151" s="6" t="s">
        <v>21</v>
      </c>
      <c r="L2151" s="6">
        <v>4</v>
      </c>
      <c r="M2151" s="15" t="s">
        <v>12193</v>
      </c>
      <c r="N2151" s="15" t="s">
        <v>3740</v>
      </c>
      <c r="O2151" s="28" t="s">
        <v>6345</v>
      </c>
    </row>
    <row r="2152" spans="1:15" ht="14.25" customHeight="1">
      <c r="A2152" s="3" t="s">
        <v>1082</v>
      </c>
      <c r="B2152" s="3" t="s">
        <v>4520</v>
      </c>
      <c r="C2152" s="3"/>
      <c r="D2152" s="5" t="s">
        <v>1083</v>
      </c>
      <c r="E2152" s="5" t="s">
        <v>124</v>
      </c>
      <c r="F2152" s="3" t="s">
        <v>6346</v>
      </c>
      <c r="G2152" s="6">
        <f>9.871*L2152</f>
        <v>39.484000000000002</v>
      </c>
      <c r="H2152" s="7">
        <v>41870</v>
      </c>
      <c r="I2152" s="6" t="s">
        <v>161</v>
      </c>
      <c r="J2152" s="6" t="s">
        <v>6347</v>
      </c>
      <c r="K2152" s="6" t="s">
        <v>21</v>
      </c>
      <c r="L2152" s="6">
        <v>4</v>
      </c>
      <c r="M2152" s="15" t="s">
        <v>6348</v>
      </c>
      <c r="N2152" s="15" t="s">
        <v>6349</v>
      </c>
      <c r="O2152" s="28" t="s">
        <v>6348</v>
      </c>
    </row>
    <row r="2153" spans="1:15" ht="14.25" customHeight="1">
      <c r="A2153" s="3" t="s">
        <v>5287</v>
      </c>
      <c r="B2153" s="3"/>
      <c r="C2153" s="3"/>
      <c r="D2153" s="5" t="s">
        <v>5288</v>
      </c>
      <c r="E2153" s="5" t="s">
        <v>124</v>
      </c>
      <c r="F2153" s="3" t="s">
        <v>9420</v>
      </c>
      <c r="G2153" s="6">
        <v>81.108999999999995</v>
      </c>
      <c r="H2153" s="7">
        <v>41870</v>
      </c>
      <c r="I2153" s="6" t="s">
        <v>209</v>
      </c>
      <c r="J2153" s="6" t="s">
        <v>9421</v>
      </c>
      <c r="K2153" s="6" t="s">
        <v>128</v>
      </c>
      <c r="L2153" s="6" t="s">
        <v>6195</v>
      </c>
      <c r="M2153" s="15" t="s">
        <v>9422</v>
      </c>
      <c r="N2153" s="15" t="s">
        <v>9423</v>
      </c>
      <c r="O2153" s="28" t="s">
        <v>9424</v>
      </c>
    </row>
    <row r="2154" spans="1:15" s="1" customFormat="1" ht="14.25" customHeight="1">
      <c r="A2154" s="3" t="s">
        <v>5899</v>
      </c>
      <c r="B2154" s="15" t="s">
        <v>5900</v>
      </c>
      <c r="C2154" s="3"/>
      <c r="D2154" s="5" t="s">
        <v>5892</v>
      </c>
      <c r="E2154" s="5" t="s">
        <v>124</v>
      </c>
      <c r="F2154" s="3" t="s">
        <v>6350</v>
      </c>
      <c r="G2154" s="6">
        <v>253.048</v>
      </c>
      <c r="H2154" s="7">
        <v>41871</v>
      </c>
      <c r="I2154" s="6" t="s">
        <v>209</v>
      </c>
      <c r="J2154" s="6" t="s">
        <v>6351</v>
      </c>
      <c r="K2154" s="6" t="s">
        <v>128</v>
      </c>
      <c r="L2154" s="6" t="s">
        <v>808</v>
      </c>
      <c r="M2154" s="15" t="s">
        <v>6352</v>
      </c>
      <c r="N2154" s="15" t="s">
        <v>5154</v>
      </c>
      <c r="O2154" s="28" t="s">
        <v>6353</v>
      </c>
    </row>
    <row r="2155" spans="1:15" s="1" customFormat="1" ht="14.25" customHeight="1">
      <c r="A2155" s="3" t="s">
        <v>5899</v>
      </c>
      <c r="B2155" s="3" t="s">
        <v>5900</v>
      </c>
      <c r="C2155" s="3"/>
      <c r="D2155" s="5" t="s">
        <v>5892</v>
      </c>
      <c r="E2155" s="5" t="s">
        <v>124</v>
      </c>
      <c r="F2155" s="3" t="s">
        <v>6354</v>
      </c>
      <c r="G2155" s="6">
        <v>141.732</v>
      </c>
      <c r="H2155" s="7">
        <v>41871</v>
      </c>
      <c r="I2155" s="6" t="s">
        <v>209</v>
      </c>
      <c r="J2155" s="6" t="s">
        <v>6355</v>
      </c>
      <c r="K2155" s="6" t="s">
        <v>128</v>
      </c>
      <c r="L2155" s="6" t="s">
        <v>1329</v>
      </c>
      <c r="M2155" s="15" t="s">
        <v>6356</v>
      </c>
      <c r="N2155" s="15" t="s">
        <v>6357</v>
      </c>
      <c r="O2155" s="28" t="s">
        <v>6358</v>
      </c>
    </row>
    <row r="2156" spans="1:15" s="1" customFormat="1" ht="14.25" customHeight="1">
      <c r="A2156" s="3" t="s">
        <v>5890</v>
      </c>
      <c r="B2156" s="3" t="s">
        <v>82</v>
      </c>
      <c r="C2156" s="3"/>
      <c r="D2156" s="5" t="s">
        <v>5892</v>
      </c>
      <c r="E2156" s="5" t="s">
        <v>124</v>
      </c>
      <c r="F2156" s="3" t="s">
        <v>6359</v>
      </c>
      <c r="G2156" s="6">
        <v>111.437</v>
      </c>
      <c r="H2156" s="7">
        <v>41871</v>
      </c>
      <c r="I2156" s="6" t="s">
        <v>178</v>
      </c>
      <c r="J2156" s="6" t="s">
        <v>6360</v>
      </c>
      <c r="K2156" s="6" t="s">
        <v>128</v>
      </c>
      <c r="L2156" s="6" t="s">
        <v>1335</v>
      </c>
      <c r="M2156" s="15" t="s">
        <v>6356</v>
      </c>
      <c r="N2156" s="15" t="s">
        <v>6361</v>
      </c>
      <c r="O2156" s="28" t="s">
        <v>6362</v>
      </c>
    </row>
    <row r="2157" spans="1:15" s="1" customFormat="1" ht="14.25" customHeight="1">
      <c r="A2157" s="3" t="s">
        <v>5890</v>
      </c>
      <c r="B2157" s="3" t="s">
        <v>82</v>
      </c>
      <c r="C2157" s="3"/>
      <c r="D2157" s="5" t="s">
        <v>5892</v>
      </c>
      <c r="E2157" s="5" t="s">
        <v>124</v>
      </c>
      <c r="F2157" s="3" t="s">
        <v>9425</v>
      </c>
      <c r="G2157" s="6">
        <v>253.13800000000001</v>
      </c>
      <c r="H2157" s="7">
        <v>41871</v>
      </c>
      <c r="I2157" s="6" t="s">
        <v>178</v>
      </c>
      <c r="J2157" s="6" t="s">
        <v>9426</v>
      </c>
      <c r="K2157" s="6" t="s">
        <v>128</v>
      </c>
      <c r="L2157" s="6" t="s">
        <v>808</v>
      </c>
      <c r="M2157" s="15" t="s">
        <v>9427</v>
      </c>
      <c r="N2157" s="15" t="s">
        <v>9428</v>
      </c>
      <c r="O2157" s="28" t="s">
        <v>9429</v>
      </c>
    </row>
    <row r="2158" spans="1:15" s="1" customFormat="1" ht="14.25" customHeight="1">
      <c r="A2158" s="3" t="s">
        <v>5899</v>
      </c>
      <c r="B2158" s="3" t="s">
        <v>82</v>
      </c>
      <c r="C2158" s="3"/>
      <c r="D2158" s="5" t="s">
        <v>5892</v>
      </c>
      <c r="E2158" s="5" t="s">
        <v>124</v>
      </c>
      <c r="F2158" s="3" t="s">
        <v>6363</v>
      </c>
      <c r="G2158" s="6">
        <v>251.44900000000001</v>
      </c>
      <c r="H2158" s="7">
        <v>41871</v>
      </c>
      <c r="I2158" s="6" t="s">
        <v>209</v>
      </c>
      <c r="J2158" s="6" t="s">
        <v>6364</v>
      </c>
      <c r="K2158" s="6" t="s">
        <v>128</v>
      </c>
      <c r="L2158" s="6" t="s">
        <v>808</v>
      </c>
      <c r="M2158" s="15" t="s">
        <v>6365</v>
      </c>
      <c r="N2158" s="15" t="s">
        <v>6366</v>
      </c>
      <c r="O2158" s="28" t="s">
        <v>6367</v>
      </c>
    </row>
    <row r="2159" spans="1:15" s="1" customFormat="1" ht="14.25" customHeight="1">
      <c r="A2159" s="3" t="s">
        <v>5304</v>
      </c>
      <c r="B2159" s="3"/>
      <c r="C2159" s="3"/>
      <c r="D2159" s="5" t="s">
        <v>6309</v>
      </c>
      <c r="E2159" s="5" t="s">
        <v>124</v>
      </c>
      <c r="F2159" s="3" t="s">
        <v>6368</v>
      </c>
      <c r="G2159" s="6">
        <f>27.688*L2159</f>
        <v>166.12799999999999</v>
      </c>
      <c r="H2159" s="7">
        <v>41871</v>
      </c>
      <c r="I2159" s="6" t="s">
        <v>265</v>
      </c>
      <c r="J2159" s="6" t="s">
        <v>6369</v>
      </c>
      <c r="K2159" s="6" t="s">
        <v>21</v>
      </c>
      <c r="L2159" s="6">
        <v>6</v>
      </c>
      <c r="M2159" s="15" t="s">
        <v>6312</v>
      </c>
      <c r="N2159" s="15" t="s">
        <v>5592</v>
      </c>
      <c r="O2159" s="28" t="s">
        <v>6370</v>
      </c>
    </row>
    <row r="2160" spans="1:15" s="1" customFormat="1" ht="14.25" customHeight="1">
      <c r="A2160" s="3" t="s">
        <v>1127</v>
      </c>
      <c r="B2160" s="4"/>
      <c r="C2160" s="3"/>
      <c r="D2160" s="5" t="s">
        <v>1128</v>
      </c>
      <c r="E2160" s="5" t="s">
        <v>7026</v>
      </c>
      <c r="F2160" s="3" t="s">
        <v>8797</v>
      </c>
      <c r="G2160" s="6">
        <f t="shared" ref="G2160:G2165" si="84">29.101*L2160</f>
        <v>349.21199999999999</v>
      </c>
      <c r="H2160" s="7">
        <v>41873</v>
      </c>
      <c r="I2160" s="6" t="s">
        <v>178</v>
      </c>
      <c r="J2160" s="6" t="s">
        <v>8798</v>
      </c>
      <c r="K2160" s="6" t="s">
        <v>21</v>
      </c>
      <c r="L2160" s="6">
        <v>12</v>
      </c>
      <c r="M2160" s="15" t="s">
        <v>8799</v>
      </c>
      <c r="N2160" s="15" t="s">
        <v>164</v>
      </c>
      <c r="O2160" s="28"/>
    </row>
    <row r="2161" spans="1:15" s="1" customFormat="1" ht="14.25" customHeight="1">
      <c r="A2161" s="3" t="s">
        <v>1127</v>
      </c>
      <c r="B2161" s="3"/>
      <c r="C2161" s="3"/>
      <c r="D2161" s="5" t="s">
        <v>1128</v>
      </c>
      <c r="E2161" s="5" t="s">
        <v>7026</v>
      </c>
      <c r="F2161" s="3" t="s">
        <v>8800</v>
      </c>
      <c r="G2161" s="6">
        <f t="shared" si="84"/>
        <v>378.31299999999999</v>
      </c>
      <c r="H2161" s="7">
        <v>41873</v>
      </c>
      <c r="I2161" s="6" t="s">
        <v>178</v>
      </c>
      <c r="J2161" s="6" t="s">
        <v>8801</v>
      </c>
      <c r="K2161" s="6" t="s">
        <v>21</v>
      </c>
      <c r="L2161" s="6">
        <v>13</v>
      </c>
      <c r="M2161" s="15" t="s">
        <v>8799</v>
      </c>
      <c r="N2161" s="15" t="s">
        <v>167</v>
      </c>
      <c r="O2161" s="28"/>
    </row>
    <row r="2162" spans="1:15" ht="14.25" customHeight="1">
      <c r="A2162" s="3" t="s">
        <v>1127</v>
      </c>
      <c r="B2162" s="3"/>
      <c r="C2162" s="3"/>
      <c r="D2162" s="5" t="s">
        <v>1128</v>
      </c>
      <c r="E2162" s="5" t="s">
        <v>7026</v>
      </c>
      <c r="F2162" s="3" t="s">
        <v>8802</v>
      </c>
      <c r="G2162" s="6">
        <f t="shared" si="84"/>
        <v>349.21199999999999</v>
      </c>
      <c r="H2162" s="7">
        <v>41873</v>
      </c>
      <c r="I2162" s="6" t="s">
        <v>178</v>
      </c>
      <c r="J2162" s="6" t="s">
        <v>8803</v>
      </c>
      <c r="K2162" s="6" t="s">
        <v>21</v>
      </c>
      <c r="L2162" s="6">
        <v>12</v>
      </c>
      <c r="M2162" s="15" t="s">
        <v>8804</v>
      </c>
      <c r="N2162" s="15" t="s">
        <v>164</v>
      </c>
      <c r="O2162" s="28"/>
    </row>
    <row r="2163" spans="1:15" s="1" customFormat="1" ht="14.25" customHeight="1">
      <c r="A2163" s="3" t="s">
        <v>1127</v>
      </c>
      <c r="B2163" s="3"/>
      <c r="C2163" s="3"/>
      <c r="D2163" s="5" t="s">
        <v>1128</v>
      </c>
      <c r="E2163" s="5" t="s">
        <v>7026</v>
      </c>
      <c r="F2163" s="3" t="s">
        <v>8805</v>
      </c>
      <c r="G2163" s="6">
        <f t="shared" si="84"/>
        <v>378.31299999999999</v>
      </c>
      <c r="H2163" s="7">
        <v>41873</v>
      </c>
      <c r="I2163" s="6" t="s">
        <v>178</v>
      </c>
      <c r="J2163" s="6" t="s">
        <v>8806</v>
      </c>
      <c r="K2163" s="6" t="s">
        <v>21</v>
      </c>
      <c r="L2163" s="6">
        <v>13</v>
      </c>
      <c r="M2163" s="15" t="s">
        <v>8804</v>
      </c>
      <c r="N2163" s="15" t="s">
        <v>167</v>
      </c>
      <c r="O2163" s="28"/>
    </row>
    <row r="2164" spans="1:15" s="1" customFormat="1" ht="14.25" customHeight="1">
      <c r="A2164" s="3" t="s">
        <v>1127</v>
      </c>
      <c r="B2164" s="3"/>
      <c r="C2164" s="3"/>
      <c r="D2164" s="5" t="s">
        <v>1128</v>
      </c>
      <c r="E2164" s="5" t="s">
        <v>7026</v>
      </c>
      <c r="F2164" s="3" t="s">
        <v>8807</v>
      </c>
      <c r="G2164" s="6">
        <f t="shared" si="84"/>
        <v>349.21199999999999</v>
      </c>
      <c r="H2164" s="7">
        <v>41873</v>
      </c>
      <c r="I2164" s="6" t="s">
        <v>178</v>
      </c>
      <c r="J2164" s="6" t="s">
        <v>8808</v>
      </c>
      <c r="K2164" s="6" t="s">
        <v>21</v>
      </c>
      <c r="L2164" s="6">
        <v>12</v>
      </c>
      <c r="M2164" s="15" t="s">
        <v>8809</v>
      </c>
      <c r="N2164" s="15" t="s">
        <v>164</v>
      </c>
      <c r="O2164" s="28"/>
    </row>
    <row r="2165" spans="1:15" s="1" customFormat="1" ht="14.25" customHeight="1">
      <c r="A2165" s="3" t="s">
        <v>1127</v>
      </c>
      <c r="B2165" s="3"/>
      <c r="C2165" s="3"/>
      <c r="D2165" s="5" t="s">
        <v>1128</v>
      </c>
      <c r="E2165" s="5" t="s">
        <v>7026</v>
      </c>
      <c r="F2165" s="3" t="s">
        <v>8810</v>
      </c>
      <c r="G2165" s="6">
        <f t="shared" si="84"/>
        <v>378.31299999999999</v>
      </c>
      <c r="H2165" s="7">
        <v>41873</v>
      </c>
      <c r="I2165" s="6" t="s">
        <v>178</v>
      </c>
      <c r="J2165" s="6" t="s">
        <v>8811</v>
      </c>
      <c r="K2165" s="6" t="s">
        <v>21</v>
      </c>
      <c r="L2165" s="6">
        <v>13</v>
      </c>
      <c r="M2165" s="15" t="s">
        <v>8809</v>
      </c>
      <c r="N2165" s="15" t="s">
        <v>167</v>
      </c>
      <c r="O2165" s="28"/>
    </row>
    <row r="2166" spans="1:15" s="1" customFormat="1" ht="14.25" customHeight="1">
      <c r="A2166" s="22" t="s">
        <v>8812</v>
      </c>
      <c r="B2166" s="3"/>
      <c r="C2166" s="3"/>
      <c r="D2166" s="5" t="s">
        <v>8813</v>
      </c>
      <c r="E2166" s="5" t="s">
        <v>7026</v>
      </c>
      <c r="F2166" s="3" t="s">
        <v>11101</v>
      </c>
      <c r="G2166" s="6">
        <f>30.466*L2166</f>
        <v>182.79599999999999</v>
      </c>
      <c r="H2166" s="7">
        <v>41873</v>
      </c>
      <c r="I2166" s="6" t="s">
        <v>178</v>
      </c>
      <c r="J2166" s="6" t="s">
        <v>11102</v>
      </c>
      <c r="K2166" s="6" t="s">
        <v>21</v>
      </c>
      <c r="L2166" s="6">
        <v>6</v>
      </c>
      <c r="M2166" s="15" t="s">
        <v>8816</v>
      </c>
      <c r="N2166" s="15" t="s">
        <v>11103</v>
      </c>
      <c r="O2166" s="28"/>
    </row>
    <row r="2167" spans="1:15" ht="14.25" customHeight="1">
      <c r="A2167" s="3" t="s">
        <v>8812</v>
      </c>
      <c r="B2167" s="4"/>
      <c r="C2167" s="3"/>
      <c r="D2167" s="5" t="s">
        <v>8813</v>
      </c>
      <c r="E2167" s="5" t="s">
        <v>7026</v>
      </c>
      <c r="F2167" s="3" t="s">
        <v>8814</v>
      </c>
      <c r="G2167" s="6">
        <f>30.466*L2167</f>
        <v>213.262</v>
      </c>
      <c r="H2167" s="7">
        <v>41873</v>
      </c>
      <c r="I2167" s="6" t="s">
        <v>178</v>
      </c>
      <c r="J2167" s="6" t="s">
        <v>8815</v>
      </c>
      <c r="K2167" s="6" t="s">
        <v>21</v>
      </c>
      <c r="L2167" s="6">
        <v>7</v>
      </c>
      <c r="M2167" s="15" t="s">
        <v>8816</v>
      </c>
      <c r="N2167" s="15" t="s">
        <v>8817</v>
      </c>
      <c r="O2167" s="28"/>
    </row>
    <row r="2168" spans="1:15" ht="14.25" customHeight="1">
      <c r="A2168" s="3" t="s">
        <v>7145</v>
      </c>
      <c r="B2168" s="3"/>
      <c r="C2168" s="3"/>
      <c r="D2168" s="5" t="s">
        <v>170</v>
      </c>
      <c r="E2168" s="5" t="s">
        <v>7026</v>
      </c>
      <c r="F2168" s="3" t="s">
        <v>8818</v>
      </c>
      <c r="G2168" s="6">
        <f>17.498*L2168</f>
        <v>157.482</v>
      </c>
      <c r="H2168" s="7">
        <v>41873</v>
      </c>
      <c r="I2168" s="6" t="s">
        <v>265</v>
      </c>
      <c r="J2168" s="6" t="s">
        <v>8819</v>
      </c>
      <c r="K2168" s="6" t="s">
        <v>21</v>
      </c>
      <c r="L2168" s="6">
        <v>9</v>
      </c>
      <c r="M2168" s="15" t="s">
        <v>8760</v>
      </c>
      <c r="N2168" s="15" t="s">
        <v>111</v>
      </c>
      <c r="O2168" s="28"/>
    </row>
    <row r="2169" spans="1:15" ht="14.25" customHeight="1">
      <c r="A2169" s="3" t="s">
        <v>5572</v>
      </c>
      <c r="B2169" s="3"/>
      <c r="C2169" s="3"/>
      <c r="D2169" s="5" t="s">
        <v>5573</v>
      </c>
      <c r="E2169" s="5" t="s">
        <v>124</v>
      </c>
      <c r="F2169" s="3" t="s">
        <v>6371</v>
      </c>
      <c r="G2169" s="6">
        <v>33.231000000000002</v>
      </c>
      <c r="H2169" s="7">
        <v>41876</v>
      </c>
      <c r="I2169" s="6" t="s">
        <v>5437</v>
      </c>
      <c r="J2169" s="6" t="s">
        <v>6372</v>
      </c>
      <c r="K2169" s="6" t="s">
        <v>21</v>
      </c>
      <c r="L2169" s="6" t="s">
        <v>2968</v>
      </c>
      <c r="M2169" s="15" t="s">
        <v>6373</v>
      </c>
      <c r="N2169" s="15" t="s">
        <v>6374</v>
      </c>
      <c r="O2169" s="28" t="s">
        <v>6375</v>
      </c>
    </row>
    <row r="2170" spans="1:15" ht="14.25" customHeight="1">
      <c r="A2170" s="3" t="s">
        <v>1498</v>
      </c>
      <c r="B2170" s="3"/>
      <c r="C2170" s="3"/>
      <c r="D2170" s="5" t="s">
        <v>1499</v>
      </c>
      <c r="E2170" s="5" t="s">
        <v>124</v>
      </c>
      <c r="F2170" s="3" t="s">
        <v>6376</v>
      </c>
      <c r="G2170" s="6">
        <f>17.52*L2170</f>
        <v>175.2</v>
      </c>
      <c r="H2170" s="7">
        <v>41878</v>
      </c>
      <c r="I2170" s="6" t="s">
        <v>265</v>
      </c>
      <c r="J2170" s="6" t="s">
        <v>6377</v>
      </c>
      <c r="K2170" s="6" t="s">
        <v>21</v>
      </c>
      <c r="L2170" s="6">
        <v>10</v>
      </c>
      <c r="M2170" s="15" t="s">
        <v>6204</v>
      </c>
      <c r="N2170" s="15" t="s">
        <v>4849</v>
      </c>
      <c r="O2170" s="28" t="s">
        <v>6378</v>
      </c>
    </row>
    <row r="2171" spans="1:15" ht="14.25" customHeight="1">
      <c r="A2171" s="3" t="s">
        <v>1498</v>
      </c>
      <c r="B2171" s="3"/>
      <c r="C2171" s="3"/>
      <c r="D2171" s="5" t="s">
        <v>1499</v>
      </c>
      <c r="E2171" s="5" t="s">
        <v>124</v>
      </c>
      <c r="F2171" s="3" t="s">
        <v>9442</v>
      </c>
      <c r="G2171" s="6">
        <f>17.52*L2171</f>
        <v>175.2</v>
      </c>
      <c r="H2171" s="7">
        <v>41878</v>
      </c>
      <c r="I2171" s="6" t="s">
        <v>265</v>
      </c>
      <c r="J2171" s="6" t="s">
        <v>9443</v>
      </c>
      <c r="K2171" s="6" t="s">
        <v>21</v>
      </c>
      <c r="L2171" s="6">
        <v>10</v>
      </c>
      <c r="M2171" s="15" t="s">
        <v>6204</v>
      </c>
      <c r="N2171" s="15" t="s">
        <v>4872</v>
      </c>
      <c r="O2171" s="28" t="s">
        <v>9444</v>
      </c>
    </row>
    <row r="2172" spans="1:15" s="1" customFormat="1" ht="14.25" customHeight="1">
      <c r="A2172" s="3" t="s">
        <v>777</v>
      </c>
      <c r="B2172" s="3"/>
      <c r="C2172" s="3"/>
      <c r="D2172" s="5" t="s">
        <v>778</v>
      </c>
      <c r="E2172" s="5" t="s">
        <v>124</v>
      </c>
      <c r="F2172" s="3" t="s">
        <v>6379</v>
      </c>
      <c r="G2172" s="6">
        <f>17.52*L2172</f>
        <v>70.08</v>
      </c>
      <c r="H2172" s="7">
        <v>41878</v>
      </c>
      <c r="I2172" s="6" t="s">
        <v>265</v>
      </c>
      <c r="J2172" s="6" t="s">
        <v>6380</v>
      </c>
      <c r="K2172" s="6" t="s">
        <v>21</v>
      </c>
      <c r="L2172" s="6">
        <v>4</v>
      </c>
      <c r="M2172" s="15" t="s">
        <v>5331</v>
      </c>
      <c r="N2172" s="15" t="s">
        <v>46</v>
      </c>
      <c r="O2172" s="28" t="s">
        <v>6381</v>
      </c>
    </row>
    <row r="2173" spans="1:15" s="1" customFormat="1" ht="14.25" customHeight="1">
      <c r="A2173" s="3" t="s">
        <v>1187</v>
      </c>
      <c r="B2173" s="3"/>
      <c r="C2173" s="3"/>
      <c r="D2173" s="5" t="s">
        <v>1188</v>
      </c>
      <c r="E2173" s="5" t="s">
        <v>124</v>
      </c>
      <c r="F2173" s="3" t="s">
        <v>6382</v>
      </c>
      <c r="G2173" s="6">
        <f>29.101*L2173</f>
        <v>232.80799999999999</v>
      </c>
      <c r="H2173" s="7">
        <v>41878</v>
      </c>
      <c r="I2173" s="6" t="s">
        <v>178</v>
      </c>
      <c r="J2173" s="6" t="s">
        <v>6383</v>
      </c>
      <c r="K2173" s="6" t="s">
        <v>21</v>
      </c>
      <c r="L2173" s="6">
        <v>8</v>
      </c>
      <c r="M2173" s="15" t="s">
        <v>5949</v>
      </c>
      <c r="N2173" s="15" t="s">
        <v>892</v>
      </c>
      <c r="O2173" s="28" t="s">
        <v>6384</v>
      </c>
    </row>
    <row r="2174" spans="1:15" s="1" customFormat="1" ht="14.25" customHeight="1">
      <c r="A2174" s="3" t="s">
        <v>1187</v>
      </c>
      <c r="B2174" s="3"/>
      <c r="C2174" s="3"/>
      <c r="D2174" s="5" t="s">
        <v>1188</v>
      </c>
      <c r="E2174" s="5" t="s">
        <v>124</v>
      </c>
      <c r="F2174" s="3" t="s">
        <v>6385</v>
      </c>
      <c r="G2174" s="6">
        <f>29.101*L2174</f>
        <v>261.90899999999999</v>
      </c>
      <c r="H2174" s="7">
        <v>41878</v>
      </c>
      <c r="I2174" s="6" t="s">
        <v>178</v>
      </c>
      <c r="J2174" s="6" t="s">
        <v>6386</v>
      </c>
      <c r="K2174" s="6" t="s">
        <v>21</v>
      </c>
      <c r="L2174" s="6">
        <v>9</v>
      </c>
      <c r="M2174" s="15" t="s">
        <v>5949</v>
      </c>
      <c r="N2174" s="15" t="s">
        <v>896</v>
      </c>
      <c r="O2174" s="28" t="s">
        <v>6387</v>
      </c>
    </row>
    <row r="2175" spans="1:15" s="1" customFormat="1" ht="14.25" customHeight="1">
      <c r="A2175" s="3" t="s">
        <v>1187</v>
      </c>
      <c r="B2175" s="3"/>
      <c r="C2175" s="3"/>
      <c r="D2175" s="5" t="s">
        <v>1188</v>
      </c>
      <c r="E2175" s="5" t="s">
        <v>124</v>
      </c>
      <c r="F2175" s="3" t="s">
        <v>6388</v>
      </c>
      <c r="G2175" s="6">
        <f>29.101*L2175</f>
        <v>203.70699999999999</v>
      </c>
      <c r="H2175" s="7">
        <v>41878</v>
      </c>
      <c r="I2175" s="6" t="s">
        <v>178</v>
      </c>
      <c r="J2175" s="6" t="s">
        <v>6389</v>
      </c>
      <c r="K2175" s="6" t="s">
        <v>21</v>
      </c>
      <c r="L2175" s="6">
        <v>7</v>
      </c>
      <c r="M2175" s="15" t="s">
        <v>6390</v>
      </c>
      <c r="N2175" s="15" t="s">
        <v>1460</v>
      </c>
      <c r="O2175" s="28" t="s">
        <v>6390</v>
      </c>
    </row>
    <row r="2176" spans="1:15" s="1" customFormat="1" ht="14.25" customHeight="1">
      <c r="A2176" s="3" t="s">
        <v>846</v>
      </c>
      <c r="B2176" s="4"/>
      <c r="C2176" s="3"/>
      <c r="D2176" s="5" t="s">
        <v>191</v>
      </c>
      <c r="E2176" s="5" t="s">
        <v>124</v>
      </c>
      <c r="F2176" s="3" t="s">
        <v>6391</v>
      </c>
      <c r="G2176" s="6">
        <f t="shared" ref="G2176:G2186" si="85">18.708*L2176</f>
        <v>205.78799999999998</v>
      </c>
      <c r="H2176" s="7">
        <v>41878</v>
      </c>
      <c r="I2176" s="6" t="s">
        <v>247</v>
      </c>
      <c r="J2176" s="6" t="s">
        <v>6392</v>
      </c>
      <c r="K2176" s="6" t="s">
        <v>21</v>
      </c>
      <c r="L2176" s="6">
        <v>11</v>
      </c>
      <c r="M2176" s="15" t="s">
        <v>6393</v>
      </c>
      <c r="N2176" s="15" t="s">
        <v>2393</v>
      </c>
      <c r="O2176" s="28" t="s">
        <v>6393</v>
      </c>
    </row>
    <row r="2177" spans="1:15" s="1" customFormat="1" ht="14.25" customHeight="1">
      <c r="A2177" s="3" t="s">
        <v>846</v>
      </c>
      <c r="B2177" s="3"/>
      <c r="C2177" s="3"/>
      <c r="D2177" s="5" t="s">
        <v>191</v>
      </c>
      <c r="E2177" s="5" t="s">
        <v>124</v>
      </c>
      <c r="F2177" s="3" t="s">
        <v>6394</v>
      </c>
      <c r="G2177" s="6">
        <f t="shared" si="85"/>
        <v>224.49599999999998</v>
      </c>
      <c r="H2177" s="7">
        <v>41878</v>
      </c>
      <c r="I2177" s="6" t="s">
        <v>247</v>
      </c>
      <c r="J2177" s="6" t="s">
        <v>6395</v>
      </c>
      <c r="K2177" s="6" t="s">
        <v>21</v>
      </c>
      <c r="L2177" s="6">
        <v>12</v>
      </c>
      <c r="M2177" s="15" t="s">
        <v>6393</v>
      </c>
      <c r="N2177" s="15" t="s">
        <v>1211</v>
      </c>
      <c r="O2177" s="28" t="s">
        <v>6396</v>
      </c>
    </row>
    <row r="2178" spans="1:15" s="1" customFormat="1" ht="14.25" customHeight="1">
      <c r="A2178" s="3" t="s">
        <v>846</v>
      </c>
      <c r="B2178" s="3"/>
      <c r="C2178" s="3"/>
      <c r="D2178" s="5" t="s">
        <v>191</v>
      </c>
      <c r="E2178" s="5" t="s">
        <v>124</v>
      </c>
      <c r="F2178" s="3" t="s">
        <v>6397</v>
      </c>
      <c r="G2178" s="6">
        <f t="shared" si="85"/>
        <v>224.49599999999998</v>
      </c>
      <c r="H2178" s="7">
        <v>41878</v>
      </c>
      <c r="I2178" s="6" t="s">
        <v>247</v>
      </c>
      <c r="J2178" s="6" t="s">
        <v>6398</v>
      </c>
      <c r="K2178" s="6" t="s">
        <v>21</v>
      </c>
      <c r="L2178" s="6">
        <v>12</v>
      </c>
      <c r="M2178" s="15" t="s">
        <v>6399</v>
      </c>
      <c r="N2178" s="15" t="s">
        <v>164</v>
      </c>
      <c r="O2178" s="28" t="s">
        <v>6399</v>
      </c>
    </row>
    <row r="2179" spans="1:15" s="1" customFormat="1" ht="14.25" customHeight="1">
      <c r="A2179" s="3" t="s">
        <v>846</v>
      </c>
      <c r="B2179" s="3"/>
      <c r="C2179" s="3"/>
      <c r="D2179" s="5" t="s">
        <v>191</v>
      </c>
      <c r="E2179" s="5" t="s">
        <v>124</v>
      </c>
      <c r="F2179" s="3" t="s">
        <v>6400</v>
      </c>
      <c r="G2179" s="6">
        <f t="shared" si="85"/>
        <v>243.20399999999998</v>
      </c>
      <c r="H2179" s="7">
        <v>41878</v>
      </c>
      <c r="I2179" s="6" t="s">
        <v>247</v>
      </c>
      <c r="J2179" s="6" t="s">
        <v>6401</v>
      </c>
      <c r="K2179" s="6" t="s">
        <v>21</v>
      </c>
      <c r="L2179" s="6">
        <v>13</v>
      </c>
      <c r="M2179" s="15" t="s">
        <v>6399</v>
      </c>
      <c r="N2179" s="15" t="s">
        <v>167</v>
      </c>
      <c r="O2179" s="28" t="s">
        <v>6402</v>
      </c>
    </row>
    <row r="2180" spans="1:15" ht="14.25" customHeight="1">
      <c r="A2180" s="3" t="s">
        <v>846</v>
      </c>
      <c r="B2180" s="3"/>
      <c r="C2180" s="3"/>
      <c r="D2180" s="5" t="s">
        <v>191</v>
      </c>
      <c r="E2180" s="5" t="s">
        <v>124</v>
      </c>
      <c r="F2180" s="3" t="s">
        <v>9445</v>
      </c>
      <c r="G2180" s="6">
        <f t="shared" si="85"/>
        <v>224.49599999999998</v>
      </c>
      <c r="H2180" s="7">
        <v>41878</v>
      </c>
      <c r="I2180" s="6" t="s">
        <v>247</v>
      </c>
      <c r="J2180" s="6" t="s">
        <v>9446</v>
      </c>
      <c r="K2180" s="6" t="s">
        <v>21</v>
      </c>
      <c r="L2180" s="6">
        <v>12</v>
      </c>
      <c r="M2180" s="15" t="s">
        <v>6405</v>
      </c>
      <c r="N2180" s="15" t="s">
        <v>164</v>
      </c>
      <c r="O2180" s="28" t="s">
        <v>6405</v>
      </c>
    </row>
    <row r="2181" spans="1:15" s="1" customFormat="1" ht="14.25" customHeight="1">
      <c r="A2181" s="3" t="s">
        <v>846</v>
      </c>
      <c r="B2181" s="3"/>
      <c r="C2181" s="3"/>
      <c r="D2181" s="5" t="s">
        <v>191</v>
      </c>
      <c r="E2181" s="5" t="s">
        <v>124</v>
      </c>
      <c r="F2181" s="3" t="s">
        <v>6403</v>
      </c>
      <c r="G2181" s="6">
        <f t="shared" si="85"/>
        <v>243.20399999999998</v>
      </c>
      <c r="H2181" s="7">
        <v>41878</v>
      </c>
      <c r="I2181" s="6" t="s">
        <v>247</v>
      </c>
      <c r="J2181" s="6" t="s">
        <v>6404</v>
      </c>
      <c r="K2181" s="6" t="s">
        <v>21</v>
      </c>
      <c r="L2181" s="6">
        <v>13</v>
      </c>
      <c r="M2181" s="15" t="s">
        <v>6405</v>
      </c>
      <c r="N2181" s="15" t="s">
        <v>167</v>
      </c>
      <c r="O2181" s="28" t="s">
        <v>6406</v>
      </c>
    </row>
    <row r="2182" spans="1:15" ht="14.25" customHeight="1">
      <c r="A2182" s="3" t="s">
        <v>772</v>
      </c>
      <c r="B2182" s="3"/>
      <c r="C2182" s="3"/>
      <c r="D2182" s="5" t="s">
        <v>773</v>
      </c>
      <c r="E2182" s="5" t="s">
        <v>124</v>
      </c>
      <c r="F2182" s="3" t="s">
        <v>6407</v>
      </c>
      <c r="G2182" s="6">
        <f t="shared" si="85"/>
        <v>37.415999999999997</v>
      </c>
      <c r="H2182" s="7">
        <v>41878</v>
      </c>
      <c r="I2182" s="6" t="s">
        <v>265</v>
      </c>
      <c r="J2182" s="6" t="s">
        <v>6408</v>
      </c>
      <c r="K2182" s="6" t="s">
        <v>21</v>
      </c>
      <c r="L2182" s="6">
        <v>2</v>
      </c>
      <c r="M2182" s="15" t="s">
        <v>6409</v>
      </c>
      <c r="N2182" s="15" t="s">
        <v>5185</v>
      </c>
      <c r="O2182" s="28" t="s">
        <v>6409</v>
      </c>
    </row>
    <row r="2183" spans="1:15" s="1" customFormat="1" ht="14.25" customHeight="1">
      <c r="A2183" s="3" t="s">
        <v>772</v>
      </c>
      <c r="B2183" s="3"/>
      <c r="C2183" s="3"/>
      <c r="D2183" s="5" t="s">
        <v>773</v>
      </c>
      <c r="E2183" s="5" t="s">
        <v>124</v>
      </c>
      <c r="F2183" s="3" t="s">
        <v>6410</v>
      </c>
      <c r="G2183" s="6">
        <f t="shared" si="85"/>
        <v>243.20399999999998</v>
      </c>
      <c r="H2183" s="7">
        <v>41878</v>
      </c>
      <c r="I2183" s="6" t="s">
        <v>265</v>
      </c>
      <c r="J2183" s="6" t="s">
        <v>6411</v>
      </c>
      <c r="K2183" s="6" t="s">
        <v>21</v>
      </c>
      <c r="L2183" s="6">
        <v>13</v>
      </c>
      <c r="M2183" s="15" t="s">
        <v>6295</v>
      </c>
      <c r="N2183" s="15" t="s">
        <v>167</v>
      </c>
      <c r="O2183" s="28" t="s">
        <v>6412</v>
      </c>
    </row>
    <row r="2184" spans="1:15" s="1" customFormat="1" ht="14.25" customHeight="1">
      <c r="A2184" s="3" t="s">
        <v>772</v>
      </c>
      <c r="B2184" s="3"/>
      <c r="C2184" s="3"/>
      <c r="D2184" s="5" t="s">
        <v>773</v>
      </c>
      <c r="E2184" s="5" t="s">
        <v>124</v>
      </c>
      <c r="F2184" s="3" t="s">
        <v>6413</v>
      </c>
      <c r="G2184" s="6">
        <f t="shared" si="85"/>
        <v>224.49599999999998</v>
      </c>
      <c r="H2184" s="7">
        <v>41878</v>
      </c>
      <c r="I2184" s="6" t="s">
        <v>265</v>
      </c>
      <c r="J2184" s="6" t="s">
        <v>6414</v>
      </c>
      <c r="K2184" s="6" t="s">
        <v>21</v>
      </c>
      <c r="L2184" s="6">
        <v>12</v>
      </c>
      <c r="M2184" s="15" t="s">
        <v>6415</v>
      </c>
      <c r="N2184" s="15" t="s">
        <v>164</v>
      </c>
      <c r="O2184" s="28" t="s">
        <v>6415</v>
      </c>
    </row>
    <row r="2185" spans="1:15" s="1" customFormat="1" ht="14.25" customHeight="1">
      <c r="A2185" s="3" t="s">
        <v>772</v>
      </c>
      <c r="B2185" s="3"/>
      <c r="C2185" s="3"/>
      <c r="D2185" s="5" t="s">
        <v>773</v>
      </c>
      <c r="E2185" s="5" t="s">
        <v>124</v>
      </c>
      <c r="F2185" s="3" t="s">
        <v>6416</v>
      </c>
      <c r="G2185" s="6">
        <f t="shared" si="85"/>
        <v>243.20399999999998</v>
      </c>
      <c r="H2185" s="7">
        <v>41878</v>
      </c>
      <c r="I2185" s="6" t="s">
        <v>265</v>
      </c>
      <c r="J2185" s="6" t="s">
        <v>6417</v>
      </c>
      <c r="K2185" s="6" t="s">
        <v>21</v>
      </c>
      <c r="L2185" s="6">
        <v>13</v>
      </c>
      <c r="M2185" s="15" t="s">
        <v>6415</v>
      </c>
      <c r="N2185" s="15" t="s">
        <v>167</v>
      </c>
      <c r="O2185" s="28" t="s">
        <v>6418</v>
      </c>
    </row>
    <row r="2186" spans="1:15" s="1" customFormat="1" ht="14.25" customHeight="1">
      <c r="A2186" s="3" t="s">
        <v>898</v>
      </c>
      <c r="B2186" s="3"/>
      <c r="C2186" s="3"/>
      <c r="D2186" s="5" t="s">
        <v>899</v>
      </c>
      <c r="E2186" s="5" t="s">
        <v>124</v>
      </c>
      <c r="F2186" s="3" t="s">
        <v>6419</v>
      </c>
      <c r="G2186" s="6">
        <f t="shared" si="85"/>
        <v>74.831999999999994</v>
      </c>
      <c r="H2186" s="7">
        <v>41878</v>
      </c>
      <c r="I2186" s="6" t="s">
        <v>209</v>
      </c>
      <c r="J2186" s="6" t="s">
        <v>6420</v>
      </c>
      <c r="K2186" s="6" t="s">
        <v>21</v>
      </c>
      <c r="L2186" s="6">
        <v>4</v>
      </c>
      <c r="M2186" s="15" t="s">
        <v>6213</v>
      </c>
      <c r="N2186" s="15" t="s">
        <v>5972</v>
      </c>
      <c r="O2186" s="28" t="s">
        <v>6421</v>
      </c>
    </row>
    <row r="2187" spans="1:15" ht="14.25" customHeight="1">
      <c r="A2187" s="3" t="s">
        <v>3870</v>
      </c>
      <c r="B2187" s="3"/>
      <c r="C2187" s="3"/>
      <c r="D2187" s="5" t="s">
        <v>3871</v>
      </c>
      <c r="E2187" s="5" t="s">
        <v>124</v>
      </c>
      <c r="F2187" s="3" t="s">
        <v>6422</v>
      </c>
      <c r="G2187" s="6">
        <f>13.006*L2187</f>
        <v>130.06</v>
      </c>
      <c r="H2187" s="7">
        <v>41878</v>
      </c>
      <c r="I2187" s="6" t="s">
        <v>3873</v>
      </c>
      <c r="J2187" s="6" t="s">
        <v>6423</v>
      </c>
      <c r="K2187" s="6" t="s">
        <v>21</v>
      </c>
      <c r="L2187" s="6">
        <v>10</v>
      </c>
      <c r="M2187" s="15" t="s">
        <v>6185</v>
      </c>
      <c r="N2187" s="15" t="s">
        <v>4872</v>
      </c>
      <c r="O2187" s="28" t="s">
        <v>6424</v>
      </c>
    </row>
    <row r="2188" spans="1:15" s="1" customFormat="1" ht="14.25" customHeight="1">
      <c r="A2188" s="3" t="s">
        <v>469</v>
      </c>
      <c r="B2188" s="3"/>
      <c r="C2188" s="3"/>
      <c r="D2188" s="5" t="s">
        <v>276</v>
      </c>
      <c r="E2188" s="5" t="s">
        <v>124</v>
      </c>
      <c r="F2188" s="3" t="s">
        <v>6425</v>
      </c>
      <c r="G2188" s="6">
        <f>6.405*L2188</f>
        <v>64.05</v>
      </c>
      <c r="H2188" s="7">
        <v>41878</v>
      </c>
      <c r="I2188" s="6" t="s">
        <v>471</v>
      </c>
      <c r="J2188" s="6" t="s">
        <v>6426</v>
      </c>
      <c r="K2188" s="6" t="s">
        <v>21</v>
      </c>
      <c r="L2188" s="6">
        <v>10</v>
      </c>
      <c r="M2188" s="15" t="s">
        <v>6427</v>
      </c>
      <c r="N2188" s="15" t="s">
        <v>4953</v>
      </c>
      <c r="O2188" s="28" t="s">
        <v>6427</v>
      </c>
    </row>
    <row r="2189" spans="1:15" ht="14.25" customHeight="1">
      <c r="A2189" s="3" t="s">
        <v>469</v>
      </c>
      <c r="B2189" s="3"/>
      <c r="C2189" s="3"/>
      <c r="D2189" s="5" t="s">
        <v>276</v>
      </c>
      <c r="E2189" s="5" t="s">
        <v>124</v>
      </c>
      <c r="F2189" s="3" t="s">
        <v>6428</v>
      </c>
      <c r="G2189" s="6">
        <f>6.405*L2189</f>
        <v>64.05</v>
      </c>
      <c r="H2189" s="7">
        <v>41878</v>
      </c>
      <c r="I2189" s="6" t="s">
        <v>471</v>
      </c>
      <c r="J2189" s="6" t="s">
        <v>6429</v>
      </c>
      <c r="K2189" s="6" t="s">
        <v>21</v>
      </c>
      <c r="L2189" s="6">
        <v>10</v>
      </c>
      <c r="M2189" s="15" t="s">
        <v>6427</v>
      </c>
      <c r="N2189" s="15" t="s">
        <v>556</v>
      </c>
      <c r="O2189" s="28" t="s">
        <v>6430</v>
      </c>
    </row>
    <row r="2190" spans="1:15" s="1" customFormat="1" ht="14.25" customHeight="1">
      <c r="A2190" s="3" t="s">
        <v>275</v>
      </c>
      <c r="B2190" s="3"/>
      <c r="C2190" s="3"/>
      <c r="D2190" s="5" t="s">
        <v>276</v>
      </c>
      <c r="E2190" s="5" t="s">
        <v>124</v>
      </c>
      <c r="F2190" s="3" t="s">
        <v>6431</v>
      </c>
      <c r="G2190" s="6">
        <f>6.405*L2190</f>
        <v>32.024999999999999</v>
      </c>
      <c r="H2190" s="7">
        <v>41878</v>
      </c>
      <c r="I2190" s="6" t="s">
        <v>471</v>
      </c>
      <c r="J2190" s="6" t="s">
        <v>6432</v>
      </c>
      <c r="K2190" s="6" t="s">
        <v>21</v>
      </c>
      <c r="L2190" s="6">
        <v>5</v>
      </c>
      <c r="M2190" s="15" t="s">
        <v>6427</v>
      </c>
      <c r="N2190" s="15" t="s">
        <v>1284</v>
      </c>
      <c r="O2190" s="28" t="s">
        <v>6433</v>
      </c>
    </row>
    <row r="2191" spans="1:15" s="1" customFormat="1" ht="14.25" customHeight="1">
      <c r="A2191" s="3" t="s">
        <v>275</v>
      </c>
      <c r="B2191" s="3"/>
      <c r="C2191" s="3"/>
      <c r="D2191" s="5" t="s">
        <v>276</v>
      </c>
      <c r="E2191" s="5" t="s">
        <v>124</v>
      </c>
      <c r="F2191" s="3" t="s">
        <v>9447</v>
      </c>
      <c r="G2191" s="6">
        <f>6.405*L2191</f>
        <v>96.075000000000003</v>
      </c>
      <c r="H2191" s="7">
        <v>41878</v>
      </c>
      <c r="I2191" s="6" t="s">
        <v>471</v>
      </c>
      <c r="J2191" s="6" t="s">
        <v>9448</v>
      </c>
      <c r="K2191" s="6" t="s">
        <v>21</v>
      </c>
      <c r="L2191" s="6">
        <v>15</v>
      </c>
      <c r="M2191" s="15" t="s">
        <v>9449</v>
      </c>
      <c r="N2191" s="15" t="s">
        <v>1149</v>
      </c>
      <c r="O2191" s="28" t="s">
        <v>9449</v>
      </c>
    </row>
    <row r="2192" spans="1:15" ht="14.25" customHeight="1">
      <c r="A2192" s="3" t="s">
        <v>1127</v>
      </c>
      <c r="B2192" s="3"/>
      <c r="C2192" s="3"/>
      <c r="D2192" s="5" t="s">
        <v>1128</v>
      </c>
      <c r="E2192" s="5" t="s">
        <v>7026</v>
      </c>
      <c r="F2192" s="3" t="s">
        <v>8820</v>
      </c>
      <c r="G2192" s="6">
        <f t="shared" ref="G2192:G2199" si="86">29.101*L2192</f>
        <v>349.21199999999999</v>
      </c>
      <c r="H2192" s="7">
        <v>41878</v>
      </c>
      <c r="I2192" s="6" t="s">
        <v>178</v>
      </c>
      <c r="J2192" s="6" t="s">
        <v>8821</v>
      </c>
      <c r="K2192" s="6" t="s">
        <v>21</v>
      </c>
      <c r="L2192" s="6">
        <v>12</v>
      </c>
      <c r="M2192" s="15" t="s">
        <v>8822</v>
      </c>
      <c r="N2192" s="15" t="s">
        <v>164</v>
      </c>
      <c r="O2192" s="28"/>
    </row>
    <row r="2193" spans="1:15" s="1" customFormat="1" ht="14.25" customHeight="1">
      <c r="A2193" s="3" t="s">
        <v>1127</v>
      </c>
      <c r="B2193" s="3"/>
      <c r="C2193" s="3"/>
      <c r="D2193" s="5" t="s">
        <v>1128</v>
      </c>
      <c r="E2193" s="5" t="s">
        <v>7026</v>
      </c>
      <c r="F2193" s="3" t="s">
        <v>8823</v>
      </c>
      <c r="G2193" s="6">
        <f t="shared" si="86"/>
        <v>378.31299999999999</v>
      </c>
      <c r="H2193" s="7">
        <v>41878</v>
      </c>
      <c r="I2193" s="6" t="s">
        <v>178</v>
      </c>
      <c r="J2193" s="6" t="s">
        <v>8824</v>
      </c>
      <c r="K2193" s="6" t="s">
        <v>21</v>
      </c>
      <c r="L2193" s="6">
        <v>13</v>
      </c>
      <c r="M2193" s="15" t="s">
        <v>8822</v>
      </c>
      <c r="N2193" s="15" t="s">
        <v>167</v>
      </c>
      <c r="O2193" s="28"/>
    </row>
    <row r="2194" spans="1:15" s="1" customFormat="1" ht="14.25" customHeight="1">
      <c r="A2194" s="3" t="s">
        <v>1127</v>
      </c>
      <c r="B2194" s="3"/>
      <c r="C2194" s="3"/>
      <c r="D2194" s="5" t="s">
        <v>1128</v>
      </c>
      <c r="E2194" s="5" t="s">
        <v>7026</v>
      </c>
      <c r="F2194" s="3" t="s">
        <v>8825</v>
      </c>
      <c r="G2194" s="6">
        <f t="shared" si="86"/>
        <v>87.302999999999997</v>
      </c>
      <c r="H2194" s="7">
        <v>41878</v>
      </c>
      <c r="I2194" s="6" t="s">
        <v>178</v>
      </c>
      <c r="J2194" s="6" t="s">
        <v>8826</v>
      </c>
      <c r="K2194" s="6" t="s">
        <v>21</v>
      </c>
      <c r="L2194" s="6">
        <v>3</v>
      </c>
      <c r="M2194" s="15" t="s">
        <v>8827</v>
      </c>
      <c r="N2194" s="15" t="s">
        <v>657</v>
      </c>
      <c r="O2194" s="28"/>
    </row>
    <row r="2195" spans="1:15" s="1" customFormat="1" ht="14.25" customHeight="1">
      <c r="A2195" s="3" t="s">
        <v>1127</v>
      </c>
      <c r="B2195" s="3"/>
      <c r="C2195" s="3"/>
      <c r="D2195" s="5" t="s">
        <v>1128</v>
      </c>
      <c r="E2195" s="5" t="s">
        <v>7026</v>
      </c>
      <c r="F2195" s="3" t="s">
        <v>8828</v>
      </c>
      <c r="G2195" s="6">
        <f t="shared" si="86"/>
        <v>116.404</v>
      </c>
      <c r="H2195" s="7">
        <v>41878</v>
      </c>
      <c r="I2195" s="6" t="s">
        <v>178</v>
      </c>
      <c r="J2195" s="6" t="s">
        <v>8829</v>
      </c>
      <c r="K2195" s="6" t="s">
        <v>21</v>
      </c>
      <c r="L2195" s="6">
        <v>4</v>
      </c>
      <c r="M2195" s="15" t="s">
        <v>8830</v>
      </c>
      <c r="N2195" s="15" t="s">
        <v>8831</v>
      </c>
      <c r="O2195" s="28"/>
    </row>
    <row r="2196" spans="1:15" s="1" customFormat="1" ht="14.25" customHeight="1">
      <c r="A2196" s="3" t="s">
        <v>1127</v>
      </c>
      <c r="B2196" s="3"/>
      <c r="C2196" s="3"/>
      <c r="D2196" s="5" t="s">
        <v>1128</v>
      </c>
      <c r="E2196" s="5" t="s">
        <v>7026</v>
      </c>
      <c r="F2196" s="3" t="s">
        <v>8832</v>
      </c>
      <c r="G2196" s="6">
        <f t="shared" si="86"/>
        <v>349.21199999999999</v>
      </c>
      <c r="H2196" s="7">
        <v>41878</v>
      </c>
      <c r="I2196" s="6" t="s">
        <v>178</v>
      </c>
      <c r="J2196" s="6" t="s">
        <v>8833</v>
      </c>
      <c r="K2196" s="6" t="s">
        <v>21</v>
      </c>
      <c r="L2196" s="6">
        <v>12</v>
      </c>
      <c r="M2196" s="15" t="s">
        <v>8834</v>
      </c>
      <c r="N2196" s="15" t="s">
        <v>8835</v>
      </c>
      <c r="O2196" s="28"/>
    </row>
    <row r="2197" spans="1:15" ht="14.25" customHeight="1">
      <c r="A2197" s="3" t="s">
        <v>1127</v>
      </c>
      <c r="B2197" s="3"/>
      <c r="C2197" s="3"/>
      <c r="D2197" s="5" t="s">
        <v>1128</v>
      </c>
      <c r="E2197" s="5" t="s">
        <v>7026</v>
      </c>
      <c r="F2197" s="3" t="s">
        <v>8836</v>
      </c>
      <c r="G2197" s="6">
        <f t="shared" si="86"/>
        <v>378.31299999999999</v>
      </c>
      <c r="H2197" s="7">
        <v>41878</v>
      </c>
      <c r="I2197" s="6" t="s">
        <v>178</v>
      </c>
      <c r="J2197" s="6" t="s">
        <v>8837</v>
      </c>
      <c r="K2197" s="6" t="s">
        <v>21</v>
      </c>
      <c r="L2197" s="6">
        <v>13</v>
      </c>
      <c r="M2197" s="15" t="s">
        <v>8838</v>
      </c>
      <c r="N2197" s="15" t="s">
        <v>8839</v>
      </c>
      <c r="O2197" s="28"/>
    </row>
    <row r="2198" spans="1:15" s="1" customFormat="1" ht="14.25" customHeight="1">
      <c r="A2198" s="3" t="s">
        <v>1127</v>
      </c>
      <c r="B2198" s="3"/>
      <c r="C2198" s="3"/>
      <c r="D2198" s="5" t="s">
        <v>1128</v>
      </c>
      <c r="E2198" s="5" t="s">
        <v>7026</v>
      </c>
      <c r="F2198" s="3" t="s">
        <v>8840</v>
      </c>
      <c r="G2198" s="6">
        <f t="shared" si="86"/>
        <v>203.70699999999999</v>
      </c>
      <c r="H2198" s="7">
        <v>41878</v>
      </c>
      <c r="I2198" s="6" t="s">
        <v>178</v>
      </c>
      <c r="J2198" s="6" t="s">
        <v>8841</v>
      </c>
      <c r="K2198" s="6" t="s">
        <v>21</v>
      </c>
      <c r="L2198" s="6">
        <v>7</v>
      </c>
      <c r="M2198" s="15" t="s">
        <v>8842</v>
      </c>
      <c r="N2198" s="15" t="s">
        <v>8843</v>
      </c>
      <c r="O2198" s="28"/>
    </row>
    <row r="2199" spans="1:15" s="1" customFormat="1" ht="14.25" customHeight="1">
      <c r="A2199" s="3" t="s">
        <v>1127</v>
      </c>
      <c r="B2199" s="3"/>
      <c r="C2199" s="3"/>
      <c r="D2199" s="5" t="s">
        <v>1128</v>
      </c>
      <c r="E2199" s="5" t="s">
        <v>7026</v>
      </c>
      <c r="F2199" s="3" t="s">
        <v>8844</v>
      </c>
      <c r="G2199" s="6">
        <f t="shared" si="86"/>
        <v>232.80799999999999</v>
      </c>
      <c r="H2199" s="7">
        <v>41878</v>
      </c>
      <c r="I2199" s="6" t="s">
        <v>178</v>
      </c>
      <c r="J2199" s="6" t="s">
        <v>8845</v>
      </c>
      <c r="K2199" s="6" t="s">
        <v>21</v>
      </c>
      <c r="L2199" s="6">
        <v>8</v>
      </c>
      <c r="M2199" s="15" t="s">
        <v>8842</v>
      </c>
      <c r="N2199" s="15" t="s">
        <v>8846</v>
      </c>
      <c r="O2199" s="28"/>
    </row>
    <row r="2200" spans="1:15" s="1" customFormat="1" ht="14.25" customHeight="1">
      <c r="A2200" s="3" t="s">
        <v>1043</v>
      </c>
      <c r="B2200" s="3"/>
      <c r="C2200" s="3"/>
      <c r="D2200" s="5" t="s">
        <v>443</v>
      </c>
      <c r="E2200" s="5" t="s">
        <v>7026</v>
      </c>
      <c r="F2200" s="3" t="s">
        <v>8847</v>
      </c>
      <c r="G2200" s="6">
        <f t="shared" ref="G2200:G2206" si="87">18.708*L2200</f>
        <v>224.49599999999998</v>
      </c>
      <c r="H2200" s="7">
        <v>41878</v>
      </c>
      <c r="I2200" s="40" t="s">
        <v>8264</v>
      </c>
      <c r="J2200" s="6" t="s">
        <v>8848</v>
      </c>
      <c r="K2200" s="6" t="s">
        <v>21</v>
      </c>
      <c r="L2200" s="6">
        <v>12</v>
      </c>
      <c r="M2200" s="15" t="s">
        <v>8747</v>
      </c>
      <c r="N2200" s="15" t="s">
        <v>8788</v>
      </c>
      <c r="O2200" s="28"/>
    </row>
    <row r="2201" spans="1:15" s="1" customFormat="1" ht="14.25" customHeight="1">
      <c r="A2201" s="3" t="s">
        <v>1043</v>
      </c>
      <c r="B2201" s="3"/>
      <c r="C2201" s="3"/>
      <c r="D2201" s="5" t="s">
        <v>443</v>
      </c>
      <c r="E2201" s="5" t="s">
        <v>7026</v>
      </c>
      <c r="F2201" s="3" t="s">
        <v>8849</v>
      </c>
      <c r="G2201" s="6">
        <f t="shared" si="87"/>
        <v>261.91199999999998</v>
      </c>
      <c r="H2201" s="7">
        <v>41878</v>
      </c>
      <c r="I2201" s="40" t="s">
        <v>8264</v>
      </c>
      <c r="J2201" s="6" t="s">
        <v>8850</v>
      </c>
      <c r="K2201" s="6" t="s">
        <v>21</v>
      </c>
      <c r="L2201" s="6">
        <v>14</v>
      </c>
      <c r="M2201" s="15" t="s">
        <v>8851</v>
      </c>
      <c r="N2201" s="15" t="s">
        <v>2196</v>
      </c>
      <c r="O2201" s="28"/>
    </row>
    <row r="2202" spans="1:15" s="1" customFormat="1" ht="14.25" customHeight="1">
      <c r="A2202" s="3" t="s">
        <v>1043</v>
      </c>
      <c r="B2202" s="3"/>
      <c r="C2202" s="3"/>
      <c r="D2202" s="5" t="s">
        <v>443</v>
      </c>
      <c r="E2202" s="5" t="s">
        <v>7026</v>
      </c>
      <c r="F2202" s="3" t="s">
        <v>8852</v>
      </c>
      <c r="G2202" s="6">
        <f t="shared" si="87"/>
        <v>187.07999999999998</v>
      </c>
      <c r="H2202" s="7">
        <v>41878</v>
      </c>
      <c r="I2202" s="40" t="s">
        <v>8264</v>
      </c>
      <c r="J2202" s="6" t="s">
        <v>8853</v>
      </c>
      <c r="K2202" s="6" t="s">
        <v>21</v>
      </c>
      <c r="L2202" s="6">
        <v>10</v>
      </c>
      <c r="M2202" s="15" t="s">
        <v>8851</v>
      </c>
      <c r="N2202" s="15" t="s">
        <v>114</v>
      </c>
      <c r="O2202" s="28"/>
    </row>
    <row r="2203" spans="1:15" ht="14.25" customHeight="1">
      <c r="A2203" s="3" t="s">
        <v>627</v>
      </c>
      <c r="B2203" s="3"/>
      <c r="C2203" s="3"/>
      <c r="D2203" s="5" t="s">
        <v>443</v>
      </c>
      <c r="E2203" s="5" t="s">
        <v>7026</v>
      </c>
      <c r="F2203" s="3" t="s">
        <v>8854</v>
      </c>
      <c r="G2203" s="6">
        <f t="shared" si="87"/>
        <v>224.49599999999998</v>
      </c>
      <c r="H2203" s="7">
        <v>41878</v>
      </c>
      <c r="I2203" s="6" t="s">
        <v>265</v>
      </c>
      <c r="J2203" s="6" t="s">
        <v>8855</v>
      </c>
      <c r="K2203" s="6" t="s">
        <v>21</v>
      </c>
      <c r="L2203" s="6">
        <v>12</v>
      </c>
      <c r="M2203" s="15" t="s">
        <v>8856</v>
      </c>
      <c r="N2203" s="15" t="s">
        <v>164</v>
      </c>
      <c r="O2203" s="28"/>
    </row>
    <row r="2204" spans="1:15" ht="14.25" customHeight="1">
      <c r="A2204" s="3" t="s">
        <v>627</v>
      </c>
      <c r="B2204" s="3"/>
      <c r="C2204" s="3"/>
      <c r="D2204" s="5" t="s">
        <v>443</v>
      </c>
      <c r="E2204" s="5" t="s">
        <v>7026</v>
      </c>
      <c r="F2204" s="3" t="s">
        <v>8857</v>
      </c>
      <c r="G2204" s="6">
        <f t="shared" si="87"/>
        <v>243.20399999999998</v>
      </c>
      <c r="H2204" s="7">
        <v>41878</v>
      </c>
      <c r="I2204" s="6" t="s">
        <v>265</v>
      </c>
      <c r="J2204" s="6" t="s">
        <v>8858</v>
      </c>
      <c r="K2204" s="6" t="s">
        <v>21</v>
      </c>
      <c r="L2204" s="6">
        <v>13</v>
      </c>
      <c r="M2204" s="15" t="s">
        <v>8856</v>
      </c>
      <c r="N2204" s="15" t="s">
        <v>167</v>
      </c>
      <c r="O2204" s="28"/>
    </row>
    <row r="2205" spans="1:15" s="1" customFormat="1" ht="14.25" customHeight="1">
      <c r="A2205" s="3" t="s">
        <v>627</v>
      </c>
      <c r="B2205" s="3"/>
      <c r="C2205" s="3"/>
      <c r="D2205" s="5" t="s">
        <v>443</v>
      </c>
      <c r="E2205" s="5" t="s">
        <v>7026</v>
      </c>
      <c r="F2205" s="3" t="s">
        <v>8859</v>
      </c>
      <c r="G2205" s="6">
        <f t="shared" si="87"/>
        <v>224.49599999999998</v>
      </c>
      <c r="H2205" s="7">
        <v>41878</v>
      </c>
      <c r="I2205" s="6" t="s">
        <v>265</v>
      </c>
      <c r="J2205" s="6" t="s">
        <v>8860</v>
      </c>
      <c r="K2205" s="6" t="s">
        <v>21</v>
      </c>
      <c r="L2205" s="6">
        <v>12</v>
      </c>
      <c r="M2205" s="15" t="s">
        <v>8861</v>
      </c>
      <c r="N2205" s="15" t="s">
        <v>164</v>
      </c>
      <c r="O2205" s="28"/>
    </row>
    <row r="2206" spans="1:15" s="1" customFormat="1" ht="14.25" customHeight="1">
      <c r="A2206" s="3" t="s">
        <v>627</v>
      </c>
      <c r="B2206" s="3"/>
      <c r="C2206" s="3"/>
      <c r="D2206" s="5" t="s">
        <v>443</v>
      </c>
      <c r="E2206" s="5" t="s">
        <v>7026</v>
      </c>
      <c r="F2206" s="3" t="s">
        <v>8862</v>
      </c>
      <c r="G2206" s="6">
        <f t="shared" si="87"/>
        <v>243.20399999999998</v>
      </c>
      <c r="H2206" s="7">
        <v>41878</v>
      </c>
      <c r="I2206" s="6" t="s">
        <v>265</v>
      </c>
      <c r="J2206" s="6" t="s">
        <v>8863</v>
      </c>
      <c r="K2206" s="6" t="s">
        <v>21</v>
      </c>
      <c r="L2206" s="6">
        <v>13</v>
      </c>
      <c r="M2206" s="15" t="s">
        <v>8861</v>
      </c>
      <c r="N2206" s="15" t="s">
        <v>167</v>
      </c>
      <c r="O2206" s="28"/>
    </row>
    <row r="2207" spans="1:15" s="1" customFormat="1" ht="14.25" customHeight="1">
      <c r="A2207" s="3" t="s">
        <v>7064</v>
      </c>
      <c r="B2207" s="3"/>
      <c r="C2207" s="3"/>
      <c r="D2207" s="5" t="s">
        <v>7025</v>
      </c>
      <c r="E2207" s="5" t="s">
        <v>7026</v>
      </c>
      <c r="F2207" s="3" t="s">
        <v>13486</v>
      </c>
      <c r="G2207" s="6">
        <f t="shared" ref="G2207:G2216" si="88">17.498*L2207</f>
        <v>227.47400000000002</v>
      </c>
      <c r="H2207" s="7">
        <v>41878</v>
      </c>
      <c r="I2207" s="6" t="s">
        <v>265</v>
      </c>
      <c r="J2207" s="6" t="s">
        <v>8864</v>
      </c>
      <c r="K2207" s="6" t="s">
        <v>21</v>
      </c>
      <c r="L2207" s="6">
        <v>13</v>
      </c>
      <c r="M2207" s="15" t="s">
        <v>8865</v>
      </c>
      <c r="N2207" s="15" t="s">
        <v>8866</v>
      </c>
      <c r="O2207" s="28" t="s">
        <v>13487</v>
      </c>
    </row>
    <row r="2208" spans="1:15" ht="14.25" customHeight="1">
      <c r="A2208" s="3" t="s">
        <v>7024</v>
      </c>
      <c r="B2208" s="3"/>
      <c r="C2208" s="3"/>
      <c r="D2208" s="5" t="s">
        <v>7025</v>
      </c>
      <c r="E2208" s="5" t="s">
        <v>7026</v>
      </c>
      <c r="F2208" s="3" t="s">
        <v>8867</v>
      </c>
      <c r="G2208" s="6">
        <f t="shared" si="88"/>
        <v>209.976</v>
      </c>
      <c r="H2208" s="7">
        <v>41878</v>
      </c>
      <c r="I2208" s="6" t="s">
        <v>265</v>
      </c>
      <c r="J2208" s="6" t="s">
        <v>8868</v>
      </c>
      <c r="K2208" s="6" t="s">
        <v>21</v>
      </c>
      <c r="L2208" s="6">
        <v>12</v>
      </c>
      <c r="M2208" s="15" t="s">
        <v>8865</v>
      </c>
      <c r="N2208" s="15" t="s">
        <v>1211</v>
      </c>
      <c r="O2208" s="28"/>
    </row>
    <row r="2209" spans="1:15" ht="14.25" customHeight="1">
      <c r="A2209" s="3" t="s">
        <v>7024</v>
      </c>
      <c r="B2209" s="3"/>
      <c r="C2209" s="3"/>
      <c r="D2209" s="5" t="s">
        <v>7025</v>
      </c>
      <c r="E2209" s="5" t="s">
        <v>7026</v>
      </c>
      <c r="F2209" s="3" t="s">
        <v>8869</v>
      </c>
      <c r="G2209" s="6">
        <f t="shared" si="88"/>
        <v>209.976</v>
      </c>
      <c r="H2209" s="7">
        <v>41878</v>
      </c>
      <c r="I2209" s="6" t="s">
        <v>265</v>
      </c>
      <c r="J2209" s="6" t="s">
        <v>8870</v>
      </c>
      <c r="K2209" s="6" t="s">
        <v>21</v>
      </c>
      <c r="L2209" s="6">
        <v>12</v>
      </c>
      <c r="M2209" s="15" t="s">
        <v>8871</v>
      </c>
      <c r="N2209" s="15" t="s">
        <v>164</v>
      </c>
      <c r="O2209" s="28"/>
    </row>
    <row r="2210" spans="1:15" s="1" customFormat="1" ht="14.25" customHeight="1">
      <c r="A2210" s="3" t="s">
        <v>7024</v>
      </c>
      <c r="B2210" s="3"/>
      <c r="C2210" s="3"/>
      <c r="D2210" s="5" t="s">
        <v>7025</v>
      </c>
      <c r="E2210" s="5" t="s">
        <v>7026</v>
      </c>
      <c r="F2210" s="3" t="s">
        <v>8872</v>
      </c>
      <c r="G2210" s="6">
        <f t="shared" si="88"/>
        <v>227.47400000000002</v>
      </c>
      <c r="H2210" s="7">
        <v>41878</v>
      </c>
      <c r="I2210" s="6" t="s">
        <v>265</v>
      </c>
      <c r="J2210" s="6" t="s">
        <v>8873</v>
      </c>
      <c r="K2210" s="6" t="s">
        <v>21</v>
      </c>
      <c r="L2210" s="6">
        <v>13</v>
      </c>
      <c r="M2210" s="15" t="s">
        <v>8871</v>
      </c>
      <c r="N2210" s="15" t="s">
        <v>167</v>
      </c>
      <c r="O2210" s="28"/>
    </row>
    <row r="2211" spans="1:15" s="1" customFormat="1" ht="14.25" customHeight="1">
      <c r="A2211" s="3" t="s">
        <v>1259</v>
      </c>
      <c r="B2211" s="3"/>
      <c r="C2211" s="3"/>
      <c r="D2211" s="5" t="s">
        <v>170</v>
      </c>
      <c r="E2211" s="5" t="s">
        <v>7026</v>
      </c>
      <c r="F2211" s="3" t="s">
        <v>8874</v>
      </c>
      <c r="G2211" s="6">
        <f t="shared" si="88"/>
        <v>174.98000000000002</v>
      </c>
      <c r="H2211" s="7">
        <v>41878</v>
      </c>
      <c r="I2211" s="6" t="s">
        <v>265</v>
      </c>
      <c r="J2211" s="6" t="s">
        <v>8875</v>
      </c>
      <c r="K2211" s="6" t="s">
        <v>21</v>
      </c>
      <c r="L2211" s="6">
        <v>10</v>
      </c>
      <c r="M2211" s="15" t="s">
        <v>8760</v>
      </c>
      <c r="N2211" s="15" t="s">
        <v>4872</v>
      </c>
      <c r="O2211" s="28"/>
    </row>
    <row r="2212" spans="1:15" s="1" customFormat="1" ht="14.25" customHeight="1">
      <c r="A2212" s="3" t="s">
        <v>1259</v>
      </c>
      <c r="B2212" s="3"/>
      <c r="C2212" s="3"/>
      <c r="D2212" s="5" t="s">
        <v>170</v>
      </c>
      <c r="E2212" s="5" t="s">
        <v>7026</v>
      </c>
      <c r="F2212" s="3" t="s">
        <v>8876</v>
      </c>
      <c r="G2212" s="6">
        <f t="shared" si="88"/>
        <v>209.976</v>
      </c>
      <c r="H2212" s="7">
        <v>41878</v>
      </c>
      <c r="I2212" s="6" t="s">
        <v>265</v>
      </c>
      <c r="J2212" s="6" t="s">
        <v>8877</v>
      </c>
      <c r="K2212" s="6" t="s">
        <v>21</v>
      </c>
      <c r="L2212" s="6">
        <v>12</v>
      </c>
      <c r="M2212" s="15" t="s">
        <v>8878</v>
      </c>
      <c r="N2212" s="15" t="s">
        <v>164</v>
      </c>
      <c r="O2212" s="28"/>
    </row>
    <row r="2213" spans="1:15" ht="14.25" customHeight="1">
      <c r="A2213" s="3" t="s">
        <v>1259</v>
      </c>
      <c r="B2213" s="3"/>
      <c r="C2213" s="3"/>
      <c r="D2213" s="5" t="s">
        <v>170</v>
      </c>
      <c r="E2213" s="5" t="s">
        <v>7026</v>
      </c>
      <c r="F2213" s="3" t="s">
        <v>8879</v>
      </c>
      <c r="G2213" s="6">
        <f t="shared" si="88"/>
        <v>227.47400000000002</v>
      </c>
      <c r="H2213" s="7">
        <v>41878</v>
      </c>
      <c r="I2213" s="6" t="s">
        <v>265</v>
      </c>
      <c r="J2213" s="6" t="s">
        <v>8880</v>
      </c>
      <c r="K2213" s="6" t="s">
        <v>21</v>
      </c>
      <c r="L2213" s="6">
        <v>13</v>
      </c>
      <c r="M2213" s="15" t="s">
        <v>8878</v>
      </c>
      <c r="N2213" s="15" t="s">
        <v>167</v>
      </c>
      <c r="O2213" s="28"/>
    </row>
    <row r="2214" spans="1:15" s="1" customFormat="1" ht="14.25" customHeight="1">
      <c r="A2214" s="3" t="s">
        <v>1259</v>
      </c>
      <c r="B2214" s="3"/>
      <c r="C2214" s="3"/>
      <c r="D2214" s="5" t="s">
        <v>170</v>
      </c>
      <c r="E2214" s="5" t="s">
        <v>7026</v>
      </c>
      <c r="F2214" s="3" t="s">
        <v>8881</v>
      </c>
      <c r="G2214" s="6">
        <f t="shared" si="88"/>
        <v>209.976</v>
      </c>
      <c r="H2214" s="7">
        <v>41878</v>
      </c>
      <c r="I2214" s="6" t="s">
        <v>265</v>
      </c>
      <c r="J2214" s="6" t="s">
        <v>8882</v>
      </c>
      <c r="K2214" s="6" t="s">
        <v>21</v>
      </c>
      <c r="L2214" s="6">
        <v>12</v>
      </c>
      <c r="M2214" s="15" t="s">
        <v>8883</v>
      </c>
      <c r="N2214" s="15" t="s">
        <v>164</v>
      </c>
      <c r="O2214" s="28"/>
    </row>
    <row r="2215" spans="1:15" s="1" customFormat="1" ht="14.25" customHeight="1">
      <c r="A2215" s="3" t="s">
        <v>1259</v>
      </c>
      <c r="B2215" s="3"/>
      <c r="C2215" s="3"/>
      <c r="D2215" s="5" t="s">
        <v>170</v>
      </c>
      <c r="E2215" s="5" t="s">
        <v>7026</v>
      </c>
      <c r="F2215" s="3" t="s">
        <v>8884</v>
      </c>
      <c r="G2215" s="6">
        <f t="shared" si="88"/>
        <v>227.47400000000002</v>
      </c>
      <c r="H2215" s="7">
        <v>41878</v>
      </c>
      <c r="I2215" s="6" t="s">
        <v>265</v>
      </c>
      <c r="J2215" s="6" t="s">
        <v>8885</v>
      </c>
      <c r="K2215" s="6" t="s">
        <v>21</v>
      </c>
      <c r="L2215" s="6">
        <v>13</v>
      </c>
      <c r="M2215" s="15" t="s">
        <v>8883</v>
      </c>
      <c r="N2215" s="15" t="s">
        <v>167</v>
      </c>
      <c r="O2215" s="28"/>
    </row>
    <row r="2216" spans="1:15" s="1" customFormat="1" ht="14.25" customHeight="1">
      <c r="A2216" s="3" t="s">
        <v>169</v>
      </c>
      <c r="B2216" s="3"/>
      <c r="C2216" s="3"/>
      <c r="D2216" s="5" t="s">
        <v>170</v>
      </c>
      <c r="E2216" s="5" t="s">
        <v>7026</v>
      </c>
      <c r="F2216" s="3" t="s">
        <v>8886</v>
      </c>
      <c r="G2216" s="6">
        <f t="shared" si="88"/>
        <v>69.992000000000004</v>
      </c>
      <c r="H2216" s="7">
        <v>41878</v>
      </c>
      <c r="I2216" s="6" t="s">
        <v>265</v>
      </c>
      <c r="J2216" s="6" t="s">
        <v>8887</v>
      </c>
      <c r="K2216" s="6" t="s">
        <v>21</v>
      </c>
      <c r="L2216" s="6">
        <v>4</v>
      </c>
      <c r="M2216" s="15" t="s">
        <v>8888</v>
      </c>
      <c r="N2216" s="15" t="s">
        <v>8889</v>
      </c>
      <c r="O2216" s="28"/>
    </row>
    <row r="2217" spans="1:15" s="1" customFormat="1" ht="14.25" customHeight="1">
      <c r="A2217" s="3" t="s">
        <v>5196</v>
      </c>
      <c r="B2217" s="3"/>
      <c r="C2217" s="3"/>
      <c r="D2217" s="5" t="s">
        <v>5197</v>
      </c>
      <c r="E2217" s="5" t="s">
        <v>124</v>
      </c>
      <c r="F2217" s="3" t="s">
        <v>6434</v>
      </c>
      <c r="G2217" s="6">
        <v>139.489</v>
      </c>
      <c r="H2217" s="7">
        <v>41879</v>
      </c>
      <c r="I2217" s="6" t="s">
        <v>178</v>
      </c>
      <c r="J2217" s="6" t="s">
        <v>6435</v>
      </c>
      <c r="K2217" s="6" t="s">
        <v>128</v>
      </c>
      <c r="L2217" s="6" t="s">
        <v>2183</v>
      </c>
      <c r="M2217" s="15" t="s">
        <v>6436</v>
      </c>
      <c r="N2217" s="15" t="s">
        <v>6437</v>
      </c>
      <c r="O2217" s="28" t="s">
        <v>6438</v>
      </c>
    </row>
    <row r="2218" spans="1:15" s="1" customFormat="1" ht="14.25" customHeight="1">
      <c r="A2218" s="22" t="s">
        <v>6082</v>
      </c>
      <c r="B2218" s="3"/>
      <c r="C2218" s="3"/>
      <c r="D2218" s="5" t="s">
        <v>2128</v>
      </c>
      <c r="E2218" s="5" t="s">
        <v>124</v>
      </c>
      <c r="F2218" s="3" t="s">
        <v>6439</v>
      </c>
      <c r="G2218" s="6">
        <v>201.631</v>
      </c>
      <c r="H2218" s="7">
        <v>41879</v>
      </c>
      <c r="I2218" s="6" t="s">
        <v>209</v>
      </c>
      <c r="J2218" s="6" t="s">
        <v>6440</v>
      </c>
      <c r="K2218" s="6" t="s">
        <v>128</v>
      </c>
      <c r="L2218" s="6" t="s">
        <v>1823</v>
      </c>
      <c r="M2218" s="15" t="s">
        <v>6441</v>
      </c>
      <c r="N2218" s="15" t="s">
        <v>6442</v>
      </c>
      <c r="O2218" s="28" t="s">
        <v>6443</v>
      </c>
    </row>
    <row r="2219" spans="1:15" ht="14.25" customHeight="1">
      <c r="A2219" s="3" t="s">
        <v>6082</v>
      </c>
      <c r="B2219" s="3"/>
      <c r="C2219" s="3"/>
      <c r="D2219" s="5" t="s">
        <v>2128</v>
      </c>
      <c r="E2219" s="5" t="s">
        <v>124</v>
      </c>
      <c r="F2219" s="3" t="s">
        <v>6444</v>
      </c>
      <c r="G2219" s="6">
        <v>201.024</v>
      </c>
      <c r="H2219" s="7">
        <v>41879</v>
      </c>
      <c r="I2219" s="6" t="s">
        <v>209</v>
      </c>
      <c r="J2219" s="6" t="s">
        <v>6445</v>
      </c>
      <c r="K2219" s="6" t="s">
        <v>128</v>
      </c>
      <c r="L2219" s="6" t="s">
        <v>1823</v>
      </c>
      <c r="M2219" s="15" t="s">
        <v>6446</v>
      </c>
      <c r="N2219" s="15" t="s">
        <v>6447</v>
      </c>
      <c r="O2219" s="28" t="s">
        <v>6448</v>
      </c>
    </row>
    <row r="2220" spans="1:15" ht="14.25" customHeight="1">
      <c r="A2220" s="3" t="s">
        <v>205</v>
      </c>
      <c r="B2220" s="3"/>
      <c r="C2220" s="3"/>
      <c r="D2220" s="5" t="s">
        <v>207</v>
      </c>
      <c r="E2220" s="5" t="s">
        <v>124</v>
      </c>
      <c r="F2220" s="3" t="s">
        <v>6449</v>
      </c>
      <c r="G2220" s="6">
        <v>205.756</v>
      </c>
      <c r="H2220" s="7">
        <v>41879</v>
      </c>
      <c r="I2220" s="6" t="s">
        <v>209</v>
      </c>
      <c r="J2220" s="6" t="s">
        <v>6450</v>
      </c>
      <c r="K2220" s="6" t="s">
        <v>128</v>
      </c>
      <c r="L2220" s="6" t="s">
        <v>948</v>
      </c>
      <c r="M2220" s="15" t="s">
        <v>6451</v>
      </c>
      <c r="N2220" s="15" t="s">
        <v>4592</v>
      </c>
      <c r="O2220" s="28" t="s">
        <v>6452</v>
      </c>
    </row>
    <row r="2221" spans="1:15" ht="14.25" customHeight="1">
      <c r="A2221" s="3" t="s">
        <v>205</v>
      </c>
      <c r="B2221" s="3"/>
      <c r="C2221" s="3"/>
      <c r="D2221" s="5" t="s">
        <v>207</v>
      </c>
      <c r="E2221" s="5" t="s">
        <v>124</v>
      </c>
      <c r="F2221" s="3" t="s">
        <v>6453</v>
      </c>
      <c r="G2221" s="6">
        <v>223.429</v>
      </c>
      <c r="H2221" s="7">
        <v>41879</v>
      </c>
      <c r="I2221" s="6" t="s">
        <v>209</v>
      </c>
      <c r="J2221" s="6" t="s">
        <v>6454</v>
      </c>
      <c r="K2221" s="6" t="s">
        <v>128</v>
      </c>
      <c r="L2221" s="6" t="s">
        <v>954</v>
      </c>
      <c r="M2221" s="15" t="s">
        <v>6455</v>
      </c>
      <c r="N2221" s="15" t="s">
        <v>6456</v>
      </c>
      <c r="O2221" s="28" t="s">
        <v>6457</v>
      </c>
    </row>
    <row r="2222" spans="1:15" s="1" customFormat="1" ht="14.25" customHeight="1">
      <c r="A2222" s="3" t="s">
        <v>1349</v>
      </c>
      <c r="B2222" s="3"/>
      <c r="C2222" s="3"/>
      <c r="D2222" s="5" t="s">
        <v>2117</v>
      </c>
      <c r="E2222" s="5" t="s">
        <v>124</v>
      </c>
      <c r="F2222" s="3" t="s">
        <v>6458</v>
      </c>
      <c r="G2222" s="6">
        <v>170.53100000000001</v>
      </c>
      <c r="H2222" s="7">
        <v>41879</v>
      </c>
      <c r="I2222" s="6" t="s">
        <v>178</v>
      </c>
      <c r="J2222" s="6" t="s">
        <v>6459</v>
      </c>
      <c r="K2222" s="6" t="s">
        <v>128</v>
      </c>
      <c r="L2222" s="6" t="s">
        <v>2707</v>
      </c>
      <c r="M2222" s="15" t="s">
        <v>6460</v>
      </c>
      <c r="N2222" s="15" t="s">
        <v>6461</v>
      </c>
      <c r="O2222" s="28" t="s">
        <v>6462</v>
      </c>
    </row>
    <row r="2223" spans="1:15" s="1" customFormat="1" ht="14.25" customHeight="1">
      <c r="A2223" s="3" t="s">
        <v>1349</v>
      </c>
      <c r="B2223" s="3"/>
      <c r="C2223" s="3"/>
      <c r="D2223" s="5" t="s">
        <v>2117</v>
      </c>
      <c r="E2223" s="5" t="s">
        <v>124</v>
      </c>
      <c r="F2223" s="3" t="s">
        <v>6463</v>
      </c>
      <c r="G2223" s="6">
        <v>170.5</v>
      </c>
      <c r="H2223" s="7">
        <v>41879</v>
      </c>
      <c r="I2223" s="6" t="s">
        <v>178</v>
      </c>
      <c r="J2223" s="6" t="s">
        <v>6464</v>
      </c>
      <c r="K2223" s="6" t="s">
        <v>128</v>
      </c>
      <c r="L2223" s="6" t="s">
        <v>2707</v>
      </c>
      <c r="M2223" s="15" t="s">
        <v>6465</v>
      </c>
      <c r="N2223" s="15" t="s">
        <v>6466</v>
      </c>
      <c r="O2223" s="28" t="s">
        <v>6467</v>
      </c>
    </row>
    <row r="2224" spans="1:15" s="1" customFormat="1" ht="14.25" customHeight="1">
      <c r="A2224" s="3" t="s">
        <v>1349</v>
      </c>
      <c r="B2224" s="3"/>
      <c r="C2224" s="3"/>
      <c r="D2224" s="5" t="s">
        <v>2117</v>
      </c>
      <c r="E2224" s="5" t="s">
        <v>124</v>
      </c>
      <c r="F2224" s="3" t="s">
        <v>6468</v>
      </c>
      <c r="G2224" s="6">
        <v>170.21199999999999</v>
      </c>
      <c r="H2224" s="7">
        <v>41879</v>
      </c>
      <c r="I2224" s="6" t="s">
        <v>178</v>
      </c>
      <c r="J2224" s="6" t="s">
        <v>6469</v>
      </c>
      <c r="K2224" s="6" t="s">
        <v>128</v>
      </c>
      <c r="L2224" s="6" t="s">
        <v>2707</v>
      </c>
      <c r="M2224" s="15" t="s">
        <v>6470</v>
      </c>
      <c r="N2224" s="15" t="s">
        <v>6471</v>
      </c>
      <c r="O2224" s="28" t="s">
        <v>6472</v>
      </c>
    </row>
    <row r="2225" spans="1:15" ht="14.25" customHeight="1">
      <c r="A2225" s="3" t="s">
        <v>1349</v>
      </c>
      <c r="B2225" s="3"/>
      <c r="C2225" s="3"/>
      <c r="D2225" s="5" t="s">
        <v>2117</v>
      </c>
      <c r="E2225" s="5" t="s">
        <v>124</v>
      </c>
      <c r="F2225" s="3" t="s">
        <v>6473</v>
      </c>
      <c r="G2225" s="6">
        <v>108.348</v>
      </c>
      <c r="H2225" s="7">
        <v>41879</v>
      </c>
      <c r="I2225" s="6" t="s">
        <v>178</v>
      </c>
      <c r="J2225" s="6" t="s">
        <v>6474</v>
      </c>
      <c r="K2225" s="6" t="s">
        <v>128</v>
      </c>
      <c r="L2225" s="6" t="s">
        <v>6475</v>
      </c>
      <c r="M2225" s="15" t="s">
        <v>6476</v>
      </c>
      <c r="N2225" s="15" t="s">
        <v>6477</v>
      </c>
      <c r="O2225" s="28" t="s">
        <v>6478</v>
      </c>
    </row>
    <row r="2226" spans="1:15" ht="14.25" customHeight="1">
      <c r="A2226" s="3" t="s">
        <v>3870</v>
      </c>
      <c r="B2226" s="3"/>
      <c r="C2226" s="3"/>
      <c r="D2226" s="5" t="s">
        <v>3871</v>
      </c>
      <c r="E2226" s="5" t="s">
        <v>124</v>
      </c>
      <c r="F2226" s="3" t="s">
        <v>6479</v>
      </c>
      <c r="G2226" s="6">
        <f>13.006*L2226</f>
        <v>130.06</v>
      </c>
      <c r="H2226" s="7">
        <v>41880</v>
      </c>
      <c r="I2226" s="6" t="s">
        <v>3873</v>
      </c>
      <c r="J2226" s="6" t="s">
        <v>6480</v>
      </c>
      <c r="K2226" s="6" t="s">
        <v>21</v>
      </c>
      <c r="L2226" s="6">
        <v>10</v>
      </c>
      <c r="M2226" s="15" t="s">
        <v>6481</v>
      </c>
      <c r="N2226" s="15" t="s">
        <v>5085</v>
      </c>
      <c r="O2226" s="28" t="s">
        <v>6481</v>
      </c>
    </row>
    <row r="2227" spans="1:15" s="1" customFormat="1" ht="14.25" customHeight="1">
      <c r="A2227" s="3" t="s">
        <v>3870</v>
      </c>
      <c r="B2227" s="3"/>
      <c r="C2227" s="3"/>
      <c r="D2227" s="5" t="s">
        <v>3871</v>
      </c>
      <c r="E2227" s="5" t="s">
        <v>124</v>
      </c>
      <c r="F2227" s="3" t="s">
        <v>9455</v>
      </c>
      <c r="G2227" s="6">
        <f>13.006*L2227</f>
        <v>143.066</v>
      </c>
      <c r="H2227" s="7">
        <v>41880</v>
      </c>
      <c r="I2227" s="6" t="s">
        <v>3873</v>
      </c>
      <c r="J2227" s="6" t="s">
        <v>9456</v>
      </c>
      <c r="K2227" s="6" t="s">
        <v>21</v>
      </c>
      <c r="L2227" s="6">
        <v>11</v>
      </c>
      <c r="M2227" s="15" t="s">
        <v>6481</v>
      </c>
      <c r="N2227" s="15" t="s">
        <v>5088</v>
      </c>
      <c r="O2227" s="28" t="s">
        <v>9457</v>
      </c>
    </row>
    <row r="2228" spans="1:15" ht="14.25" customHeight="1">
      <c r="A2228" s="3" t="s">
        <v>3870</v>
      </c>
      <c r="B2228" s="3"/>
      <c r="C2228" s="3"/>
      <c r="D2228" s="5" t="s">
        <v>3871</v>
      </c>
      <c r="E2228" s="5" t="s">
        <v>124</v>
      </c>
      <c r="F2228" s="3" t="s">
        <v>6482</v>
      </c>
      <c r="G2228" s="6">
        <f>13.006*L2228</f>
        <v>52.024000000000001</v>
      </c>
      <c r="H2228" s="7">
        <v>41880</v>
      </c>
      <c r="I2228" s="6" t="s">
        <v>3873</v>
      </c>
      <c r="J2228" s="6" t="s">
        <v>6483</v>
      </c>
      <c r="K2228" s="6" t="s">
        <v>21</v>
      </c>
      <c r="L2228" s="6">
        <v>4</v>
      </c>
      <c r="M2228" s="15" t="s">
        <v>6484</v>
      </c>
      <c r="N2228" s="15" t="s">
        <v>653</v>
      </c>
      <c r="O2228" s="28" t="s">
        <v>6484</v>
      </c>
    </row>
    <row r="2229" spans="1:15" ht="14.25" customHeight="1">
      <c r="A2229" s="3" t="s">
        <v>310</v>
      </c>
      <c r="B2229" s="3"/>
      <c r="C2229" s="3"/>
      <c r="D2229" s="5" t="s">
        <v>5651</v>
      </c>
      <c r="E2229" s="5" t="s">
        <v>124</v>
      </c>
      <c r="F2229" s="3" t="s">
        <v>6485</v>
      </c>
      <c r="G2229" s="6">
        <f>17.52*L2229</f>
        <v>87.6</v>
      </c>
      <c r="H2229" s="7">
        <v>41880</v>
      </c>
      <c r="I2229" s="6" t="s">
        <v>265</v>
      </c>
      <c r="J2229" s="6" t="s">
        <v>6486</v>
      </c>
      <c r="K2229" s="6" t="s">
        <v>21</v>
      </c>
      <c r="L2229" s="6">
        <v>5</v>
      </c>
      <c r="M2229" s="15" t="s">
        <v>6487</v>
      </c>
      <c r="N2229" s="15" t="s">
        <v>6488</v>
      </c>
      <c r="O2229" s="28" t="s">
        <v>6487</v>
      </c>
    </row>
    <row r="2230" spans="1:15" ht="14.25" customHeight="1">
      <c r="A2230" s="3" t="s">
        <v>1498</v>
      </c>
      <c r="B2230" s="3"/>
      <c r="C2230" s="3"/>
      <c r="D2230" s="5" t="s">
        <v>1499</v>
      </c>
      <c r="E2230" s="5" t="s">
        <v>124</v>
      </c>
      <c r="F2230" s="3" t="s">
        <v>6489</v>
      </c>
      <c r="G2230" s="6">
        <f>17.52*L2230</f>
        <v>87.6</v>
      </c>
      <c r="H2230" s="7">
        <v>41880</v>
      </c>
      <c r="I2230" s="6" t="s">
        <v>265</v>
      </c>
      <c r="J2230" s="6" t="s">
        <v>6490</v>
      </c>
      <c r="K2230" s="6" t="s">
        <v>21</v>
      </c>
      <c r="L2230" s="6">
        <v>5</v>
      </c>
      <c r="M2230" s="15" t="s">
        <v>6491</v>
      </c>
      <c r="N2230" s="15" t="s">
        <v>4602</v>
      </c>
      <c r="O2230" s="28" t="s">
        <v>6491</v>
      </c>
    </row>
    <row r="2231" spans="1:15" s="1" customFormat="1" ht="14.25" customHeight="1">
      <c r="A2231" s="3" t="s">
        <v>664</v>
      </c>
      <c r="B2231" s="3"/>
      <c r="C2231" s="3"/>
      <c r="D2231" s="5" t="s">
        <v>665</v>
      </c>
      <c r="E2231" s="5" t="s">
        <v>124</v>
      </c>
      <c r="F2231" s="3" t="s">
        <v>6492</v>
      </c>
      <c r="G2231" s="6">
        <v>154.892</v>
      </c>
      <c r="H2231" s="7">
        <v>41880</v>
      </c>
      <c r="I2231" s="6" t="s">
        <v>209</v>
      </c>
      <c r="J2231" s="6" t="s">
        <v>6493</v>
      </c>
      <c r="K2231" s="6" t="s">
        <v>128</v>
      </c>
      <c r="L2231" s="6" t="s">
        <v>808</v>
      </c>
      <c r="M2231" s="15" t="s">
        <v>6494</v>
      </c>
      <c r="N2231" s="15" t="s">
        <v>810</v>
      </c>
      <c r="O2231" s="28" t="s">
        <v>6495</v>
      </c>
    </row>
    <row r="2232" spans="1:15" s="1" customFormat="1" ht="14.25" customHeight="1">
      <c r="A2232" s="3" t="s">
        <v>664</v>
      </c>
      <c r="B2232" s="3"/>
      <c r="C2232" s="3"/>
      <c r="D2232" s="5" t="s">
        <v>665</v>
      </c>
      <c r="E2232" s="5" t="s">
        <v>124</v>
      </c>
      <c r="F2232" s="3" t="s">
        <v>6496</v>
      </c>
      <c r="G2232" s="6">
        <v>155.26900000000001</v>
      </c>
      <c r="H2232" s="7">
        <v>41880</v>
      </c>
      <c r="I2232" s="6" t="s">
        <v>209</v>
      </c>
      <c r="J2232" s="6" t="s">
        <v>6497</v>
      </c>
      <c r="K2232" s="6" t="s">
        <v>128</v>
      </c>
      <c r="L2232" s="6" t="s">
        <v>808</v>
      </c>
      <c r="M2232" s="15" t="s">
        <v>6498</v>
      </c>
      <c r="N2232" s="15" t="s">
        <v>3953</v>
      </c>
      <c r="O2232" s="28" t="s">
        <v>6499</v>
      </c>
    </row>
    <row r="2233" spans="1:15" s="1" customFormat="1" ht="14.25" customHeight="1">
      <c r="A2233" s="3" t="s">
        <v>5572</v>
      </c>
      <c r="B2233" s="3"/>
      <c r="C2233" s="3"/>
      <c r="D2233" s="5" t="s">
        <v>5573</v>
      </c>
      <c r="E2233" s="5" t="s">
        <v>124</v>
      </c>
      <c r="F2233" s="3" t="s">
        <v>9458</v>
      </c>
      <c r="G2233" s="6">
        <v>85.661000000000001</v>
      </c>
      <c r="H2233" s="7">
        <v>41880</v>
      </c>
      <c r="I2233" s="6" t="s">
        <v>5437</v>
      </c>
      <c r="J2233" s="6" t="s">
        <v>9459</v>
      </c>
      <c r="K2233" s="6" t="s">
        <v>21</v>
      </c>
      <c r="L2233" s="6" t="s">
        <v>2788</v>
      </c>
      <c r="M2233" s="15" t="s">
        <v>9460</v>
      </c>
      <c r="N2233" s="15" t="s">
        <v>9461</v>
      </c>
      <c r="O2233" s="28" t="s">
        <v>9462</v>
      </c>
    </row>
    <row r="2234" spans="1:15" s="1" customFormat="1" ht="14.25" customHeight="1">
      <c r="A2234" s="3" t="s">
        <v>5572</v>
      </c>
      <c r="B2234" s="3"/>
      <c r="C2234" s="3"/>
      <c r="D2234" s="5" t="s">
        <v>5573</v>
      </c>
      <c r="E2234" s="5" t="s">
        <v>124</v>
      </c>
      <c r="F2234" s="3" t="s">
        <v>6500</v>
      </c>
      <c r="G2234" s="6">
        <v>82.734999999999999</v>
      </c>
      <c r="H2234" s="7">
        <v>41880</v>
      </c>
      <c r="I2234" s="6" t="s">
        <v>5437</v>
      </c>
      <c r="J2234" s="6" t="s">
        <v>6501</v>
      </c>
      <c r="K2234" s="6" t="s">
        <v>21</v>
      </c>
      <c r="L2234" s="6" t="s">
        <v>2788</v>
      </c>
      <c r="M2234" s="15" t="s">
        <v>6502</v>
      </c>
      <c r="N2234" s="15" t="s">
        <v>6503</v>
      </c>
      <c r="O2234" s="28" t="s">
        <v>6504</v>
      </c>
    </row>
    <row r="2235" spans="1:15" s="1" customFormat="1" ht="14.25" customHeight="1">
      <c r="A2235" s="3" t="s">
        <v>5196</v>
      </c>
      <c r="B2235" s="3"/>
      <c r="C2235" s="3"/>
      <c r="D2235" s="5" t="s">
        <v>5197</v>
      </c>
      <c r="E2235" s="5" t="s">
        <v>124</v>
      </c>
      <c r="F2235" s="3" t="s">
        <v>9463</v>
      </c>
      <c r="G2235" s="6">
        <v>46.472999999999999</v>
      </c>
      <c r="H2235" s="7">
        <v>41880</v>
      </c>
      <c r="I2235" s="6" t="s">
        <v>178</v>
      </c>
      <c r="J2235" s="6" t="s">
        <v>9464</v>
      </c>
      <c r="K2235" s="6" t="s">
        <v>128</v>
      </c>
      <c r="L2235" s="6" t="s">
        <v>682</v>
      </c>
      <c r="M2235" s="15" t="s">
        <v>9465</v>
      </c>
      <c r="N2235" s="15" t="s">
        <v>9466</v>
      </c>
      <c r="O2235" s="28" t="s">
        <v>9467</v>
      </c>
    </row>
    <row r="2236" spans="1:15" ht="14.25" customHeight="1">
      <c r="A2236" s="3" t="s">
        <v>1018</v>
      </c>
      <c r="B2236" s="15" t="s">
        <v>6505</v>
      </c>
      <c r="C2236" s="3"/>
      <c r="D2236" s="5" t="s">
        <v>67</v>
      </c>
      <c r="E2236" s="5" t="s">
        <v>124</v>
      </c>
      <c r="F2236" s="3" t="s">
        <v>6506</v>
      </c>
      <c r="G2236" s="6">
        <v>102.387</v>
      </c>
      <c r="H2236" s="7">
        <v>41883</v>
      </c>
      <c r="I2236" s="6"/>
      <c r="J2236" s="6"/>
      <c r="K2236" s="6"/>
      <c r="L2236" s="6"/>
      <c r="M2236" s="15"/>
      <c r="N2236" s="15"/>
      <c r="O2236" s="28" t="s">
        <v>1918</v>
      </c>
    </row>
    <row r="2237" spans="1:15" ht="14.25" customHeight="1">
      <c r="A2237" s="3" t="s">
        <v>1018</v>
      </c>
      <c r="B2237" s="15" t="s">
        <v>6507</v>
      </c>
      <c r="C2237" s="3"/>
      <c r="D2237" s="5"/>
      <c r="E2237" s="5" t="s">
        <v>124</v>
      </c>
      <c r="F2237" s="3" t="s">
        <v>6508</v>
      </c>
      <c r="G2237" s="6">
        <v>103.49299999999999</v>
      </c>
      <c r="H2237" s="7">
        <v>41883</v>
      </c>
      <c r="I2237" s="6"/>
      <c r="J2237" s="6"/>
      <c r="K2237" s="6"/>
      <c r="L2237" s="6"/>
      <c r="M2237" s="15"/>
      <c r="N2237" s="15"/>
      <c r="O2237" s="28" t="s">
        <v>1918</v>
      </c>
    </row>
    <row r="2238" spans="1:15" ht="14.25" customHeight="1">
      <c r="A2238" s="22" t="s">
        <v>6509</v>
      </c>
      <c r="B2238" s="3"/>
      <c r="C2238" s="3"/>
      <c r="D2238" s="5" t="s">
        <v>6510</v>
      </c>
      <c r="E2238" s="5" t="s">
        <v>124</v>
      </c>
      <c r="F2238" s="3" t="s">
        <v>6511</v>
      </c>
      <c r="G2238" s="6">
        <f>14.38*L2238</f>
        <v>28.76</v>
      </c>
      <c r="H2238" s="7">
        <v>41884</v>
      </c>
      <c r="I2238" s="6" t="s">
        <v>471</v>
      </c>
      <c r="J2238" s="6" t="s">
        <v>6512</v>
      </c>
      <c r="K2238" s="6" t="s">
        <v>21</v>
      </c>
      <c r="L2238" s="6">
        <v>2</v>
      </c>
      <c r="M2238" s="15" t="s">
        <v>6513</v>
      </c>
      <c r="N2238" s="15" t="s">
        <v>6514</v>
      </c>
      <c r="O2238" s="28" t="s">
        <v>6513</v>
      </c>
    </row>
    <row r="2239" spans="1:15" ht="14.25" customHeight="1">
      <c r="A2239" s="22" t="s">
        <v>6509</v>
      </c>
      <c r="B2239" s="3"/>
      <c r="C2239" s="3"/>
      <c r="D2239" s="5" t="s">
        <v>6510</v>
      </c>
      <c r="E2239" s="5" t="s">
        <v>124</v>
      </c>
      <c r="F2239" s="3" t="s">
        <v>9468</v>
      </c>
      <c r="G2239" s="6">
        <f>14.38*L2239</f>
        <v>14.38</v>
      </c>
      <c r="H2239" s="7">
        <v>41884</v>
      </c>
      <c r="I2239" s="6" t="s">
        <v>471</v>
      </c>
      <c r="J2239" s="6" t="s">
        <v>9469</v>
      </c>
      <c r="K2239" s="6" t="s">
        <v>21</v>
      </c>
      <c r="L2239" s="6">
        <v>1</v>
      </c>
      <c r="M2239" s="15" t="s">
        <v>9470</v>
      </c>
      <c r="N2239" s="15" t="s">
        <v>507</v>
      </c>
      <c r="O2239" s="28" t="s">
        <v>9471</v>
      </c>
    </row>
    <row r="2240" spans="1:15" ht="14.25" customHeight="1">
      <c r="A2240" s="3" t="s">
        <v>654</v>
      </c>
      <c r="B2240" s="3"/>
      <c r="C2240" s="3"/>
      <c r="D2240" s="5" t="s">
        <v>5294</v>
      </c>
      <c r="E2240" s="5" t="s">
        <v>124</v>
      </c>
      <c r="F2240" s="3" t="s">
        <v>6515</v>
      </c>
      <c r="G2240" s="6">
        <f t="shared" ref="G2240:G2246" si="89">17.52*L2240</f>
        <v>210.24</v>
      </c>
      <c r="H2240" s="7">
        <v>41884</v>
      </c>
      <c r="I2240" s="6" t="s">
        <v>209</v>
      </c>
      <c r="J2240" s="6" t="s">
        <v>6516</v>
      </c>
      <c r="K2240" s="6" t="s">
        <v>21</v>
      </c>
      <c r="L2240" s="6">
        <v>12</v>
      </c>
      <c r="M2240" s="15" t="s">
        <v>6517</v>
      </c>
      <c r="N2240" s="15" t="s">
        <v>164</v>
      </c>
      <c r="O2240" s="28" t="s">
        <v>6517</v>
      </c>
    </row>
    <row r="2241" spans="1:15" s="1" customFormat="1" ht="14.25" customHeight="1">
      <c r="A2241" s="3" t="s">
        <v>654</v>
      </c>
      <c r="B2241" s="3"/>
      <c r="C2241" s="3"/>
      <c r="D2241" s="5" t="s">
        <v>5294</v>
      </c>
      <c r="E2241" s="5" t="s">
        <v>124</v>
      </c>
      <c r="F2241" s="3" t="s">
        <v>6518</v>
      </c>
      <c r="G2241" s="6">
        <f t="shared" si="89"/>
        <v>227.76</v>
      </c>
      <c r="H2241" s="7">
        <v>41884</v>
      </c>
      <c r="I2241" s="6" t="s">
        <v>209</v>
      </c>
      <c r="J2241" s="6" t="s">
        <v>6519</v>
      </c>
      <c r="K2241" s="6" t="s">
        <v>21</v>
      </c>
      <c r="L2241" s="6">
        <v>13</v>
      </c>
      <c r="M2241" s="15" t="s">
        <v>6517</v>
      </c>
      <c r="N2241" s="15" t="s">
        <v>167</v>
      </c>
      <c r="O2241" s="28" t="s">
        <v>6520</v>
      </c>
    </row>
    <row r="2242" spans="1:15" s="1" customFormat="1" ht="14.25" customHeight="1">
      <c r="A2242" s="3" t="s">
        <v>654</v>
      </c>
      <c r="B2242" s="3"/>
      <c r="C2242" s="3"/>
      <c r="D2242" s="5" t="s">
        <v>5294</v>
      </c>
      <c r="E2242" s="5" t="s">
        <v>124</v>
      </c>
      <c r="F2242" s="3" t="s">
        <v>6521</v>
      </c>
      <c r="G2242" s="6">
        <f t="shared" si="89"/>
        <v>262.8</v>
      </c>
      <c r="H2242" s="7">
        <v>41884</v>
      </c>
      <c r="I2242" s="6" t="s">
        <v>209</v>
      </c>
      <c r="J2242" s="6" t="s">
        <v>6522</v>
      </c>
      <c r="K2242" s="6" t="s">
        <v>21</v>
      </c>
      <c r="L2242" s="6">
        <v>15</v>
      </c>
      <c r="M2242" s="15" t="s">
        <v>6523</v>
      </c>
      <c r="N2242" s="15" t="s">
        <v>1149</v>
      </c>
      <c r="O2242" s="28" t="s">
        <v>6523</v>
      </c>
    </row>
    <row r="2243" spans="1:15" ht="14.25" customHeight="1">
      <c r="A2243" s="3" t="s">
        <v>854</v>
      </c>
      <c r="B2243" s="3"/>
      <c r="C2243" s="3"/>
      <c r="D2243" s="5" t="s">
        <v>5294</v>
      </c>
      <c r="E2243" s="5" t="s">
        <v>124</v>
      </c>
      <c r="F2243" s="3" t="s">
        <v>6524</v>
      </c>
      <c r="G2243" s="6">
        <f t="shared" si="89"/>
        <v>175.2</v>
      </c>
      <c r="H2243" s="7">
        <v>41884</v>
      </c>
      <c r="I2243" s="6" t="s">
        <v>209</v>
      </c>
      <c r="J2243" s="6" t="s">
        <v>6525</v>
      </c>
      <c r="K2243" s="6" t="s">
        <v>21</v>
      </c>
      <c r="L2243" s="6">
        <v>10</v>
      </c>
      <c r="M2243" s="15" t="s">
        <v>6523</v>
      </c>
      <c r="N2243" s="15" t="s">
        <v>4872</v>
      </c>
      <c r="O2243" s="28" t="s">
        <v>6526</v>
      </c>
    </row>
    <row r="2244" spans="1:15" s="1" customFormat="1" ht="14.25" customHeight="1">
      <c r="A2244" s="22" t="s">
        <v>5435</v>
      </c>
      <c r="B2244" s="3"/>
      <c r="C2244" s="3"/>
      <c r="D2244" s="5" t="s">
        <v>5294</v>
      </c>
      <c r="E2244" s="5" t="s">
        <v>124</v>
      </c>
      <c r="F2244" s="3" t="s">
        <v>9477</v>
      </c>
      <c r="G2244" s="6">
        <f t="shared" si="89"/>
        <v>140.16</v>
      </c>
      <c r="H2244" s="7">
        <v>41884</v>
      </c>
      <c r="I2244" s="6" t="s">
        <v>209</v>
      </c>
      <c r="J2244" s="6" t="s">
        <v>9478</v>
      </c>
      <c r="K2244" s="6" t="s">
        <v>21</v>
      </c>
      <c r="L2244" s="6">
        <v>8</v>
      </c>
      <c r="M2244" s="15" t="s">
        <v>6727</v>
      </c>
      <c r="N2244" s="15" t="s">
        <v>5844</v>
      </c>
      <c r="O2244" s="28" t="s">
        <v>6727</v>
      </c>
    </row>
    <row r="2245" spans="1:15" s="1" customFormat="1" ht="14.25" customHeight="1">
      <c r="A2245" s="3" t="s">
        <v>585</v>
      </c>
      <c r="B2245" s="3"/>
      <c r="C2245" s="3"/>
      <c r="D2245" s="5" t="s">
        <v>586</v>
      </c>
      <c r="E2245" s="5" t="s">
        <v>124</v>
      </c>
      <c r="F2245" s="3" t="s">
        <v>6527</v>
      </c>
      <c r="G2245" s="6">
        <f t="shared" si="89"/>
        <v>70.08</v>
      </c>
      <c r="H2245" s="7">
        <v>41884</v>
      </c>
      <c r="I2245" s="6" t="s">
        <v>209</v>
      </c>
      <c r="J2245" s="6" t="s">
        <v>6528</v>
      </c>
      <c r="K2245" s="6" t="s">
        <v>21</v>
      </c>
      <c r="L2245" s="6">
        <v>4</v>
      </c>
      <c r="M2245" s="15" t="s">
        <v>5934</v>
      </c>
      <c r="N2245" s="15" t="s">
        <v>6529</v>
      </c>
      <c r="O2245" s="28" t="s">
        <v>6530</v>
      </c>
    </row>
    <row r="2246" spans="1:15" ht="14.25" customHeight="1">
      <c r="A2246" s="3" t="s">
        <v>609</v>
      </c>
      <c r="B2246" s="3"/>
      <c r="C2246" s="3"/>
      <c r="D2246" s="5" t="s">
        <v>610</v>
      </c>
      <c r="E2246" s="5" t="s">
        <v>124</v>
      </c>
      <c r="F2246" s="3" t="s">
        <v>9479</v>
      </c>
      <c r="G2246" s="6">
        <f t="shared" si="89"/>
        <v>87.6</v>
      </c>
      <c r="H2246" s="7">
        <v>41884</v>
      </c>
      <c r="I2246" s="6" t="s">
        <v>761</v>
      </c>
      <c r="J2246" s="6" t="s">
        <v>9480</v>
      </c>
      <c r="K2246" s="6" t="s">
        <v>21</v>
      </c>
      <c r="L2246" s="6">
        <v>5</v>
      </c>
      <c r="M2246" s="15" t="s">
        <v>9389</v>
      </c>
      <c r="N2246" s="15" t="s">
        <v>295</v>
      </c>
      <c r="O2246" s="28" t="s">
        <v>9481</v>
      </c>
    </row>
    <row r="2247" spans="1:15" ht="14.25" customHeight="1">
      <c r="A2247" s="3" t="s">
        <v>6170</v>
      </c>
      <c r="B2247" s="3"/>
      <c r="C2247" s="3"/>
      <c r="D2247" s="5" t="s">
        <v>1128</v>
      </c>
      <c r="E2247" s="5" t="s">
        <v>124</v>
      </c>
      <c r="F2247" s="3" t="s">
        <v>6531</v>
      </c>
      <c r="G2247" s="6">
        <f>29.101*L2247</f>
        <v>58.201999999999998</v>
      </c>
      <c r="H2247" s="7">
        <v>41884</v>
      </c>
      <c r="I2247" s="6" t="s">
        <v>6172</v>
      </c>
      <c r="J2247" s="6" t="s">
        <v>6532</v>
      </c>
      <c r="K2247" s="6" t="s">
        <v>5478</v>
      </c>
      <c r="L2247" s="6">
        <v>2</v>
      </c>
      <c r="M2247" s="15" t="s">
        <v>6251</v>
      </c>
      <c r="N2247" s="15" t="s">
        <v>6533</v>
      </c>
      <c r="O2247" s="28" t="s">
        <v>6534</v>
      </c>
    </row>
    <row r="2248" spans="1:15" s="1" customFormat="1" ht="14.25" customHeight="1">
      <c r="A2248" s="3" t="s">
        <v>6170</v>
      </c>
      <c r="B2248" s="3"/>
      <c r="C2248" s="3"/>
      <c r="D2248" s="5" t="s">
        <v>1128</v>
      </c>
      <c r="E2248" s="5" t="s">
        <v>124</v>
      </c>
      <c r="F2248" s="3" t="s">
        <v>6535</v>
      </c>
      <c r="G2248" s="6">
        <f>29.101*L2248</f>
        <v>87.302999999999997</v>
      </c>
      <c r="H2248" s="7">
        <v>41884</v>
      </c>
      <c r="I2248" s="6" t="s">
        <v>6172</v>
      </c>
      <c r="J2248" s="6" t="s">
        <v>6536</v>
      </c>
      <c r="K2248" s="6" t="s">
        <v>5478</v>
      </c>
      <c r="L2248" s="6">
        <v>3</v>
      </c>
      <c r="M2248" s="15" t="s">
        <v>6537</v>
      </c>
      <c r="N2248" s="15" t="s">
        <v>31</v>
      </c>
      <c r="O2248" s="28" t="s">
        <v>6537</v>
      </c>
    </row>
    <row r="2249" spans="1:15" s="1" customFormat="1" ht="14.25" customHeight="1">
      <c r="A2249" s="22" t="s">
        <v>5750</v>
      </c>
      <c r="B2249" s="3"/>
      <c r="C2249" s="3"/>
      <c r="D2249" s="5" t="s">
        <v>5751</v>
      </c>
      <c r="E2249" s="5" t="s">
        <v>124</v>
      </c>
      <c r="F2249" s="3" t="s">
        <v>12900</v>
      </c>
      <c r="G2249" s="6">
        <v>232.732</v>
      </c>
      <c r="H2249" s="7">
        <v>41884</v>
      </c>
      <c r="I2249" s="6" t="s">
        <v>178</v>
      </c>
      <c r="J2249" s="6" t="s">
        <v>9482</v>
      </c>
      <c r="K2249" s="6" t="s">
        <v>128</v>
      </c>
      <c r="L2249" s="6" t="s">
        <v>9483</v>
      </c>
      <c r="M2249" s="15" t="s">
        <v>9484</v>
      </c>
      <c r="N2249" s="15" t="s">
        <v>9485</v>
      </c>
      <c r="O2249" s="75" t="s">
        <v>9486</v>
      </c>
    </row>
    <row r="2250" spans="1:15" s="1" customFormat="1" ht="14.25" customHeight="1">
      <c r="A2250" s="3" t="s">
        <v>5750</v>
      </c>
      <c r="B2250" s="3"/>
      <c r="C2250" s="3"/>
      <c r="D2250" s="5" t="s">
        <v>5751</v>
      </c>
      <c r="E2250" s="5" t="s">
        <v>124</v>
      </c>
      <c r="F2250" s="3" t="s">
        <v>9487</v>
      </c>
      <c r="G2250" s="6">
        <v>111.374</v>
      </c>
      <c r="H2250" s="7">
        <v>41884</v>
      </c>
      <c r="I2250" s="6" t="s">
        <v>178</v>
      </c>
      <c r="J2250" s="6" t="s">
        <v>9488</v>
      </c>
      <c r="K2250" s="6" t="s">
        <v>128</v>
      </c>
      <c r="L2250" s="6" t="s">
        <v>1335</v>
      </c>
      <c r="M2250" s="15" t="s">
        <v>9489</v>
      </c>
      <c r="N2250" s="15" t="s">
        <v>9490</v>
      </c>
      <c r="O2250" s="75" t="s">
        <v>9491</v>
      </c>
    </row>
    <row r="2251" spans="1:15" s="1" customFormat="1" ht="14.25" customHeight="1">
      <c r="A2251" s="22" t="s">
        <v>5758</v>
      </c>
      <c r="B2251" s="3"/>
      <c r="C2251" s="3"/>
      <c r="D2251" s="5" t="s">
        <v>5751</v>
      </c>
      <c r="E2251" s="5" t="s">
        <v>124</v>
      </c>
      <c r="F2251" s="3" t="s">
        <v>6538</v>
      </c>
      <c r="G2251" s="6">
        <v>141.79400000000001</v>
      </c>
      <c r="H2251" s="7">
        <v>41884</v>
      </c>
      <c r="I2251" s="6" t="s">
        <v>209</v>
      </c>
      <c r="J2251" s="6" t="s">
        <v>6539</v>
      </c>
      <c r="K2251" s="6" t="s">
        <v>12997</v>
      </c>
      <c r="L2251" s="6" t="s">
        <v>1329</v>
      </c>
      <c r="M2251" s="15" t="s">
        <v>6540</v>
      </c>
      <c r="N2251" s="15" t="s">
        <v>6541</v>
      </c>
      <c r="O2251" s="28" t="s">
        <v>6542</v>
      </c>
    </row>
    <row r="2252" spans="1:15" s="1" customFormat="1" ht="14.25" customHeight="1">
      <c r="A2252" s="3" t="s">
        <v>5758</v>
      </c>
      <c r="B2252" s="3"/>
      <c r="C2252" s="3"/>
      <c r="D2252" s="5" t="s">
        <v>5751</v>
      </c>
      <c r="E2252" s="5" t="s">
        <v>124</v>
      </c>
      <c r="F2252" s="3" t="s">
        <v>6543</v>
      </c>
      <c r="G2252" s="6">
        <v>172.15299999999999</v>
      </c>
      <c r="H2252" s="7">
        <v>41884</v>
      </c>
      <c r="I2252" s="6" t="s">
        <v>209</v>
      </c>
      <c r="J2252" s="6" t="s">
        <v>6544</v>
      </c>
      <c r="K2252" s="6" t="s">
        <v>12997</v>
      </c>
      <c r="L2252" s="6" t="s">
        <v>240</v>
      </c>
      <c r="M2252" s="15" t="s">
        <v>6545</v>
      </c>
      <c r="N2252" s="15" t="s">
        <v>6546</v>
      </c>
      <c r="O2252" s="28" t="s">
        <v>6547</v>
      </c>
    </row>
    <row r="2253" spans="1:15" ht="14.25" customHeight="1">
      <c r="A2253" s="3" t="s">
        <v>5758</v>
      </c>
      <c r="B2253" s="3"/>
      <c r="C2253" s="3"/>
      <c r="D2253" s="5" t="s">
        <v>5751</v>
      </c>
      <c r="E2253" s="5" t="s">
        <v>124</v>
      </c>
      <c r="F2253" s="3" t="s">
        <v>9492</v>
      </c>
      <c r="G2253" s="6">
        <v>141.77699999999999</v>
      </c>
      <c r="H2253" s="7">
        <v>41884</v>
      </c>
      <c r="I2253" s="6" t="s">
        <v>209</v>
      </c>
      <c r="J2253" s="6" t="s">
        <v>9493</v>
      </c>
      <c r="K2253" s="6" t="s">
        <v>12997</v>
      </c>
      <c r="L2253" s="6" t="s">
        <v>1329</v>
      </c>
      <c r="M2253" s="15" t="s">
        <v>9494</v>
      </c>
      <c r="N2253" s="15" t="s">
        <v>9495</v>
      </c>
      <c r="O2253" s="28" t="s">
        <v>9496</v>
      </c>
    </row>
    <row r="2254" spans="1:15" s="1" customFormat="1" ht="14.25" customHeight="1">
      <c r="A2254" s="3" t="s">
        <v>1187</v>
      </c>
      <c r="B2254" s="3"/>
      <c r="C2254" s="3"/>
      <c r="D2254" s="5" t="s">
        <v>1188</v>
      </c>
      <c r="E2254" s="5" t="s">
        <v>124</v>
      </c>
      <c r="F2254" s="3" t="s">
        <v>6548</v>
      </c>
      <c r="G2254" s="6">
        <f>29.101*L2254</f>
        <v>87.302999999999997</v>
      </c>
      <c r="H2254" s="7">
        <v>41885</v>
      </c>
      <c r="I2254" s="6" t="s">
        <v>178</v>
      </c>
      <c r="J2254" s="6" t="s">
        <v>6549</v>
      </c>
      <c r="K2254" s="6" t="s">
        <v>21</v>
      </c>
      <c r="L2254" s="6">
        <v>3</v>
      </c>
      <c r="M2254" s="15" t="s">
        <v>6390</v>
      </c>
      <c r="N2254" s="15" t="s">
        <v>6550</v>
      </c>
      <c r="O2254" s="28" t="s">
        <v>6551</v>
      </c>
    </row>
    <row r="2255" spans="1:15" s="1" customFormat="1" ht="14.25" customHeight="1">
      <c r="A2255" s="3" t="s">
        <v>416</v>
      </c>
      <c r="B2255" s="3"/>
      <c r="C2255" s="3"/>
      <c r="D2255" s="5" t="s">
        <v>417</v>
      </c>
      <c r="E2255" s="5" t="s">
        <v>124</v>
      </c>
      <c r="F2255" s="3" t="s">
        <v>6552</v>
      </c>
      <c r="G2255" s="6">
        <f>29.101*L2255</f>
        <v>261.90899999999999</v>
      </c>
      <c r="H2255" s="7">
        <v>41885</v>
      </c>
      <c r="I2255" s="6" t="s">
        <v>419</v>
      </c>
      <c r="J2255" s="6" t="s">
        <v>6553</v>
      </c>
      <c r="K2255" s="6" t="s">
        <v>21</v>
      </c>
      <c r="L2255" s="6">
        <v>9</v>
      </c>
      <c r="M2255" s="15" t="s">
        <v>6554</v>
      </c>
      <c r="N2255" s="15" t="s">
        <v>6555</v>
      </c>
      <c r="O2255" s="28" t="s">
        <v>6554</v>
      </c>
    </row>
    <row r="2256" spans="1:15" s="1" customFormat="1" ht="14.25" customHeight="1">
      <c r="A2256" s="3" t="s">
        <v>416</v>
      </c>
      <c r="B2256" s="3"/>
      <c r="C2256" s="3"/>
      <c r="D2256" s="5" t="s">
        <v>417</v>
      </c>
      <c r="E2256" s="5" t="s">
        <v>124</v>
      </c>
      <c r="F2256" s="3" t="s">
        <v>6556</v>
      </c>
      <c r="G2256" s="6">
        <f>29.101*L2256</f>
        <v>261.90899999999999</v>
      </c>
      <c r="H2256" s="7">
        <v>41885</v>
      </c>
      <c r="I2256" s="6" t="s">
        <v>419</v>
      </c>
      <c r="J2256" s="6" t="s">
        <v>6557</v>
      </c>
      <c r="K2256" s="6" t="s">
        <v>21</v>
      </c>
      <c r="L2256" s="6">
        <v>9</v>
      </c>
      <c r="M2256" s="15" t="s">
        <v>6558</v>
      </c>
      <c r="N2256" s="15" t="s">
        <v>6559</v>
      </c>
      <c r="O2256" s="28" t="s">
        <v>6558</v>
      </c>
    </row>
    <row r="2257" spans="1:15" s="1" customFormat="1" ht="14.25" customHeight="1">
      <c r="A2257" s="3" t="s">
        <v>659</v>
      </c>
      <c r="B2257" s="3"/>
      <c r="C2257" s="3"/>
      <c r="D2257" s="5" t="s">
        <v>191</v>
      </c>
      <c r="E2257" s="5" t="s">
        <v>124</v>
      </c>
      <c r="F2257" s="3" t="s">
        <v>9501</v>
      </c>
      <c r="G2257" s="6">
        <f>18.708*L2257</f>
        <v>149.66399999999999</v>
      </c>
      <c r="H2257" s="7">
        <v>41885</v>
      </c>
      <c r="I2257" s="6" t="s">
        <v>178</v>
      </c>
      <c r="J2257" s="6" t="s">
        <v>9502</v>
      </c>
      <c r="K2257" s="6" t="s">
        <v>21</v>
      </c>
      <c r="L2257" s="6">
        <v>8</v>
      </c>
      <c r="M2257" s="15" t="s">
        <v>6835</v>
      </c>
      <c r="N2257" s="15" t="s">
        <v>5844</v>
      </c>
      <c r="O2257" s="28" t="s">
        <v>6835</v>
      </c>
    </row>
    <row r="2258" spans="1:15" s="1" customFormat="1" ht="14.25" customHeight="1">
      <c r="A2258" s="3" t="s">
        <v>442</v>
      </c>
      <c r="B2258" s="3"/>
      <c r="C2258" s="3"/>
      <c r="D2258" s="5" t="s">
        <v>443</v>
      </c>
      <c r="E2258" s="5" t="s">
        <v>124</v>
      </c>
      <c r="F2258" s="3" t="s">
        <v>6560</v>
      </c>
      <c r="G2258" s="6">
        <f>18.708*L2258</f>
        <v>149.66399999999999</v>
      </c>
      <c r="H2258" s="7">
        <v>41885</v>
      </c>
      <c r="I2258" s="6" t="s">
        <v>247</v>
      </c>
      <c r="J2258" s="6" t="s">
        <v>6561</v>
      </c>
      <c r="K2258" s="6" t="s">
        <v>21</v>
      </c>
      <c r="L2258" s="6">
        <v>8</v>
      </c>
      <c r="M2258" s="15" t="s">
        <v>6562</v>
      </c>
      <c r="N2258" s="15" t="s">
        <v>5844</v>
      </c>
      <c r="O2258" s="28" t="s">
        <v>6562</v>
      </c>
    </row>
    <row r="2259" spans="1:15" s="1" customFormat="1" ht="14.25" customHeight="1">
      <c r="A2259" s="3" t="s">
        <v>1087</v>
      </c>
      <c r="B2259" s="3" t="s">
        <v>4520</v>
      </c>
      <c r="C2259" s="3"/>
      <c r="D2259" s="5" t="s">
        <v>1088</v>
      </c>
      <c r="E2259" s="5" t="s">
        <v>124</v>
      </c>
      <c r="F2259" s="3" t="s">
        <v>6563</v>
      </c>
      <c r="G2259" s="6">
        <f>9.804*L2259</f>
        <v>117.648</v>
      </c>
      <c r="H2259" s="7">
        <v>41885</v>
      </c>
      <c r="I2259" s="6" t="s">
        <v>1090</v>
      </c>
      <c r="J2259" s="6" t="s">
        <v>6564</v>
      </c>
      <c r="K2259" s="6" t="s">
        <v>21</v>
      </c>
      <c r="L2259" s="6">
        <v>12</v>
      </c>
      <c r="M2259" s="15" t="s">
        <v>6565</v>
      </c>
      <c r="N2259" s="15" t="s">
        <v>164</v>
      </c>
      <c r="O2259" s="28" t="s">
        <v>6565</v>
      </c>
    </row>
    <row r="2260" spans="1:15" ht="14.25" customHeight="1">
      <c r="A2260" s="3" t="s">
        <v>1087</v>
      </c>
      <c r="B2260" s="3" t="s">
        <v>4520</v>
      </c>
      <c r="C2260" s="3"/>
      <c r="D2260" s="5" t="s">
        <v>1088</v>
      </c>
      <c r="E2260" s="5" t="s">
        <v>124</v>
      </c>
      <c r="F2260" s="3" t="s">
        <v>6566</v>
      </c>
      <c r="G2260" s="6">
        <f>9.804*L2260</f>
        <v>127.452</v>
      </c>
      <c r="H2260" s="7">
        <v>41885</v>
      </c>
      <c r="I2260" s="6" t="s">
        <v>1090</v>
      </c>
      <c r="J2260" s="6" t="s">
        <v>6567</v>
      </c>
      <c r="K2260" s="6" t="s">
        <v>21</v>
      </c>
      <c r="L2260" s="6">
        <v>13</v>
      </c>
      <c r="M2260" s="15" t="s">
        <v>6565</v>
      </c>
      <c r="N2260" s="15" t="s">
        <v>167</v>
      </c>
      <c r="O2260" s="28" t="s">
        <v>6568</v>
      </c>
    </row>
    <row r="2261" spans="1:15" s="1" customFormat="1" ht="14.25" customHeight="1">
      <c r="A2261" s="3" t="s">
        <v>514</v>
      </c>
      <c r="B2261" s="3"/>
      <c r="C2261" s="3"/>
      <c r="D2261" s="5" t="s">
        <v>2030</v>
      </c>
      <c r="E2261" s="5" t="s">
        <v>124</v>
      </c>
      <c r="F2261" s="3" t="s">
        <v>6569</v>
      </c>
      <c r="G2261" s="6">
        <f t="shared" ref="G2261:G2267" si="90">14.405*L2261</f>
        <v>172.85999999999999</v>
      </c>
      <c r="H2261" s="7">
        <v>41885</v>
      </c>
      <c r="I2261" s="6" t="s">
        <v>265</v>
      </c>
      <c r="J2261" s="6" t="s">
        <v>6570</v>
      </c>
      <c r="K2261" s="6" t="s">
        <v>21</v>
      </c>
      <c r="L2261" s="6">
        <v>12</v>
      </c>
      <c r="M2261" s="15" t="s">
        <v>6571</v>
      </c>
      <c r="N2261" s="15" t="s">
        <v>78</v>
      </c>
      <c r="O2261" s="28" t="s">
        <v>6571</v>
      </c>
    </row>
    <row r="2262" spans="1:15" ht="14.25" customHeight="1">
      <c r="A2262" s="3" t="s">
        <v>514</v>
      </c>
      <c r="B2262" s="3"/>
      <c r="C2262" s="3"/>
      <c r="D2262" s="5" t="s">
        <v>2030</v>
      </c>
      <c r="E2262" s="5" t="s">
        <v>124</v>
      </c>
      <c r="F2262" s="3" t="s">
        <v>9506</v>
      </c>
      <c r="G2262" s="6">
        <f t="shared" si="90"/>
        <v>187.26499999999999</v>
      </c>
      <c r="H2262" s="7">
        <v>41885</v>
      </c>
      <c r="I2262" s="6" t="s">
        <v>265</v>
      </c>
      <c r="J2262" s="6" t="s">
        <v>9507</v>
      </c>
      <c r="K2262" s="6" t="s">
        <v>21</v>
      </c>
      <c r="L2262" s="6">
        <v>13</v>
      </c>
      <c r="M2262" s="15" t="s">
        <v>6571</v>
      </c>
      <c r="N2262" s="15" t="s">
        <v>167</v>
      </c>
      <c r="O2262" s="28" t="s">
        <v>9508</v>
      </c>
    </row>
    <row r="2263" spans="1:15" s="1" customFormat="1" ht="14.25" customHeight="1">
      <c r="A2263" s="3" t="s">
        <v>514</v>
      </c>
      <c r="B2263" s="3"/>
      <c r="C2263" s="3"/>
      <c r="D2263" s="5" t="s">
        <v>2030</v>
      </c>
      <c r="E2263" s="5" t="s">
        <v>124</v>
      </c>
      <c r="F2263" s="3" t="s">
        <v>6572</v>
      </c>
      <c r="G2263" s="6">
        <f t="shared" si="90"/>
        <v>172.85999999999999</v>
      </c>
      <c r="H2263" s="7">
        <v>41885</v>
      </c>
      <c r="I2263" s="6" t="s">
        <v>265</v>
      </c>
      <c r="J2263" s="6" t="s">
        <v>6573</v>
      </c>
      <c r="K2263" s="6" t="s">
        <v>21</v>
      </c>
      <c r="L2263" s="6">
        <v>12</v>
      </c>
      <c r="M2263" s="15" t="s">
        <v>6574</v>
      </c>
      <c r="N2263" s="15" t="s">
        <v>78</v>
      </c>
      <c r="O2263" s="28" t="s">
        <v>6574</v>
      </c>
    </row>
    <row r="2264" spans="1:15" ht="14.25" customHeight="1">
      <c r="A2264" s="3" t="s">
        <v>514</v>
      </c>
      <c r="B2264" s="3"/>
      <c r="C2264" s="3"/>
      <c r="D2264" s="5" t="s">
        <v>2030</v>
      </c>
      <c r="E2264" s="5" t="s">
        <v>124</v>
      </c>
      <c r="F2264" s="3" t="s">
        <v>6575</v>
      </c>
      <c r="G2264" s="6">
        <f t="shared" si="90"/>
        <v>187.26499999999999</v>
      </c>
      <c r="H2264" s="7">
        <v>41885</v>
      </c>
      <c r="I2264" s="6" t="s">
        <v>265</v>
      </c>
      <c r="J2264" s="6" t="s">
        <v>6576</v>
      </c>
      <c r="K2264" s="6" t="s">
        <v>21</v>
      </c>
      <c r="L2264" s="6">
        <v>13</v>
      </c>
      <c r="M2264" s="15" t="s">
        <v>6574</v>
      </c>
      <c r="N2264" s="15" t="s">
        <v>167</v>
      </c>
      <c r="O2264" s="28" t="s">
        <v>6577</v>
      </c>
    </row>
    <row r="2265" spans="1:15" s="1" customFormat="1" ht="14.25" customHeight="1">
      <c r="A2265" s="3" t="s">
        <v>514</v>
      </c>
      <c r="B2265" s="3"/>
      <c r="C2265" s="3"/>
      <c r="D2265" s="5" t="s">
        <v>2030</v>
      </c>
      <c r="E2265" s="5" t="s">
        <v>124</v>
      </c>
      <c r="F2265" s="3" t="s">
        <v>6578</v>
      </c>
      <c r="G2265" s="6">
        <f t="shared" si="90"/>
        <v>172.85999999999999</v>
      </c>
      <c r="H2265" s="7">
        <v>41885</v>
      </c>
      <c r="I2265" s="6" t="s">
        <v>265</v>
      </c>
      <c r="J2265" s="6" t="s">
        <v>6579</v>
      </c>
      <c r="K2265" s="6" t="s">
        <v>21</v>
      </c>
      <c r="L2265" s="6">
        <v>12</v>
      </c>
      <c r="M2265" s="15" t="s">
        <v>6580</v>
      </c>
      <c r="N2265" s="15" t="s">
        <v>78</v>
      </c>
      <c r="O2265" s="28" t="s">
        <v>6580</v>
      </c>
    </row>
    <row r="2266" spans="1:15" ht="14.25" customHeight="1">
      <c r="A2266" s="3" t="s">
        <v>514</v>
      </c>
      <c r="B2266" s="3"/>
      <c r="C2266" s="3"/>
      <c r="D2266" s="5" t="s">
        <v>2030</v>
      </c>
      <c r="E2266" s="5" t="s">
        <v>124</v>
      </c>
      <c r="F2266" s="3" t="s">
        <v>6581</v>
      </c>
      <c r="G2266" s="6">
        <f t="shared" si="90"/>
        <v>187.26499999999999</v>
      </c>
      <c r="H2266" s="7">
        <v>41885</v>
      </c>
      <c r="I2266" s="6" t="s">
        <v>265</v>
      </c>
      <c r="J2266" s="6" t="s">
        <v>6582</v>
      </c>
      <c r="K2266" s="6" t="s">
        <v>21</v>
      </c>
      <c r="L2266" s="6">
        <v>13</v>
      </c>
      <c r="M2266" s="15" t="s">
        <v>6580</v>
      </c>
      <c r="N2266" s="15" t="s">
        <v>167</v>
      </c>
      <c r="O2266" s="28" t="s">
        <v>6583</v>
      </c>
    </row>
    <row r="2267" spans="1:15" s="1" customFormat="1" ht="14.25" customHeight="1">
      <c r="A2267" s="3" t="s">
        <v>5964</v>
      </c>
      <c r="B2267" s="3"/>
      <c r="C2267" s="3"/>
      <c r="D2267" s="5" t="s">
        <v>5965</v>
      </c>
      <c r="E2267" s="5" t="s">
        <v>124</v>
      </c>
      <c r="F2267" s="3" t="s">
        <v>6584</v>
      </c>
      <c r="G2267" s="6">
        <f t="shared" si="90"/>
        <v>43.214999999999996</v>
      </c>
      <c r="H2267" s="7">
        <v>41885</v>
      </c>
      <c r="I2267" s="6" t="s">
        <v>278</v>
      </c>
      <c r="J2267" s="6" t="s">
        <v>6585</v>
      </c>
      <c r="K2267" s="6" t="s">
        <v>5478</v>
      </c>
      <c r="L2267" s="6">
        <v>3</v>
      </c>
      <c r="M2267" s="15" t="s">
        <v>6586</v>
      </c>
      <c r="N2267" s="15" t="s">
        <v>6587</v>
      </c>
      <c r="O2267" s="28" t="s">
        <v>6586</v>
      </c>
    </row>
    <row r="2268" spans="1:15" s="1" customFormat="1" ht="14.25" customHeight="1">
      <c r="A2268" s="3" t="s">
        <v>4453</v>
      </c>
      <c r="B2268" s="3"/>
      <c r="C2268" s="3"/>
      <c r="D2268" s="5" t="s">
        <v>3106</v>
      </c>
      <c r="E2268" s="5" t="s">
        <v>124</v>
      </c>
      <c r="F2268" s="3" t="s">
        <v>6588</v>
      </c>
      <c r="G2268" s="6">
        <f>17.498*L2268</f>
        <v>34.996000000000002</v>
      </c>
      <c r="H2268" s="7">
        <v>41885</v>
      </c>
      <c r="I2268" s="6" t="s">
        <v>265</v>
      </c>
      <c r="J2268" s="6" t="s">
        <v>6589</v>
      </c>
      <c r="K2268" s="6" t="s">
        <v>21</v>
      </c>
      <c r="L2268" s="6">
        <v>2</v>
      </c>
      <c r="M2268" s="15" t="s">
        <v>6590</v>
      </c>
      <c r="N2268" s="15" t="s">
        <v>5185</v>
      </c>
      <c r="O2268" s="28" t="s">
        <v>6590</v>
      </c>
    </row>
    <row r="2269" spans="1:15" ht="14.25" customHeight="1">
      <c r="A2269" s="3" t="s">
        <v>8732</v>
      </c>
      <c r="B2269" s="3" t="s">
        <v>7547</v>
      </c>
      <c r="C2269" s="3"/>
      <c r="D2269" s="5" t="s">
        <v>2241</v>
      </c>
      <c r="E2269" s="5" t="s">
        <v>7026</v>
      </c>
      <c r="F2269" s="3" t="s">
        <v>8890</v>
      </c>
      <c r="G2269" s="6">
        <f>29.101*L2269</f>
        <v>29.100999999999999</v>
      </c>
      <c r="H2269" s="7">
        <v>41886</v>
      </c>
      <c r="I2269" s="6" t="s">
        <v>419</v>
      </c>
      <c r="J2269" s="6" t="s">
        <v>8891</v>
      </c>
      <c r="K2269" s="6" t="s">
        <v>21</v>
      </c>
      <c r="L2269" s="6">
        <v>1</v>
      </c>
      <c r="M2269" s="15" t="s">
        <v>8736</v>
      </c>
      <c r="N2269" s="15" t="s">
        <v>334</v>
      </c>
      <c r="O2269" s="28"/>
    </row>
    <row r="2270" spans="1:15" s="1" customFormat="1" ht="14.25" customHeight="1">
      <c r="A2270" s="3" t="s">
        <v>1043</v>
      </c>
      <c r="B2270" s="3"/>
      <c r="C2270" s="3"/>
      <c r="D2270" s="5" t="s">
        <v>443</v>
      </c>
      <c r="E2270" s="5" t="s">
        <v>7026</v>
      </c>
      <c r="F2270" s="3" t="s">
        <v>8892</v>
      </c>
      <c r="G2270" s="6">
        <f t="shared" ref="G2270:G2275" si="91">18.708*L2270</f>
        <v>224.49599999999998</v>
      </c>
      <c r="H2270" s="7">
        <v>41886</v>
      </c>
      <c r="I2270" s="40" t="s">
        <v>8264</v>
      </c>
      <c r="J2270" s="6" t="s">
        <v>8893</v>
      </c>
      <c r="K2270" s="6" t="s">
        <v>21</v>
      </c>
      <c r="L2270" s="6">
        <v>12</v>
      </c>
      <c r="M2270" s="15" t="s">
        <v>8894</v>
      </c>
      <c r="N2270" s="15" t="s">
        <v>164</v>
      </c>
      <c r="O2270" s="28"/>
    </row>
    <row r="2271" spans="1:15" s="1" customFormat="1" ht="14.25" customHeight="1">
      <c r="A2271" s="3" t="s">
        <v>1043</v>
      </c>
      <c r="B2271" s="3"/>
      <c r="C2271" s="3"/>
      <c r="D2271" s="5" t="s">
        <v>443</v>
      </c>
      <c r="E2271" s="5" t="s">
        <v>7026</v>
      </c>
      <c r="F2271" s="3" t="s">
        <v>8895</v>
      </c>
      <c r="G2271" s="6">
        <f t="shared" si="91"/>
        <v>243.20399999999998</v>
      </c>
      <c r="H2271" s="7">
        <v>41886</v>
      </c>
      <c r="I2271" s="40" t="s">
        <v>8264</v>
      </c>
      <c r="J2271" s="6" t="s">
        <v>8896</v>
      </c>
      <c r="K2271" s="6" t="s">
        <v>21</v>
      </c>
      <c r="L2271" s="6">
        <v>13</v>
      </c>
      <c r="M2271" s="15" t="s">
        <v>8894</v>
      </c>
      <c r="N2271" s="15" t="s">
        <v>167</v>
      </c>
      <c r="O2271" s="28"/>
    </row>
    <row r="2272" spans="1:15" s="1" customFormat="1" ht="14.25" customHeight="1">
      <c r="A2272" s="3" t="s">
        <v>1043</v>
      </c>
      <c r="B2272" s="3"/>
      <c r="C2272" s="3"/>
      <c r="D2272" s="5" t="s">
        <v>443</v>
      </c>
      <c r="E2272" s="5" t="s">
        <v>7026</v>
      </c>
      <c r="F2272" s="3" t="s">
        <v>8897</v>
      </c>
      <c r="G2272" s="6">
        <f t="shared" si="91"/>
        <v>224.49599999999998</v>
      </c>
      <c r="H2272" s="7">
        <v>41886</v>
      </c>
      <c r="I2272" s="40" t="s">
        <v>8264</v>
      </c>
      <c r="J2272" s="6" t="s">
        <v>8898</v>
      </c>
      <c r="K2272" s="6" t="s">
        <v>21</v>
      </c>
      <c r="L2272" s="6">
        <v>12</v>
      </c>
      <c r="M2272" s="15" t="s">
        <v>8899</v>
      </c>
      <c r="N2272" s="15" t="s">
        <v>164</v>
      </c>
      <c r="O2272" s="28"/>
    </row>
    <row r="2273" spans="1:15" ht="14.25" customHeight="1">
      <c r="A2273" s="3" t="s">
        <v>1043</v>
      </c>
      <c r="B2273" s="3"/>
      <c r="C2273" s="3"/>
      <c r="D2273" s="5" t="s">
        <v>443</v>
      </c>
      <c r="E2273" s="5" t="s">
        <v>7026</v>
      </c>
      <c r="F2273" s="3" t="s">
        <v>8900</v>
      </c>
      <c r="G2273" s="6">
        <f t="shared" si="91"/>
        <v>243.20399999999998</v>
      </c>
      <c r="H2273" s="7">
        <v>41886</v>
      </c>
      <c r="I2273" s="40" t="s">
        <v>8264</v>
      </c>
      <c r="J2273" s="6" t="s">
        <v>8901</v>
      </c>
      <c r="K2273" s="6" t="s">
        <v>21</v>
      </c>
      <c r="L2273" s="6">
        <v>13</v>
      </c>
      <c r="M2273" s="15" t="s">
        <v>8899</v>
      </c>
      <c r="N2273" s="15" t="s">
        <v>167</v>
      </c>
      <c r="O2273" s="28"/>
    </row>
    <row r="2274" spans="1:15" s="1" customFormat="1">
      <c r="A2274" s="3" t="s">
        <v>1043</v>
      </c>
      <c r="B2274" s="3"/>
      <c r="C2274" s="3"/>
      <c r="D2274" s="5" t="s">
        <v>443</v>
      </c>
      <c r="E2274" s="5" t="s">
        <v>7026</v>
      </c>
      <c r="F2274" s="3" t="s">
        <v>8902</v>
      </c>
      <c r="G2274" s="6">
        <f t="shared" si="91"/>
        <v>224.49599999999998</v>
      </c>
      <c r="H2274" s="7">
        <v>41886</v>
      </c>
      <c r="I2274" s="40" t="s">
        <v>8264</v>
      </c>
      <c r="J2274" s="6" t="s">
        <v>8903</v>
      </c>
      <c r="K2274" s="6" t="s">
        <v>21</v>
      </c>
      <c r="L2274" s="6">
        <v>12</v>
      </c>
      <c r="M2274" s="15" t="s">
        <v>8904</v>
      </c>
      <c r="N2274" s="15" t="s">
        <v>164</v>
      </c>
      <c r="O2274" s="28"/>
    </row>
    <row r="2275" spans="1:15" s="1" customFormat="1">
      <c r="A2275" s="3" t="s">
        <v>1043</v>
      </c>
      <c r="B2275" s="3"/>
      <c r="C2275" s="3"/>
      <c r="D2275" s="5" t="s">
        <v>443</v>
      </c>
      <c r="E2275" s="5" t="s">
        <v>7026</v>
      </c>
      <c r="F2275" s="3" t="s">
        <v>8905</v>
      </c>
      <c r="G2275" s="6">
        <f t="shared" si="91"/>
        <v>243.20399999999998</v>
      </c>
      <c r="H2275" s="7">
        <v>41886</v>
      </c>
      <c r="I2275" s="40" t="s">
        <v>8264</v>
      </c>
      <c r="J2275" s="6" t="s">
        <v>8906</v>
      </c>
      <c r="K2275" s="6" t="s">
        <v>21</v>
      </c>
      <c r="L2275" s="6">
        <v>13</v>
      </c>
      <c r="M2275" s="15" t="s">
        <v>8904</v>
      </c>
      <c r="N2275" s="15" t="s">
        <v>167</v>
      </c>
      <c r="O2275" s="28"/>
    </row>
    <row r="2276" spans="1:15" s="1" customFormat="1">
      <c r="A2276" s="3" t="s">
        <v>7064</v>
      </c>
      <c r="B2276" s="3"/>
      <c r="C2276" s="3"/>
      <c r="D2276" s="5" t="s">
        <v>7025</v>
      </c>
      <c r="E2276" s="5" t="s">
        <v>7026</v>
      </c>
      <c r="F2276" s="3" t="s">
        <v>13488</v>
      </c>
      <c r="G2276" s="6">
        <f>17.498*L2276</f>
        <v>209.976</v>
      </c>
      <c r="H2276" s="7">
        <v>41886</v>
      </c>
      <c r="I2276" s="6" t="s">
        <v>265</v>
      </c>
      <c r="J2276" s="6" t="s">
        <v>8907</v>
      </c>
      <c r="K2276" s="6" t="s">
        <v>21</v>
      </c>
      <c r="L2276" s="6">
        <v>12</v>
      </c>
      <c r="M2276" s="15" t="s">
        <v>8908</v>
      </c>
      <c r="N2276" s="15" t="s">
        <v>78</v>
      </c>
      <c r="O2276" s="28" t="s">
        <v>13489</v>
      </c>
    </row>
    <row r="2277" spans="1:15" s="1" customFormat="1">
      <c r="A2277" s="3" t="s">
        <v>1259</v>
      </c>
      <c r="B2277" s="3"/>
      <c r="C2277" s="3"/>
      <c r="D2277" s="5" t="s">
        <v>170</v>
      </c>
      <c r="E2277" s="5" t="s">
        <v>7026</v>
      </c>
      <c r="F2277" s="3" t="s">
        <v>8909</v>
      </c>
      <c r="G2277" s="6">
        <f>17.498*L2277</f>
        <v>122.486</v>
      </c>
      <c r="H2277" s="7">
        <v>41886</v>
      </c>
      <c r="I2277" s="6" t="s">
        <v>265</v>
      </c>
      <c r="J2277" s="6" t="s">
        <v>8910</v>
      </c>
      <c r="K2277" s="6" t="s">
        <v>21</v>
      </c>
      <c r="L2277" s="6">
        <v>7</v>
      </c>
      <c r="M2277" s="15" t="s">
        <v>8911</v>
      </c>
      <c r="N2277" s="15" t="s">
        <v>8912</v>
      </c>
      <c r="O2277" s="28"/>
    </row>
    <row r="2278" spans="1:15" s="1" customFormat="1">
      <c r="A2278" s="3" t="s">
        <v>7145</v>
      </c>
      <c r="B2278" s="3"/>
      <c r="C2278" s="3"/>
      <c r="D2278" s="5" t="s">
        <v>170</v>
      </c>
      <c r="E2278" s="5" t="s">
        <v>7026</v>
      </c>
      <c r="F2278" s="3" t="s">
        <v>11104</v>
      </c>
      <c r="G2278" s="6">
        <f>17.498*L2278</f>
        <v>244.97200000000001</v>
      </c>
      <c r="H2278" s="7">
        <v>41886</v>
      </c>
      <c r="I2278" s="6" t="s">
        <v>265</v>
      </c>
      <c r="J2278" s="6" t="s">
        <v>11105</v>
      </c>
      <c r="K2278" s="6" t="s">
        <v>21</v>
      </c>
      <c r="L2278" s="6">
        <v>14</v>
      </c>
      <c r="M2278" s="15" t="s">
        <v>8911</v>
      </c>
      <c r="N2278" s="15" t="s">
        <v>8645</v>
      </c>
      <c r="O2278" s="28"/>
    </row>
    <row r="2279" spans="1:15" s="1" customFormat="1">
      <c r="A2279" s="3" t="s">
        <v>96</v>
      </c>
      <c r="B2279" s="3"/>
      <c r="C2279" s="3"/>
      <c r="D2279" s="5" t="s">
        <v>48</v>
      </c>
      <c r="E2279" s="5" t="s">
        <v>17</v>
      </c>
      <c r="F2279" s="3" t="s">
        <v>97</v>
      </c>
      <c r="G2279" s="6">
        <f>8.926*L2279</f>
        <v>116.038</v>
      </c>
      <c r="H2279" s="7">
        <v>41887</v>
      </c>
      <c r="I2279" s="6" t="s">
        <v>98</v>
      </c>
      <c r="J2279" s="6" t="s">
        <v>99</v>
      </c>
      <c r="K2279" s="6" t="s">
        <v>21</v>
      </c>
      <c r="L2279" s="6">
        <v>13</v>
      </c>
      <c r="M2279" s="15" t="s">
        <v>100</v>
      </c>
      <c r="N2279" s="15" t="s">
        <v>81</v>
      </c>
      <c r="O2279" s="28"/>
    </row>
    <row r="2280" spans="1:15">
      <c r="A2280" s="3" t="s">
        <v>96</v>
      </c>
      <c r="B2280" s="3"/>
      <c r="C2280" s="3"/>
      <c r="D2280" s="5" t="s">
        <v>48</v>
      </c>
      <c r="E2280" s="5" t="s">
        <v>17</v>
      </c>
      <c r="F2280" s="3" t="s">
        <v>9099</v>
      </c>
      <c r="G2280" s="6">
        <f>8.926*L2280</f>
        <v>89.26</v>
      </c>
      <c r="H2280" s="7">
        <v>41887</v>
      </c>
      <c r="I2280" s="6" t="s">
        <v>98</v>
      </c>
      <c r="J2280" s="6" t="s">
        <v>9100</v>
      </c>
      <c r="K2280" s="6" t="s">
        <v>21</v>
      </c>
      <c r="L2280" s="6">
        <v>10</v>
      </c>
      <c r="M2280" s="15" t="s">
        <v>9101</v>
      </c>
      <c r="N2280" s="15" t="s">
        <v>9102</v>
      </c>
      <c r="O2280" s="28"/>
    </row>
    <row r="2281" spans="1:15">
      <c r="A2281" s="3" t="s">
        <v>88</v>
      </c>
      <c r="B2281" s="3"/>
      <c r="C2281" s="3"/>
      <c r="D2281" s="5" t="s">
        <v>55</v>
      </c>
      <c r="E2281" s="5" t="s">
        <v>17</v>
      </c>
      <c r="F2281" s="3" t="s">
        <v>101</v>
      </c>
      <c r="G2281" s="6">
        <f>8.926*L2281</f>
        <v>116.038</v>
      </c>
      <c r="H2281" s="7">
        <v>41887</v>
      </c>
      <c r="I2281" s="6" t="s">
        <v>50</v>
      </c>
      <c r="J2281" s="6" t="s">
        <v>102</v>
      </c>
      <c r="K2281" s="6" t="s">
        <v>21</v>
      </c>
      <c r="L2281" s="6">
        <v>13</v>
      </c>
      <c r="M2281" s="15" t="s">
        <v>91</v>
      </c>
      <c r="N2281" s="15" t="s">
        <v>81</v>
      </c>
      <c r="O2281" s="28"/>
    </row>
    <row r="2282" spans="1:15">
      <c r="A2282" s="3" t="s">
        <v>88</v>
      </c>
      <c r="B2282" s="3"/>
      <c r="C2282" s="3"/>
      <c r="D2282" s="5" t="s">
        <v>55</v>
      </c>
      <c r="E2282" s="5" t="s">
        <v>17</v>
      </c>
      <c r="F2282" s="3" t="s">
        <v>9103</v>
      </c>
      <c r="G2282" s="6">
        <f>8.926*L2282</f>
        <v>98.186000000000007</v>
      </c>
      <c r="H2282" s="7">
        <v>41887</v>
      </c>
      <c r="I2282" s="6" t="s">
        <v>50</v>
      </c>
      <c r="J2282" s="6" t="s">
        <v>9104</v>
      </c>
      <c r="K2282" s="6" t="s">
        <v>21</v>
      </c>
      <c r="L2282" s="6">
        <v>11</v>
      </c>
      <c r="M2282" s="15" t="s">
        <v>9105</v>
      </c>
      <c r="N2282" s="15" t="s">
        <v>4504</v>
      </c>
      <c r="O2282" s="28"/>
    </row>
    <row r="2283" spans="1:15">
      <c r="A2283" s="3" t="s">
        <v>157</v>
      </c>
      <c r="B2283" s="3" t="s">
        <v>283</v>
      </c>
      <c r="C2283" s="3"/>
      <c r="D2283" s="5" t="s">
        <v>1098</v>
      </c>
      <c r="E2283" s="5" t="s">
        <v>124</v>
      </c>
      <c r="F2283" s="3" t="s">
        <v>6591</v>
      </c>
      <c r="G2283" s="6">
        <f>9.871*L2283</f>
        <v>118.452</v>
      </c>
      <c r="H2283" s="7">
        <v>41887</v>
      </c>
      <c r="I2283" s="6" t="s">
        <v>161</v>
      </c>
      <c r="J2283" s="6" t="s">
        <v>6592</v>
      </c>
      <c r="K2283" s="6" t="s">
        <v>21</v>
      </c>
      <c r="L2283" s="6">
        <v>12</v>
      </c>
      <c r="M2283" s="15" t="s">
        <v>6593</v>
      </c>
      <c r="N2283" s="15" t="s">
        <v>164</v>
      </c>
      <c r="O2283" s="28" t="s">
        <v>6593</v>
      </c>
    </row>
    <row r="2284" spans="1:15" s="1" customFormat="1">
      <c r="A2284" s="3" t="s">
        <v>157</v>
      </c>
      <c r="B2284" s="3" t="s">
        <v>283</v>
      </c>
      <c r="C2284" s="3"/>
      <c r="D2284" s="5" t="s">
        <v>1098</v>
      </c>
      <c r="E2284" s="5" t="s">
        <v>124</v>
      </c>
      <c r="F2284" s="3" t="s">
        <v>6594</v>
      </c>
      <c r="G2284" s="6">
        <f>9.871*L2284</f>
        <v>128.32300000000001</v>
      </c>
      <c r="H2284" s="7">
        <v>41887</v>
      </c>
      <c r="I2284" s="6" t="s">
        <v>161</v>
      </c>
      <c r="J2284" s="6" t="s">
        <v>6595</v>
      </c>
      <c r="K2284" s="6" t="s">
        <v>21</v>
      </c>
      <c r="L2284" s="6">
        <v>13</v>
      </c>
      <c r="M2284" s="15" t="s">
        <v>6593</v>
      </c>
      <c r="N2284" s="15" t="s">
        <v>167</v>
      </c>
      <c r="O2284" s="28" t="s">
        <v>6596</v>
      </c>
    </row>
    <row r="2285" spans="1:15" s="1" customFormat="1">
      <c r="A2285" s="3" t="s">
        <v>157</v>
      </c>
      <c r="B2285" s="3" t="s">
        <v>283</v>
      </c>
      <c r="C2285" s="3"/>
      <c r="D2285" s="5" t="s">
        <v>1098</v>
      </c>
      <c r="E2285" s="5" t="s">
        <v>124</v>
      </c>
      <c r="F2285" s="3" t="s">
        <v>9516</v>
      </c>
      <c r="G2285" s="6">
        <f>9.871*L2285</f>
        <v>118.452</v>
      </c>
      <c r="H2285" s="7">
        <v>41887</v>
      </c>
      <c r="I2285" s="6" t="s">
        <v>161</v>
      </c>
      <c r="J2285" s="6" t="s">
        <v>9517</v>
      </c>
      <c r="K2285" s="6" t="s">
        <v>21</v>
      </c>
      <c r="L2285" s="6">
        <v>12</v>
      </c>
      <c r="M2285" s="15" t="s">
        <v>6599</v>
      </c>
      <c r="N2285" s="15" t="s">
        <v>164</v>
      </c>
      <c r="O2285" s="28" t="s">
        <v>9518</v>
      </c>
    </row>
    <row r="2286" spans="1:15">
      <c r="A2286" s="3" t="s">
        <v>157</v>
      </c>
      <c r="B2286" s="3" t="s">
        <v>283</v>
      </c>
      <c r="C2286" s="3"/>
      <c r="D2286" s="5" t="s">
        <v>1098</v>
      </c>
      <c r="E2286" s="5" t="s">
        <v>124</v>
      </c>
      <c r="F2286" s="3" t="s">
        <v>6597</v>
      </c>
      <c r="G2286" s="6">
        <f>9.871*L2286</f>
        <v>128.32300000000001</v>
      </c>
      <c r="H2286" s="7">
        <v>41887</v>
      </c>
      <c r="I2286" s="6" t="s">
        <v>161</v>
      </c>
      <c r="J2286" s="6" t="s">
        <v>6598</v>
      </c>
      <c r="K2286" s="6" t="s">
        <v>21</v>
      </c>
      <c r="L2286" s="6">
        <v>13</v>
      </c>
      <c r="M2286" s="15" t="s">
        <v>6599</v>
      </c>
      <c r="N2286" s="15" t="s">
        <v>167</v>
      </c>
      <c r="O2286" s="28" t="s">
        <v>6599</v>
      </c>
    </row>
    <row r="2287" spans="1:15">
      <c r="A2287" s="3" t="s">
        <v>9536</v>
      </c>
      <c r="B2287" s="3" t="s">
        <v>4520</v>
      </c>
      <c r="C2287" s="3"/>
      <c r="D2287" s="5" t="s">
        <v>2241</v>
      </c>
      <c r="E2287" s="5" t="s">
        <v>124</v>
      </c>
      <c r="F2287" s="3" t="s">
        <v>9537</v>
      </c>
      <c r="G2287" s="6">
        <f>29.101*L2287</f>
        <v>203.70699999999999</v>
      </c>
      <c r="H2287" s="7">
        <v>41887</v>
      </c>
      <c r="I2287" s="6" t="s">
        <v>331</v>
      </c>
      <c r="J2287" s="6" t="s">
        <v>9538</v>
      </c>
      <c r="K2287" s="6" t="s">
        <v>21</v>
      </c>
      <c r="L2287" s="6">
        <v>7</v>
      </c>
      <c r="M2287" s="15" t="s">
        <v>9539</v>
      </c>
      <c r="N2287" s="15" t="s">
        <v>1141</v>
      </c>
      <c r="O2287" s="28" t="s">
        <v>9540</v>
      </c>
    </row>
    <row r="2288" spans="1:15" s="1" customFormat="1">
      <c r="A2288" s="3" t="s">
        <v>1322</v>
      </c>
      <c r="B2288" s="3"/>
      <c r="C2288" s="3"/>
      <c r="D2288" s="5" t="s">
        <v>672</v>
      </c>
      <c r="E2288" s="5" t="s">
        <v>124</v>
      </c>
      <c r="F2288" s="3" t="s">
        <v>6612</v>
      </c>
      <c r="G2288" s="6">
        <v>104.51</v>
      </c>
      <c r="H2288" s="7">
        <v>41887</v>
      </c>
      <c r="I2288" s="6" t="s">
        <v>209</v>
      </c>
      <c r="J2288" s="6" t="s">
        <v>6613</v>
      </c>
      <c r="K2288" s="6" t="s">
        <v>128</v>
      </c>
      <c r="L2288" s="6" t="s">
        <v>240</v>
      </c>
      <c r="M2288" s="15" t="s">
        <v>6614</v>
      </c>
      <c r="N2288" s="15" t="s">
        <v>6615</v>
      </c>
      <c r="O2288" s="28" t="s">
        <v>6616</v>
      </c>
    </row>
    <row r="2289" spans="1:15" s="1" customFormat="1">
      <c r="A2289" s="3" t="s">
        <v>1322</v>
      </c>
      <c r="B2289" s="3"/>
      <c r="C2289" s="3"/>
      <c r="D2289" s="5" t="s">
        <v>672</v>
      </c>
      <c r="E2289" s="5" t="s">
        <v>124</v>
      </c>
      <c r="F2289" s="3" t="s">
        <v>9546</v>
      </c>
      <c r="G2289" s="6">
        <v>49.351999999999997</v>
      </c>
      <c r="H2289" s="7">
        <v>41887</v>
      </c>
      <c r="I2289" s="6" t="s">
        <v>209</v>
      </c>
      <c r="J2289" s="6" t="s">
        <v>9547</v>
      </c>
      <c r="K2289" s="6" t="s">
        <v>128</v>
      </c>
      <c r="L2289" s="6" t="s">
        <v>1990</v>
      </c>
      <c r="M2289" s="15" t="s">
        <v>6614</v>
      </c>
      <c r="N2289" s="15" t="s">
        <v>9548</v>
      </c>
      <c r="O2289" s="28" t="s">
        <v>9549</v>
      </c>
    </row>
    <row r="2290" spans="1:15" s="1" customFormat="1">
      <c r="A2290" s="3" t="s">
        <v>1285</v>
      </c>
      <c r="B2290" s="3" t="s">
        <v>283</v>
      </c>
      <c r="C2290" s="3"/>
      <c r="D2290" s="5" t="s">
        <v>1287</v>
      </c>
      <c r="E2290" s="5" t="s">
        <v>124</v>
      </c>
      <c r="F2290" s="3" t="s">
        <v>6600</v>
      </c>
      <c r="G2290" s="6">
        <f>8.606*L2290</f>
        <v>129.09</v>
      </c>
      <c r="H2290" s="7">
        <v>41891</v>
      </c>
      <c r="I2290" s="6" t="s">
        <v>272</v>
      </c>
      <c r="J2290" s="6" t="s">
        <v>6601</v>
      </c>
      <c r="K2290" s="6" t="s">
        <v>21</v>
      </c>
      <c r="L2290" s="6">
        <v>15</v>
      </c>
      <c r="M2290" s="15" t="s">
        <v>6602</v>
      </c>
      <c r="N2290" s="15" t="s">
        <v>2771</v>
      </c>
      <c r="O2290" s="28" t="s">
        <v>6602</v>
      </c>
    </row>
    <row r="2291" spans="1:15">
      <c r="A2291" s="3" t="s">
        <v>1285</v>
      </c>
      <c r="B2291" s="3" t="s">
        <v>283</v>
      </c>
      <c r="C2291" s="3"/>
      <c r="D2291" s="5" t="s">
        <v>1287</v>
      </c>
      <c r="E2291" s="5" t="s">
        <v>124</v>
      </c>
      <c r="F2291" s="3" t="s">
        <v>9519</v>
      </c>
      <c r="G2291" s="6">
        <f>8.606*L2291</f>
        <v>86.06</v>
      </c>
      <c r="H2291" s="7">
        <v>41891</v>
      </c>
      <c r="I2291" s="6" t="s">
        <v>272</v>
      </c>
      <c r="J2291" s="6" t="s">
        <v>9520</v>
      </c>
      <c r="K2291" s="6" t="s">
        <v>21</v>
      </c>
      <c r="L2291" s="6">
        <v>10</v>
      </c>
      <c r="M2291" s="15" t="s">
        <v>6701</v>
      </c>
      <c r="N2291" s="15" t="s">
        <v>35</v>
      </c>
      <c r="O2291" s="28" t="s">
        <v>6701</v>
      </c>
    </row>
    <row r="2292" spans="1:15">
      <c r="A2292" s="3" t="s">
        <v>3653</v>
      </c>
      <c r="B2292" s="3"/>
      <c r="C2292" s="3"/>
      <c r="D2292" s="5" t="s">
        <v>495</v>
      </c>
      <c r="E2292" s="5" t="s">
        <v>124</v>
      </c>
      <c r="F2292" s="3" t="s">
        <v>9521</v>
      </c>
      <c r="G2292" s="6">
        <f>12.838*L2292</f>
        <v>102.70399999999999</v>
      </c>
      <c r="H2292" s="7">
        <v>41891</v>
      </c>
      <c r="I2292" s="6" t="s">
        <v>471</v>
      </c>
      <c r="J2292" s="6" t="s">
        <v>9522</v>
      </c>
      <c r="K2292" s="6" t="s">
        <v>21</v>
      </c>
      <c r="L2292" s="6">
        <v>8</v>
      </c>
      <c r="M2292" s="15" t="s">
        <v>9523</v>
      </c>
      <c r="N2292" s="15" t="s">
        <v>5844</v>
      </c>
      <c r="O2292" s="28" t="s">
        <v>9523</v>
      </c>
    </row>
    <row r="2293" spans="1:15" s="1" customFormat="1">
      <c r="A2293" s="3" t="s">
        <v>5351</v>
      </c>
      <c r="B2293" s="3" t="s">
        <v>67</v>
      </c>
      <c r="C2293" s="3"/>
      <c r="D2293" s="5" t="s">
        <v>364</v>
      </c>
      <c r="E2293" s="5" t="s">
        <v>124</v>
      </c>
      <c r="F2293" s="3" t="s">
        <v>9527</v>
      </c>
      <c r="G2293" s="6">
        <f>12.838*L2293</f>
        <v>166.89399999999998</v>
      </c>
      <c r="H2293" s="7">
        <v>41891</v>
      </c>
      <c r="I2293" s="6" t="s">
        <v>126</v>
      </c>
      <c r="J2293" s="6" t="s">
        <v>9528</v>
      </c>
      <c r="K2293" s="6" t="s">
        <v>21</v>
      </c>
      <c r="L2293" s="6">
        <v>13</v>
      </c>
      <c r="M2293" s="15" t="s">
        <v>9526</v>
      </c>
      <c r="N2293" s="15" t="s">
        <v>167</v>
      </c>
      <c r="O2293" s="28" t="s">
        <v>9529</v>
      </c>
    </row>
    <row r="2294" spans="1:15">
      <c r="A2294" s="3" t="s">
        <v>4431</v>
      </c>
      <c r="B2294" s="3"/>
      <c r="C2294" s="3"/>
      <c r="D2294" s="5" t="s">
        <v>4432</v>
      </c>
      <c r="E2294" s="5" t="s">
        <v>124</v>
      </c>
      <c r="F2294" s="3" t="s">
        <v>6603</v>
      </c>
      <c r="G2294" s="6">
        <f>17.52*L2294</f>
        <v>122.64</v>
      </c>
      <c r="H2294" s="7">
        <v>41891</v>
      </c>
      <c r="I2294" s="6" t="s">
        <v>265</v>
      </c>
      <c r="J2294" s="6" t="s">
        <v>6604</v>
      </c>
      <c r="K2294" s="6" t="s">
        <v>21</v>
      </c>
      <c r="L2294" s="6">
        <v>7</v>
      </c>
      <c r="M2294" s="15" t="s">
        <v>6605</v>
      </c>
      <c r="N2294" s="15" t="s">
        <v>5464</v>
      </c>
      <c r="O2294" s="28" t="s">
        <v>6606</v>
      </c>
    </row>
    <row r="2295" spans="1:15" s="1" customFormat="1">
      <c r="A2295" s="3" t="s">
        <v>664</v>
      </c>
      <c r="B2295" s="3"/>
      <c r="C2295" s="3"/>
      <c r="D2295" s="5" t="s">
        <v>665</v>
      </c>
      <c r="E2295" s="5" t="s">
        <v>124</v>
      </c>
      <c r="F2295" s="3" t="s">
        <v>9541</v>
      </c>
      <c r="G2295" s="6">
        <v>49.468000000000004</v>
      </c>
      <c r="H2295" s="7">
        <v>41891</v>
      </c>
      <c r="I2295" s="6" t="s">
        <v>209</v>
      </c>
      <c r="J2295" s="6" t="s">
        <v>9542</v>
      </c>
      <c r="K2295" s="6" t="s">
        <v>128</v>
      </c>
      <c r="L2295" s="6" t="s">
        <v>1990</v>
      </c>
      <c r="M2295" s="15" t="s">
        <v>9543</v>
      </c>
      <c r="N2295" s="15" t="s">
        <v>9544</v>
      </c>
      <c r="O2295" s="28" t="s">
        <v>9545</v>
      </c>
    </row>
    <row r="2296" spans="1:15">
      <c r="A2296" s="3" t="s">
        <v>664</v>
      </c>
      <c r="B2296" s="3"/>
      <c r="C2296" s="3"/>
      <c r="D2296" s="5" t="s">
        <v>665</v>
      </c>
      <c r="E2296" s="5" t="s">
        <v>124</v>
      </c>
      <c r="F2296" s="3" t="s">
        <v>6607</v>
      </c>
      <c r="G2296" s="6">
        <v>104.724</v>
      </c>
      <c r="H2296" s="7">
        <v>41891</v>
      </c>
      <c r="I2296" s="6" t="s">
        <v>209</v>
      </c>
      <c r="J2296" s="6" t="s">
        <v>6608</v>
      </c>
      <c r="K2296" s="6" t="s">
        <v>128</v>
      </c>
      <c r="L2296" s="6" t="s">
        <v>240</v>
      </c>
      <c r="M2296" s="15" t="s">
        <v>6609</v>
      </c>
      <c r="N2296" s="15" t="s">
        <v>6610</v>
      </c>
      <c r="O2296" s="28" t="s">
        <v>6611</v>
      </c>
    </row>
    <row r="2297" spans="1:15" s="1" customFormat="1">
      <c r="A2297" s="3" t="s">
        <v>236</v>
      </c>
      <c r="B2297" s="3"/>
      <c r="C2297" s="3"/>
      <c r="D2297" s="5" t="s">
        <v>237</v>
      </c>
      <c r="E2297" s="5" t="s">
        <v>124</v>
      </c>
      <c r="F2297" s="3" t="s">
        <v>6617</v>
      </c>
      <c r="G2297" s="6">
        <v>155.16800000000001</v>
      </c>
      <c r="H2297" s="7">
        <v>41891</v>
      </c>
      <c r="I2297" s="6" t="s">
        <v>209</v>
      </c>
      <c r="J2297" s="6" t="s">
        <v>6618</v>
      </c>
      <c r="K2297" s="6" t="s">
        <v>128</v>
      </c>
      <c r="L2297" s="6" t="s">
        <v>808</v>
      </c>
      <c r="M2297" s="15" t="s">
        <v>6619</v>
      </c>
      <c r="N2297" s="15" t="s">
        <v>4829</v>
      </c>
      <c r="O2297" s="28" t="s">
        <v>6620</v>
      </c>
    </row>
    <row r="2298" spans="1:15" s="1" customFormat="1">
      <c r="A2298" s="3" t="s">
        <v>724</v>
      </c>
      <c r="B2298" s="3"/>
      <c r="C2298" s="3"/>
      <c r="D2298" s="5" t="s">
        <v>725</v>
      </c>
      <c r="E2298" s="5" t="s">
        <v>124</v>
      </c>
      <c r="F2298" s="3" t="s">
        <v>9550</v>
      </c>
      <c r="G2298" s="6">
        <v>33.453000000000003</v>
      </c>
      <c r="H2298" s="7">
        <v>41891</v>
      </c>
      <c r="I2298" s="6" t="s">
        <v>209</v>
      </c>
      <c r="J2298" s="6" t="s">
        <v>9551</v>
      </c>
      <c r="K2298" s="6" t="s">
        <v>128</v>
      </c>
      <c r="L2298" s="6" t="s">
        <v>2968</v>
      </c>
      <c r="M2298" s="15" t="s">
        <v>9409</v>
      </c>
      <c r="N2298" s="15" t="s">
        <v>9552</v>
      </c>
      <c r="O2298" s="28" t="s">
        <v>9553</v>
      </c>
    </row>
    <row r="2299" spans="1:15">
      <c r="A2299" s="22" t="s">
        <v>6621</v>
      </c>
      <c r="B2299" s="3"/>
      <c r="C2299" s="3"/>
      <c r="D2299" s="5" t="s">
        <v>6622</v>
      </c>
      <c r="E2299" s="5" t="s">
        <v>124</v>
      </c>
      <c r="F2299" s="3" t="s">
        <v>9569</v>
      </c>
      <c r="G2299" s="6">
        <f>27.621*L2299</f>
        <v>82.863</v>
      </c>
      <c r="H2299" s="7">
        <v>41891</v>
      </c>
      <c r="I2299" s="6" t="s">
        <v>6624</v>
      </c>
      <c r="J2299" s="6" t="s">
        <v>9570</v>
      </c>
      <c r="K2299" s="6" t="s">
        <v>5478</v>
      </c>
      <c r="L2299" s="6">
        <v>3</v>
      </c>
      <c r="M2299" s="15" t="s">
        <v>6626</v>
      </c>
      <c r="N2299" s="15" t="s">
        <v>6246</v>
      </c>
      <c r="O2299" s="28" t="s">
        <v>6626</v>
      </c>
    </row>
    <row r="2300" spans="1:15">
      <c r="A2300" s="22" t="s">
        <v>6621</v>
      </c>
      <c r="B2300" s="3"/>
      <c r="C2300" s="3"/>
      <c r="D2300" s="5" t="s">
        <v>6622</v>
      </c>
      <c r="E2300" s="5" t="s">
        <v>124</v>
      </c>
      <c r="F2300" s="3" t="s">
        <v>6623</v>
      </c>
      <c r="G2300" s="6">
        <f>27.621*L2300</f>
        <v>82.863</v>
      </c>
      <c r="H2300" s="7">
        <v>41891</v>
      </c>
      <c r="I2300" s="6" t="s">
        <v>6624</v>
      </c>
      <c r="J2300" s="6" t="s">
        <v>6625</v>
      </c>
      <c r="K2300" s="6" t="s">
        <v>5478</v>
      </c>
      <c r="L2300" s="6">
        <v>3</v>
      </c>
      <c r="M2300" s="15" t="s">
        <v>6626</v>
      </c>
      <c r="N2300" s="15" t="s">
        <v>1435</v>
      </c>
      <c r="O2300" s="28" t="s">
        <v>6627</v>
      </c>
    </row>
    <row r="2301" spans="1:15">
      <c r="A2301" s="3" t="s">
        <v>6628</v>
      </c>
      <c r="B2301" s="15" t="s">
        <v>6629</v>
      </c>
      <c r="C2301" s="3"/>
      <c r="D2301" s="5" t="s">
        <v>6630</v>
      </c>
      <c r="E2301" s="5" t="s">
        <v>124</v>
      </c>
      <c r="F2301" s="3" t="s">
        <v>6631</v>
      </c>
      <c r="G2301" s="6">
        <v>150</v>
      </c>
      <c r="H2301" s="7">
        <v>41892</v>
      </c>
      <c r="I2301" s="6"/>
      <c r="J2301" s="6"/>
      <c r="K2301" s="6"/>
      <c r="L2301" s="6"/>
      <c r="M2301" s="15"/>
      <c r="N2301" s="15"/>
      <c r="O2301" s="28" t="s">
        <v>1918</v>
      </c>
    </row>
    <row r="2302" spans="1:15" s="1" customFormat="1">
      <c r="A2302" s="3" t="s">
        <v>5572</v>
      </c>
      <c r="B2302" s="3"/>
      <c r="C2302" s="3"/>
      <c r="D2302" s="5" t="s">
        <v>5573</v>
      </c>
      <c r="E2302" s="5" t="s">
        <v>124</v>
      </c>
      <c r="F2302" s="3" t="s">
        <v>6632</v>
      </c>
      <c r="G2302" s="6">
        <v>68.682000000000002</v>
      </c>
      <c r="H2302" s="7">
        <v>41892</v>
      </c>
      <c r="I2302" s="6" t="s">
        <v>5437</v>
      </c>
      <c r="J2302" s="6" t="s">
        <v>6633</v>
      </c>
      <c r="K2302" s="6" t="s">
        <v>21</v>
      </c>
      <c r="L2302" s="6" t="s">
        <v>1658</v>
      </c>
      <c r="M2302" s="15" t="s">
        <v>6634</v>
      </c>
      <c r="N2302" s="15" t="s">
        <v>6635</v>
      </c>
      <c r="O2302" s="28" t="s">
        <v>6636</v>
      </c>
    </row>
    <row r="2303" spans="1:15">
      <c r="A2303" s="3" t="s">
        <v>5572</v>
      </c>
      <c r="B2303" s="3"/>
      <c r="C2303" s="3"/>
      <c r="D2303" s="5" t="s">
        <v>5573</v>
      </c>
      <c r="E2303" s="5" t="s">
        <v>124</v>
      </c>
      <c r="F2303" s="3" t="s">
        <v>6637</v>
      </c>
      <c r="G2303" s="6">
        <v>87.049000000000007</v>
      </c>
      <c r="H2303" s="7">
        <v>41892</v>
      </c>
      <c r="I2303" s="6" t="s">
        <v>5437</v>
      </c>
      <c r="J2303" s="6" t="s">
        <v>6638</v>
      </c>
      <c r="K2303" s="6" t="s">
        <v>21</v>
      </c>
      <c r="L2303" s="6" t="s">
        <v>6639</v>
      </c>
      <c r="M2303" s="15" t="s">
        <v>6640</v>
      </c>
      <c r="N2303" s="15" t="s">
        <v>6641</v>
      </c>
      <c r="O2303" s="28" t="s">
        <v>6642</v>
      </c>
    </row>
    <row r="2304" spans="1:15">
      <c r="A2304" s="3" t="s">
        <v>5572</v>
      </c>
      <c r="B2304" s="3"/>
      <c r="C2304" s="3"/>
      <c r="D2304" s="5" t="s">
        <v>5573</v>
      </c>
      <c r="E2304" s="5" t="s">
        <v>124</v>
      </c>
      <c r="F2304" s="3" t="s">
        <v>6643</v>
      </c>
      <c r="G2304" s="6">
        <v>84.135999999999996</v>
      </c>
      <c r="H2304" s="7">
        <v>41892</v>
      </c>
      <c r="I2304" s="6" t="s">
        <v>5437</v>
      </c>
      <c r="J2304" s="6" t="s">
        <v>6644</v>
      </c>
      <c r="K2304" s="6" t="s">
        <v>21</v>
      </c>
      <c r="L2304" s="6" t="s">
        <v>1850</v>
      </c>
      <c r="M2304" s="15" t="s">
        <v>6645</v>
      </c>
      <c r="N2304" s="15" t="s">
        <v>6646</v>
      </c>
      <c r="O2304" s="28" t="s">
        <v>6647</v>
      </c>
    </row>
    <row r="2305" spans="1:15">
      <c r="A2305" s="3" t="s">
        <v>1739</v>
      </c>
      <c r="B2305" s="3"/>
      <c r="C2305" s="3"/>
      <c r="D2305" s="5" t="s">
        <v>383</v>
      </c>
      <c r="E2305" s="5" t="s">
        <v>124</v>
      </c>
      <c r="F2305" s="3" t="s">
        <v>9576</v>
      </c>
      <c r="G2305" s="6">
        <v>139.18899999999999</v>
      </c>
      <c r="H2305" s="7">
        <v>41892</v>
      </c>
      <c r="I2305" s="6" t="s">
        <v>209</v>
      </c>
      <c r="J2305" s="6" t="s">
        <v>9577</v>
      </c>
      <c r="K2305" s="6" t="s">
        <v>128</v>
      </c>
      <c r="L2305" s="6" t="s">
        <v>386</v>
      </c>
      <c r="M2305" s="15" t="s">
        <v>9578</v>
      </c>
      <c r="N2305" s="15" t="s">
        <v>9579</v>
      </c>
      <c r="O2305" s="28" t="s">
        <v>9580</v>
      </c>
    </row>
    <row r="2306" spans="1:15">
      <c r="A2306" s="22" t="s">
        <v>6648</v>
      </c>
      <c r="B2306" s="3"/>
      <c r="C2306" s="3"/>
      <c r="D2306" s="5" t="s">
        <v>207</v>
      </c>
      <c r="E2306" s="5" t="s">
        <v>124</v>
      </c>
      <c r="F2306" s="3" t="s">
        <v>6649</v>
      </c>
      <c r="G2306" s="6">
        <v>34.546999999999997</v>
      </c>
      <c r="H2306" s="7">
        <v>41892</v>
      </c>
      <c r="I2306" s="6" t="s">
        <v>209</v>
      </c>
      <c r="J2306" s="6" t="s">
        <v>6650</v>
      </c>
      <c r="K2306" s="6" t="s">
        <v>128</v>
      </c>
      <c r="L2306" s="6" t="s">
        <v>1635</v>
      </c>
      <c r="M2306" s="15" t="s">
        <v>6651</v>
      </c>
      <c r="N2306" s="15" t="s">
        <v>6652</v>
      </c>
      <c r="O2306" s="28" t="s">
        <v>6653</v>
      </c>
    </row>
    <row r="2307" spans="1:15" s="1" customFormat="1">
      <c r="A2307" s="3" t="s">
        <v>6082</v>
      </c>
      <c r="B2307" s="3"/>
      <c r="C2307" s="3"/>
      <c r="D2307" s="5" t="s">
        <v>2128</v>
      </c>
      <c r="E2307" s="5" t="s">
        <v>124</v>
      </c>
      <c r="F2307" s="3" t="s">
        <v>9586</v>
      </c>
      <c r="G2307" s="6">
        <v>83.024000000000001</v>
      </c>
      <c r="H2307" s="7">
        <v>41892</v>
      </c>
      <c r="I2307" s="6" t="s">
        <v>209</v>
      </c>
      <c r="J2307" s="6" t="s">
        <v>9587</v>
      </c>
      <c r="K2307" s="6" t="s">
        <v>128</v>
      </c>
      <c r="L2307" s="6" t="s">
        <v>2142</v>
      </c>
      <c r="M2307" s="15" t="s">
        <v>9588</v>
      </c>
      <c r="N2307" s="15" t="s">
        <v>9589</v>
      </c>
      <c r="O2307" s="28" t="s">
        <v>9590</v>
      </c>
    </row>
    <row r="2308" spans="1:15">
      <c r="A2308" s="3" t="s">
        <v>5287</v>
      </c>
      <c r="B2308" s="3"/>
      <c r="C2308" s="3"/>
      <c r="D2308" s="5" t="s">
        <v>5288</v>
      </c>
      <c r="E2308" s="5" t="s">
        <v>124</v>
      </c>
      <c r="F2308" s="3" t="s">
        <v>6654</v>
      </c>
      <c r="G2308" s="6">
        <v>143.381</v>
      </c>
      <c r="H2308" s="7">
        <v>41892</v>
      </c>
      <c r="I2308" s="6" t="s">
        <v>209</v>
      </c>
      <c r="J2308" s="6" t="s">
        <v>6655</v>
      </c>
      <c r="K2308" s="6" t="s">
        <v>128</v>
      </c>
      <c r="L2308" s="6" t="s">
        <v>6189</v>
      </c>
      <c r="M2308" s="15" t="s">
        <v>6656</v>
      </c>
      <c r="N2308" s="15" t="s">
        <v>6657</v>
      </c>
      <c r="O2308" s="28" t="s">
        <v>6658</v>
      </c>
    </row>
    <row r="2309" spans="1:15">
      <c r="A2309" s="3" t="s">
        <v>5287</v>
      </c>
      <c r="B2309" s="3"/>
      <c r="C2309" s="3"/>
      <c r="D2309" s="5" t="s">
        <v>5288</v>
      </c>
      <c r="E2309" s="5" t="s">
        <v>124</v>
      </c>
      <c r="F2309" s="3" t="s">
        <v>9601</v>
      </c>
      <c r="G2309" s="6">
        <v>141.89099999999999</v>
      </c>
      <c r="H2309" s="7">
        <v>41892</v>
      </c>
      <c r="I2309" s="6" t="s">
        <v>209</v>
      </c>
      <c r="J2309" s="6" t="s">
        <v>9602</v>
      </c>
      <c r="K2309" s="6" t="s">
        <v>128</v>
      </c>
      <c r="L2309" s="6" t="s">
        <v>6189</v>
      </c>
      <c r="M2309" s="15" t="s">
        <v>9603</v>
      </c>
      <c r="N2309" s="15" t="s">
        <v>9604</v>
      </c>
      <c r="O2309" s="28" t="s">
        <v>9605</v>
      </c>
    </row>
    <row r="2310" spans="1:15" s="1" customFormat="1">
      <c r="A2310" s="3" t="s">
        <v>5287</v>
      </c>
      <c r="B2310" s="3"/>
      <c r="C2310" s="3"/>
      <c r="D2310" s="5" t="s">
        <v>5288</v>
      </c>
      <c r="E2310" s="5" t="s">
        <v>124</v>
      </c>
      <c r="F2310" s="3" t="s">
        <v>6659</v>
      </c>
      <c r="G2310" s="6">
        <v>140.52799999999999</v>
      </c>
      <c r="H2310" s="7">
        <v>41892</v>
      </c>
      <c r="I2310" s="6" t="s">
        <v>209</v>
      </c>
      <c r="J2310" s="6" t="s">
        <v>6660</v>
      </c>
      <c r="K2310" s="6" t="s">
        <v>128</v>
      </c>
      <c r="L2310" s="6" t="s">
        <v>6189</v>
      </c>
      <c r="M2310" s="15" t="s">
        <v>6661</v>
      </c>
      <c r="N2310" s="15" t="s">
        <v>6662</v>
      </c>
      <c r="O2310" s="28" t="s">
        <v>6663</v>
      </c>
    </row>
    <row r="2311" spans="1:15">
      <c r="A2311" s="3" t="s">
        <v>5287</v>
      </c>
      <c r="B2311" s="3"/>
      <c r="C2311" s="3"/>
      <c r="D2311" s="5" t="s">
        <v>5288</v>
      </c>
      <c r="E2311" s="5" t="s">
        <v>124</v>
      </c>
      <c r="F2311" s="3" t="s">
        <v>6664</v>
      </c>
      <c r="G2311" s="6">
        <v>80.975999999999999</v>
      </c>
      <c r="H2311" s="7">
        <v>41892</v>
      </c>
      <c r="I2311" s="6" t="s">
        <v>209</v>
      </c>
      <c r="J2311" s="6" t="s">
        <v>6665</v>
      </c>
      <c r="K2311" s="6" t="s">
        <v>128</v>
      </c>
      <c r="L2311" s="6" t="s">
        <v>6195</v>
      </c>
      <c r="M2311" s="15" t="s">
        <v>6666</v>
      </c>
      <c r="N2311" s="15" t="s">
        <v>6667</v>
      </c>
      <c r="O2311" s="28" t="s">
        <v>6668</v>
      </c>
    </row>
    <row r="2312" spans="1:15">
      <c r="A2312" s="3" t="s">
        <v>68</v>
      </c>
      <c r="B2312" s="3"/>
      <c r="C2312" s="3"/>
      <c r="D2312" s="5" t="s">
        <v>69</v>
      </c>
      <c r="E2312" s="5" t="s">
        <v>17</v>
      </c>
      <c r="F2312" s="3" t="s">
        <v>103</v>
      </c>
      <c r="G2312" s="6">
        <f>9.175*L2312</f>
        <v>110.10000000000001</v>
      </c>
      <c r="H2312" s="7">
        <v>41893</v>
      </c>
      <c r="I2312" s="6" t="s">
        <v>71</v>
      </c>
      <c r="J2312" s="6" t="s">
        <v>104</v>
      </c>
      <c r="K2312" s="6" t="s">
        <v>21</v>
      </c>
      <c r="L2312" s="6">
        <v>12</v>
      </c>
      <c r="M2312" s="15" t="s">
        <v>105</v>
      </c>
      <c r="N2312" s="15" t="s">
        <v>78</v>
      </c>
      <c r="O2312" s="28"/>
    </row>
    <row r="2313" spans="1:15">
      <c r="A2313" s="3" t="s">
        <v>68</v>
      </c>
      <c r="B2313" s="3"/>
      <c r="C2313" s="3"/>
      <c r="D2313" s="5" t="s">
        <v>69</v>
      </c>
      <c r="E2313" s="5" t="s">
        <v>17</v>
      </c>
      <c r="F2313" s="3" t="s">
        <v>106</v>
      </c>
      <c r="G2313" s="6">
        <f>9.175*L2313</f>
        <v>119.27500000000001</v>
      </c>
      <c r="H2313" s="7">
        <v>41893</v>
      </c>
      <c r="I2313" s="6" t="s">
        <v>71</v>
      </c>
      <c r="J2313" s="6" t="s">
        <v>107</v>
      </c>
      <c r="K2313" s="6" t="s">
        <v>21</v>
      </c>
      <c r="L2313" s="6">
        <v>13</v>
      </c>
      <c r="M2313" s="15" t="s">
        <v>105</v>
      </c>
      <c r="N2313" s="15" t="s">
        <v>81</v>
      </c>
      <c r="O2313" s="28"/>
    </row>
    <row r="2314" spans="1:15">
      <c r="A2314" s="3" t="s">
        <v>68</v>
      </c>
      <c r="B2314" s="3"/>
      <c r="C2314" s="3"/>
      <c r="D2314" s="5" t="s">
        <v>69</v>
      </c>
      <c r="E2314" s="5" t="s">
        <v>17</v>
      </c>
      <c r="F2314" s="3" t="s">
        <v>108</v>
      </c>
      <c r="G2314" s="6">
        <f>9.175*L2314</f>
        <v>82.575000000000003</v>
      </c>
      <c r="H2314" s="7">
        <v>41893</v>
      </c>
      <c r="I2314" s="6" t="s">
        <v>71</v>
      </c>
      <c r="J2314" s="6" t="s">
        <v>109</v>
      </c>
      <c r="K2314" s="6" t="s">
        <v>21</v>
      </c>
      <c r="L2314" s="6">
        <v>9</v>
      </c>
      <c r="M2314" s="15" t="s">
        <v>110</v>
      </c>
      <c r="N2314" s="15" t="s">
        <v>111</v>
      </c>
      <c r="O2314" s="28"/>
    </row>
    <row r="2315" spans="1:15">
      <c r="A2315" s="3" t="s">
        <v>68</v>
      </c>
      <c r="B2315" s="3"/>
      <c r="C2315" s="3"/>
      <c r="D2315" s="5" t="s">
        <v>69</v>
      </c>
      <c r="E2315" s="5" t="s">
        <v>17</v>
      </c>
      <c r="F2315" s="3" t="s">
        <v>112</v>
      </c>
      <c r="G2315" s="6">
        <f>9.175*L2315</f>
        <v>91.75</v>
      </c>
      <c r="H2315" s="7">
        <v>41893</v>
      </c>
      <c r="I2315" s="6" t="s">
        <v>71</v>
      </c>
      <c r="J2315" s="6" t="s">
        <v>113</v>
      </c>
      <c r="K2315" s="6" t="s">
        <v>21</v>
      </c>
      <c r="L2315" s="6">
        <v>10</v>
      </c>
      <c r="M2315" s="15" t="s">
        <v>110</v>
      </c>
      <c r="N2315" s="15" t="s">
        <v>114</v>
      </c>
      <c r="O2315" s="28"/>
    </row>
    <row r="2316" spans="1:15" s="1" customFormat="1">
      <c r="A2316" s="3" t="s">
        <v>1082</v>
      </c>
      <c r="B2316" s="3" t="s">
        <v>4520</v>
      </c>
      <c r="C2316" s="3"/>
      <c r="D2316" s="5" t="s">
        <v>1083</v>
      </c>
      <c r="E2316" s="5" t="s">
        <v>124</v>
      </c>
      <c r="F2316" s="3" t="s">
        <v>9626</v>
      </c>
      <c r="G2316" s="6">
        <f>9.871*L2316</f>
        <v>98.710000000000008</v>
      </c>
      <c r="H2316" s="7">
        <v>41893</v>
      </c>
      <c r="I2316" s="6" t="s">
        <v>161</v>
      </c>
      <c r="J2316" s="6" t="s">
        <v>9627</v>
      </c>
      <c r="K2316" s="6" t="s">
        <v>21</v>
      </c>
      <c r="L2316" s="6">
        <v>10</v>
      </c>
      <c r="M2316" s="15" t="s">
        <v>9628</v>
      </c>
      <c r="N2316" s="15" t="s">
        <v>4872</v>
      </c>
      <c r="O2316" s="28" t="s">
        <v>9628</v>
      </c>
    </row>
    <row r="2317" spans="1:15">
      <c r="A2317" s="3" t="s">
        <v>777</v>
      </c>
      <c r="B2317" s="3"/>
      <c r="C2317" s="3"/>
      <c r="D2317" s="5" t="s">
        <v>778</v>
      </c>
      <c r="E2317" s="5" t="s">
        <v>124</v>
      </c>
      <c r="F2317" s="3" t="s">
        <v>6669</v>
      </c>
      <c r="G2317" s="6">
        <f>17.52*L2317</f>
        <v>157.68</v>
      </c>
      <c r="H2317" s="7">
        <v>41893</v>
      </c>
      <c r="I2317" s="6" t="s">
        <v>265</v>
      </c>
      <c r="J2317" s="6" t="s">
        <v>6670</v>
      </c>
      <c r="K2317" s="6" t="s">
        <v>21</v>
      </c>
      <c r="L2317" s="6">
        <v>9</v>
      </c>
      <c r="M2317" s="15" t="s">
        <v>6671</v>
      </c>
      <c r="N2317" s="15" t="s">
        <v>4971</v>
      </c>
      <c r="O2317" s="28" t="s">
        <v>6671</v>
      </c>
    </row>
    <row r="2318" spans="1:15">
      <c r="A2318" s="3" t="s">
        <v>777</v>
      </c>
      <c r="B2318" s="3"/>
      <c r="C2318" s="3"/>
      <c r="D2318" s="5" t="s">
        <v>778</v>
      </c>
      <c r="E2318" s="5" t="s">
        <v>124</v>
      </c>
      <c r="F2318" s="3" t="s">
        <v>6672</v>
      </c>
      <c r="G2318" s="6">
        <f>17.52*L2318</f>
        <v>157.68</v>
      </c>
      <c r="H2318" s="7">
        <v>41893</v>
      </c>
      <c r="I2318" s="6" t="s">
        <v>265</v>
      </c>
      <c r="J2318" s="6" t="s">
        <v>6673</v>
      </c>
      <c r="K2318" s="6" t="s">
        <v>21</v>
      </c>
      <c r="L2318" s="6">
        <v>9</v>
      </c>
      <c r="M2318" s="15" t="s">
        <v>6671</v>
      </c>
      <c r="N2318" s="15" t="s">
        <v>896</v>
      </c>
      <c r="O2318" s="28" t="s">
        <v>6674</v>
      </c>
    </row>
    <row r="2319" spans="1:15">
      <c r="A2319" s="3" t="s">
        <v>3870</v>
      </c>
      <c r="B2319" s="3"/>
      <c r="C2319" s="3"/>
      <c r="D2319" s="5" t="s">
        <v>3871</v>
      </c>
      <c r="E2319" s="5" t="s">
        <v>124</v>
      </c>
      <c r="F2319" s="3" t="s">
        <v>6675</v>
      </c>
      <c r="G2319" s="6">
        <f>13.006*L2319</f>
        <v>130.06</v>
      </c>
      <c r="H2319" s="7">
        <v>41893</v>
      </c>
      <c r="I2319" s="6" t="s">
        <v>6676</v>
      </c>
      <c r="J2319" s="6" t="s">
        <v>6677</v>
      </c>
      <c r="K2319" s="6" t="s">
        <v>21</v>
      </c>
      <c r="L2319" s="6">
        <v>10</v>
      </c>
      <c r="M2319" s="15" t="s">
        <v>6678</v>
      </c>
      <c r="N2319" s="15" t="s">
        <v>4872</v>
      </c>
      <c r="O2319" s="28" t="s">
        <v>6678</v>
      </c>
    </row>
    <row r="2320" spans="1:15">
      <c r="A2320" s="3" t="s">
        <v>753</v>
      </c>
      <c r="B2320" s="3"/>
      <c r="C2320" s="3"/>
      <c r="D2320" s="5" t="s">
        <v>754</v>
      </c>
      <c r="E2320" s="5" t="s">
        <v>124</v>
      </c>
      <c r="F2320" s="3" t="s">
        <v>9631</v>
      </c>
      <c r="G2320" s="6">
        <f>17.52*L2320</f>
        <v>87.6</v>
      </c>
      <c r="H2320" s="7">
        <v>41893</v>
      </c>
      <c r="I2320" s="6" t="s">
        <v>265</v>
      </c>
      <c r="J2320" s="6" t="s">
        <v>9632</v>
      </c>
      <c r="K2320" s="6" t="s">
        <v>21</v>
      </c>
      <c r="L2320" s="6">
        <v>5</v>
      </c>
      <c r="M2320" s="15" t="s">
        <v>9633</v>
      </c>
      <c r="N2320" s="15" t="s">
        <v>4602</v>
      </c>
      <c r="O2320" s="28" t="s">
        <v>9633</v>
      </c>
    </row>
    <row r="2321" spans="1:15">
      <c r="A2321" s="3" t="s">
        <v>6334</v>
      </c>
      <c r="B2321" s="3"/>
      <c r="C2321" s="3"/>
      <c r="D2321" s="5" t="s">
        <v>245</v>
      </c>
      <c r="E2321" s="5" t="s">
        <v>124</v>
      </c>
      <c r="F2321" s="3" t="s">
        <v>6679</v>
      </c>
      <c r="G2321" s="6">
        <f>18.708*L2321</f>
        <v>56.123999999999995</v>
      </c>
      <c r="H2321" s="7">
        <v>41893</v>
      </c>
      <c r="I2321" s="6" t="s">
        <v>247</v>
      </c>
      <c r="J2321" s="6" t="s">
        <v>6680</v>
      </c>
      <c r="K2321" s="6" t="s">
        <v>21</v>
      </c>
      <c r="L2321" s="6">
        <v>3</v>
      </c>
      <c r="M2321" s="15" t="s">
        <v>6681</v>
      </c>
      <c r="N2321" s="15" t="s">
        <v>657</v>
      </c>
      <c r="O2321" s="28" t="s">
        <v>6682</v>
      </c>
    </row>
    <row r="2322" spans="1:15">
      <c r="A2322" s="3" t="s">
        <v>257</v>
      </c>
      <c r="B2322" s="3"/>
      <c r="C2322" s="3"/>
      <c r="D2322" s="5" t="s">
        <v>245</v>
      </c>
      <c r="E2322" s="5" t="s">
        <v>124</v>
      </c>
      <c r="F2322" s="3" t="s">
        <v>9637</v>
      </c>
      <c r="G2322" s="6">
        <f>18.708*L2322</f>
        <v>243.20399999999998</v>
      </c>
      <c r="H2322" s="7">
        <v>41893</v>
      </c>
      <c r="I2322" s="6" t="s">
        <v>178</v>
      </c>
      <c r="J2322" s="6" t="s">
        <v>9638</v>
      </c>
      <c r="K2322" s="6" t="s">
        <v>21</v>
      </c>
      <c r="L2322" s="6">
        <v>13</v>
      </c>
      <c r="M2322" s="15" t="s">
        <v>9636</v>
      </c>
      <c r="N2322" s="15" t="s">
        <v>167</v>
      </c>
      <c r="O2322" s="28" t="s">
        <v>9639</v>
      </c>
    </row>
    <row r="2323" spans="1:15" s="1" customFormat="1">
      <c r="A2323" s="3" t="s">
        <v>1087</v>
      </c>
      <c r="B2323" s="3" t="s">
        <v>4520</v>
      </c>
      <c r="C2323" s="3"/>
      <c r="D2323" s="5" t="s">
        <v>1088</v>
      </c>
      <c r="E2323" s="5" t="s">
        <v>124</v>
      </c>
      <c r="F2323" s="3" t="s">
        <v>6683</v>
      </c>
      <c r="G2323" s="6">
        <f>9.804*L2323</f>
        <v>117.648</v>
      </c>
      <c r="H2323" s="7">
        <v>41893</v>
      </c>
      <c r="I2323" s="6" t="s">
        <v>1090</v>
      </c>
      <c r="J2323" s="6" t="s">
        <v>6684</v>
      </c>
      <c r="K2323" s="6" t="s">
        <v>21</v>
      </c>
      <c r="L2323" s="6">
        <v>12</v>
      </c>
      <c r="M2323" s="15" t="s">
        <v>6685</v>
      </c>
      <c r="N2323" s="15" t="s">
        <v>164</v>
      </c>
      <c r="O2323" s="28" t="s">
        <v>6685</v>
      </c>
    </row>
    <row r="2324" spans="1:15" s="1" customFormat="1">
      <c r="A2324" s="3" t="s">
        <v>469</v>
      </c>
      <c r="B2324" s="3"/>
      <c r="C2324" s="3"/>
      <c r="D2324" s="5" t="s">
        <v>276</v>
      </c>
      <c r="E2324" s="5" t="s">
        <v>124</v>
      </c>
      <c r="F2324" s="3" t="s">
        <v>6686</v>
      </c>
      <c r="G2324" s="6">
        <f>6.405*L2324</f>
        <v>44.835000000000001</v>
      </c>
      <c r="H2324" s="7">
        <v>41893</v>
      </c>
      <c r="I2324" s="6" t="s">
        <v>471</v>
      </c>
      <c r="J2324" s="6" t="s">
        <v>6687</v>
      </c>
      <c r="K2324" s="6" t="s">
        <v>21</v>
      </c>
      <c r="L2324" s="6">
        <v>7</v>
      </c>
      <c r="M2324" s="15" t="s">
        <v>6688</v>
      </c>
      <c r="N2324" s="15" t="s">
        <v>4178</v>
      </c>
      <c r="O2324" s="28" t="s">
        <v>6688</v>
      </c>
    </row>
    <row r="2325" spans="1:15" s="1" customFormat="1">
      <c r="A2325" s="3" t="s">
        <v>275</v>
      </c>
      <c r="B2325" s="3"/>
      <c r="C2325" s="3"/>
      <c r="D2325" s="5" t="s">
        <v>6689</v>
      </c>
      <c r="E2325" s="5" t="s">
        <v>124</v>
      </c>
      <c r="F2325" s="3" t="s">
        <v>6690</v>
      </c>
      <c r="G2325" s="6">
        <f>6.405*L2325</f>
        <v>51.24</v>
      </c>
      <c r="H2325" s="7">
        <v>41893</v>
      </c>
      <c r="I2325" s="6" t="s">
        <v>471</v>
      </c>
      <c r="J2325" s="6" t="s">
        <v>6691</v>
      </c>
      <c r="K2325" s="6" t="s">
        <v>21</v>
      </c>
      <c r="L2325" s="6">
        <v>8</v>
      </c>
      <c r="M2325" s="15" t="s">
        <v>6688</v>
      </c>
      <c r="N2325" s="15" t="s">
        <v>4182</v>
      </c>
      <c r="O2325" s="28" t="s">
        <v>6692</v>
      </c>
    </row>
    <row r="2326" spans="1:15">
      <c r="A2326" s="3" t="s">
        <v>9357</v>
      </c>
      <c r="B2326" s="3"/>
      <c r="C2326" s="3"/>
      <c r="D2326" s="5" t="s">
        <v>552</v>
      </c>
      <c r="E2326" s="5" t="s">
        <v>124</v>
      </c>
      <c r="F2326" s="3" t="s">
        <v>9643</v>
      </c>
      <c r="G2326" s="6">
        <f>17.52*L2326</f>
        <v>35.04</v>
      </c>
      <c r="H2326" s="7">
        <v>41893</v>
      </c>
      <c r="I2326" s="6" t="s">
        <v>265</v>
      </c>
      <c r="J2326" s="6" t="s">
        <v>9644</v>
      </c>
      <c r="K2326" s="6" t="s">
        <v>21</v>
      </c>
      <c r="L2326" s="6">
        <v>2</v>
      </c>
      <c r="M2326" s="15" t="s">
        <v>9645</v>
      </c>
      <c r="N2326" s="15" t="s">
        <v>5185</v>
      </c>
      <c r="O2326" s="28" t="s">
        <v>9645</v>
      </c>
    </row>
    <row r="2327" spans="1:15">
      <c r="A2327" s="3" t="s">
        <v>9381</v>
      </c>
      <c r="B2327" s="3"/>
      <c r="C2327" s="3"/>
      <c r="D2327" s="5" t="s">
        <v>9382</v>
      </c>
      <c r="E2327" s="5" t="s">
        <v>124</v>
      </c>
      <c r="F2327" s="3" t="s">
        <v>9646</v>
      </c>
      <c r="G2327" s="6">
        <f>14.405*L2327</f>
        <v>72.024999999999991</v>
      </c>
      <c r="H2327" s="7">
        <v>41893</v>
      </c>
      <c r="I2327" s="6" t="s">
        <v>504</v>
      </c>
      <c r="J2327" s="6" t="s">
        <v>9647</v>
      </c>
      <c r="K2327" s="6" t="s">
        <v>5478</v>
      </c>
      <c r="L2327" s="6">
        <v>5</v>
      </c>
      <c r="M2327" s="15" t="s">
        <v>9385</v>
      </c>
      <c r="N2327" s="15" t="s">
        <v>3822</v>
      </c>
      <c r="O2327" s="28" t="s">
        <v>9648</v>
      </c>
    </row>
    <row r="2328" spans="1:15">
      <c r="A2328" s="22" t="s">
        <v>5279</v>
      </c>
      <c r="B2328" s="3"/>
      <c r="C2328" s="3"/>
      <c r="D2328" s="5" t="s">
        <v>6693</v>
      </c>
      <c r="E2328" s="5" t="s">
        <v>124</v>
      </c>
      <c r="F2328" s="3" t="s">
        <v>6694</v>
      </c>
      <c r="G2328" s="6">
        <v>17.989000000000001</v>
      </c>
      <c r="H2328" s="7">
        <v>41893</v>
      </c>
      <c r="I2328" s="6" t="s">
        <v>209</v>
      </c>
      <c r="J2328" s="6" t="s">
        <v>6695</v>
      </c>
      <c r="K2328" s="6" t="s">
        <v>5478</v>
      </c>
      <c r="L2328" s="6" t="s">
        <v>735</v>
      </c>
      <c r="M2328" s="15" t="s">
        <v>6696</v>
      </c>
      <c r="N2328" s="15" t="s">
        <v>6697</v>
      </c>
      <c r="O2328" s="28" t="s">
        <v>6698</v>
      </c>
    </row>
    <row r="2329" spans="1:15">
      <c r="A2329" s="3" t="s">
        <v>1127</v>
      </c>
      <c r="B2329" s="3"/>
      <c r="C2329" s="3"/>
      <c r="D2329" s="5" t="s">
        <v>1128</v>
      </c>
      <c r="E2329" s="5" t="s">
        <v>7026</v>
      </c>
      <c r="F2329" s="3" t="s">
        <v>8913</v>
      </c>
      <c r="G2329" s="6">
        <f t="shared" ref="G2329:G2338" si="92">29.101*L2329</f>
        <v>349.21199999999999</v>
      </c>
      <c r="H2329" s="7">
        <v>41893</v>
      </c>
      <c r="I2329" s="6" t="s">
        <v>178</v>
      </c>
      <c r="J2329" s="6" t="s">
        <v>8914</v>
      </c>
      <c r="K2329" s="6" t="s">
        <v>21</v>
      </c>
      <c r="L2329" s="6">
        <v>12</v>
      </c>
      <c r="M2329" s="15" t="s">
        <v>8915</v>
      </c>
      <c r="N2329" s="15" t="s">
        <v>164</v>
      </c>
      <c r="O2329" s="28"/>
    </row>
    <row r="2330" spans="1:15">
      <c r="A2330" s="3" t="s">
        <v>1127</v>
      </c>
      <c r="B2330" s="3"/>
      <c r="C2330" s="3"/>
      <c r="D2330" s="5" t="s">
        <v>1128</v>
      </c>
      <c r="E2330" s="5" t="s">
        <v>7026</v>
      </c>
      <c r="F2330" s="3" t="s">
        <v>8916</v>
      </c>
      <c r="G2330" s="6">
        <f t="shared" si="92"/>
        <v>320.11099999999999</v>
      </c>
      <c r="H2330" s="7">
        <v>41893</v>
      </c>
      <c r="I2330" s="6" t="s">
        <v>178</v>
      </c>
      <c r="J2330" s="6" t="s">
        <v>8917</v>
      </c>
      <c r="K2330" s="6" t="s">
        <v>21</v>
      </c>
      <c r="L2330" s="6">
        <v>11</v>
      </c>
      <c r="M2330" s="15" t="s">
        <v>8915</v>
      </c>
      <c r="N2330" s="15" t="s">
        <v>5794</v>
      </c>
      <c r="O2330" s="28"/>
    </row>
    <row r="2331" spans="1:15" s="1" customFormat="1">
      <c r="A2331" s="3" t="s">
        <v>1127</v>
      </c>
      <c r="B2331" s="3"/>
      <c r="C2331" s="3"/>
      <c r="D2331" s="5" t="s">
        <v>1128</v>
      </c>
      <c r="E2331" s="5" t="s">
        <v>7026</v>
      </c>
      <c r="F2331" s="3" t="s">
        <v>8918</v>
      </c>
      <c r="G2331" s="6">
        <f t="shared" si="92"/>
        <v>349.21199999999999</v>
      </c>
      <c r="H2331" s="7">
        <v>41893</v>
      </c>
      <c r="I2331" s="6" t="s">
        <v>178</v>
      </c>
      <c r="J2331" s="6" t="s">
        <v>8919</v>
      </c>
      <c r="K2331" s="6" t="s">
        <v>21</v>
      </c>
      <c r="L2331" s="6">
        <v>12</v>
      </c>
      <c r="M2331" s="15" t="s">
        <v>8920</v>
      </c>
      <c r="N2331" s="15" t="s">
        <v>164</v>
      </c>
      <c r="O2331" s="28"/>
    </row>
    <row r="2332" spans="1:15">
      <c r="A2332" s="3" t="s">
        <v>1127</v>
      </c>
      <c r="B2332" s="3"/>
      <c r="C2332" s="3"/>
      <c r="D2332" s="5" t="s">
        <v>1128</v>
      </c>
      <c r="E2332" s="5" t="s">
        <v>7026</v>
      </c>
      <c r="F2332" s="3" t="s">
        <v>8921</v>
      </c>
      <c r="G2332" s="6">
        <f t="shared" si="92"/>
        <v>378.31299999999999</v>
      </c>
      <c r="H2332" s="7">
        <v>41893</v>
      </c>
      <c r="I2332" s="6" t="s">
        <v>178</v>
      </c>
      <c r="J2332" s="6" t="s">
        <v>8922</v>
      </c>
      <c r="K2332" s="6" t="s">
        <v>21</v>
      </c>
      <c r="L2332" s="6">
        <v>13</v>
      </c>
      <c r="M2332" s="15" t="s">
        <v>8920</v>
      </c>
      <c r="N2332" s="15" t="s">
        <v>167</v>
      </c>
      <c r="O2332" s="28"/>
    </row>
    <row r="2333" spans="1:15" s="1" customFormat="1">
      <c r="A2333" s="3" t="s">
        <v>1127</v>
      </c>
      <c r="B2333" s="3"/>
      <c r="C2333" s="3"/>
      <c r="D2333" s="5" t="s">
        <v>1128</v>
      </c>
      <c r="E2333" s="5" t="s">
        <v>7026</v>
      </c>
      <c r="F2333" s="3" t="s">
        <v>8923</v>
      </c>
      <c r="G2333" s="6">
        <f t="shared" si="92"/>
        <v>349.21199999999999</v>
      </c>
      <c r="H2333" s="7">
        <v>41893</v>
      </c>
      <c r="I2333" s="6" t="s">
        <v>178</v>
      </c>
      <c r="J2333" s="6" t="s">
        <v>8924</v>
      </c>
      <c r="K2333" s="6" t="s">
        <v>21</v>
      </c>
      <c r="L2333" s="6">
        <v>12</v>
      </c>
      <c r="M2333" s="15" t="s">
        <v>8925</v>
      </c>
      <c r="N2333" s="15" t="s">
        <v>164</v>
      </c>
      <c r="O2333" s="28"/>
    </row>
    <row r="2334" spans="1:15">
      <c r="A2334" s="3" t="s">
        <v>1127</v>
      </c>
      <c r="B2334" s="3"/>
      <c r="C2334" s="3"/>
      <c r="D2334" s="5" t="s">
        <v>1128</v>
      </c>
      <c r="E2334" s="5" t="s">
        <v>7026</v>
      </c>
      <c r="F2334" s="3" t="s">
        <v>8926</v>
      </c>
      <c r="G2334" s="6">
        <f t="shared" si="92"/>
        <v>378.31299999999999</v>
      </c>
      <c r="H2334" s="7">
        <v>41893</v>
      </c>
      <c r="I2334" s="6" t="s">
        <v>178</v>
      </c>
      <c r="J2334" s="6" t="s">
        <v>8927</v>
      </c>
      <c r="K2334" s="6" t="s">
        <v>21</v>
      </c>
      <c r="L2334" s="6">
        <v>13</v>
      </c>
      <c r="M2334" s="15" t="s">
        <v>8925</v>
      </c>
      <c r="N2334" s="15" t="s">
        <v>167</v>
      </c>
      <c r="O2334" s="28"/>
    </row>
    <row r="2335" spans="1:15" s="19" customFormat="1">
      <c r="A2335" s="3" t="s">
        <v>1127</v>
      </c>
      <c r="B2335" s="3"/>
      <c r="C2335" s="3"/>
      <c r="D2335" s="5" t="s">
        <v>1128</v>
      </c>
      <c r="E2335" s="5" t="s">
        <v>7026</v>
      </c>
      <c r="F2335" s="3" t="s">
        <v>8928</v>
      </c>
      <c r="G2335" s="6">
        <f t="shared" si="92"/>
        <v>349.21199999999999</v>
      </c>
      <c r="H2335" s="7">
        <v>41893</v>
      </c>
      <c r="I2335" s="6" t="s">
        <v>178</v>
      </c>
      <c r="J2335" s="6" t="s">
        <v>8929</v>
      </c>
      <c r="K2335" s="6" t="s">
        <v>21</v>
      </c>
      <c r="L2335" s="6">
        <v>12</v>
      </c>
      <c r="M2335" s="15" t="s">
        <v>8930</v>
      </c>
      <c r="N2335" s="15" t="s">
        <v>164</v>
      </c>
      <c r="O2335" s="28"/>
    </row>
    <row r="2336" spans="1:15" s="19" customFormat="1">
      <c r="A2336" s="3" t="s">
        <v>1127</v>
      </c>
      <c r="B2336" s="3"/>
      <c r="C2336" s="3"/>
      <c r="D2336" s="5" t="s">
        <v>1128</v>
      </c>
      <c r="E2336" s="5" t="s">
        <v>7026</v>
      </c>
      <c r="F2336" s="3" t="s">
        <v>8931</v>
      </c>
      <c r="G2336" s="6">
        <f t="shared" si="92"/>
        <v>378.31299999999999</v>
      </c>
      <c r="H2336" s="7">
        <v>41893</v>
      </c>
      <c r="I2336" s="6" t="s">
        <v>178</v>
      </c>
      <c r="J2336" s="6" t="s">
        <v>8932</v>
      </c>
      <c r="K2336" s="6" t="s">
        <v>21</v>
      </c>
      <c r="L2336" s="6">
        <v>13</v>
      </c>
      <c r="M2336" s="15" t="s">
        <v>8930</v>
      </c>
      <c r="N2336" s="15" t="s">
        <v>167</v>
      </c>
      <c r="O2336" s="28"/>
    </row>
    <row r="2337" spans="1:15" s="1" customFormat="1">
      <c r="A2337" s="3" t="s">
        <v>1127</v>
      </c>
      <c r="B2337" s="3"/>
      <c r="C2337" s="3"/>
      <c r="D2337" s="5" t="s">
        <v>1128</v>
      </c>
      <c r="E2337" s="5" t="s">
        <v>7026</v>
      </c>
      <c r="F2337" s="3" t="s">
        <v>8933</v>
      </c>
      <c r="G2337" s="6">
        <f t="shared" si="92"/>
        <v>349.21199999999999</v>
      </c>
      <c r="H2337" s="7">
        <v>41893</v>
      </c>
      <c r="I2337" s="6" t="s">
        <v>178</v>
      </c>
      <c r="J2337" s="6" t="s">
        <v>8934</v>
      </c>
      <c r="K2337" s="6" t="s">
        <v>21</v>
      </c>
      <c r="L2337" s="6">
        <v>12</v>
      </c>
      <c r="M2337" s="15" t="s">
        <v>8935</v>
      </c>
      <c r="N2337" s="15" t="s">
        <v>164</v>
      </c>
      <c r="O2337" s="28"/>
    </row>
    <row r="2338" spans="1:15" s="1" customFormat="1">
      <c r="A2338" s="3" t="s">
        <v>1127</v>
      </c>
      <c r="B2338" s="3"/>
      <c r="C2338" s="3"/>
      <c r="D2338" s="5" t="s">
        <v>1128</v>
      </c>
      <c r="E2338" s="5" t="s">
        <v>7026</v>
      </c>
      <c r="F2338" s="3" t="s">
        <v>8936</v>
      </c>
      <c r="G2338" s="6">
        <f t="shared" si="92"/>
        <v>378.31299999999999</v>
      </c>
      <c r="H2338" s="7">
        <v>41893</v>
      </c>
      <c r="I2338" s="6" t="s">
        <v>178</v>
      </c>
      <c r="J2338" s="6" t="s">
        <v>8937</v>
      </c>
      <c r="K2338" s="6" t="s">
        <v>21</v>
      </c>
      <c r="L2338" s="6">
        <v>13</v>
      </c>
      <c r="M2338" s="15" t="s">
        <v>8935</v>
      </c>
      <c r="N2338" s="15" t="s">
        <v>167</v>
      </c>
      <c r="O2338" s="28"/>
    </row>
    <row r="2339" spans="1:15">
      <c r="A2339" s="3" t="s">
        <v>1285</v>
      </c>
      <c r="B2339" s="3" t="s">
        <v>283</v>
      </c>
      <c r="C2339" s="3"/>
      <c r="D2339" s="5" t="s">
        <v>1287</v>
      </c>
      <c r="E2339" s="5" t="s">
        <v>124</v>
      </c>
      <c r="F2339" s="3" t="s">
        <v>6699</v>
      </c>
      <c r="G2339" s="6">
        <f>8.606*L2339</f>
        <v>129.09</v>
      </c>
      <c r="H2339" s="7">
        <v>41897</v>
      </c>
      <c r="I2339" s="6" t="s">
        <v>272</v>
      </c>
      <c r="J2339" s="6" t="s">
        <v>6700</v>
      </c>
      <c r="K2339" s="6" t="s">
        <v>21</v>
      </c>
      <c r="L2339" s="6">
        <v>15</v>
      </c>
      <c r="M2339" s="15" t="s">
        <v>6701</v>
      </c>
      <c r="N2339" s="15" t="s">
        <v>2771</v>
      </c>
      <c r="O2339" s="28" t="s">
        <v>6702</v>
      </c>
    </row>
    <row r="2340" spans="1:15" s="1" customFormat="1">
      <c r="A2340" s="3" t="s">
        <v>1285</v>
      </c>
      <c r="B2340" s="3" t="s">
        <v>283</v>
      </c>
      <c r="C2340" s="3"/>
      <c r="D2340" s="5" t="s">
        <v>1287</v>
      </c>
      <c r="E2340" s="5" t="s">
        <v>124</v>
      </c>
      <c r="F2340" s="3" t="s">
        <v>9649</v>
      </c>
      <c r="G2340" s="6">
        <f>8.606*L2340</f>
        <v>103.27199999999999</v>
      </c>
      <c r="H2340" s="7">
        <v>41897</v>
      </c>
      <c r="I2340" s="6" t="s">
        <v>272</v>
      </c>
      <c r="J2340" s="6" t="s">
        <v>9650</v>
      </c>
      <c r="K2340" s="6" t="s">
        <v>21</v>
      </c>
      <c r="L2340" s="6">
        <v>12</v>
      </c>
      <c r="M2340" s="15" t="s">
        <v>9651</v>
      </c>
      <c r="N2340" s="15" t="s">
        <v>164</v>
      </c>
      <c r="O2340" s="28" t="s">
        <v>9651</v>
      </c>
    </row>
    <row r="2341" spans="1:15" s="1" customFormat="1">
      <c r="A2341" s="3" t="s">
        <v>1285</v>
      </c>
      <c r="B2341" s="3" t="s">
        <v>283</v>
      </c>
      <c r="C2341" s="3"/>
      <c r="D2341" s="5" t="s">
        <v>1287</v>
      </c>
      <c r="E2341" s="5" t="s">
        <v>124</v>
      </c>
      <c r="F2341" s="3" t="s">
        <v>9652</v>
      </c>
      <c r="G2341" s="6">
        <f>8.606*L2341</f>
        <v>111.878</v>
      </c>
      <c r="H2341" s="7">
        <v>41897</v>
      </c>
      <c r="I2341" s="6" t="s">
        <v>272</v>
      </c>
      <c r="J2341" s="6" t="s">
        <v>9653</v>
      </c>
      <c r="K2341" s="6" t="s">
        <v>21</v>
      </c>
      <c r="L2341" s="6">
        <v>13</v>
      </c>
      <c r="M2341" s="15" t="s">
        <v>9651</v>
      </c>
      <c r="N2341" s="15" t="s">
        <v>167</v>
      </c>
      <c r="O2341" s="28" t="s">
        <v>9654</v>
      </c>
    </row>
    <row r="2342" spans="1:15" s="1" customFormat="1">
      <c r="A2342" s="3" t="s">
        <v>1285</v>
      </c>
      <c r="B2342" s="3" t="s">
        <v>283</v>
      </c>
      <c r="C2342" s="3"/>
      <c r="D2342" s="5" t="s">
        <v>1287</v>
      </c>
      <c r="E2342" s="5" t="s">
        <v>124</v>
      </c>
      <c r="F2342" s="3" t="s">
        <v>6703</v>
      </c>
      <c r="G2342" s="6">
        <f>8.606*L2342</f>
        <v>103.27199999999999</v>
      </c>
      <c r="H2342" s="7">
        <v>41897</v>
      </c>
      <c r="I2342" s="6" t="s">
        <v>272</v>
      </c>
      <c r="J2342" s="6" t="s">
        <v>6704</v>
      </c>
      <c r="K2342" s="6" t="s">
        <v>21</v>
      </c>
      <c r="L2342" s="6">
        <v>12</v>
      </c>
      <c r="M2342" s="15" t="s">
        <v>6705</v>
      </c>
      <c r="N2342" s="15" t="s">
        <v>164</v>
      </c>
      <c r="O2342" s="28" t="s">
        <v>6705</v>
      </c>
    </row>
    <row r="2343" spans="1:15">
      <c r="A2343" s="3" t="s">
        <v>1285</v>
      </c>
      <c r="B2343" s="3" t="s">
        <v>283</v>
      </c>
      <c r="C2343" s="3"/>
      <c r="D2343" s="5" t="s">
        <v>1287</v>
      </c>
      <c r="E2343" s="5" t="s">
        <v>124</v>
      </c>
      <c r="F2343" s="3" t="s">
        <v>9655</v>
      </c>
      <c r="G2343" s="6">
        <f>8.606*L2343</f>
        <v>111.878</v>
      </c>
      <c r="H2343" s="7">
        <v>41897</v>
      </c>
      <c r="I2343" s="6" t="s">
        <v>272</v>
      </c>
      <c r="J2343" s="6" t="s">
        <v>9656</v>
      </c>
      <c r="K2343" s="6" t="s">
        <v>21</v>
      </c>
      <c r="L2343" s="6">
        <v>13</v>
      </c>
      <c r="M2343" s="15" t="s">
        <v>6705</v>
      </c>
      <c r="N2343" s="15" t="s">
        <v>167</v>
      </c>
      <c r="O2343" s="28" t="s">
        <v>9657</v>
      </c>
    </row>
    <row r="2344" spans="1:15" s="1" customFormat="1">
      <c r="A2344" s="3" t="s">
        <v>3870</v>
      </c>
      <c r="B2344" s="3"/>
      <c r="C2344" s="3"/>
      <c r="D2344" s="5" t="s">
        <v>3871</v>
      </c>
      <c r="E2344" s="5" t="s">
        <v>124</v>
      </c>
      <c r="F2344" s="3" t="s">
        <v>6706</v>
      </c>
      <c r="G2344" s="6">
        <f>13.006*L2344</f>
        <v>195.09</v>
      </c>
      <c r="H2344" s="7">
        <v>41897</v>
      </c>
      <c r="I2344" s="6" t="s">
        <v>6676</v>
      </c>
      <c r="J2344" s="6" t="s">
        <v>6707</v>
      </c>
      <c r="K2344" s="6" t="s">
        <v>21</v>
      </c>
      <c r="L2344" s="6">
        <v>15</v>
      </c>
      <c r="M2344" s="15" t="s">
        <v>6708</v>
      </c>
      <c r="N2344" s="15" t="s">
        <v>6186</v>
      </c>
      <c r="O2344" s="28" t="s">
        <v>6708</v>
      </c>
    </row>
    <row r="2345" spans="1:15" s="1" customFormat="1">
      <c r="A2345" s="3" t="s">
        <v>918</v>
      </c>
      <c r="B2345" s="3"/>
      <c r="C2345" s="3"/>
      <c r="D2345" s="5" t="s">
        <v>919</v>
      </c>
      <c r="E2345" s="5" t="s">
        <v>124</v>
      </c>
      <c r="F2345" s="3" t="s">
        <v>6709</v>
      </c>
      <c r="G2345" s="6">
        <f t="shared" ref="G2345:G2350" si="93">17.712*L2345</f>
        <v>212.54399999999998</v>
      </c>
      <c r="H2345" s="7">
        <v>41897</v>
      </c>
      <c r="I2345" s="6" t="s">
        <v>265</v>
      </c>
      <c r="J2345" s="6" t="s">
        <v>6710</v>
      </c>
      <c r="K2345" s="6" t="s">
        <v>21</v>
      </c>
      <c r="L2345" s="6">
        <v>12</v>
      </c>
      <c r="M2345" s="15" t="s">
        <v>6711</v>
      </c>
      <c r="N2345" s="15" t="s">
        <v>164</v>
      </c>
      <c r="O2345" s="28" t="s">
        <v>6712</v>
      </c>
    </row>
    <row r="2346" spans="1:15" s="1" customFormat="1">
      <c r="A2346" s="3" t="s">
        <v>918</v>
      </c>
      <c r="B2346" s="3"/>
      <c r="C2346" s="3"/>
      <c r="D2346" s="5" t="s">
        <v>919</v>
      </c>
      <c r="E2346" s="5" t="s">
        <v>124</v>
      </c>
      <c r="F2346" s="3" t="s">
        <v>6713</v>
      </c>
      <c r="G2346" s="6">
        <f t="shared" si="93"/>
        <v>230.256</v>
      </c>
      <c r="H2346" s="7">
        <v>41897</v>
      </c>
      <c r="I2346" s="6" t="s">
        <v>265</v>
      </c>
      <c r="J2346" s="6" t="s">
        <v>6714</v>
      </c>
      <c r="K2346" s="6" t="s">
        <v>21</v>
      </c>
      <c r="L2346" s="6">
        <v>13</v>
      </c>
      <c r="M2346" s="15" t="s">
        <v>6711</v>
      </c>
      <c r="N2346" s="15" t="s">
        <v>167</v>
      </c>
      <c r="O2346" s="28" t="s">
        <v>6711</v>
      </c>
    </row>
    <row r="2347" spans="1:15" s="1" customFormat="1">
      <c r="A2347" s="3" t="s">
        <v>918</v>
      </c>
      <c r="B2347" s="3"/>
      <c r="C2347" s="3"/>
      <c r="D2347" s="5" t="s">
        <v>919</v>
      </c>
      <c r="E2347" s="5" t="s">
        <v>124</v>
      </c>
      <c r="F2347" s="3" t="s">
        <v>6715</v>
      </c>
      <c r="G2347" s="6">
        <f t="shared" si="93"/>
        <v>212.54399999999998</v>
      </c>
      <c r="H2347" s="7">
        <v>41897</v>
      </c>
      <c r="I2347" s="6" t="s">
        <v>265</v>
      </c>
      <c r="J2347" s="6" t="s">
        <v>6716</v>
      </c>
      <c r="K2347" s="6" t="s">
        <v>21</v>
      </c>
      <c r="L2347" s="6">
        <v>12</v>
      </c>
      <c r="M2347" s="15" t="s">
        <v>6717</v>
      </c>
      <c r="N2347" s="15" t="s">
        <v>164</v>
      </c>
      <c r="O2347" s="28" t="s">
        <v>6717</v>
      </c>
    </row>
    <row r="2348" spans="1:15" s="1" customFormat="1">
      <c r="A2348" s="3" t="s">
        <v>918</v>
      </c>
      <c r="B2348" s="3"/>
      <c r="C2348" s="3"/>
      <c r="D2348" s="5" t="s">
        <v>919</v>
      </c>
      <c r="E2348" s="5" t="s">
        <v>124</v>
      </c>
      <c r="F2348" s="3" t="s">
        <v>6718</v>
      </c>
      <c r="G2348" s="6">
        <f t="shared" si="93"/>
        <v>230.256</v>
      </c>
      <c r="H2348" s="7">
        <v>41897</v>
      </c>
      <c r="I2348" s="6" t="s">
        <v>265</v>
      </c>
      <c r="J2348" s="6" t="s">
        <v>6719</v>
      </c>
      <c r="K2348" s="6" t="s">
        <v>21</v>
      </c>
      <c r="L2348" s="6">
        <v>13</v>
      </c>
      <c r="M2348" s="15" t="s">
        <v>6717</v>
      </c>
      <c r="N2348" s="15" t="s">
        <v>167</v>
      </c>
      <c r="O2348" s="28" t="s">
        <v>6720</v>
      </c>
    </row>
    <row r="2349" spans="1:15">
      <c r="A2349" s="3" t="s">
        <v>465</v>
      </c>
      <c r="B2349" s="3"/>
      <c r="C2349" s="3"/>
      <c r="D2349" s="5" t="s">
        <v>391</v>
      </c>
      <c r="E2349" s="5" t="s">
        <v>124</v>
      </c>
      <c r="F2349" s="3" t="s">
        <v>9661</v>
      </c>
      <c r="G2349" s="6">
        <f t="shared" si="93"/>
        <v>212.54399999999998</v>
      </c>
      <c r="H2349" s="7">
        <v>41897</v>
      </c>
      <c r="I2349" s="6" t="s">
        <v>265</v>
      </c>
      <c r="J2349" s="6" t="s">
        <v>9662</v>
      </c>
      <c r="K2349" s="6" t="s">
        <v>21</v>
      </c>
      <c r="L2349" s="6">
        <v>12</v>
      </c>
      <c r="M2349" s="15" t="s">
        <v>6723</v>
      </c>
      <c r="N2349" s="15" t="s">
        <v>164</v>
      </c>
      <c r="O2349" s="28" t="s">
        <v>6723</v>
      </c>
    </row>
    <row r="2350" spans="1:15" s="1" customFormat="1">
      <c r="A2350" s="3" t="s">
        <v>465</v>
      </c>
      <c r="B2350" s="3"/>
      <c r="C2350" s="3"/>
      <c r="D2350" s="5" t="s">
        <v>391</v>
      </c>
      <c r="E2350" s="5" t="s">
        <v>124</v>
      </c>
      <c r="F2350" s="3" t="s">
        <v>6721</v>
      </c>
      <c r="G2350" s="6">
        <f t="shared" si="93"/>
        <v>230.256</v>
      </c>
      <c r="H2350" s="7">
        <v>41897</v>
      </c>
      <c r="I2350" s="6" t="s">
        <v>265</v>
      </c>
      <c r="J2350" s="6" t="s">
        <v>6722</v>
      </c>
      <c r="K2350" s="6" t="s">
        <v>21</v>
      </c>
      <c r="L2350" s="6">
        <v>13</v>
      </c>
      <c r="M2350" s="15" t="s">
        <v>6723</v>
      </c>
      <c r="N2350" s="15" t="s">
        <v>167</v>
      </c>
      <c r="O2350" s="28" t="s">
        <v>6724</v>
      </c>
    </row>
    <row r="2351" spans="1:15" s="1" customFormat="1">
      <c r="A2351" s="3" t="s">
        <v>654</v>
      </c>
      <c r="B2351" s="3"/>
      <c r="C2351" s="3"/>
      <c r="D2351" s="5" t="s">
        <v>5294</v>
      </c>
      <c r="E2351" s="5" t="s">
        <v>124</v>
      </c>
      <c r="F2351" s="3" t="s">
        <v>6725</v>
      </c>
      <c r="G2351" s="6">
        <f>17.52*L2351</f>
        <v>140.16</v>
      </c>
      <c r="H2351" s="7">
        <v>41897</v>
      </c>
      <c r="I2351" s="6" t="s">
        <v>209</v>
      </c>
      <c r="J2351" s="6" t="s">
        <v>6726</v>
      </c>
      <c r="K2351" s="6" t="s">
        <v>21</v>
      </c>
      <c r="L2351" s="6">
        <v>8</v>
      </c>
      <c r="M2351" s="15" t="s">
        <v>6727</v>
      </c>
      <c r="N2351" s="15" t="s">
        <v>892</v>
      </c>
      <c r="O2351" s="28" t="s">
        <v>6728</v>
      </c>
    </row>
    <row r="2352" spans="1:15" s="1" customFormat="1">
      <c r="A2352" s="3" t="s">
        <v>96</v>
      </c>
      <c r="B2352" s="3"/>
      <c r="C2352" s="3"/>
      <c r="D2352" s="5" t="s">
        <v>48</v>
      </c>
      <c r="E2352" s="5" t="s">
        <v>17</v>
      </c>
      <c r="F2352" s="3" t="s">
        <v>12194</v>
      </c>
      <c r="G2352" s="6">
        <f>8.926*L2352</f>
        <v>107.11199999999999</v>
      </c>
      <c r="H2352" s="7">
        <v>41898</v>
      </c>
      <c r="I2352" s="6" t="s">
        <v>98</v>
      </c>
      <c r="J2352" s="6" t="s">
        <v>9106</v>
      </c>
      <c r="K2352" s="6" t="s">
        <v>21</v>
      </c>
      <c r="L2352" s="6">
        <v>12</v>
      </c>
      <c r="M2352" s="15" t="s">
        <v>9107</v>
      </c>
      <c r="N2352" s="15" t="s">
        <v>5860</v>
      </c>
      <c r="O2352" s="28"/>
    </row>
    <row r="2353" spans="1:15" s="1" customFormat="1">
      <c r="A2353" s="3" t="s">
        <v>88</v>
      </c>
      <c r="B2353" s="3"/>
      <c r="C2353" s="3"/>
      <c r="D2353" s="5" t="s">
        <v>55</v>
      </c>
      <c r="E2353" s="5" t="s">
        <v>17</v>
      </c>
      <c r="F2353" s="3" t="s">
        <v>115</v>
      </c>
      <c r="G2353" s="6">
        <f>8.926*L2353</f>
        <v>80.334000000000003</v>
      </c>
      <c r="H2353" s="7">
        <v>41898</v>
      </c>
      <c r="I2353" s="6" t="s">
        <v>50</v>
      </c>
      <c r="J2353" s="6" t="s">
        <v>116</v>
      </c>
      <c r="K2353" s="6" t="s">
        <v>21</v>
      </c>
      <c r="L2353" s="6">
        <v>9</v>
      </c>
      <c r="M2353" s="15" t="s">
        <v>117</v>
      </c>
      <c r="N2353" s="15" t="s">
        <v>118</v>
      </c>
      <c r="O2353" s="28"/>
    </row>
    <row r="2354" spans="1:15">
      <c r="A2354" s="3" t="s">
        <v>5287</v>
      </c>
      <c r="B2354" s="3"/>
      <c r="C2354" s="3"/>
      <c r="D2354" s="5" t="s">
        <v>5288</v>
      </c>
      <c r="E2354" s="5" t="s">
        <v>124</v>
      </c>
      <c r="F2354" s="3" t="s">
        <v>6729</v>
      </c>
      <c r="G2354" s="6">
        <v>142.04900000000001</v>
      </c>
      <c r="H2354" s="7">
        <v>41898</v>
      </c>
      <c r="I2354" s="6" t="s">
        <v>209</v>
      </c>
      <c r="J2354" s="6" t="s">
        <v>6730</v>
      </c>
      <c r="K2354" s="6" t="s">
        <v>128</v>
      </c>
      <c r="L2354" s="6" t="s">
        <v>6189</v>
      </c>
      <c r="M2354" s="15" t="s">
        <v>6731</v>
      </c>
      <c r="N2354" s="15" t="s">
        <v>6732</v>
      </c>
      <c r="O2354" s="28" t="s">
        <v>6733</v>
      </c>
    </row>
    <row r="2355" spans="1:15" s="1" customFormat="1">
      <c r="A2355" s="3" t="s">
        <v>5287</v>
      </c>
      <c r="B2355" s="3"/>
      <c r="C2355" s="3"/>
      <c r="D2355" s="5" t="s">
        <v>5288</v>
      </c>
      <c r="E2355" s="5" t="s">
        <v>124</v>
      </c>
      <c r="F2355" s="3" t="s">
        <v>6734</v>
      </c>
      <c r="G2355" s="6">
        <v>140.715</v>
      </c>
      <c r="H2355" s="7">
        <v>41898</v>
      </c>
      <c r="I2355" s="6" t="s">
        <v>209</v>
      </c>
      <c r="J2355" s="6" t="s">
        <v>6735</v>
      </c>
      <c r="K2355" s="6" t="s">
        <v>128</v>
      </c>
      <c r="L2355" s="6" t="s">
        <v>6189</v>
      </c>
      <c r="M2355" s="15" t="s">
        <v>6736</v>
      </c>
      <c r="N2355" s="15" t="s">
        <v>6737</v>
      </c>
      <c r="O2355" s="28" t="s">
        <v>6738</v>
      </c>
    </row>
    <row r="2356" spans="1:15" s="1" customFormat="1">
      <c r="A2356" s="3" t="s">
        <v>5287</v>
      </c>
      <c r="B2356" s="3"/>
      <c r="C2356" s="3"/>
      <c r="D2356" s="5" t="s">
        <v>5288</v>
      </c>
      <c r="E2356" s="5" t="s">
        <v>124</v>
      </c>
      <c r="F2356" s="3" t="s">
        <v>6739</v>
      </c>
      <c r="G2356" s="6">
        <v>37.539000000000001</v>
      </c>
      <c r="H2356" s="7">
        <v>41898</v>
      </c>
      <c r="I2356" s="6" t="s">
        <v>209</v>
      </c>
      <c r="J2356" s="6" t="s">
        <v>6740</v>
      </c>
      <c r="K2356" s="6" t="s">
        <v>128</v>
      </c>
      <c r="L2356" s="6" t="s">
        <v>129</v>
      </c>
      <c r="M2356" s="15" t="s">
        <v>6741</v>
      </c>
      <c r="N2356" s="15" t="s">
        <v>6742</v>
      </c>
      <c r="O2356" s="28" t="s">
        <v>6743</v>
      </c>
    </row>
    <row r="2357" spans="1:15" s="1" customFormat="1">
      <c r="A2357" s="3" t="s">
        <v>5287</v>
      </c>
      <c r="B2357" s="3"/>
      <c r="C2357" s="3"/>
      <c r="D2357" s="5" t="s">
        <v>5288</v>
      </c>
      <c r="E2357" s="5" t="s">
        <v>124</v>
      </c>
      <c r="F2357" s="3" t="s">
        <v>6744</v>
      </c>
      <c r="G2357" s="6">
        <v>37.831000000000003</v>
      </c>
      <c r="H2357" s="7">
        <v>41898</v>
      </c>
      <c r="I2357" s="6" t="s">
        <v>209</v>
      </c>
      <c r="J2357" s="6" t="s">
        <v>6745</v>
      </c>
      <c r="K2357" s="6" t="s">
        <v>128</v>
      </c>
      <c r="L2357" s="6" t="s">
        <v>129</v>
      </c>
      <c r="M2357" s="15" t="s">
        <v>6746</v>
      </c>
      <c r="N2357" s="15" t="s">
        <v>6747</v>
      </c>
      <c r="O2357" s="28" t="s">
        <v>6748</v>
      </c>
    </row>
    <row r="2358" spans="1:15">
      <c r="A2358" s="3" t="s">
        <v>4051</v>
      </c>
      <c r="B2358" s="3"/>
      <c r="C2358" s="3"/>
      <c r="D2358" s="5" t="s">
        <v>9670</v>
      </c>
      <c r="E2358" s="5" t="s">
        <v>124</v>
      </c>
      <c r="F2358" s="3" t="s">
        <v>9671</v>
      </c>
      <c r="G2358" s="6">
        <v>69.992000000000004</v>
      </c>
      <c r="H2358" s="7">
        <v>41898</v>
      </c>
      <c r="I2358" s="6" t="s">
        <v>471</v>
      </c>
      <c r="J2358" s="6" t="s">
        <v>9672</v>
      </c>
      <c r="K2358" s="6" t="s">
        <v>21</v>
      </c>
      <c r="L2358" s="6" t="s">
        <v>9673</v>
      </c>
      <c r="M2358" s="15" t="s">
        <v>9674</v>
      </c>
      <c r="N2358" s="15" t="s">
        <v>9675</v>
      </c>
      <c r="O2358" s="28" t="s">
        <v>9676</v>
      </c>
    </row>
    <row r="2359" spans="1:15">
      <c r="A2359" s="3" t="s">
        <v>1349</v>
      </c>
      <c r="B2359" s="3"/>
      <c r="C2359" s="3"/>
      <c r="D2359" s="5" t="s">
        <v>2117</v>
      </c>
      <c r="E2359" s="5" t="s">
        <v>124</v>
      </c>
      <c r="F2359" s="3" t="s">
        <v>6749</v>
      </c>
      <c r="G2359" s="6">
        <v>247.93600000000001</v>
      </c>
      <c r="H2359" s="7">
        <v>41898</v>
      </c>
      <c r="I2359" s="6" t="s">
        <v>178</v>
      </c>
      <c r="J2359" s="6" t="s">
        <v>6750</v>
      </c>
      <c r="K2359" s="6" t="s">
        <v>128</v>
      </c>
      <c r="L2359" s="6" t="s">
        <v>5428</v>
      </c>
      <c r="M2359" s="15" t="s">
        <v>6751</v>
      </c>
      <c r="N2359" s="15" t="s">
        <v>6752</v>
      </c>
      <c r="O2359" s="28" t="s">
        <v>6753</v>
      </c>
    </row>
    <row r="2360" spans="1:15" s="1" customFormat="1">
      <c r="A2360" s="3" t="s">
        <v>1349</v>
      </c>
      <c r="B2360" s="3"/>
      <c r="C2360" s="3"/>
      <c r="D2360" s="5" t="s">
        <v>2117</v>
      </c>
      <c r="E2360" s="5" t="s">
        <v>124</v>
      </c>
      <c r="F2360" s="3" t="s">
        <v>6754</v>
      </c>
      <c r="G2360" s="6">
        <v>139.68</v>
      </c>
      <c r="H2360" s="7">
        <v>41898</v>
      </c>
      <c r="I2360" s="6" t="s">
        <v>178</v>
      </c>
      <c r="J2360" s="6" t="s">
        <v>6755</v>
      </c>
      <c r="K2360" s="6" t="s">
        <v>128</v>
      </c>
      <c r="L2360" s="6" t="s">
        <v>2183</v>
      </c>
      <c r="M2360" s="15" t="s">
        <v>6756</v>
      </c>
      <c r="N2360" s="15" t="s">
        <v>5649</v>
      </c>
      <c r="O2360" s="28" t="s">
        <v>6757</v>
      </c>
    </row>
    <row r="2361" spans="1:15" s="1" customFormat="1">
      <c r="A2361" s="3" t="s">
        <v>1349</v>
      </c>
      <c r="B2361" s="3"/>
      <c r="C2361" s="3"/>
      <c r="D2361" s="5" t="s">
        <v>2117</v>
      </c>
      <c r="E2361" s="5" t="s">
        <v>124</v>
      </c>
      <c r="F2361" s="3" t="s">
        <v>6758</v>
      </c>
      <c r="G2361" s="6">
        <v>248.12799999999999</v>
      </c>
      <c r="H2361" s="7">
        <v>41898</v>
      </c>
      <c r="I2361" s="6" t="s">
        <v>178</v>
      </c>
      <c r="J2361" s="6" t="s">
        <v>6759</v>
      </c>
      <c r="K2361" s="6" t="s">
        <v>128</v>
      </c>
      <c r="L2361" s="6" t="s">
        <v>5428</v>
      </c>
      <c r="M2361" s="15" t="s">
        <v>6760</v>
      </c>
      <c r="N2361" s="15" t="s">
        <v>6761</v>
      </c>
      <c r="O2361" s="28" t="s">
        <v>6762</v>
      </c>
    </row>
    <row r="2362" spans="1:15">
      <c r="A2362" s="3" t="s">
        <v>5890</v>
      </c>
      <c r="B2362" s="3"/>
      <c r="C2362" s="3"/>
      <c r="D2362" s="5" t="s">
        <v>5892</v>
      </c>
      <c r="E2362" s="5" t="s">
        <v>124</v>
      </c>
      <c r="F2362" s="3" t="s">
        <v>6763</v>
      </c>
      <c r="G2362" s="6">
        <v>162.161</v>
      </c>
      <c r="H2362" s="7">
        <v>41898</v>
      </c>
      <c r="I2362" s="6" t="s">
        <v>178</v>
      </c>
      <c r="J2362" s="6" t="s">
        <v>6764</v>
      </c>
      <c r="K2362" s="6" t="s">
        <v>128</v>
      </c>
      <c r="L2362" s="6" t="s">
        <v>6765</v>
      </c>
      <c r="M2362" s="15" t="s">
        <v>6766</v>
      </c>
      <c r="N2362" s="15" t="s">
        <v>6767</v>
      </c>
      <c r="O2362" s="28" t="s">
        <v>6768</v>
      </c>
    </row>
    <row r="2363" spans="1:15">
      <c r="A2363" s="3" t="s">
        <v>5890</v>
      </c>
      <c r="B2363" s="3"/>
      <c r="C2363" s="3"/>
      <c r="D2363" s="5" t="s">
        <v>5892</v>
      </c>
      <c r="E2363" s="5" t="s">
        <v>124</v>
      </c>
      <c r="F2363" s="3" t="s">
        <v>9677</v>
      </c>
      <c r="G2363" s="6">
        <v>50.656999999999996</v>
      </c>
      <c r="H2363" s="7">
        <v>41898</v>
      </c>
      <c r="I2363" s="6" t="s">
        <v>178</v>
      </c>
      <c r="J2363" s="6" t="s">
        <v>9678</v>
      </c>
      <c r="K2363" s="6" t="s">
        <v>128</v>
      </c>
      <c r="L2363" s="6" t="s">
        <v>301</v>
      </c>
      <c r="M2363" s="15" t="s">
        <v>9679</v>
      </c>
      <c r="N2363" s="15" t="s">
        <v>9680</v>
      </c>
      <c r="O2363" s="28" t="s">
        <v>9681</v>
      </c>
    </row>
    <row r="2364" spans="1:15" s="1" customFormat="1">
      <c r="A2364" s="3" t="s">
        <v>5890</v>
      </c>
      <c r="B2364" s="3"/>
      <c r="C2364" s="3"/>
      <c r="D2364" s="5" t="s">
        <v>5892</v>
      </c>
      <c r="E2364" s="5" t="s">
        <v>124</v>
      </c>
      <c r="F2364" s="3" t="s">
        <v>9682</v>
      </c>
      <c r="G2364" s="6">
        <v>20.245000000000001</v>
      </c>
      <c r="H2364" s="7">
        <v>41898</v>
      </c>
      <c r="I2364" s="6" t="s">
        <v>178</v>
      </c>
      <c r="J2364" s="6" t="s">
        <v>9683</v>
      </c>
      <c r="K2364" s="6" t="s">
        <v>128</v>
      </c>
      <c r="L2364" s="6" t="s">
        <v>743</v>
      </c>
      <c r="M2364" s="15" t="s">
        <v>9684</v>
      </c>
      <c r="N2364" s="15" t="s">
        <v>9685</v>
      </c>
      <c r="O2364" s="28" t="s">
        <v>9686</v>
      </c>
    </row>
    <row r="2365" spans="1:15" s="1" customFormat="1">
      <c r="A2365" s="3" t="s">
        <v>376</v>
      </c>
      <c r="B2365" s="3"/>
      <c r="C2365" s="3"/>
      <c r="D2365" s="5" t="s">
        <v>377</v>
      </c>
      <c r="E2365" s="5" t="s">
        <v>124</v>
      </c>
      <c r="F2365" s="3" t="s">
        <v>9690</v>
      </c>
      <c r="G2365" s="6">
        <f>18.708*L2365</f>
        <v>187.07999999999998</v>
      </c>
      <c r="H2365" s="7">
        <v>41899</v>
      </c>
      <c r="I2365" s="6" t="s">
        <v>379</v>
      </c>
      <c r="J2365" s="6" t="s">
        <v>9691</v>
      </c>
      <c r="K2365" s="6" t="s">
        <v>21</v>
      </c>
      <c r="L2365" s="6">
        <v>10</v>
      </c>
      <c r="M2365" s="15" t="s">
        <v>6771</v>
      </c>
      <c r="N2365" s="15" t="s">
        <v>556</v>
      </c>
      <c r="O2365" s="28" t="s">
        <v>9692</v>
      </c>
    </row>
    <row r="2366" spans="1:15">
      <c r="A2366" s="3" t="s">
        <v>3816</v>
      </c>
      <c r="B2366" s="3"/>
      <c r="C2366" s="3"/>
      <c r="D2366" s="5" t="s">
        <v>377</v>
      </c>
      <c r="E2366" s="5" t="s">
        <v>124</v>
      </c>
      <c r="F2366" s="3" t="s">
        <v>6769</v>
      </c>
      <c r="G2366" s="6">
        <f>18.708*L2366</f>
        <v>93.539999999999992</v>
      </c>
      <c r="H2366" s="7">
        <v>41899</v>
      </c>
      <c r="I2366" s="6" t="s">
        <v>265</v>
      </c>
      <c r="J2366" s="6" t="s">
        <v>6770</v>
      </c>
      <c r="K2366" s="6" t="s">
        <v>21</v>
      </c>
      <c r="L2366" s="6">
        <v>5</v>
      </c>
      <c r="M2366" s="15" t="s">
        <v>6771</v>
      </c>
      <c r="N2366" s="15" t="s">
        <v>5969</v>
      </c>
      <c r="O2366" s="28" t="s">
        <v>6771</v>
      </c>
    </row>
    <row r="2367" spans="1:15">
      <c r="A2367" s="22" t="s">
        <v>6772</v>
      </c>
      <c r="B2367" s="3"/>
      <c r="C2367" s="3"/>
      <c r="D2367" s="5" t="s">
        <v>6773</v>
      </c>
      <c r="E2367" s="5" t="s">
        <v>124</v>
      </c>
      <c r="F2367" s="3" t="s">
        <v>6774</v>
      </c>
      <c r="G2367" s="6">
        <f>17.52*L2367</f>
        <v>52.56</v>
      </c>
      <c r="H2367" s="7">
        <v>41899</v>
      </c>
      <c r="I2367" s="6" t="s">
        <v>172</v>
      </c>
      <c r="J2367" s="6" t="s">
        <v>6775</v>
      </c>
      <c r="K2367" s="6" t="s">
        <v>5478</v>
      </c>
      <c r="L2367" s="6">
        <v>3</v>
      </c>
      <c r="M2367" s="15" t="s">
        <v>6776</v>
      </c>
      <c r="N2367" s="15" t="s">
        <v>6341</v>
      </c>
      <c r="O2367" s="28" t="s">
        <v>6776</v>
      </c>
    </row>
    <row r="2368" spans="1:15" ht="14.25" customHeight="1">
      <c r="A2368" s="3" t="s">
        <v>316</v>
      </c>
      <c r="B2368" s="3"/>
      <c r="C2368" s="3"/>
      <c r="D2368" s="5" t="s">
        <v>317</v>
      </c>
      <c r="E2368" s="5" t="s">
        <v>124</v>
      </c>
      <c r="F2368" s="3" t="s">
        <v>9693</v>
      </c>
      <c r="G2368" s="6">
        <f>17.52*L2368</f>
        <v>122.64</v>
      </c>
      <c r="H2368" s="7">
        <v>41899</v>
      </c>
      <c r="I2368" s="6" t="s">
        <v>209</v>
      </c>
      <c r="J2368" s="6" t="s">
        <v>9694</v>
      </c>
      <c r="K2368" s="6" t="s">
        <v>21</v>
      </c>
      <c r="L2368" s="6">
        <v>7</v>
      </c>
      <c r="M2368" s="15" t="s">
        <v>9695</v>
      </c>
      <c r="N2368" s="15" t="s">
        <v>9696</v>
      </c>
      <c r="O2368" s="28" t="s">
        <v>9695</v>
      </c>
    </row>
    <row r="2369" spans="1:15" s="1" customFormat="1">
      <c r="A2369" s="3" t="s">
        <v>898</v>
      </c>
      <c r="B2369" s="3"/>
      <c r="C2369" s="3"/>
      <c r="D2369" s="5" t="s">
        <v>899</v>
      </c>
      <c r="E2369" s="5" t="s">
        <v>124</v>
      </c>
      <c r="F2369" s="3" t="s">
        <v>6777</v>
      </c>
      <c r="G2369" s="6">
        <f>18.708*L2369</f>
        <v>37.415999999999997</v>
      </c>
      <c r="H2369" s="7">
        <v>41899</v>
      </c>
      <c r="I2369" s="6" t="s">
        <v>209</v>
      </c>
      <c r="J2369" s="6" t="s">
        <v>6778</v>
      </c>
      <c r="K2369" s="6" t="s">
        <v>21</v>
      </c>
      <c r="L2369" s="6">
        <v>2</v>
      </c>
      <c r="M2369" s="15" t="s">
        <v>6779</v>
      </c>
      <c r="N2369" s="15" t="s">
        <v>5655</v>
      </c>
      <c r="O2369" s="28" t="s">
        <v>6779</v>
      </c>
    </row>
    <row r="2370" spans="1:15" s="1" customFormat="1">
      <c r="A2370" s="3" t="s">
        <v>514</v>
      </c>
      <c r="B2370" s="3"/>
      <c r="C2370" s="3"/>
      <c r="D2370" s="5" t="s">
        <v>2030</v>
      </c>
      <c r="E2370" s="5" t="s">
        <v>124</v>
      </c>
      <c r="F2370" s="3" t="s">
        <v>6780</v>
      </c>
      <c r="G2370" s="6">
        <f t="shared" ref="G2370:G2375" si="94">14.405*L2370</f>
        <v>172.85999999999999</v>
      </c>
      <c r="H2370" s="7">
        <v>41899</v>
      </c>
      <c r="I2370" s="6" t="s">
        <v>265</v>
      </c>
      <c r="J2370" s="6" t="s">
        <v>6781</v>
      </c>
      <c r="K2370" s="6" t="s">
        <v>21</v>
      </c>
      <c r="L2370" s="6">
        <v>12</v>
      </c>
      <c r="M2370" s="15" t="s">
        <v>6782</v>
      </c>
      <c r="N2370" s="15" t="s">
        <v>78</v>
      </c>
      <c r="O2370" s="28" t="s">
        <v>6782</v>
      </c>
    </row>
    <row r="2371" spans="1:15">
      <c r="A2371" s="3" t="s">
        <v>514</v>
      </c>
      <c r="B2371" s="3"/>
      <c r="C2371" s="3"/>
      <c r="D2371" s="5" t="s">
        <v>2030</v>
      </c>
      <c r="E2371" s="5" t="s">
        <v>124</v>
      </c>
      <c r="F2371" s="3" t="s">
        <v>9697</v>
      </c>
      <c r="G2371" s="6">
        <f t="shared" si="94"/>
        <v>187.26499999999999</v>
      </c>
      <c r="H2371" s="7">
        <v>41899</v>
      </c>
      <c r="I2371" s="6" t="s">
        <v>265</v>
      </c>
      <c r="J2371" s="6" t="s">
        <v>9698</v>
      </c>
      <c r="K2371" s="6" t="s">
        <v>21</v>
      </c>
      <c r="L2371" s="6">
        <v>13</v>
      </c>
      <c r="M2371" s="15" t="s">
        <v>6782</v>
      </c>
      <c r="N2371" s="15" t="s">
        <v>167</v>
      </c>
      <c r="O2371" s="28" t="s">
        <v>9699</v>
      </c>
    </row>
    <row r="2372" spans="1:15">
      <c r="A2372" s="3" t="s">
        <v>514</v>
      </c>
      <c r="B2372" s="3"/>
      <c r="C2372" s="3"/>
      <c r="D2372" s="5" t="s">
        <v>2030</v>
      </c>
      <c r="E2372" s="5" t="s">
        <v>124</v>
      </c>
      <c r="F2372" s="3" t="s">
        <v>6783</v>
      </c>
      <c r="G2372" s="6">
        <f t="shared" si="94"/>
        <v>172.85999999999999</v>
      </c>
      <c r="H2372" s="7">
        <v>41899</v>
      </c>
      <c r="I2372" s="6" t="s">
        <v>265</v>
      </c>
      <c r="J2372" s="6" t="s">
        <v>6784</v>
      </c>
      <c r="K2372" s="6" t="s">
        <v>21</v>
      </c>
      <c r="L2372" s="6">
        <v>12</v>
      </c>
      <c r="M2372" s="15" t="s">
        <v>6785</v>
      </c>
      <c r="N2372" s="15" t="s">
        <v>78</v>
      </c>
      <c r="O2372" s="28" t="s">
        <v>6785</v>
      </c>
    </row>
    <row r="2373" spans="1:15" s="1" customFormat="1">
      <c r="A2373" s="3" t="s">
        <v>514</v>
      </c>
      <c r="B2373" s="3"/>
      <c r="C2373" s="3"/>
      <c r="D2373" s="5" t="s">
        <v>2030</v>
      </c>
      <c r="E2373" s="5" t="s">
        <v>124</v>
      </c>
      <c r="F2373" s="3" t="s">
        <v>6786</v>
      </c>
      <c r="G2373" s="6">
        <f t="shared" si="94"/>
        <v>187.26499999999999</v>
      </c>
      <c r="H2373" s="7">
        <v>41899</v>
      </c>
      <c r="I2373" s="6" t="s">
        <v>265</v>
      </c>
      <c r="J2373" s="6" t="s">
        <v>6787</v>
      </c>
      <c r="K2373" s="6" t="s">
        <v>21</v>
      </c>
      <c r="L2373" s="6">
        <v>13</v>
      </c>
      <c r="M2373" s="15" t="s">
        <v>6785</v>
      </c>
      <c r="N2373" s="15" t="s">
        <v>167</v>
      </c>
      <c r="O2373" s="28" t="s">
        <v>6788</v>
      </c>
    </row>
    <row r="2374" spans="1:15" s="1" customFormat="1">
      <c r="A2374" s="3" t="s">
        <v>514</v>
      </c>
      <c r="B2374" s="3"/>
      <c r="C2374" s="3"/>
      <c r="D2374" s="5" t="s">
        <v>2030</v>
      </c>
      <c r="E2374" s="5" t="s">
        <v>124</v>
      </c>
      <c r="F2374" s="3" t="s">
        <v>9700</v>
      </c>
      <c r="G2374" s="6">
        <f t="shared" si="94"/>
        <v>28.81</v>
      </c>
      <c r="H2374" s="7">
        <v>41899</v>
      </c>
      <c r="I2374" s="6" t="s">
        <v>265</v>
      </c>
      <c r="J2374" s="6" t="s">
        <v>9701</v>
      </c>
      <c r="K2374" s="6" t="s">
        <v>21</v>
      </c>
      <c r="L2374" s="6">
        <v>2</v>
      </c>
      <c r="M2374" s="15" t="s">
        <v>9702</v>
      </c>
      <c r="N2374" s="15" t="s">
        <v>196</v>
      </c>
      <c r="O2374" s="28" t="s">
        <v>9702</v>
      </c>
    </row>
    <row r="2375" spans="1:15" s="1" customFormat="1">
      <c r="A2375" s="3" t="s">
        <v>514</v>
      </c>
      <c r="B2375" s="3"/>
      <c r="C2375" s="3"/>
      <c r="D2375" s="5" t="s">
        <v>2030</v>
      </c>
      <c r="E2375" s="5" t="s">
        <v>124</v>
      </c>
      <c r="F2375" s="3" t="s">
        <v>6789</v>
      </c>
      <c r="G2375" s="6">
        <f t="shared" si="94"/>
        <v>43.214999999999996</v>
      </c>
      <c r="H2375" s="7">
        <v>41899</v>
      </c>
      <c r="I2375" s="6" t="s">
        <v>265</v>
      </c>
      <c r="J2375" s="6" t="s">
        <v>6790</v>
      </c>
      <c r="K2375" s="6" t="s">
        <v>21</v>
      </c>
      <c r="L2375" s="6">
        <v>3</v>
      </c>
      <c r="M2375" s="15" t="s">
        <v>6791</v>
      </c>
      <c r="N2375" s="15" t="s">
        <v>407</v>
      </c>
      <c r="O2375" s="28" t="s">
        <v>6791</v>
      </c>
    </row>
    <row r="2376" spans="1:15" s="1" customFormat="1">
      <c r="A2376" s="3" t="s">
        <v>1127</v>
      </c>
      <c r="B2376" s="3"/>
      <c r="C2376" s="3"/>
      <c r="D2376" s="5" t="s">
        <v>1128</v>
      </c>
      <c r="E2376" s="5" t="s">
        <v>7026</v>
      </c>
      <c r="F2376" s="3" t="s">
        <v>8938</v>
      </c>
      <c r="G2376" s="6">
        <f t="shared" ref="G2376:G2391" si="95">29.101*L2376</f>
        <v>349.21199999999999</v>
      </c>
      <c r="H2376" s="7">
        <v>41899</v>
      </c>
      <c r="I2376" s="6" t="s">
        <v>178</v>
      </c>
      <c r="J2376" s="6" t="s">
        <v>8939</v>
      </c>
      <c r="K2376" s="6" t="s">
        <v>21</v>
      </c>
      <c r="L2376" s="6">
        <v>12</v>
      </c>
      <c r="M2376" s="15" t="s">
        <v>8940</v>
      </c>
      <c r="N2376" s="15" t="s">
        <v>164</v>
      </c>
      <c r="O2376" s="28"/>
    </row>
    <row r="2377" spans="1:15">
      <c r="A2377" s="3" t="s">
        <v>1127</v>
      </c>
      <c r="B2377" s="3"/>
      <c r="C2377" s="3"/>
      <c r="D2377" s="5" t="s">
        <v>1128</v>
      </c>
      <c r="E2377" s="5" t="s">
        <v>7026</v>
      </c>
      <c r="F2377" s="3" t="s">
        <v>8941</v>
      </c>
      <c r="G2377" s="6">
        <f t="shared" si="95"/>
        <v>378.31299999999999</v>
      </c>
      <c r="H2377" s="7">
        <v>41899</v>
      </c>
      <c r="I2377" s="6" t="s">
        <v>178</v>
      </c>
      <c r="J2377" s="6" t="s">
        <v>8942</v>
      </c>
      <c r="K2377" s="6" t="s">
        <v>21</v>
      </c>
      <c r="L2377" s="6">
        <v>13</v>
      </c>
      <c r="M2377" s="15" t="s">
        <v>8940</v>
      </c>
      <c r="N2377" s="15" t="s">
        <v>167</v>
      </c>
      <c r="O2377" s="28"/>
    </row>
    <row r="2378" spans="1:15" s="1" customFormat="1">
      <c r="A2378" s="3" t="s">
        <v>1127</v>
      </c>
      <c r="B2378" s="3"/>
      <c r="C2378" s="3"/>
      <c r="D2378" s="5" t="s">
        <v>1128</v>
      </c>
      <c r="E2378" s="5" t="s">
        <v>7026</v>
      </c>
      <c r="F2378" s="3" t="s">
        <v>8943</v>
      </c>
      <c r="G2378" s="6">
        <f t="shared" si="95"/>
        <v>349.21199999999999</v>
      </c>
      <c r="H2378" s="7">
        <v>41899</v>
      </c>
      <c r="I2378" s="6" t="s">
        <v>178</v>
      </c>
      <c r="J2378" s="6" t="s">
        <v>8944</v>
      </c>
      <c r="K2378" s="6" t="s">
        <v>21</v>
      </c>
      <c r="L2378" s="6">
        <v>12</v>
      </c>
      <c r="M2378" s="15" t="s">
        <v>8945</v>
      </c>
      <c r="N2378" s="15" t="s">
        <v>164</v>
      </c>
      <c r="O2378" s="28"/>
    </row>
    <row r="2379" spans="1:15">
      <c r="A2379" s="3" t="s">
        <v>1127</v>
      </c>
      <c r="B2379" s="3"/>
      <c r="C2379" s="3"/>
      <c r="D2379" s="5" t="s">
        <v>1128</v>
      </c>
      <c r="E2379" s="5" t="s">
        <v>7026</v>
      </c>
      <c r="F2379" s="3" t="s">
        <v>8946</v>
      </c>
      <c r="G2379" s="6">
        <f t="shared" si="95"/>
        <v>378.31299999999999</v>
      </c>
      <c r="H2379" s="7">
        <v>41899</v>
      </c>
      <c r="I2379" s="6" t="s">
        <v>178</v>
      </c>
      <c r="J2379" s="6" t="s">
        <v>8947</v>
      </c>
      <c r="K2379" s="6" t="s">
        <v>21</v>
      </c>
      <c r="L2379" s="6">
        <v>13</v>
      </c>
      <c r="M2379" s="15" t="s">
        <v>8945</v>
      </c>
      <c r="N2379" s="15" t="s">
        <v>167</v>
      </c>
      <c r="O2379" s="28"/>
    </row>
    <row r="2380" spans="1:15">
      <c r="A2380" s="3" t="s">
        <v>1127</v>
      </c>
      <c r="B2380" s="3"/>
      <c r="C2380" s="3"/>
      <c r="D2380" s="5" t="s">
        <v>1128</v>
      </c>
      <c r="E2380" s="5" t="s">
        <v>7026</v>
      </c>
      <c r="F2380" s="3" t="s">
        <v>8948</v>
      </c>
      <c r="G2380" s="6">
        <f t="shared" si="95"/>
        <v>349.21199999999999</v>
      </c>
      <c r="H2380" s="7">
        <v>41899</v>
      </c>
      <c r="I2380" s="6" t="s">
        <v>178</v>
      </c>
      <c r="J2380" s="6" t="s">
        <v>8949</v>
      </c>
      <c r="K2380" s="6" t="s">
        <v>21</v>
      </c>
      <c r="L2380" s="6">
        <v>12</v>
      </c>
      <c r="M2380" s="15" t="s">
        <v>8950</v>
      </c>
      <c r="N2380" s="15" t="s">
        <v>164</v>
      </c>
      <c r="O2380" s="28"/>
    </row>
    <row r="2381" spans="1:15" s="1" customFormat="1">
      <c r="A2381" s="3" t="s">
        <v>1127</v>
      </c>
      <c r="B2381" s="3"/>
      <c r="C2381" s="3"/>
      <c r="D2381" s="5" t="s">
        <v>1128</v>
      </c>
      <c r="E2381" s="5" t="s">
        <v>7026</v>
      </c>
      <c r="F2381" s="3" t="s">
        <v>8951</v>
      </c>
      <c r="G2381" s="6">
        <f t="shared" si="95"/>
        <v>378.31299999999999</v>
      </c>
      <c r="H2381" s="7">
        <v>41899</v>
      </c>
      <c r="I2381" s="6" t="s">
        <v>178</v>
      </c>
      <c r="J2381" s="6" t="s">
        <v>8952</v>
      </c>
      <c r="K2381" s="6" t="s">
        <v>21</v>
      </c>
      <c r="L2381" s="6">
        <v>13</v>
      </c>
      <c r="M2381" s="15" t="s">
        <v>8950</v>
      </c>
      <c r="N2381" s="15" t="s">
        <v>167</v>
      </c>
      <c r="O2381" s="28"/>
    </row>
    <row r="2382" spans="1:15">
      <c r="A2382" s="3" t="s">
        <v>1127</v>
      </c>
      <c r="B2382" s="3"/>
      <c r="C2382" s="3"/>
      <c r="D2382" s="5" t="s">
        <v>1128</v>
      </c>
      <c r="E2382" s="5" t="s">
        <v>7026</v>
      </c>
      <c r="F2382" s="3" t="s">
        <v>8953</v>
      </c>
      <c r="G2382" s="6">
        <f t="shared" si="95"/>
        <v>349.21199999999999</v>
      </c>
      <c r="H2382" s="7">
        <v>41899</v>
      </c>
      <c r="I2382" s="6" t="s">
        <v>178</v>
      </c>
      <c r="J2382" s="6" t="s">
        <v>8954</v>
      </c>
      <c r="K2382" s="6" t="s">
        <v>21</v>
      </c>
      <c r="L2382" s="6">
        <v>12</v>
      </c>
      <c r="M2382" s="15" t="s">
        <v>8955</v>
      </c>
      <c r="N2382" s="15" t="s">
        <v>164</v>
      </c>
      <c r="O2382" s="28"/>
    </row>
    <row r="2383" spans="1:15">
      <c r="A2383" s="3" t="s">
        <v>1127</v>
      </c>
      <c r="B2383" s="3"/>
      <c r="C2383" s="3"/>
      <c r="D2383" s="5" t="s">
        <v>1128</v>
      </c>
      <c r="E2383" s="5" t="s">
        <v>7026</v>
      </c>
      <c r="F2383" s="3" t="s">
        <v>8956</v>
      </c>
      <c r="G2383" s="6">
        <f t="shared" si="95"/>
        <v>378.31299999999999</v>
      </c>
      <c r="H2383" s="7">
        <v>41899</v>
      </c>
      <c r="I2383" s="6" t="s">
        <v>178</v>
      </c>
      <c r="J2383" s="6" t="s">
        <v>8957</v>
      </c>
      <c r="K2383" s="6" t="s">
        <v>21</v>
      </c>
      <c r="L2383" s="6">
        <v>13</v>
      </c>
      <c r="M2383" s="15" t="s">
        <v>8955</v>
      </c>
      <c r="N2383" s="15" t="s">
        <v>167</v>
      </c>
      <c r="O2383" s="28"/>
    </row>
    <row r="2384" spans="1:15">
      <c r="A2384" s="3" t="s">
        <v>1127</v>
      </c>
      <c r="B2384" s="3"/>
      <c r="C2384" s="3"/>
      <c r="D2384" s="5" t="s">
        <v>1128</v>
      </c>
      <c r="E2384" s="5" t="s">
        <v>7026</v>
      </c>
      <c r="F2384" s="3" t="s">
        <v>8958</v>
      </c>
      <c r="G2384" s="6">
        <f t="shared" si="95"/>
        <v>349.21199999999999</v>
      </c>
      <c r="H2384" s="7">
        <v>41899</v>
      </c>
      <c r="I2384" s="6" t="s">
        <v>178</v>
      </c>
      <c r="J2384" s="6" t="s">
        <v>8959</v>
      </c>
      <c r="K2384" s="6" t="s">
        <v>21</v>
      </c>
      <c r="L2384" s="6">
        <v>12</v>
      </c>
      <c r="M2384" s="15" t="s">
        <v>8960</v>
      </c>
      <c r="N2384" s="15" t="s">
        <v>164</v>
      </c>
      <c r="O2384" s="28"/>
    </row>
    <row r="2385" spans="1:15">
      <c r="A2385" s="3" t="s">
        <v>1127</v>
      </c>
      <c r="B2385" s="3"/>
      <c r="C2385" s="3"/>
      <c r="D2385" s="5" t="s">
        <v>1128</v>
      </c>
      <c r="E2385" s="5" t="s">
        <v>7026</v>
      </c>
      <c r="F2385" s="3" t="s">
        <v>8961</v>
      </c>
      <c r="G2385" s="6">
        <f t="shared" si="95"/>
        <v>378.31299999999999</v>
      </c>
      <c r="H2385" s="7">
        <v>41899</v>
      </c>
      <c r="I2385" s="6" t="s">
        <v>178</v>
      </c>
      <c r="J2385" s="6" t="s">
        <v>8962</v>
      </c>
      <c r="K2385" s="6" t="s">
        <v>21</v>
      </c>
      <c r="L2385" s="6">
        <v>13</v>
      </c>
      <c r="M2385" s="15" t="s">
        <v>8960</v>
      </c>
      <c r="N2385" s="15" t="s">
        <v>167</v>
      </c>
      <c r="O2385" s="28"/>
    </row>
    <row r="2386" spans="1:15" s="1" customFormat="1">
      <c r="A2386" s="3" t="s">
        <v>1127</v>
      </c>
      <c r="B2386" s="3"/>
      <c r="C2386" s="3"/>
      <c r="D2386" s="5" t="s">
        <v>1128</v>
      </c>
      <c r="E2386" s="5" t="s">
        <v>7026</v>
      </c>
      <c r="F2386" s="3" t="s">
        <v>8963</v>
      </c>
      <c r="G2386" s="6">
        <f t="shared" si="95"/>
        <v>349.21199999999999</v>
      </c>
      <c r="H2386" s="7">
        <v>41899</v>
      </c>
      <c r="I2386" s="6" t="s">
        <v>178</v>
      </c>
      <c r="J2386" s="6" t="s">
        <v>8964</v>
      </c>
      <c r="K2386" s="6" t="s">
        <v>21</v>
      </c>
      <c r="L2386" s="6">
        <v>12</v>
      </c>
      <c r="M2386" s="15" t="s">
        <v>8965</v>
      </c>
      <c r="N2386" s="15" t="s">
        <v>164</v>
      </c>
      <c r="O2386" s="28"/>
    </row>
    <row r="2387" spans="1:15">
      <c r="A2387" s="3" t="s">
        <v>1127</v>
      </c>
      <c r="B2387" s="3"/>
      <c r="C2387" s="3"/>
      <c r="D2387" s="5" t="s">
        <v>1128</v>
      </c>
      <c r="E2387" s="5" t="s">
        <v>7026</v>
      </c>
      <c r="F2387" s="3" t="s">
        <v>8966</v>
      </c>
      <c r="G2387" s="6">
        <f t="shared" si="95"/>
        <v>378.31299999999999</v>
      </c>
      <c r="H2387" s="7">
        <v>41899</v>
      </c>
      <c r="I2387" s="6" t="s">
        <v>178</v>
      </c>
      <c r="J2387" s="6" t="s">
        <v>8967</v>
      </c>
      <c r="K2387" s="6" t="s">
        <v>21</v>
      </c>
      <c r="L2387" s="6">
        <v>13</v>
      </c>
      <c r="M2387" s="15" t="s">
        <v>8965</v>
      </c>
      <c r="N2387" s="15" t="s">
        <v>167</v>
      </c>
      <c r="O2387" s="28"/>
    </row>
    <row r="2388" spans="1:15" s="1" customFormat="1">
      <c r="A2388" s="3" t="s">
        <v>1127</v>
      </c>
      <c r="B2388" s="3"/>
      <c r="C2388" s="3"/>
      <c r="D2388" s="5" t="s">
        <v>1128</v>
      </c>
      <c r="E2388" s="5" t="s">
        <v>7026</v>
      </c>
      <c r="F2388" s="3" t="s">
        <v>8968</v>
      </c>
      <c r="G2388" s="6">
        <f t="shared" si="95"/>
        <v>349.21199999999999</v>
      </c>
      <c r="H2388" s="7">
        <v>41899</v>
      </c>
      <c r="I2388" s="6" t="s">
        <v>178</v>
      </c>
      <c r="J2388" s="6" t="s">
        <v>8969</v>
      </c>
      <c r="K2388" s="6" t="s">
        <v>21</v>
      </c>
      <c r="L2388" s="6">
        <v>12</v>
      </c>
      <c r="M2388" s="15" t="s">
        <v>8970</v>
      </c>
      <c r="N2388" s="15" t="s">
        <v>164</v>
      </c>
      <c r="O2388" s="28"/>
    </row>
    <row r="2389" spans="1:15" s="1" customFormat="1">
      <c r="A2389" s="3" t="s">
        <v>1127</v>
      </c>
      <c r="B2389" s="3"/>
      <c r="C2389" s="3"/>
      <c r="D2389" s="5" t="s">
        <v>1128</v>
      </c>
      <c r="E2389" s="5" t="s">
        <v>7026</v>
      </c>
      <c r="F2389" s="3" t="s">
        <v>8971</v>
      </c>
      <c r="G2389" s="6">
        <f t="shared" si="95"/>
        <v>378.31299999999999</v>
      </c>
      <c r="H2389" s="7">
        <v>41899</v>
      </c>
      <c r="I2389" s="6" t="s">
        <v>178</v>
      </c>
      <c r="J2389" s="6" t="s">
        <v>8972</v>
      </c>
      <c r="K2389" s="6" t="s">
        <v>21</v>
      </c>
      <c r="L2389" s="6">
        <v>13</v>
      </c>
      <c r="M2389" s="15" t="s">
        <v>8970</v>
      </c>
      <c r="N2389" s="15" t="s">
        <v>167</v>
      </c>
      <c r="O2389" s="28"/>
    </row>
    <row r="2390" spans="1:15">
      <c r="A2390" s="3" t="s">
        <v>1127</v>
      </c>
      <c r="B2390" s="3"/>
      <c r="C2390" s="3"/>
      <c r="D2390" s="5" t="s">
        <v>1128</v>
      </c>
      <c r="E2390" s="5" t="s">
        <v>7026</v>
      </c>
      <c r="F2390" s="3" t="s">
        <v>11106</v>
      </c>
      <c r="G2390" s="6">
        <f t="shared" si="95"/>
        <v>349.21199999999999</v>
      </c>
      <c r="H2390" s="7">
        <v>41899</v>
      </c>
      <c r="I2390" s="6" t="s">
        <v>178</v>
      </c>
      <c r="J2390" s="6" t="s">
        <v>11107</v>
      </c>
      <c r="K2390" s="6" t="s">
        <v>21</v>
      </c>
      <c r="L2390" s="6">
        <v>12</v>
      </c>
      <c r="M2390" s="15" t="s">
        <v>8975</v>
      </c>
      <c r="N2390" s="15" t="s">
        <v>164</v>
      </c>
      <c r="O2390" s="28"/>
    </row>
    <row r="2391" spans="1:15">
      <c r="A2391" s="3" t="s">
        <v>1127</v>
      </c>
      <c r="B2391" s="3"/>
      <c r="C2391" s="3"/>
      <c r="D2391" s="5" t="s">
        <v>1128</v>
      </c>
      <c r="E2391" s="5" t="s">
        <v>7026</v>
      </c>
      <c r="F2391" s="3" t="s">
        <v>8973</v>
      </c>
      <c r="G2391" s="6">
        <f t="shared" si="95"/>
        <v>378.31299999999999</v>
      </c>
      <c r="H2391" s="7">
        <v>41899</v>
      </c>
      <c r="I2391" s="6" t="s">
        <v>178</v>
      </c>
      <c r="J2391" s="6" t="s">
        <v>8974</v>
      </c>
      <c r="K2391" s="6" t="s">
        <v>21</v>
      </c>
      <c r="L2391" s="6">
        <v>13</v>
      </c>
      <c r="M2391" s="15" t="s">
        <v>8975</v>
      </c>
      <c r="N2391" s="15" t="s">
        <v>167</v>
      </c>
      <c r="O2391" s="28"/>
    </row>
    <row r="2392" spans="1:15" s="1" customFormat="1">
      <c r="A2392" s="3" t="s">
        <v>884</v>
      </c>
      <c r="B2392" s="3" t="s">
        <v>134</v>
      </c>
      <c r="C2392" s="3"/>
      <c r="D2392" s="5" t="s">
        <v>135</v>
      </c>
      <c r="E2392" s="5" t="s">
        <v>124</v>
      </c>
      <c r="F2392" s="3" t="s">
        <v>6792</v>
      </c>
      <c r="G2392" s="6">
        <f>29.101*L2392/2</f>
        <v>189.15649999999999</v>
      </c>
      <c r="H2392" s="7">
        <v>41900</v>
      </c>
      <c r="I2392" s="6" t="s">
        <v>886</v>
      </c>
      <c r="J2392" s="6" t="s">
        <v>6793</v>
      </c>
      <c r="K2392" s="6" t="s">
        <v>21</v>
      </c>
      <c r="L2392" s="6">
        <v>13</v>
      </c>
      <c r="M2392" s="15" t="s">
        <v>6794</v>
      </c>
      <c r="N2392" s="15" t="s">
        <v>6795</v>
      </c>
      <c r="O2392" s="28" t="s">
        <v>6794</v>
      </c>
    </row>
    <row r="2393" spans="1:15" s="1" customFormat="1">
      <c r="A2393" s="3" t="s">
        <v>884</v>
      </c>
      <c r="B2393" s="3" t="s">
        <v>134</v>
      </c>
      <c r="C2393" s="3"/>
      <c r="D2393" s="5" t="s">
        <v>135</v>
      </c>
      <c r="E2393" s="5" t="s">
        <v>124</v>
      </c>
      <c r="F2393" s="3" t="s">
        <v>6796</v>
      </c>
      <c r="G2393" s="6">
        <f>29.101*L2393/2</f>
        <v>174.60599999999999</v>
      </c>
      <c r="H2393" s="7">
        <v>41900</v>
      </c>
      <c r="I2393" s="6" t="s">
        <v>886</v>
      </c>
      <c r="J2393" s="6" t="s">
        <v>6797</v>
      </c>
      <c r="K2393" s="6" t="s">
        <v>21</v>
      </c>
      <c r="L2393" s="6">
        <v>12</v>
      </c>
      <c r="M2393" s="15" t="s">
        <v>6798</v>
      </c>
      <c r="N2393" s="15" t="s">
        <v>6799</v>
      </c>
      <c r="O2393" s="28" t="s">
        <v>6798</v>
      </c>
    </row>
    <row r="2394" spans="1:15" s="1" customFormat="1">
      <c r="A2394" s="3" t="s">
        <v>157</v>
      </c>
      <c r="B2394" s="3" t="s">
        <v>283</v>
      </c>
      <c r="C2394" s="3"/>
      <c r="D2394" s="5" t="s">
        <v>1098</v>
      </c>
      <c r="E2394" s="5" t="s">
        <v>124</v>
      </c>
      <c r="F2394" s="3" t="s">
        <v>6800</v>
      </c>
      <c r="G2394" s="6">
        <f>9.871*L2394</f>
        <v>118.452</v>
      </c>
      <c r="H2394" s="7">
        <v>41900</v>
      </c>
      <c r="I2394" s="6" t="s">
        <v>161</v>
      </c>
      <c r="J2394" s="6" t="s">
        <v>6801</v>
      </c>
      <c r="K2394" s="6" t="s">
        <v>21</v>
      </c>
      <c r="L2394" s="6">
        <v>12</v>
      </c>
      <c r="M2394" s="15" t="s">
        <v>6802</v>
      </c>
      <c r="N2394" s="15" t="s">
        <v>164</v>
      </c>
      <c r="O2394" s="28" t="s">
        <v>6802</v>
      </c>
    </row>
    <row r="2395" spans="1:15" s="1" customFormat="1">
      <c r="A2395" s="3" t="s">
        <v>157</v>
      </c>
      <c r="B2395" s="3" t="s">
        <v>283</v>
      </c>
      <c r="C2395" s="3"/>
      <c r="D2395" s="5" t="s">
        <v>1098</v>
      </c>
      <c r="E2395" s="5" t="s">
        <v>124</v>
      </c>
      <c r="F2395" s="3" t="s">
        <v>9703</v>
      </c>
      <c r="G2395" s="6">
        <f>9.871*L2395</f>
        <v>128.32300000000001</v>
      </c>
      <c r="H2395" s="7">
        <v>41900</v>
      </c>
      <c r="I2395" s="6" t="s">
        <v>161</v>
      </c>
      <c r="J2395" s="6" t="s">
        <v>9704</v>
      </c>
      <c r="K2395" s="6" t="s">
        <v>21</v>
      </c>
      <c r="L2395" s="6">
        <v>13</v>
      </c>
      <c r="M2395" s="15" t="s">
        <v>6802</v>
      </c>
      <c r="N2395" s="15" t="s">
        <v>167</v>
      </c>
      <c r="O2395" s="28" t="s">
        <v>9705</v>
      </c>
    </row>
    <row r="2396" spans="1:15">
      <c r="A2396" s="22" t="s">
        <v>4333</v>
      </c>
      <c r="B2396" s="3" t="s">
        <v>7547</v>
      </c>
      <c r="C2396" s="3"/>
      <c r="D2396" s="5" t="s">
        <v>8976</v>
      </c>
      <c r="E2396" s="5" t="s">
        <v>7026</v>
      </c>
      <c r="F2396" s="3" t="s">
        <v>8977</v>
      </c>
      <c r="G2396" s="6">
        <f>21.523*L2396</f>
        <v>21.523</v>
      </c>
      <c r="H2396" s="7">
        <v>41900</v>
      </c>
      <c r="I2396" s="6" t="s">
        <v>419</v>
      </c>
      <c r="J2396" s="6" t="s">
        <v>8978</v>
      </c>
      <c r="K2396" s="6" t="s">
        <v>21</v>
      </c>
      <c r="L2396" s="6">
        <v>1</v>
      </c>
      <c r="M2396" s="15" t="s">
        <v>8979</v>
      </c>
      <c r="N2396" s="15" t="s">
        <v>39</v>
      </c>
      <c r="O2396" s="28"/>
    </row>
    <row r="2397" spans="1:15" s="1" customFormat="1">
      <c r="A2397" s="3" t="s">
        <v>157</v>
      </c>
      <c r="B2397" s="3" t="s">
        <v>283</v>
      </c>
      <c r="C2397" s="3"/>
      <c r="D2397" s="5" t="s">
        <v>1098</v>
      </c>
      <c r="E2397" s="5" t="s">
        <v>124</v>
      </c>
      <c r="F2397" s="3" t="s">
        <v>9706</v>
      </c>
      <c r="G2397" s="6">
        <f>9.871*L2397</f>
        <v>118.452</v>
      </c>
      <c r="H2397" s="7">
        <v>41901</v>
      </c>
      <c r="I2397" s="6" t="s">
        <v>161</v>
      </c>
      <c r="J2397" s="6" t="s">
        <v>9707</v>
      </c>
      <c r="K2397" s="6" t="s">
        <v>21</v>
      </c>
      <c r="L2397" s="6">
        <v>12</v>
      </c>
      <c r="M2397" s="15" t="s">
        <v>9708</v>
      </c>
      <c r="N2397" s="15" t="s">
        <v>12816</v>
      </c>
      <c r="O2397" s="28" t="s">
        <v>9708</v>
      </c>
    </row>
    <row r="2398" spans="1:15" s="1" customFormat="1">
      <c r="A2398" s="3" t="s">
        <v>157</v>
      </c>
      <c r="B2398" s="3" t="s">
        <v>283</v>
      </c>
      <c r="C2398" s="3"/>
      <c r="D2398" s="5" t="s">
        <v>1098</v>
      </c>
      <c r="E2398" s="5" t="s">
        <v>124</v>
      </c>
      <c r="F2398" s="3" t="s">
        <v>9709</v>
      </c>
      <c r="G2398" s="6">
        <f>9.871*L2398</f>
        <v>128.32300000000001</v>
      </c>
      <c r="H2398" s="7">
        <v>41901</v>
      </c>
      <c r="I2398" s="6" t="s">
        <v>161</v>
      </c>
      <c r="J2398" s="6" t="s">
        <v>9710</v>
      </c>
      <c r="K2398" s="6" t="s">
        <v>21</v>
      </c>
      <c r="L2398" s="6">
        <v>13</v>
      </c>
      <c r="M2398" s="15" t="s">
        <v>9708</v>
      </c>
      <c r="N2398" s="15" t="s">
        <v>12817</v>
      </c>
      <c r="O2398" s="28" t="s">
        <v>9711</v>
      </c>
    </row>
    <row r="2399" spans="1:15" s="1" customFormat="1">
      <c r="A2399" s="3" t="s">
        <v>1349</v>
      </c>
      <c r="B2399" s="3"/>
      <c r="C2399" s="3"/>
      <c r="D2399" s="5" t="s">
        <v>2117</v>
      </c>
      <c r="E2399" s="5" t="s">
        <v>124</v>
      </c>
      <c r="F2399" s="3" t="s">
        <v>6803</v>
      </c>
      <c r="G2399" s="6">
        <v>139.846</v>
      </c>
      <c r="H2399" s="7">
        <v>41901</v>
      </c>
      <c r="I2399" s="6" t="s">
        <v>178</v>
      </c>
      <c r="J2399" s="6" t="s">
        <v>6804</v>
      </c>
      <c r="K2399" s="6" t="s">
        <v>128</v>
      </c>
      <c r="L2399" s="6" t="s">
        <v>2183</v>
      </c>
      <c r="M2399" s="15" t="s">
        <v>6805</v>
      </c>
      <c r="N2399" s="15" t="s">
        <v>6806</v>
      </c>
      <c r="O2399" s="28" t="s">
        <v>6807</v>
      </c>
    </row>
    <row r="2400" spans="1:15" s="1" customFormat="1">
      <c r="A2400" s="3" t="s">
        <v>1349</v>
      </c>
      <c r="B2400" s="3"/>
      <c r="C2400" s="3"/>
      <c r="D2400" s="5" t="s">
        <v>2117</v>
      </c>
      <c r="E2400" s="5" t="s">
        <v>124</v>
      </c>
      <c r="F2400" s="3" t="s">
        <v>6808</v>
      </c>
      <c r="G2400" s="6">
        <v>247.15799999999999</v>
      </c>
      <c r="H2400" s="7">
        <v>41901</v>
      </c>
      <c r="I2400" s="6" t="s">
        <v>178</v>
      </c>
      <c r="J2400" s="6" t="s">
        <v>6809</v>
      </c>
      <c r="K2400" s="6" t="s">
        <v>128</v>
      </c>
      <c r="L2400" s="6" t="s">
        <v>5428</v>
      </c>
      <c r="M2400" s="15" t="s">
        <v>6805</v>
      </c>
      <c r="N2400" s="15" t="s">
        <v>6810</v>
      </c>
      <c r="O2400" s="28" t="s">
        <v>6811</v>
      </c>
    </row>
    <row r="2401" spans="1:15" s="1" customFormat="1">
      <c r="A2401" s="3" t="s">
        <v>1216</v>
      </c>
      <c r="B2401" s="3"/>
      <c r="C2401" s="3"/>
      <c r="D2401" s="5" t="s">
        <v>2117</v>
      </c>
      <c r="E2401" s="5" t="s">
        <v>124</v>
      </c>
      <c r="F2401" s="3" t="s">
        <v>6812</v>
      </c>
      <c r="G2401" s="6">
        <v>170.87700000000001</v>
      </c>
      <c r="H2401" s="7">
        <v>41901</v>
      </c>
      <c r="I2401" s="6" t="s">
        <v>209</v>
      </c>
      <c r="J2401" s="6" t="s">
        <v>6813</v>
      </c>
      <c r="K2401" s="6" t="s">
        <v>128</v>
      </c>
      <c r="L2401" s="6" t="s">
        <v>2707</v>
      </c>
      <c r="M2401" s="15" t="s">
        <v>6814</v>
      </c>
      <c r="N2401" s="15" t="s">
        <v>6815</v>
      </c>
      <c r="O2401" s="28" t="s">
        <v>6816</v>
      </c>
    </row>
    <row r="2402" spans="1:15" s="1" customFormat="1">
      <c r="A2402" s="3" t="s">
        <v>1216</v>
      </c>
      <c r="B2402" s="3"/>
      <c r="C2402" s="3"/>
      <c r="D2402" s="5" t="s">
        <v>2117</v>
      </c>
      <c r="E2402" s="5" t="s">
        <v>124</v>
      </c>
      <c r="F2402" s="3" t="s">
        <v>12190</v>
      </c>
      <c r="G2402" s="6">
        <v>233.01400000000001</v>
      </c>
      <c r="H2402" s="7">
        <v>41901</v>
      </c>
      <c r="I2402" s="6" t="s">
        <v>209</v>
      </c>
      <c r="J2402" s="6" t="s">
        <v>9712</v>
      </c>
      <c r="K2402" s="6" t="s">
        <v>128</v>
      </c>
      <c r="L2402" s="6" t="s">
        <v>1226</v>
      </c>
      <c r="M2402" s="15" t="s">
        <v>9713</v>
      </c>
      <c r="N2402" s="15" t="s">
        <v>9714</v>
      </c>
      <c r="O2402" s="28" t="s">
        <v>9715</v>
      </c>
    </row>
    <row r="2403" spans="1:15">
      <c r="A2403" s="3" t="s">
        <v>5279</v>
      </c>
      <c r="B2403" s="3"/>
      <c r="C2403" s="3"/>
      <c r="D2403" s="5" t="s">
        <v>6693</v>
      </c>
      <c r="E2403" s="5" t="s">
        <v>124</v>
      </c>
      <c r="F2403" s="3" t="s">
        <v>6817</v>
      </c>
      <c r="G2403" s="6">
        <v>121.10299999999999</v>
      </c>
      <c r="H2403" s="7">
        <v>41901</v>
      </c>
      <c r="I2403" s="6" t="s">
        <v>209</v>
      </c>
      <c r="J2403" s="6" t="s">
        <v>6818</v>
      </c>
      <c r="K2403" s="6" t="s">
        <v>5478</v>
      </c>
      <c r="L2403" s="6" t="s">
        <v>6819</v>
      </c>
      <c r="M2403" s="15" t="s">
        <v>6820</v>
      </c>
      <c r="N2403" s="15" t="s">
        <v>6821</v>
      </c>
      <c r="O2403" s="28" t="s">
        <v>6822</v>
      </c>
    </row>
    <row r="2404" spans="1:15" s="1" customFormat="1">
      <c r="A2404" s="3" t="s">
        <v>6163</v>
      </c>
      <c r="B2404" s="3"/>
      <c r="C2404" s="3"/>
      <c r="D2404" s="5" t="s">
        <v>6164</v>
      </c>
      <c r="E2404" s="5" t="s">
        <v>124</v>
      </c>
      <c r="F2404" s="3" t="s">
        <v>6823</v>
      </c>
      <c r="G2404" s="6">
        <v>55.723999999999997</v>
      </c>
      <c r="H2404" s="7">
        <v>41904</v>
      </c>
      <c r="I2404" s="6" t="s">
        <v>209</v>
      </c>
      <c r="J2404" s="6" t="s">
        <v>6824</v>
      </c>
      <c r="K2404" s="6" t="s">
        <v>5478</v>
      </c>
      <c r="L2404" s="6" t="s">
        <v>6825</v>
      </c>
      <c r="M2404" s="15" t="s">
        <v>6826</v>
      </c>
      <c r="N2404" s="15" t="s">
        <v>6827</v>
      </c>
      <c r="O2404" s="28" t="s">
        <v>6828</v>
      </c>
    </row>
    <row r="2405" spans="1:15" s="1" customFormat="1">
      <c r="A2405" s="3" t="s">
        <v>6163</v>
      </c>
      <c r="B2405" s="3"/>
      <c r="C2405" s="3"/>
      <c r="D2405" s="5" t="s">
        <v>6164</v>
      </c>
      <c r="E2405" s="5" t="s">
        <v>124</v>
      </c>
      <c r="F2405" s="3" t="s">
        <v>6829</v>
      </c>
      <c r="G2405" s="6">
        <v>80.781999999999996</v>
      </c>
      <c r="H2405" s="7">
        <v>41904</v>
      </c>
      <c r="I2405" s="6" t="s">
        <v>209</v>
      </c>
      <c r="J2405" s="6" t="s">
        <v>6830</v>
      </c>
      <c r="K2405" s="6" t="s">
        <v>5478</v>
      </c>
      <c r="L2405" s="6" t="s">
        <v>6195</v>
      </c>
      <c r="M2405" s="15" t="s">
        <v>6826</v>
      </c>
      <c r="N2405" s="15" t="s">
        <v>6831</v>
      </c>
      <c r="O2405" s="28" t="s">
        <v>6832</v>
      </c>
    </row>
    <row r="2406" spans="1:15">
      <c r="A2406" s="3" t="s">
        <v>416</v>
      </c>
      <c r="B2406" s="3"/>
      <c r="C2406" s="3"/>
      <c r="D2406" s="5" t="s">
        <v>417</v>
      </c>
      <c r="E2406" s="5" t="s">
        <v>124</v>
      </c>
      <c r="F2406" s="3" t="s">
        <v>9721</v>
      </c>
      <c r="G2406" s="6">
        <f>29.101*L2406</f>
        <v>203.70699999999999</v>
      </c>
      <c r="H2406" s="7">
        <v>41904</v>
      </c>
      <c r="I2406" s="6" t="s">
        <v>419</v>
      </c>
      <c r="J2406" s="6" t="s">
        <v>9722</v>
      </c>
      <c r="K2406" s="6" t="s">
        <v>21</v>
      </c>
      <c r="L2406" s="6">
        <v>7</v>
      </c>
      <c r="M2406" s="15" t="s">
        <v>9723</v>
      </c>
      <c r="N2406" s="15" t="s">
        <v>4178</v>
      </c>
      <c r="O2406" s="28" t="s">
        <v>9723</v>
      </c>
    </row>
    <row r="2407" spans="1:15" s="1" customFormat="1">
      <c r="A2407" s="3" t="s">
        <v>846</v>
      </c>
      <c r="B2407" s="3"/>
      <c r="C2407" s="3"/>
      <c r="D2407" s="5" t="s">
        <v>191</v>
      </c>
      <c r="E2407" s="5" t="s">
        <v>124</v>
      </c>
      <c r="F2407" s="3" t="s">
        <v>6833</v>
      </c>
      <c r="G2407" s="6">
        <f t="shared" ref="G2407:G2412" si="96">18.708*L2407</f>
        <v>187.07999999999998</v>
      </c>
      <c r="H2407" s="7">
        <v>41904</v>
      </c>
      <c r="I2407" s="6" t="s">
        <v>247</v>
      </c>
      <c r="J2407" s="6" t="s">
        <v>6834</v>
      </c>
      <c r="K2407" s="6" t="s">
        <v>21</v>
      </c>
      <c r="L2407" s="6">
        <v>10</v>
      </c>
      <c r="M2407" s="15" t="s">
        <v>6835</v>
      </c>
      <c r="N2407" s="15" t="s">
        <v>6836</v>
      </c>
      <c r="O2407" s="28" t="s">
        <v>6837</v>
      </c>
    </row>
    <row r="2408" spans="1:15" s="1" customFormat="1">
      <c r="A2408" s="3" t="s">
        <v>846</v>
      </c>
      <c r="B2408" s="3"/>
      <c r="C2408" s="3"/>
      <c r="D2408" s="5" t="s">
        <v>191</v>
      </c>
      <c r="E2408" s="5" t="s">
        <v>124</v>
      </c>
      <c r="F2408" s="3" t="s">
        <v>9724</v>
      </c>
      <c r="G2408" s="6">
        <f t="shared" si="96"/>
        <v>130.95599999999999</v>
      </c>
      <c r="H2408" s="7">
        <v>41904</v>
      </c>
      <c r="I2408" s="6" t="s">
        <v>247</v>
      </c>
      <c r="J2408" s="6" t="s">
        <v>9725</v>
      </c>
      <c r="K2408" s="6" t="s">
        <v>21</v>
      </c>
      <c r="L2408" s="6">
        <v>7</v>
      </c>
      <c r="M2408" s="15" t="s">
        <v>6835</v>
      </c>
      <c r="N2408" s="15" t="s">
        <v>1141</v>
      </c>
      <c r="O2408" s="28" t="s">
        <v>9726</v>
      </c>
    </row>
    <row r="2409" spans="1:15" s="1" customFormat="1">
      <c r="A2409" s="3" t="s">
        <v>442</v>
      </c>
      <c r="B2409" s="3"/>
      <c r="C2409" s="3"/>
      <c r="D2409" s="5" t="s">
        <v>443</v>
      </c>
      <c r="E2409" s="5" t="s">
        <v>124</v>
      </c>
      <c r="F2409" s="3" t="s">
        <v>6838</v>
      </c>
      <c r="G2409" s="6">
        <f t="shared" si="96"/>
        <v>224.49599999999998</v>
      </c>
      <c r="H2409" s="7">
        <v>41904</v>
      </c>
      <c r="I2409" s="6" t="s">
        <v>247</v>
      </c>
      <c r="J2409" s="6" t="s">
        <v>6839</v>
      </c>
      <c r="K2409" s="6" t="s">
        <v>21</v>
      </c>
      <c r="L2409" s="6">
        <v>12</v>
      </c>
      <c r="M2409" s="15" t="s">
        <v>6840</v>
      </c>
      <c r="N2409" s="15" t="s">
        <v>78</v>
      </c>
      <c r="O2409" s="28" t="s">
        <v>6840</v>
      </c>
    </row>
    <row r="2410" spans="1:15" s="1" customFormat="1">
      <c r="A2410" s="3" t="s">
        <v>442</v>
      </c>
      <c r="B2410" s="3"/>
      <c r="C2410" s="3"/>
      <c r="D2410" s="5" t="s">
        <v>443</v>
      </c>
      <c r="E2410" s="5" t="s">
        <v>124</v>
      </c>
      <c r="F2410" s="3" t="s">
        <v>6841</v>
      </c>
      <c r="G2410" s="6">
        <f t="shared" si="96"/>
        <v>243.20399999999998</v>
      </c>
      <c r="H2410" s="7">
        <v>41904</v>
      </c>
      <c r="I2410" s="6" t="s">
        <v>247</v>
      </c>
      <c r="J2410" s="6" t="s">
        <v>6842</v>
      </c>
      <c r="K2410" s="6" t="s">
        <v>21</v>
      </c>
      <c r="L2410" s="6">
        <v>13</v>
      </c>
      <c r="M2410" s="15" t="s">
        <v>6840</v>
      </c>
      <c r="N2410" s="15" t="s">
        <v>81</v>
      </c>
      <c r="O2410" s="28" t="s">
        <v>6843</v>
      </c>
    </row>
    <row r="2411" spans="1:15" s="1" customFormat="1">
      <c r="A2411" s="3" t="s">
        <v>376</v>
      </c>
      <c r="B2411" s="3"/>
      <c r="C2411" s="3"/>
      <c r="D2411" s="5" t="s">
        <v>377</v>
      </c>
      <c r="E2411" s="5" t="s">
        <v>124</v>
      </c>
      <c r="F2411" s="3" t="s">
        <v>6844</v>
      </c>
      <c r="G2411" s="6">
        <f t="shared" si="96"/>
        <v>187.07999999999998</v>
      </c>
      <c r="H2411" s="7">
        <v>41904</v>
      </c>
      <c r="I2411" s="6" t="s">
        <v>379</v>
      </c>
      <c r="J2411" s="6" t="s">
        <v>6845</v>
      </c>
      <c r="K2411" s="6" t="s">
        <v>21</v>
      </c>
      <c r="L2411" s="6">
        <v>10</v>
      </c>
      <c r="M2411" s="15" t="s">
        <v>6846</v>
      </c>
      <c r="N2411" s="15" t="s">
        <v>35</v>
      </c>
      <c r="O2411" s="28" t="s">
        <v>6846</v>
      </c>
    </row>
    <row r="2412" spans="1:15" s="1" customFormat="1">
      <c r="A2412" s="3" t="s">
        <v>376</v>
      </c>
      <c r="B2412" s="3"/>
      <c r="C2412" s="3"/>
      <c r="D2412" s="5" t="s">
        <v>377</v>
      </c>
      <c r="E2412" s="5" t="s">
        <v>124</v>
      </c>
      <c r="F2412" s="3" t="s">
        <v>9727</v>
      </c>
      <c r="G2412" s="6">
        <f t="shared" si="96"/>
        <v>187.07999999999998</v>
      </c>
      <c r="H2412" s="7">
        <v>41904</v>
      </c>
      <c r="I2412" s="6" t="s">
        <v>379</v>
      </c>
      <c r="J2412" s="6" t="s">
        <v>9728</v>
      </c>
      <c r="K2412" s="6" t="s">
        <v>21</v>
      </c>
      <c r="L2412" s="6">
        <v>10</v>
      </c>
      <c r="M2412" s="15" t="s">
        <v>6846</v>
      </c>
      <c r="N2412" s="15" t="s">
        <v>556</v>
      </c>
      <c r="O2412" s="28" t="s">
        <v>9729</v>
      </c>
    </row>
    <row r="2413" spans="1:15" s="1" customFormat="1">
      <c r="A2413" s="3" t="s">
        <v>5304</v>
      </c>
      <c r="B2413" s="3"/>
      <c r="C2413" s="3"/>
      <c r="D2413" s="5" t="s">
        <v>6309</v>
      </c>
      <c r="E2413" s="5" t="s">
        <v>124</v>
      </c>
      <c r="F2413" s="3" t="s">
        <v>6847</v>
      </c>
      <c r="G2413" s="6">
        <f>27.688*L2413</f>
        <v>110.752</v>
      </c>
      <c r="H2413" s="7">
        <v>41904</v>
      </c>
      <c r="I2413" s="6" t="s">
        <v>265</v>
      </c>
      <c r="J2413" s="6" t="s">
        <v>6848</v>
      </c>
      <c r="K2413" s="6" t="s">
        <v>21</v>
      </c>
      <c r="L2413" s="6">
        <v>4</v>
      </c>
      <c r="M2413" s="15" t="s">
        <v>6849</v>
      </c>
      <c r="N2413" s="15" t="s">
        <v>3740</v>
      </c>
      <c r="O2413" s="28" t="s">
        <v>6849</v>
      </c>
    </row>
    <row r="2414" spans="1:15">
      <c r="A2414" s="3" t="s">
        <v>1349</v>
      </c>
      <c r="B2414" s="3"/>
      <c r="C2414" s="3"/>
      <c r="D2414" s="5" t="s">
        <v>2117</v>
      </c>
      <c r="E2414" s="5" t="s">
        <v>124</v>
      </c>
      <c r="F2414" s="3" t="s">
        <v>6850</v>
      </c>
      <c r="G2414" s="6">
        <v>248.32300000000001</v>
      </c>
      <c r="H2414" s="7">
        <v>41905</v>
      </c>
      <c r="I2414" s="6" t="s">
        <v>178</v>
      </c>
      <c r="J2414" s="6" t="s">
        <v>6851</v>
      </c>
      <c r="K2414" s="6" t="s">
        <v>128</v>
      </c>
      <c r="L2414" s="6" t="s">
        <v>5428</v>
      </c>
      <c r="M2414" s="15" t="s">
        <v>6852</v>
      </c>
      <c r="N2414" s="15" t="s">
        <v>6853</v>
      </c>
      <c r="O2414" s="28" t="s">
        <v>6854</v>
      </c>
    </row>
    <row r="2415" spans="1:15" s="1" customFormat="1">
      <c r="A2415" s="3" t="s">
        <v>1349</v>
      </c>
      <c r="B2415" s="3"/>
      <c r="C2415" s="3"/>
      <c r="D2415" s="5" t="s">
        <v>2117</v>
      </c>
      <c r="E2415" s="5" t="s">
        <v>124</v>
      </c>
      <c r="F2415" s="3" t="s">
        <v>6855</v>
      </c>
      <c r="G2415" s="6">
        <v>139.60400000000001</v>
      </c>
      <c r="H2415" s="7">
        <v>41905</v>
      </c>
      <c r="I2415" s="6" t="s">
        <v>178</v>
      </c>
      <c r="J2415" s="6" t="s">
        <v>6856</v>
      </c>
      <c r="K2415" s="6" t="s">
        <v>128</v>
      </c>
      <c r="L2415" s="6" t="s">
        <v>2183</v>
      </c>
      <c r="M2415" s="15" t="s">
        <v>6857</v>
      </c>
      <c r="N2415" s="15" t="s">
        <v>6858</v>
      </c>
      <c r="O2415" s="28" t="s">
        <v>6859</v>
      </c>
    </row>
    <row r="2416" spans="1:15">
      <c r="A2416" s="3" t="s">
        <v>1349</v>
      </c>
      <c r="B2416" s="3"/>
      <c r="C2416" s="3"/>
      <c r="D2416" s="5" t="s">
        <v>2117</v>
      </c>
      <c r="E2416" s="5" t="s">
        <v>124</v>
      </c>
      <c r="F2416" s="3" t="s">
        <v>6860</v>
      </c>
      <c r="G2416" s="6">
        <v>248.21899999999999</v>
      </c>
      <c r="H2416" s="7">
        <v>41905</v>
      </c>
      <c r="I2416" s="6" t="s">
        <v>178</v>
      </c>
      <c r="J2416" s="6" t="s">
        <v>6861</v>
      </c>
      <c r="K2416" s="6" t="s">
        <v>128</v>
      </c>
      <c r="L2416" s="6" t="s">
        <v>5428</v>
      </c>
      <c r="M2416" s="15" t="s">
        <v>6857</v>
      </c>
      <c r="N2416" s="15" t="s">
        <v>6862</v>
      </c>
      <c r="O2416" s="28" t="s">
        <v>6863</v>
      </c>
    </row>
    <row r="2417" spans="1:15" s="1" customFormat="1">
      <c r="A2417" s="3" t="s">
        <v>5279</v>
      </c>
      <c r="B2417" s="3"/>
      <c r="C2417" s="3"/>
      <c r="D2417" s="5" t="s">
        <v>6693</v>
      </c>
      <c r="E2417" s="5" t="s">
        <v>124</v>
      </c>
      <c r="F2417" s="3" t="s">
        <v>6864</v>
      </c>
      <c r="G2417" s="6">
        <v>81.563999999999993</v>
      </c>
      <c r="H2417" s="7">
        <v>41906</v>
      </c>
      <c r="I2417" s="6" t="s">
        <v>209</v>
      </c>
      <c r="J2417" s="6" t="s">
        <v>6865</v>
      </c>
      <c r="K2417" s="6" t="s">
        <v>5478</v>
      </c>
      <c r="L2417" s="6" t="s">
        <v>1315</v>
      </c>
      <c r="M2417" s="15" t="s">
        <v>6866</v>
      </c>
      <c r="N2417" s="15" t="s">
        <v>6867</v>
      </c>
      <c r="O2417" s="28" t="s">
        <v>6868</v>
      </c>
    </row>
    <row r="2418" spans="1:15" s="1" customFormat="1">
      <c r="A2418" s="3" t="s">
        <v>1127</v>
      </c>
      <c r="B2418" s="3"/>
      <c r="C2418" s="3"/>
      <c r="D2418" s="5" t="s">
        <v>1128</v>
      </c>
      <c r="E2418" s="5" t="s">
        <v>7026</v>
      </c>
      <c r="F2418" s="3" t="s">
        <v>8980</v>
      </c>
      <c r="G2418" s="6">
        <f>29.101*L2418</f>
        <v>87.302999999999997</v>
      </c>
      <c r="H2418" s="7">
        <v>41906</v>
      </c>
      <c r="I2418" s="6" t="s">
        <v>178</v>
      </c>
      <c r="J2418" s="6" t="s">
        <v>8981</v>
      </c>
      <c r="K2418" s="6" t="s">
        <v>21</v>
      </c>
      <c r="L2418" s="6">
        <v>3</v>
      </c>
      <c r="M2418" s="15" t="s">
        <v>8982</v>
      </c>
      <c r="N2418" s="15" t="s">
        <v>8983</v>
      </c>
      <c r="O2418" s="28"/>
    </row>
    <row r="2419" spans="1:15" s="1" customFormat="1">
      <c r="A2419" s="3" t="s">
        <v>1127</v>
      </c>
      <c r="B2419" s="3"/>
      <c r="C2419" s="3"/>
      <c r="D2419" s="5" t="s">
        <v>1128</v>
      </c>
      <c r="E2419" s="5" t="s">
        <v>7026</v>
      </c>
      <c r="F2419" s="3" t="s">
        <v>8984</v>
      </c>
      <c r="G2419" s="6">
        <f>29.101*L2419</f>
        <v>349.21199999999999</v>
      </c>
      <c r="H2419" s="7">
        <v>41906</v>
      </c>
      <c r="I2419" s="6" t="s">
        <v>178</v>
      </c>
      <c r="J2419" s="6" t="s">
        <v>8985</v>
      </c>
      <c r="K2419" s="6" t="s">
        <v>21</v>
      </c>
      <c r="L2419" s="6">
        <v>12</v>
      </c>
      <c r="M2419" s="15" t="s">
        <v>8986</v>
      </c>
      <c r="N2419" s="15" t="s">
        <v>6799</v>
      </c>
      <c r="O2419" s="28"/>
    </row>
    <row r="2420" spans="1:15" s="1" customFormat="1">
      <c r="A2420" s="3" t="s">
        <v>7064</v>
      </c>
      <c r="B2420" s="3"/>
      <c r="C2420" s="3"/>
      <c r="D2420" s="5" t="s">
        <v>7025</v>
      </c>
      <c r="E2420" s="5" t="s">
        <v>7026</v>
      </c>
      <c r="F2420" s="3" t="s">
        <v>13490</v>
      </c>
      <c r="G2420" s="6">
        <f t="shared" ref="G2420:G2425" si="97">17.498*L2420</f>
        <v>227.47400000000002</v>
      </c>
      <c r="H2420" s="7">
        <v>41906</v>
      </c>
      <c r="I2420" s="6" t="s">
        <v>265</v>
      </c>
      <c r="J2420" s="6" t="s">
        <v>8987</v>
      </c>
      <c r="K2420" s="6" t="s">
        <v>21</v>
      </c>
      <c r="L2420" s="6">
        <v>13</v>
      </c>
      <c r="M2420" s="15" t="s">
        <v>8908</v>
      </c>
      <c r="N2420" s="15" t="s">
        <v>167</v>
      </c>
      <c r="O2420" s="28" t="s">
        <v>13491</v>
      </c>
    </row>
    <row r="2421" spans="1:15" s="1" customFormat="1">
      <c r="A2421" s="3" t="s">
        <v>7064</v>
      </c>
      <c r="B2421" s="3"/>
      <c r="C2421" s="3"/>
      <c r="D2421" s="5" t="s">
        <v>7025</v>
      </c>
      <c r="E2421" s="5" t="s">
        <v>7026</v>
      </c>
      <c r="F2421" s="3" t="s">
        <v>8988</v>
      </c>
      <c r="G2421" s="6">
        <f t="shared" si="97"/>
        <v>209.976</v>
      </c>
      <c r="H2421" s="7">
        <v>41906</v>
      </c>
      <c r="I2421" s="6" t="s">
        <v>265</v>
      </c>
      <c r="J2421" s="6" t="s">
        <v>8989</v>
      </c>
      <c r="K2421" s="6" t="s">
        <v>21</v>
      </c>
      <c r="L2421" s="6">
        <v>12</v>
      </c>
      <c r="M2421" s="15" t="s">
        <v>8990</v>
      </c>
      <c r="N2421" s="15" t="s">
        <v>78</v>
      </c>
      <c r="O2421" s="28" t="s">
        <v>13492</v>
      </c>
    </row>
    <row r="2422" spans="1:15" s="1" customFormat="1">
      <c r="A2422" s="3" t="s">
        <v>7064</v>
      </c>
      <c r="B2422" s="3"/>
      <c r="C2422" s="3"/>
      <c r="D2422" s="5" t="s">
        <v>7025</v>
      </c>
      <c r="E2422" s="5" t="s">
        <v>7026</v>
      </c>
      <c r="F2422" s="3" t="s">
        <v>11117</v>
      </c>
      <c r="G2422" s="6">
        <f t="shared" si="97"/>
        <v>227.47400000000002</v>
      </c>
      <c r="H2422" s="7">
        <v>41906</v>
      </c>
      <c r="I2422" s="6" t="s">
        <v>265</v>
      </c>
      <c r="J2422" s="6" t="s">
        <v>11118</v>
      </c>
      <c r="K2422" s="6" t="s">
        <v>21</v>
      </c>
      <c r="L2422" s="6">
        <v>13</v>
      </c>
      <c r="M2422" s="15" t="s">
        <v>8990</v>
      </c>
      <c r="N2422" s="15" t="s">
        <v>167</v>
      </c>
      <c r="O2422" s="28" t="s">
        <v>13493</v>
      </c>
    </row>
    <row r="2423" spans="1:15" s="1" customFormat="1">
      <c r="A2423" s="3" t="s">
        <v>7024</v>
      </c>
      <c r="B2423" s="3"/>
      <c r="C2423" s="3"/>
      <c r="D2423" s="5" t="s">
        <v>7025</v>
      </c>
      <c r="E2423" s="5" t="s">
        <v>7026</v>
      </c>
      <c r="F2423" s="3" t="s">
        <v>8991</v>
      </c>
      <c r="G2423" s="6">
        <f t="shared" si="97"/>
        <v>209.976</v>
      </c>
      <c r="H2423" s="7">
        <v>41906</v>
      </c>
      <c r="I2423" s="6" t="s">
        <v>265</v>
      </c>
      <c r="J2423" s="6" t="s">
        <v>8992</v>
      </c>
      <c r="K2423" s="6" t="s">
        <v>21</v>
      </c>
      <c r="L2423" s="6">
        <v>12</v>
      </c>
      <c r="M2423" s="15" t="s">
        <v>8993</v>
      </c>
      <c r="N2423" s="15" t="s">
        <v>164</v>
      </c>
      <c r="O2423" s="28"/>
    </row>
    <row r="2424" spans="1:15" s="1" customFormat="1">
      <c r="A2424" s="3" t="s">
        <v>7024</v>
      </c>
      <c r="B2424" s="3"/>
      <c r="C2424" s="3"/>
      <c r="D2424" s="5" t="s">
        <v>7025</v>
      </c>
      <c r="E2424" s="5" t="s">
        <v>7026</v>
      </c>
      <c r="F2424" s="3" t="s">
        <v>8994</v>
      </c>
      <c r="G2424" s="6">
        <f t="shared" si="97"/>
        <v>227.47400000000002</v>
      </c>
      <c r="H2424" s="7">
        <v>41906</v>
      </c>
      <c r="I2424" s="6" t="s">
        <v>265</v>
      </c>
      <c r="J2424" s="6" t="s">
        <v>8995</v>
      </c>
      <c r="K2424" s="6" t="s">
        <v>21</v>
      </c>
      <c r="L2424" s="6">
        <v>13</v>
      </c>
      <c r="M2424" s="15" t="s">
        <v>8993</v>
      </c>
      <c r="N2424" s="15" t="s">
        <v>167</v>
      </c>
      <c r="O2424" s="28"/>
    </row>
    <row r="2425" spans="1:15" s="1" customFormat="1">
      <c r="A2425" s="3" t="s">
        <v>7024</v>
      </c>
      <c r="B2425" s="3"/>
      <c r="C2425" s="3"/>
      <c r="D2425" s="5" t="s">
        <v>7025</v>
      </c>
      <c r="E2425" s="5" t="s">
        <v>7026</v>
      </c>
      <c r="F2425" s="3" t="s">
        <v>8996</v>
      </c>
      <c r="G2425" s="6">
        <f t="shared" si="97"/>
        <v>209.976</v>
      </c>
      <c r="H2425" s="7">
        <v>41906</v>
      </c>
      <c r="I2425" s="6" t="s">
        <v>265</v>
      </c>
      <c r="J2425" s="6" t="s">
        <v>8997</v>
      </c>
      <c r="K2425" s="6" t="s">
        <v>21</v>
      </c>
      <c r="L2425" s="6">
        <v>12</v>
      </c>
      <c r="M2425" s="15" t="s">
        <v>8998</v>
      </c>
      <c r="N2425" s="15" t="s">
        <v>78</v>
      </c>
      <c r="O2425" s="28"/>
    </row>
    <row r="2426" spans="1:15" s="1" customFormat="1">
      <c r="A2426" s="22" t="s">
        <v>11108</v>
      </c>
      <c r="B2426" s="3"/>
      <c r="C2426" s="3"/>
      <c r="D2426" s="5" t="s">
        <v>11109</v>
      </c>
      <c r="E2426" s="5" t="s">
        <v>7026</v>
      </c>
      <c r="F2426" s="3" t="s">
        <v>11110</v>
      </c>
      <c r="G2426" s="6">
        <f>30.446*L2426</f>
        <v>243.56800000000001</v>
      </c>
      <c r="H2426" s="7">
        <v>41906</v>
      </c>
      <c r="I2426" s="6" t="s">
        <v>178</v>
      </c>
      <c r="J2426" s="6" t="s">
        <v>11111</v>
      </c>
      <c r="K2426" s="6" t="s">
        <v>5478</v>
      </c>
      <c r="L2426" s="6">
        <v>8</v>
      </c>
      <c r="M2426" s="15" t="s">
        <v>11112</v>
      </c>
      <c r="N2426" s="15" t="s">
        <v>447</v>
      </c>
      <c r="O2426" s="28"/>
    </row>
    <row r="2427" spans="1:15" s="1" customFormat="1">
      <c r="A2427" s="3" t="s">
        <v>11108</v>
      </c>
      <c r="B2427" s="3"/>
      <c r="C2427" s="3"/>
      <c r="D2427" s="5" t="s">
        <v>11109</v>
      </c>
      <c r="E2427" s="5" t="s">
        <v>7026</v>
      </c>
      <c r="F2427" s="3" t="s">
        <v>11113</v>
      </c>
      <c r="G2427" s="6">
        <f>30.446*L2427</f>
        <v>243.56800000000001</v>
      </c>
      <c r="H2427" s="7">
        <v>41906</v>
      </c>
      <c r="I2427" s="6" t="s">
        <v>178</v>
      </c>
      <c r="J2427" s="6" t="s">
        <v>11114</v>
      </c>
      <c r="K2427" s="6" t="s">
        <v>5478</v>
      </c>
      <c r="L2427" s="6">
        <v>8</v>
      </c>
      <c r="M2427" s="15" t="s">
        <v>11112</v>
      </c>
      <c r="N2427" s="15" t="s">
        <v>892</v>
      </c>
      <c r="O2427" s="28"/>
    </row>
    <row r="2428" spans="1:15" s="1" customFormat="1">
      <c r="A2428" s="3" t="s">
        <v>11108</v>
      </c>
      <c r="B2428" s="3"/>
      <c r="C2428" s="3"/>
      <c r="D2428" s="5" t="s">
        <v>11109</v>
      </c>
      <c r="E2428" s="5" t="s">
        <v>7026</v>
      </c>
      <c r="F2428" s="3" t="s">
        <v>11115</v>
      </c>
      <c r="G2428" s="6">
        <f>30.446*L2428</f>
        <v>274.01400000000001</v>
      </c>
      <c r="H2428" s="7">
        <v>41906</v>
      </c>
      <c r="I2428" s="6" t="s">
        <v>178</v>
      </c>
      <c r="J2428" s="6" t="s">
        <v>11116</v>
      </c>
      <c r="K2428" s="6" t="s">
        <v>5478</v>
      </c>
      <c r="L2428" s="6">
        <v>9</v>
      </c>
      <c r="M2428" s="15" t="s">
        <v>11112</v>
      </c>
      <c r="N2428" s="15" t="s">
        <v>896</v>
      </c>
      <c r="O2428" s="28"/>
    </row>
    <row r="2429" spans="1:15" s="1" customFormat="1">
      <c r="A2429" s="22" t="s">
        <v>9734</v>
      </c>
      <c r="B2429" s="4" t="s">
        <v>283</v>
      </c>
      <c r="C2429" s="3"/>
      <c r="D2429" s="5" t="s">
        <v>9735</v>
      </c>
      <c r="E2429" s="5" t="s">
        <v>124</v>
      </c>
      <c r="F2429" s="3" t="s">
        <v>9736</v>
      </c>
      <c r="G2429" s="6">
        <f>8.823*L2429</f>
        <v>17.646000000000001</v>
      </c>
      <c r="H2429" s="7">
        <v>41907</v>
      </c>
      <c r="I2429" s="6" t="s">
        <v>5275</v>
      </c>
      <c r="J2429" s="6" t="s">
        <v>9737</v>
      </c>
      <c r="K2429" s="6" t="s">
        <v>5478</v>
      </c>
      <c r="L2429" s="6">
        <v>2</v>
      </c>
      <c r="M2429" s="15" t="s">
        <v>9738</v>
      </c>
      <c r="N2429" s="15" t="s">
        <v>9739</v>
      </c>
      <c r="O2429" s="28" t="s">
        <v>9740</v>
      </c>
    </row>
    <row r="2430" spans="1:15" s="1" customFormat="1">
      <c r="A2430" s="3" t="s">
        <v>88</v>
      </c>
      <c r="B2430" s="3"/>
      <c r="C2430" s="3"/>
      <c r="D2430" s="5" t="s">
        <v>55</v>
      </c>
      <c r="E2430" s="5" t="s">
        <v>17</v>
      </c>
      <c r="F2430" s="3" t="s">
        <v>9108</v>
      </c>
      <c r="G2430" s="6">
        <f>8.926*L2430</f>
        <v>107.11199999999999</v>
      </c>
      <c r="H2430" s="7">
        <v>41911</v>
      </c>
      <c r="I2430" s="6" t="s">
        <v>50</v>
      </c>
      <c r="J2430" s="6" t="s">
        <v>9109</v>
      </c>
      <c r="K2430" s="6" t="s">
        <v>21</v>
      </c>
      <c r="L2430" s="6">
        <v>12</v>
      </c>
      <c r="M2430" s="15" t="s">
        <v>9110</v>
      </c>
      <c r="N2430" s="15" t="s">
        <v>78</v>
      </c>
      <c r="O2430" s="28"/>
    </row>
    <row r="2431" spans="1:15" s="1" customFormat="1">
      <c r="A2431" s="3" t="s">
        <v>88</v>
      </c>
      <c r="B2431" s="3"/>
      <c r="C2431" s="3"/>
      <c r="D2431" s="5" t="s">
        <v>55</v>
      </c>
      <c r="E2431" s="5" t="s">
        <v>17</v>
      </c>
      <c r="F2431" s="3" t="s">
        <v>9111</v>
      </c>
      <c r="G2431" s="6">
        <f>8.926*L2431</f>
        <v>116.038</v>
      </c>
      <c r="H2431" s="7">
        <v>41911</v>
      </c>
      <c r="I2431" s="6" t="s">
        <v>50</v>
      </c>
      <c r="J2431" s="6" t="s">
        <v>9112</v>
      </c>
      <c r="K2431" s="6" t="s">
        <v>21</v>
      </c>
      <c r="L2431" s="6">
        <v>13</v>
      </c>
      <c r="M2431" s="15" t="s">
        <v>9110</v>
      </c>
      <c r="N2431" s="15" t="s">
        <v>81</v>
      </c>
      <c r="O2431" s="28"/>
    </row>
    <row r="2432" spans="1:15" s="1" customFormat="1">
      <c r="A2432" s="3" t="s">
        <v>585</v>
      </c>
      <c r="B2432" s="3"/>
      <c r="C2432" s="3"/>
      <c r="D2432" s="5" t="s">
        <v>586</v>
      </c>
      <c r="E2432" s="5" t="s">
        <v>124</v>
      </c>
      <c r="F2432" s="3" t="s">
        <v>6869</v>
      </c>
      <c r="G2432" s="6">
        <f>17.52*L2432</f>
        <v>70.08</v>
      </c>
      <c r="H2432" s="7">
        <v>41911</v>
      </c>
      <c r="I2432" s="6" t="s">
        <v>209</v>
      </c>
      <c r="J2432" s="6" t="s">
        <v>6870</v>
      </c>
      <c r="K2432" s="6" t="s">
        <v>5478</v>
      </c>
      <c r="L2432" s="6">
        <v>4</v>
      </c>
      <c r="M2432" s="15" t="s">
        <v>5934</v>
      </c>
      <c r="N2432" s="15" t="s">
        <v>6871</v>
      </c>
      <c r="O2432" s="28" t="s">
        <v>6872</v>
      </c>
    </row>
    <row r="2433" spans="1:15" s="1" customFormat="1">
      <c r="A2433" s="3" t="s">
        <v>5768</v>
      </c>
      <c r="B2433" s="3"/>
      <c r="C2433" s="3"/>
      <c r="D2433" s="5" t="s">
        <v>552</v>
      </c>
      <c r="E2433" s="5" t="s">
        <v>124</v>
      </c>
      <c r="F2433" s="3" t="s">
        <v>6873</v>
      </c>
      <c r="G2433" s="6">
        <f>17.52*L2433</f>
        <v>122.64</v>
      </c>
      <c r="H2433" s="7">
        <v>41911</v>
      </c>
      <c r="I2433" s="6" t="s">
        <v>265</v>
      </c>
      <c r="J2433" s="6" t="s">
        <v>6874</v>
      </c>
      <c r="K2433" s="6" t="s">
        <v>5478</v>
      </c>
      <c r="L2433" s="6">
        <v>7</v>
      </c>
      <c r="M2433" s="15" t="s">
        <v>6875</v>
      </c>
      <c r="N2433" s="15" t="s">
        <v>6876</v>
      </c>
      <c r="O2433" s="28" t="s">
        <v>6877</v>
      </c>
    </row>
    <row r="2434" spans="1:15" s="1" customFormat="1">
      <c r="A2434" s="3" t="s">
        <v>6170</v>
      </c>
      <c r="B2434" s="3"/>
      <c r="C2434" s="3"/>
      <c r="D2434" s="5" t="s">
        <v>1128</v>
      </c>
      <c r="E2434" s="5" t="s">
        <v>124</v>
      </c>
      <c r="F2434" s="3" t="s">
        <v>6878</v>
      </c>
      <c r="G2434" s="6">
        <f>29.101*L2434</f>
        <v>261.90899999999999</v>
      </c>
      <c r="H2434" s="7">
        <v>41911</v>
      </c>
      <c r="I2434" s="6" t="s">
        <v>6172</v>
      </c>
      <c r="J2434" s="6" t="s">
        <v>6879</v>
      </c>
      <c r="K2434" s="6" t="s">
        <v>5478</v>
      </c>
      <c r="L2434" s="6">
        <v>9</v>
      </c>
      <c r="M2434" s="15" t="s">
        <v>6537</v>
      </c>
      <c r="N2434" s="15" t="s">
        <v>6880</v>
      </c>
      <c r="O2434" s="28" t="s">
        <v>6881</v>
      </c>
    </row>
    <row r="2435" spans="1:15" s="1" customFormat="1">
      <c r="A2435" s="3" t="s">
        <v>416</v>
      </c>
      <c r="B2435" s="3"/>
      <c r="C2435" s="3"/>
      <c r="D2435" s="5" t="s">
        <v>417</v>
      </c>
      <c r="E2435" s="5" t="s">
        <v>124</v>
      </c>
      <c r="F2435" s="3" t="s">
        <v>9744</v>
      </c>
      <c r="G2435" s="6">
        <f>29.101*L2435</f>
        <v>174.60599999999999</v>
      </c>
      <c r="H2435" s="7">
        <v>41911</v>
      </c>
      <c r="I2435" s="6" t="s">
        <v>419</v>
      </c>
      <c r="J2435" s="6" t="s">
        <v>9745</v>
      </c>
      <c r="K2435" s="6" t="s">
        <v>5478</v>
      </c>
      <c r="L2435" s="6">
        <v>6</v>
      </c>
      <c r="M2435" s="15" t="s">
        <v>9723</v>
      </c>
      <c r="N2435" s="15" t="s">
        <v>9746</v>
      </c>
      <c r="O2435" s="28" t="s">
        <v>9747</v>
      </c>
    </row>
    <row r="2436" spans="1:15" s="1" customFormat="1">
      <c r="A2436" s="3" t="s">
        <v>1187</v>
      </c>
      <c r="B2436" s="3"/>
      <c r="C2436" s="3"/>
      <c r="D2436" s="5" t="s">
        <v>1188</v>
      </c>
      <c r="E2436" s="5" t="s">
        <v>124</v>
      </c>
      <c r="F2436" s="3" t="s">
        <v>6882</v>
      </c>
      <c r="G2436" s="6">
        <f>29.101*L2436</f>
        <v>261.90899999999999</v>
      </c>
      <c r="H2436" s="7">
        <v>41911</v>
      </c>
      <c r="I2436" s="6" t="s">
        <v>178</v>
      </c>
      <c r="J2436" s="6" t="s">
        <v>6883</v>
      </c>
      <c r="K2436" s="6" t="s">
        <v>21</v>
      </c>
      <c r="L2436" s="6">
        <v>9</v>
      </c>
      <c r="M2436" s="15" t="s">
        <v>6390</v>
      </c>
      <c r="N2436" s="15" t="s">
        <v>1882</v>
      </c>
      <c r="O2436" s="28" t="s">
        <v>6884</v>
      </c>
    </row>
    <row r="2437" spans="1:15" s="1" customFormat="1">
      <c r="A2437" s="3" t="s">
        <v>442</v>
      </c>
      <c r="B2437" s="3"/>
      <c r="C2437" s="3"/>
      <c r="D2437" s="5" t="s">
        <v>443</v>
      </c>
      <c r="E2437" s="5" t="s">
        <v>124</v>
      </c>
      <c r="F2437" s="3" t="s">
        <v>6885</v>
      </c>
      <c r="G2437" s="6">
        <f>18.708*L2437</f>
        <v>149.66399999999999</v>
      </c>
      <c r="H2437" s="7">
        <v>41911</v>
      </c>
      <c r="I2437" s="6" t="s">
        <v>247</v>
      </c>
      <c r="J2437" s="6" t="s">
        <v>6886</v>
      </c>
      <c r="K2437" s="6" t="s">
        <v>21</v>
      </c>
      <c r="L2437" s="6">
        <v>8</v>
      </c>
      <c r="M2437" s="15" t="s">
        <v>6562</v>
      </c>
      <c r="N2437" s="15" t="s">
        <v>5870</v>
      </c>
      <c r="O2437" s="28" t="s">
        <v>6887</v>
      </c>
    </row>
    <row r="2438" spans="1:15" s="1" customFormat="1">
      <c r="A2438" s="3" t="s">
        <v>442</v>
      </c>
      <c r="B2438" s="3"/>
      <c r="C2438" s="3"/>
      <c r="D2438" s="5" t="s">
        <v>443</v>
      </c>
      <c r="E2438" s="5" t="s">
        <v>124</v>
      </c>
      <c r="F2438" s="3" t="s">
        <v>6888</v>
      </c>
      <c r="G2438" s="6">
        <f>18.708*L2438</f>
        <v>168.37199999999999</v>
      </c>
      <c r="H2438" s="7">
        <v>41911</v>
      </c>
      <c r="I2438" s="6" t="s">
        <v>247</v>
      </c>
      <c r="J2438" s="6" t="s">
        <v>6889</v>
      </c>
      <c r="K2438" s="6" t="s">
        <v>21</v>
      </c>
      <c r="L2438" s="6">
        <v>9</v>
      </c>
      <c r="M2438" s="15" t="s">
        <v>6562</v>
      </c>
      <c r="N2438" s="15" t="s">
        <v>4974</v>
      </c>
      <c r="O2438" s="28" t="s">
        <v>6890</v>
      </c>
    </row>
    <row r="2439" spans="1:15" s="1" customFormat="1">
      <c r="A2439" s="3" t="s">
        <v>442</v>
      </c>
      <c r="B2439" s="3"/>
      <c r="C2439" s="3"/>
      <c r="D2439" s="5" t="s">
        <v>443</v>
      </c>
      <c r="E2439" s="5" t="s">
        <v>124</v>
      </c>
      <c r="F2439" s="3" t="s">
        <v>9748</v>
      </c>
      <c r="G2439" s="6">
        <f>18.708*L2439</f>
        <v>149.66399999999999</v>
      </c>
      <c r="H2439" s="7">
        <v>41911</v>
      </c>
      <c r="I2439" s="6" t="s">
        <v>247</v>
      </c>
      <c r="J2439" s="6" t="s">
        <v>9749</v>
      </c>
      <c r="K2439" s="6" t="s">
        <v>5478</v>
      </c>
      <c r="L2439" s="6">
        <v>8</v>
      </c>
      <c r="M2439" s="15" t="s">
        <v>9750</v>
      </c>
      <c r="N2439" s="15" t="s">
        <v>5844</v>
      </c>
      <c r="O2439" s="28" t="s">
        <v>9750</v>
      </c>
    </row>
    <row r="2440" spans="1:15">
      <c r="A2440" s="3" t="s">
        <v>772</v>
      </c>
      <c r="B2440" s="3"/>
      <c r="C2440" s="3"/>
      <c r="D2440" s="5" t="s">
        <v>773</v>
      </c>
      <c r="E2440" s="5" t="s">
        <v>124</v>
      </c>
      <c r="F2440" s="3" t="s">
        <v>6891</v>
      </c>
      <c r="G2440" s="6">
        <f>18.708*L2440</f>
        <v>243.20399999999998</v>
      </c>
      <c r="H2440" s="7">
        <v>41911</v>
      </c>
      <c r="I2440" s="6" t="s">
        <v>265</v>
      </c>
      <c r="J2440" s="6" t="s">
        <v>6892</v>
      </c>
      <c r="K2440" s="6" t="s">
        <v>21</v>
      </c>
      <c r="L2440" s="6">
        <v>13</v>
      </c>
      <c r="M2440" s="15" t="s">
        <v>6893</v>
      </c>
      <c r="N2440" s="15" t="s">
        <v>167</v>
      </c>
      <c r="O2440" s="28" t="s">
        <v>6894</v>
      </c>
    </row>
    <row r="2441" spans="1:15" s="1" customFormat="1">
      <c r="A2441" s="3" t="s">
        <v>898</v>
      </c>
      <c r="B2441" s="44"/>
      <c r="C2441" s="3"/>
      <c r="D2441" s="5" t="s">
        <v>899</v>
      </c>
      <c r="E2441" s="5" t="s">
        <v>124</v>
      </c>
      <c r="F2441" s="3" t="s">
        <v>6895</v>
      </c>
      <c r="G2441" s="6">
        <f>18.708*L2441</f>
        <v>205.78799999999998</v>
      </c>
      <c r="H2441" s="7">
        <v>41911</v>
      </c>
      <c r="I2441" s="6" t="s">
        <v>209</v>
      </c>
      <c r="J2441" s="6" t="s">
        <v>6896</v>
      </c>
      <c r="K2441" s="6" t="s">
        <v>21</v>
      </c>
      <c r="L2441" s="6">
        <v>11</v>
      </c>
      <c r="M2441" s="15" t="s">
        <v>6897</v>
      </c>
      <c r="N2441" s="15" t="s">
        <v>42</v>
      </c>
      <c r="O2441" s="28" t="s">
        <v>6898</v>
      </c>
    </row>
    <row r="2442" spans="1:15" s="1" customFormat="1">
      <c r="A2442" s="3" t="s">
        <v>514</v>
      </c>
      <c r="B2442" s="3"/>
      <c r="C2442" s="3"/>
      <c r="D2442" s="5" t="s">
        <v>2030</v>
      </c>
      <c r="E2442" s="5" t="s">
        <v>124</v>
      </c>
      <c r="F2442" s="3" t="s">
        <v>6899</v>
      </c>
      <c r="G2442" s="6">
        <f>14.405*L2442</f>
        <v>86.429999999999993</v>
      </c>
      <c r="H2442" s="7">
        <v>41911</v>
      </c>
      <c r="I2442" s="6" t="s">
        <v>265</v>
      </c>
      <c r="J2442" s="6" t="s">
        <v>6900</v>
      </c>
      <c r="K2442" s="6" t="s">
        <v>21</v>
      </c>
      <c r="L2442" s="6">
        <v>6</v>
      </c>
      <c r="M2442" s="15" t="s">
        <v>6901</v>
      </c>
      <c r="N2442" s="15" t="s">
        <v>5938</v>
      </c>
      <c r="O2442" s="28" t="s">
        <v>6901</v>
      </c>
    </row>
    <row r="2443" spans="1:15">
      <c r="A2443" s="3" t="s">
        <v>631</v>
      </c>
      <c r="B2443" s="3"/>
      <c r="C2443" s="3"/>
      <c r="D2443" s="5" t="s">
        <v>632</v>
      </c>
      <c r="E2443" s="5" t="s">
        <v>124</v>
      </c>
      <c r="F2443" s="3" t="s">
        <v>6902</v>
      </c>
      <c r="G2443" s="6">
        <f>17.498*4</f>
        <v>69.992000000000004</v>
      </c>
      <c r="H2443" s="7">
        <v>41911</v>
      </c>
      <c r="I2443" s="6" t="s">
        <v>471</v>
      </c>
      <c r="J2443" s="6" t="s">
        <v>6903</v>
      </c>
      <c r="K2443" s="6" t="s">
        <v>21</v>
      </c>
      <c r="L2443" s="6" t="s">
        <v>6113</v>
      </c>
      <c r="M2443" s="15" t="s">
        <v>6904</v>
      </c>
      <c r="N2443" s="15" t="s">
        <v>6905</v>
      </c>
      <c r="O2443" s="28" t="s">
        <v>6906</v>
      </c>
    </row>
    <row r="2444" spans="1:15" s="1" customFormat="1">
      <c r="A2444" s="3" t="s">
        <v>1082</v>
      </c>
      <c r="B2444" s="3" t="s">
        <v>4520</v>
      </c>
      <c r="C2444" s="3"/>
      <c r="D2444" s="5" t="s">
        <v>1083</v>
      </c>
      <c r="E2444" s="5" t="s">
        <v>124</v>
      </c>
      <c r="F2444" s="3" t="s">
        <v>9755</v>
      </c>
      <c r="G2444" s="6">
        <f t="shared" ref="G2444:G2449" si="98">9.871*L2444</f>
        <v>118.452</v>
      </c>
      <c r="H2444" s="7">
        <v>41911</v>
      </c>
      <c r="I2444" s="6" t="s">
        <v>161</v>
      </c>
      <c r="J2444" s="6" t="s">
        <v>9756</v>
      </c>
      <c r="K2444" s="6" t="s">
        <v>21</v>
      </c>
      <c r="L2444" s="6">
        <v>12</v>
      </c>
      <c r="M2444" s="15" t="s">
        <v>9757</v>
      </c>
      <c r="N2444" s="15" t="s">
        <v>164</v>
      </c>
      <c r="O2444" s="28" t="s">
        <v>9758</v>
      </c>
    </row>
    <row r="2445" spans="1:15" s="1" customFormat="1">
      <c r="A2445" s="3" t="s">
        <v>1082</v>
      </c>
      <c r="B2445" s="3" t="s">
        <v>4520</v>
      </c>
      <c r="C2445" s="3"/>
      <c r="D2445" s="5" t="s">
        <v>1083</v>
      </c>
      <c r="E2445" s="5" t="s">
        <v>124</v>
      </c>
      <c r="F2445" s="3" t="s">
        <v>9759</v>
      </c>
      <c r="G2445" s="6">
        <f t="shared" si="98"/>
        <v>128.32300000000001</v>
      </c>
      <c r="H2445" s="7">
        <v>41911</v>
      </c>
      <c r="I2445" s="6" t="s">
        <v>161</v>
      </c>
      <c r="J2445" s="6" t="s">
        <v>9760</v>
      </c>
      <c r="K2445" s="6" t="s">
        <v>21</v>
      </c>
      <c r="L2445" s="6">
        <v>13</v>
      </c>
      <c r="M2445" s="15" t="s">
        <v>9757</v>
      </c>
      <c r="N2445" s="15" t="s">
        <v>167</v>
      </c>
      <c r="O2445" s="28" t="s">
        <v>9757</v>
      </c>
    </row>
    <row r="2446" spans="1:15">
      <c r="A2446" s="3" t="s">
        <v>1082</v>
      </c>
      <c r="B2446" s="3" t="s">
        <v>4520</v>
      </c>
      <c r="C2446" s="3"/>
      <c r="D2446" s="5" t="s">
        <v>1083</v>
      </c>
      <c r="E2446" s="5" t="s">
        <v>124</v>
      </c>
      <c r="F2446" s="3" t="s">
        <v>9761</v>
      </c>
      <c r="G2446" s="6">
        <f t="shared" si="98"/>
        <v>118.452</v>
      </c>
      <c r="H2446" s="7">
        <v>41911</v>
      </c>
      <c r="I2446" s="6" t="s">
        <v>161</v>
      </c>
      <c r="J2446" s="6" t="s">
        <v>9762</v>
      </c>
      <c r="K2446" s="6" t="s">
        <v>21</v>
      </c>
      <c r="L2446" s="6">
        <v>12</v>
      </c>
      <c r="M2446" s="15" t="s">
        <v>9763</v>
      </c>
      <c r="N2446" s="15" t="s">
        <v>164</v>
      </c>
      <c r="O2446" s="28" t="s">
        <v>9763</v>
      </c>
    </row>
    <row r="2447" spans="1:15">
      <c r="A2447" s="3" t="s">
        <v>1082</v>
      </c>
      <c r="B2447" s="3" t="s">
        <v>4520</v>
      </c>
      <c r="C2447" s="3"/>
      <c r="D2447" s="5" t="s">
        <v>1083</v>
      </c>
      <c r="E2447" s="5" t="s">
        <v>124</v>
      </c>
      <c r="F2447" s="3" t="s">
        <v>9764</v>
      </c>
      <c r="G2447" s="6">
        <f t="shared" si="98"/>
        <v>128.32300000000001</v>
      </c>
      <c r="H2447" s="7">
        <v>41911</v>
      </c>
      <c r="I2447" s="6" t="s">
        <v>161</v>
      </c>
      <c r="J2447" s="6" t="s">
        <v>9765</v>
      </c>
      <c r="K2447" s="6" t="s">
        <v>21</v>
      </c>
      <c r="L2447" s="6">
        <v>13</v>
      </c>
      <c r="M2447" s="15" t="s">
        <v>9763</v>
      </c>
      <c r="N2447" s="15" t="s">
        <v>167</v>
      </c>
      <c r="O2447" s="28" t="s">
        <v>9766</v>
      </c>
    </row>
    <row r="2448" spans="1:15" s="1" customFormat="1">
      <c r="A2448" s="3" t="s">
        <v>1082</v>
      </c>
      <c r="B2448" s="3" t="s">
        <v>4520</v>
      </c>
      <c r="C2448" s="3"/>
      <c r="D2448" s="5" t="s">
        <v>1083</v>
      </c>
      <c r="E2448" s="5" t="s">
        <v>124</v>
      </c>
      <c r="F2448" s="3" t="s">
        <v>9767</v>
      </c>
      <c r="G2448" s="6">
        <f t="shared" si="98"/>
        <v>118.452</v>
      </c>
      <c r="H2448" s="7">
        <v>41911</v>
      </c>
      <c r="I2448" s="6" t="s">
        <v>161</v>
      </c>
      <c r="J2448" s="6" t="s">
        <v>9768</v>
      </c>
      <c r="K2448" s="6" t="s">
        <v>21</v>
      </c>
      <c r="L2448" s="6">
        <v>12</v>
      </c>
      <c r="M2448" s="15" t="s">
        <v>9769</v>
      </c>
      <c r="N2448" s="15" t="s">
        <v>164</v>
      </c>
      <c r="O2448" s="28" t="s">
        <v>9769</v>
      </c>
    </row>
    <row r="2449" spans="1:15" s="1" customFormat="1">
      <c r="A2449" s="3" t="s">
        <v>1082</v>
      </c>
      <c r="B2449" s="3" t="s">
        <v>283</v>
      </c>
      <c r="C2449" s="3"/>
      <c r="D2449" s="5" t="s">
        <v>1083</v>
      </c>
      <c r="E2449" s="5" t="s">
        <v>124</v>
      </c>
      <c r="F2449" s="3" t="s">
        <v>9770</v>
      </c>
      <c r="G2449" s="6">
        <f t="shared" si="98"/>
        <v>128.32300000000001</v>
      </c>
      <c r="H2449" s="7">
        <v>41911</v>
      </c>
      <c r="I2449" s="6" t="s">
        <v>161</v>
      </c>
      <c r="J2449" s="6" t="s">
        <v>9771</v>
      </c>
      <c r="K2449" s="6" t="s">
        <v>21</v>
      </c>
      <c r="L2449" s="6">
        <v>13</v>
      </c>
      <c r="M2449" s="15" t="s">
        <v>9769</v>
      </c>
      <c r="N2449" s="15" t="s">
        <v>167</v>
      </c>
      <c r="O2449" s="28" t="s">
        <v>9772</v>
      </c>
    </row>
    <row r="2450" spans="1:15" s="1" customFormat="1">
      <c r="A2450" s="3" t="s">
        <v>275</v>
      </c>
      <c r="B2450" s="3"/>
      <c r="C2450" s="3"/>
      <c r="D2450" s="5" t="s">
        <v>276</v>
      </c>
      <c r="E2450" s="5" t="s">
        <v>124</v>
      </c>
      <c r="F2450" s="3" t="s">
        <v>9776</v>
      </c>
      <c r="G2450" s="6">
        <f>6.405*L2450</f>
        <v>76.86</v>
      </c>
      <c r="H2450" s="7">
        <v>41911</v>
      </c>
      <c r="I2450" s="6" t="s">
        <v>471</v>
      </c>
      <c r="J2450" s="6" t="s">
        <v>9777</v>
      </c>
      <c r="K2450" s="6" t="s">
        <v>21</v>
      </c>
      <c r="L2450" s="6">
        <v>12</v>
      </c>
      <c r="M2450" s="15" t="s">
        <v>6909</v>
      </c>
      <c r="N2450" s="15" t="s">
        <v>164</v>
      </c>
      <c r="O2450" s="28" t="s">
        <v>9778</v>
      </c>
    </row>
    <row r="2451" spans="1:15" s="1" customFormat="1">
      <c r="A2451" s="3" t="s">
        <v>275</v>
      </c>
      <c r="B2451" s="3"/>
      <c r="C2451" s="3"/>
      <c r="D2451" s="5" t="s">
        <v>276</v>
      </c>
      <c r="E2451" s="5" t="s">
        <v>124</v>
      </c>
      <c r="F2451" s="3" t="s">
        <v>6907</v>
      </c>
      <c r="G2451" s="6">
        <f>6.405*L2451</f>
        <v>83.265000000000001</v>
      </c>
      <c r="H2451" s="7">
        <v>41911</v>
      </c>
      <c r="I2451" s="6" t="s">
        <v>471</v>
      </c>
      <c r="J2451" s="6" t="s">
        <v>6908</v>
      </c>
      <c r="K2451" s="6" t="s">
        <v>21</v>
      </c>
      <c r="L2451" s="6">
        <v>13</v>
      </c>
      <c r="M2451" s="15" t="s">
        <v>6909</v>
      </c>
      <c r="N2451" s="15" t="s">
        <v>167</v>
      </c>
      <c r="O2451" s="28" t="s">
        <v>6909</v>
      </c>
    </row>
    <row r="2452" spans="1:15" s="1" customFormat="1">
      <c r="A2452" s="3" t="s">
        <v>3897</v>
      </c>
      <c r="B2452" s="3"/>
      <c r="C2452" s="3"/>
      <c r="D2452" s="5" t="s">
        <v>276</v>
      </c>
      <c r="E2452" s="5" t="s">
        <v>124</v>
      </c>
      <c r="F2452" s="3" t="s">
        <v>9779</v>
      </c>
      <c r="G2452" s="6">
        <f>6.405*L2452</f>
        <v>96.075000000000003</v>
      </c>
      <c r="H2452" s="7">
        <v>41911</v>
      </c>
      <c r="I2452" s="6" t="s">
        <v>3899</v>
      </c>
      <c r="J2452" s="6" t="s">
        <v>9780</v>
      </c>
      <c r="K2452" s="6" t="s">
        <v>21</v>
      </c>
      <c r="L2452" s="6">
        <v>15</v>
      </c>
      <c r="M2452" s="15" t="s">
        <v>9781</v>
      </c>
      <c r="N2452" s="15" t="s">
        <v>5066</v>
      </c>
      <c r="O2452" s="28" t="s">
        <v>9781</v>
      </c>
    </row>
    <row r="2453" spans="1:15" s="1" customFormat="1">
      <c r="A2453" s="3" t="s">
        <v>777</v>
      </c>
      <c r="B2453" s="3"/>
      <c r="C2453" s="3"/>
      <c r="D2453" s="5" t="s">
        <v>778</v>
      </c>
      <c r="E2453" s="5" t="s">
        <v>124</v>
      </c>
      <c r="F2453" s="3" t="s">
        <v>6910</v>
      </c>
      <c r="G2453" s="6">
        <f>17.52*L2453</f>
        <v>175.2</v>
      </c>
      <c r="H2453" s="7">
        <v>41911</v>
      </c>
      <c r="I2453" s="6" t="s">
        <v>265</v>
      </c>
      <c r="J2453" s="6" t="s">
        <v>6911</v>
      </c>
      <c r="K2453" s="6" t="s">
        <v>21</v>
      </c>
      <c r="L2453" s="6">
        <v>10</v>
      </c>
      <c r="M2453" s="15" t="s">
        <v>6912</v>
      </c>
      <c r="N2453" s="15" t="s">
        <v>140</v>
      </c>
      <c r="O2453" s="28" t="s">
        <v>6912</v>
      </c>
    </row>
    <row r="2454" spans="1:15" s="1" customFormat="1">
      <c r="A2454" s="22" t="s">
        <v>6913</v>
      </c>
      <c r="B2454" s="3"/>
      <c r="C2454" s="3"/>
      <c r="D2454" s="5" t="s">
        <v>6914</v>
      </c>
      <c r="E2454" s="5" t="s">
        <v>124</v>
      </c>
      <c r="F2454" s="3" t="s">
        <v>6915</v>
      </c>
      <c r="G2454" s="6">
        <v>20.145</v>
      </c>
      <c r="H2454" s="7">
        <v>41911</v>
      </c>
      <c r="I2454" s="6" t="s">
        <v>12834</v>
      </c>
      <c r="J2454" s="6" t="s">
        <v>6917</v>
      </c>
      <c r="K2454" s="6" t="s">
        <v>6918</v>
      </c>
      <c r="L2454" s="6" t="s">
        <v>743</v>
      </c>
      <c r="M2454" s="15" t="s">
        <v>6919</v>
      </c>
      <c r="N2454" s="15" t="s">
        <v>1631</v>
      </c>
      <c r="O2454" s="28" t="s">
        <v>6920</v>
      </c>
    </row>
    <row r="2455" spans="1:15" s="1" customFormat="1">
      <c r="A2455" s="22" t="s">
        <v>9782</v>
      </c>
      <c r="B2455" s="3"/>
      <c r="C2455" s="3"/>
      <c r="D2455" s="5" t="s">
        <v>6914</v>
      </c>
      <c r="E2455" s="5" t="s">
        <v>124</v>
      </c>
      <c r="F2455" s="3" t="s">
        <v>9783</v>
      </c>
      <c r="G2455" s="6">
        <v>20.163</v>
      </c>
      <c r="H2455" s="7">
        <v>41911</v>
      </c>
      <c r="I2455" s="6" t="s">
        <v>126</v>
      </c>
      <c r="J2455" s="6" t="s">
        <v>9784</v>
      </c>
      <c r="K2455" s="6" t="s">
        <v>6918</v>
      </c>
      <c r="L2455" s="6" t="s">
        <v>743</v>
      </c>
      <c r="M2455" s="15" t="s">
        <v>6919</v>
      </c>
      <c r="N2455" s="15" t="s">
        <v>9785</v>
      </c>
      <c r="O2455" s="28" t="s">
        <v>9786</v>
      </c>
    </row>
    <row r="2456" spans="1:15" s="1" customFormat="1">
      <c r="A2456" s="3" t="s">
        <v>812</v>
      </c>
      <c r="B2456" s="3"/>
      <c r="C2456" s="3"/>
      <c r="D2456" s="5" t="s">
        <v>3759</v>
      </c>
      <c r="E2456" s="5" t="s">
        <v>124</v>
      </c>
      <c r="F2456" s="3" t="s">
        <v>6921</v>
      </c>
      <c r="G2456" s="6">
        <v>31.428000000000001</v>
      </c>
      <c r="H2456" s="7">
        <v>41911</v>
      </c>
      <c r="I2456" s="6" t="s">
        <v>209</v>
      </c>
      <c r="J2456" s="6" t="s">
        <v>6922</v>
      </c>
      <c r="K2456" s="6" t="s">
        <v>128</v>
      </c>
      <c r="L2456" s="6" t="s">
        <v>301</v>
      </c>
      <c r="M2456" s="15" t="s">
        <v>6923</v>
      </c>
      <c r="N2456" s="15" t="s">
        <v>6924</v>
      </c>
      <c r="O2456" s="28" t="s">
        <v>6925</v>
      </c>
    </row>
    <row r="2457" spans="1:15" s="1" customFormat="1">
      <c r="A2457" s="3" t="s">
        <v>6163</v>
      </c>
      <c r="B2457" s="3"/>
      <c r="C2457" s="3"/>
      <c r="D2457" s="5" t="s">
        <v>6926</v>
      </c>
      <c r="E2457" s="5" t="s">
        <v>124</v>
      </c>
      <c r="F2457" s="3" t="s">
        <v>6927</v>
      </c>
      <c r="G2457" s="6">
        <v>137.55199999999999</v>
      </c>
      <c r="H2457" s="7">
        <v>41911</v>
      </c>
      <c r="I2457" s="6" t="s">
        <v>209</v>
      </c>
      <c r="J2457" s="6" t="s">
        <v>6928</v>
      </c>
      <c r="K2457" s="6" t="s">
        <v>5478</v>
      </c>
      <c r="L2457" s="6" t="s">
        <v>6929</v>
      </c>
      <c r="M2457" s="15" t="s">
        <v>6930</v>
      </c>
      <c r="N2457" s="15" t="s">
        <v>6931</v>
      </c>
      <c r="O2457" s="28" t="s">
        <v>6932</v>
      </c>
    </row>
    <row r="2458" spans="1:15" s="1" customFormat="1">
      <c r="A2458" s="3" t="s">
        <v>1349</v>
      </c>
      <c r="B2458" s="3"/>
      <c r="C2458" s="3"/>
      <c r="D2458" s="5" t="s">
        <v>2117</v>
      </c>
      <c r="E2458" s="5" t="s">
        <v>124</v>
      </c>
      <c r="F2458" s="3" t="s">
        <v>9787</v>
      </c>
      <c r="G2458" s="6">
        <v>248.34399999999999</v>
      </c>
      <c r="H2458" s="7">
        <v>41911</v>
      </c>
      <c r="I2458" s="6" t="s">
        <v>178</v>
      </c>
      <c r="J2458" s="6" t="s">
        <v>9788</v>
      </c>
      <c r="K2458" s="6" t="s">
        <v>128</v>
      </c>
      <c r="L2458" s="6" t="s">
        <v>5428</v>
      </c>
      <c r="M2458" s="15" t="s">
        <v>9789</v>
      </c>
      <c r="N2458" s="15" t="s">
        <v>9790</v>
      </c>
      <c r="O2458" s="28" t="s">
        <v>9791</v>
      </c>
    </row>
    <row r="2459" spans="1:15" s="1" customFormat="1">
      <c r="A2459" s="3" t="s">
        <v>1349</v>
      </c>
      <c r="B2459" s="3"/>
      <c r="C2459" s="3"/>
      <c r="D2459" s="5" t="s">
        <v>2117</v>
      </c>
      <c r="E2459" s="5" t="s">
        <v>124</v>
      </c>
      <c r="F2459" s="3" t="s">
        <v>9792</v>
      </c>
      <c r="G2459" s="6">
        <v>108.48699999999999</v>
      </c>
      <c r="H2459" s="7">
        <v>41911</v>
      </c>
      <c r="I2459" s="6" t="s">
        <v>178</v>
      </c>
      <c r="J2459" s="6" t="s">
        <v>9793</v>
      </c>
      <c r="K2459" s="6" t="s">
        <v>128</v>
      </c>
      <c r="L2459" s="6" t="s">
        <v>6475</v>
      </c>
      <c r="M2459" s="15" t="s">
        <v>9789</v>
      </c>
      <c r="N2459" s="15" t="s">
        <v>9794</v>
      </c>
      <c r="O2459" s="28" t="s">
        <v>9795</v>
      </c>
    </row>
    <row r="2460" spans="1:15">
      <c r="A2460" s="3" t="s">
        <v>1216</v>
      </c>
      <c r="B2460" s="3"/>
      <c r="C2460" s="3"/>
      <c r="D2460" s="5" t="s">
        <v>2117</v>
      </c>
      <c r="E2460" s="5" t="s">
        <v>124</v>
      </c>
      <c r="F2460" s="3" t="s">
        <v>6933</v>
      </c>
      <c r="G2460" s="6">
        <v>232.77600000000001</v>
      </c>
      <c r="H2460" s="7">
        <v>41911</v>
      </c>
      <c r="I2460" s="6" t="s">
        <v>209</v>
      </c>
      <c r="J2460" s="6" t="s">
        <v>6934</v>
      </c>
      <c r="K2460" s="6" t="s">
        <v>128</v>
      </c>
      <c r="L2460" s="6" t="s">
        <v>1226</v>
      </c>
      <c r="M2460" s="15" t="s">
        <v>6935</v>
      </c>
      <c r="N2460" s="15" t="s">
        <v>6936</v>
      </c>
      <c r="O2460" s="28" t="s">
        <v>6937</v>
      </c>
    </row>
    <row r="2461" spans="1:15">
      <c r="A2461" s="3" t="s">
        <v>5750</v>
      </c>
      <c r="B2461" s="3"/>
      <c r="C2461" s="3"/>
      <c r="D2461" s="5" t="s">
        <v>5751</v>
      </c>
      <c r="E2461" s="5" t="s">
        <v>124</v>
      </c>
      <c r="F2461" s="3" t="s">
        <v>6938</v>
      </c>
      <c r="G2461" s="6">
        <v>140.96600000000001</v>
      </c>
      <c r="H2461" s="7">
        <v>41911</v>
      </c>
      <c r="I2461" s="6" t="s">
        <v>178</v>
      </c>
      <c r="J2461" s="6" t="s">
        <v>6939</v>
      </c>
      <c r="K2461" s="6" t="s">
        <v>128</v>
      </c>
      <c r="L2461" s="6" t="s">
        <v>1329</v>
      </c>
      <c r="M2461" s="15" t="s">
        <v>6940</v>
      </c>
      <c r="N2461" s="15" t="s">
        <v>6941</v>
      </c>
      <c r="O2461" s="28" t="s">
        <v>6942</v>
      </c>
    </row>
    <row r="2462" spans="1:15" s="1" customFormat="1">
      <c r="A2462" s="3" t="s">
        <v>5750</v>
      </c>
      <c r="B2462" s="3"/>
      <c r="C2462" s="3"/>
      <c r="D2462" s="5" t="s">
        <v>5751</v>
      </c>
      <c r="E2462" s="5" t="s">
        <v>124</v>
      </c>
      <c r="F2462" s="3" t="s">
        <v>9800</v>
      </c>
      <c r="G2462" s="6">
        <v>110.755</v>
      </c>
      <c r="H2462" s="7">
        <v>41911</v>
      </c>
      <c r="I2462" s="6" t="s">
        <v>178</v>
      </c>
      <c r="J2462" s="6" t="s">
        <v>9801</v>
      </c>
      <c r="K2462" s="6" t="s">
        <v>128</v>
      </c>
      <c r="L2462" s="6" t="s">
        <v>12676</v>
      </c>
      <c r="M2462" s="15" t="s">
        <v>9802</v>
      </c>
      <c r="N2462" s="15" t="s">
        <v>9803</v>
      </c>
      <c r="O2462" s="28" t="s">
        <v>9804</v>
      </c>
    </row>
    <row r="2463" spans="1:15" s="1" customFormat="1">
      <c r="A2463" s="3" t="s">
        <v>5758</v>
      </c>
      <c r="B2463" s="3"/>
      <c r="C2463" s="3"/>
      <c r="D2463" s="5" t="s">
        <v>5751</v>
      </c>
      <c r="E2463" s="5" t="s">
        <v>124</v>
      </c>
      <c r="F2463" s="3" t="s">
        <v>6943</v>
      </c>
      <c r="G2463" s="6">
        <v>202.68100000000001</v>
      </c>
      <c r="H2463" s="7">
        <v>41911</v>
      </c>
      <c r="I2463" s="6" t="s">
        <v>209</v>
      </c>
      <c r="J2463" s="6" t="s">
        <v>6944</v>
      </c>
      <c r="K2463" s="6" t="s">
        <v>12997</v>
      </c>
      <c r="L2463" s="6" t="s">
        <v>2483</v>
      </c>
      <c r="M2463" s="15" t="s">
        <v>6945</v>
      </c>
      <c r="N2463" s="15" t="s">
        <v>6946</v>
      </c>
      <c r="O2463" s="28" t="s">
        <v>6947</v>
      </c>
    </row>
    <row r="2464" spans="1:15">
      <c r="A2464" s="3" t="s">
        <v>5758</v>
      </c>
      <c r="B2464" s="3"/>
      <c r="C2464" s="3"/>
      <c r="D2464" s="5" t="s">
        <v>5751</v>
      </c>
      <c r="E2464" s="5" t="s">
        <v>124</v>
      </c>
      <c r="F2464" s="3" t="s">
        <v>9805</v>
      </c>
      <c r="G2464" s="6">
        <v>202.15100000000001</v>
      </c>
      <c r="H2464" s="7">
        <v>41911</v>
      </c>
      <c r="I2464" s="6" t="s">
        <v>209</v>
      </c>
      <c r="J2464" s="6" t="s">
        <v>9806</v>
      </c>
      <c r="K2464" s="6" t="s">
        <v>12997</v>
      </c>
      <c r="L2464" s="6" t="s">
        <v>2483</v>
      </c>
      <c r="M2464" s="15" t="s">
        <v>9807</v>
      </c>
      <c r="N2464" s="15" t="s">
        <v>9808</v>
      </c>
      <c r="O2464" s="28" t="s">
        <v>9809</v>
      </c>
    </row>
    <row r="2465" spans="1:15" s="1" customFormat="1">
      <c r="A2465" s="3" t="s">
        <v>5758</v>
      </c>
      <c r="B2465" s="3"/>
      <c r="C2465" s="3"/>
      <c r="D2465" s="5" t="s">
        <v>5751</v>
      </c>
      <c r="E2465" s="5" t="s">
        <v>124</v>
      </c>
      <c r="F2465" s="3" t="s">
        <v>9810</v>
      </c>
      <c r="G2465" s="6">
        <v>201.822</v>
      </c>
      <c r="H2465" s="7">
        <v>41911</v>
      </c>
      <c r="I2465" s="6" t="s">
        <v>209</v>
      </c>
      <c r="J2465" s="6" t="s">
        <v>9811</v>
      </c>
      <c r="K2465" s="6" t="s">
        <v>12997</v>
      </c>
      <c r="L2465" s="6" t="s">
        <v>2483</v>
      </c>
      <c r="M2465" s="15" t="s">
        <v>9812</v>
      </c>
      <c r="N2465" s="15" t="s">
        <v>9813</v>
      </c>
      <c r="O2465" s="28" t="s">
        <v>9814</v>
      </c>
    </row>
    <row r="2466" spans="1:15">
      <c r="A2466" s="3" t="s">
        <v>1043</v>
      </c>
      <c r="B2466" s="3"/>
      <c r="C2466" s="3"/>
      <c r="D2466" s="5" t="s">
        <v>443</v>
      </c>
      <c r="E2466" s="5" t="s">
        <v>7026</v>
      </c>
      <c r="F2466" s="3" t="s">
        <v>11119</v>
      </c>
      <c r="G2466" s="6">
        <f>18.708*L2466</f>
        <v>224.49599999999998</v>
      </c>
      <c r="H2466" s="7">
        <v>41911</v>
      </c>
      <c r="I2466" s="40" t="s">
        <v>8264</v>
      </c>
      <c r="J2466" s="6" t="s">
        <v>11120</v>
      </c>
      <c r="K2466" s="6" t="s">
        <v>21</v>
      </c>
      <c r="L2466" s="6">
        <v>12</v>
      </c>
      <c r="M2466" s="15" t="s">
        <v>9001</v>
      </c>
      <c r="N2466" s="15" t="s">
        <v>8064</v>
      </c>
      <c r="O2466" s="28"/>
    </row>
    <row r="2467" spans="1:15">
      <c r="A2467" s="3" t="s">
        <v>1043</v>
      </c>
      <c r="B2467" s="3"/>
      <c r="C2467" s="3"/>
      <c r="D2467" s="5" t="s">
        <v>443</v>
      </c>
      <c r="E2467" s="5" t="s">
        <v>7026</v>
      </c>
      <c r="F2467" s="3" t="s">
        <v>8999</v>
      </c>
      <c r="G2467" s="6">
        <f>18.708*L2467</f>
        <v>224.49599999999998</v>
      </c>
      <c r="H2467" s="7">
        <v>41911</v>
      </c>
      <c r="I2467" s="40" t="s">
        <v>8264</v>
      </c>
      <c r="J2467" s="6" t="s">
        <v>9000</v>
      </c>
      <c r="K2467" s="6" t="s">
        <v>21</v>
      </c>
      <c r="L2467" s="6">
        <v>12</v>
      </c>
      <c r="M2467" s="15" t="s">
        <v>9001</v>
      </c>
      <c r="N2467" s="15" t="s">
        <v>1211</v>
      </c>
      <c r="O2467" s="28"/>
    </row>
    <row r="2468" spans="1:15">
      <c r="A2468" s="3" t="s">
        <v>1043</v>
      </c>
      <c r="B2468" s="3"/>
      <c r="C2468" s="3"/>
      <c r="D2468" s="5" t="s">
        <v>443</v>
      </c>
      <c r="E2468" s="5" t="s">
        <v>7026</v>
      </c>
      <c r="F2468" s="3" t="s">
        <v>9002</v>
      </c>
      <c r="G2468" s="6">
        <f>18.708*L2468</f>
        <v>74.831999999999994</v>
      </c>
      <c r="H2468" s="7">
        <v>41911</v>
      </c>
      <c r="I2468" s="40" t="s">
        <v>8264</v>
      </c>
      <c r="J2468" s="6" t="s">
        <v>9003</v>
      </c>
      <c r="K2468" s="6" t="s">
        <v>21</v>
      </c>
      <c r="L2468" s="6">
        <v>4</v>
      </c>
      <c r="M2468" s="15" t="s">
        <v>9004</v>
      </c>
      <c r="N2468" s="15" t="s">
        <v>5972</v>
      </c>
      <c r="O2468" s="28"/>
    </row>
    <row r="2469" spans="1:15">
      <c r="A2469" s="3" t="s">
        <v>1043</v>
      </c>
      <c r="B2469" s="3"/>
      <c r="C2469" s="3"/>
      <c r="D2469" s="5" t="s">
        <v>443</v>
      </c>
      <c r="E2469" s="5" t="s">
        <v>7026</v>
      </c>
      <c r="F2469" s="3" t="s">
        <v>9005</v>
      </c>
      <c r="G2469" s="6">
        <f>18.708*L2469</f>
        <v>224.49599999999998</v>
      </c>
      <c r="H2469" s="7">
        <v>41911</v>
      </c>
      <c r="I2469" s="40" t="s">
        <v>8264</v>
      </c>
      <c r="J2469" s="6" t="s">
        <v>9006</v>
      </c>
      <c r="K2469" s="6" t="s">
        <v>21</v>
      </c>
      <c r="L2469" s="6">
        <v>12</v>
      </c>
      <c r="M2469" s="15" t="s">
        <v>9007</v>
      </c>
      <c r="N2469" s="15" t="s">
        <v>78</v>
      </c>
      <c r="O2469" s="28"/>
    </row>
    <row r="2470" spans="1:15">
      <c r="A2470" s="3" t="s">
        <v>1043</v>
      </c>
      <c r="B2470" s="3"/>
      <c r="C2470" s="3"/>
      <c r="D2470" s="5" t="s">
        <v>443</v>
      </c>
      <c r="E2470" s="5" t="s">
        <v>7026</v>
      </c>
      <c r="F2470" s="3" t="s">
        <v>9008</v>
      </c>
      <c r="G2470" s="6">
        <f>18.708*L2470</f>
        <v>243.20399999999998</v>
      </c>
      <c r="H2470" s="7">
        <v>41911</v>
      </c>
      <c r="I2470" s="40" t="s">
        <v>8264</v>
      </c>
      <c r="J2470" s="6" t="s">
        <v>9009</v>
      </c>
      <c r="K2470" s="6" t="s">
        <v>21</v>
      </c>
      <c r="L2470" s="6">
        <v>13</v>
      </c>
      <c r="M2470" s="15" t="s">
        <v>9007</v>
      </c>
      <c r="N2470" s="15" t="s">
        <v>81</v>
      </c>
      <c r="O2470" s="28"/>
    </row>
    <row r="2471" spans="1:15">
      <c r="A2471" s="3" t="s">
        <v>1216</v>
      </c>
      <c r="B2471" s="3"/>
      <c r="C2471" s="3"/>
      <c r="D2471" s="5" t="s">
        <v>2117</v>
      </c>
      <c r="E2471" s="5" t="s">
        <v>124</v>
      </c>
      <c r="F2471" s="3" t="s">
        <v>9796</v>
      </c>
      <c r="G2471" s="6">
        <v>108.809</v>
      </c>
      <c r="H2471" s="7">
        <v>41911</v>
      </c>
      <c r="I2471" s="6" t="s">
        <v>209</v>
      </c>
      <c r="J2471" s="6" t="s">
        <v>9797</v>
      </c>
      <c r="K2471" s="6" t="s">
        <v>128</v>
      </c>
      <c r="L2471" s="6" t="s">
        <v>6475</v>
      </c>
      <c r="M2471" s="15" t="s">
        <v>6935</v>
      </c>
      <c r="N2471" s="15" t="s">
        <v>9798</v>
      </c>
      <c r="O2471" s="28" t="s">
        <v>9799</v>
      </c>
    </row>
    <row r="2472" spans="1:15">
      <c r="A2472" s="3" t="s">
        <v>3870</v>
      </c>
      <c r="B2472" s="3"/>
      <c r="C2472" s="3"/>
      <c r="D2472" s="5" t="s">
        <v>3871</v>
      </c>
      <c r="E2472" s="5" t="s">
        <v>124</v>
      </c>
      <c r="F2472" s="3" t="s">
        <v>6948</v>
      </c>
      <c r="G2472" s="6">
        <f>13.006*L2472</f>
        <v>156.072</v>
      </c>
      <c r="H2472" s="7">
        <v>41920</v>
      </c>
      <c r="I2472" s="6" t="s">
        <v>6676</v>
      </c>
      <c r="J2472" s="6" t="s">
        <v>6949</v>
      </c>
      <c r="K2472" s="6" t="s">
        <v>21</v>
      </c>
      <c r="L2472" s="6">
        <v>12</v>
      </c>
      <c r="M2472" s="15" t="s">
        <v>6950</v>
      </c>
      <c r="N2472" s="15" t="s">
        <v>78</v>
      </c>
      <c r="O2472" s="28" t="s">
        <v>6950</v>
      </c>
    </row>
    <row r="2473" spans="1:15">
      <c r="A2473" s="3" t="s">
        <v>3870</v>
      </c>
      <c r="B2473" s="3"/>
      <c r="C2473" s="3"/>
      <c r="D2473" s="5" t="s">
        <v>3871</v>
      </c>
      <c r="E2473" s="5" t="s">
        <v>124</v>
      </c>
      <c r="F2473" s="3" t="s">
        <v>6951</v>
      </c>
      <c r="G2473" s="6">
        <f>13.006*L2473</f>
        <v>169.078</v>
      </c>
      <c r="H2473" s="7">
        <v>41920</v>
      </c>
      <c r="I2473" s="6" t="s">
        <v>6676</v>
      </c>
      <c r="J2473" s="6" t="s">
        <v>6952</v>
      </c>
      <c r="K2473" s="6" t="s">
        <v>21</v>
      </c>
      <c r="L2473" s="6">
        <v>13</v>
      </c>
      <c r="M2473" s="15" t="s">
        <v>6950</v>
      </c>
      <c r="N2473" s="15" t="s">
        <v>81</v>
      </c>
      <c r="O2473" s="28" t="s">
        <v>6953</v>
      </c>
    </row>
    <row r="2474" spans="1:15">
      <c r="A2474" s="3" t="s">
        <v>3870</v>
      </c>
      <c r="B2474" s="3"/>
      <c r="C2474" s="3"/>
      <c r="D2474" s="5" t="s">
        <v>3871</v>
      </c>
      <c r="E2474" s="5" t="s">
        <v>124</v>
      </c>
      <c r="F2474" s="3" t="s">
        <v>6954</v>
      </c>
      <c r="G2474" s="6">
        <f>13.006*L2474</f>
        <v>156.072</v>
      </c>
      <c r="H2474" s="7">
        <v>41920</v>
      </c>
      <c r="I2474" s="6" t="s">
        <v>6676</v>
      </c>
      <c r="J2474" s="6" t="s">
        <v>6955</v>
      </c>
      <c r="K2474" s="6" t="s">
        <v>21</v>
      </c>
      <c r="L2474" s="6">
        <v>12</v>
      </c>
      <c r="M2474" s="15" t="s">
        <v>6956</v>
      </c>
      <c r="N2474" s="15" t="s">
        <v>78</v>
      </c>
      <c r="O2474" s="28" t="s">
        <v>6956</v>
      </c>
    </row>
    <row r="2475" spans="1:15">
      <c r="A2475" s="3" t="s">
        <v>3870</v>
      </c>
      <c r="B2475" s="3"/>
      <c r="C2475" s="3"/>
      <c r="D2475" s="5" t="s">
        <v>3871</v>
      </c>
      <c r="E2475" s="5" t="s">
        <v>124</v>
      </c>
      <c r="F2475" s="3" t="s">
        <v>6957</v>
      </c>
      <c r="G2475" s="6">
        <f>13.006*L2475</f>
        <v>169.078</v>
      </c>
      <c r="H2475" s="7">
        <v>41920</v>
      </c>
      <c r="I2475" s="6" t="s">
        <v>6676</v>
      </c>
      <c r="J2475" s="6" t="s">
        <v>6958</v>
      </c>
      <c r="K2475" s="6" t="s">
        <v>21</v>
      </c>
      <c r="L2475" s="6">
        <v>13</v>
      </c>
      <c r="M2475" s="15" t="s">
        <v>6956</v>
      </c>
      <c r="N2475" s="15" t="s">
        <v>81</v>
      </c>
      <c r="O2475" s="28" t="s">
        <v>6959</v>
      </c>
    </row>
    <row r="2476" spans="1:15">
      <c r="A2476" s="3" t="s">
        <v>25</v>
      </c>
      <c r="B2476" s="3"/>
      <c r="C2476" s="3"/>
      <c r="D2476" s="5" t="s">
        <v>26</v>
      </c>
      <c r="E2476" s="5" t="s">
        <v>17</v>
      </c>
      <c r="F2476" s="3" t="s">
        <v>9113</v>
      </c>
      <c r="G2476" s="6">
        <f>8.063*L2476</f>
        <v>96.756</v>
      </c>
      <c r="H2476" s="7">
        <v>41921</v>
      </c>
      <c r="I2476" s="6" t="s">
        <v>28</v>
      </c>
      <c r="J2476" s="6" t="s">
        <v>9114</v>
      </c>
      <c r="K2476" s="6" t="s">
        <v>21</v>
      </c>
      <c r="L2476" s="6">
        <v>12</v>
      </c>
      <c r="M2476" s="15" t="s">
        <v>121</v>
      </c>
      <c r="N2476" s="15" t="s">
        <v>78</v>
      </c>
      <c r="O2476" s="28"/>
    </row>
    <row r="2477" spans="1:15" s="1" customFormat="1">
      <c r="A2477" s="3" t="s">
        <v>25</v>
      </c>
      <c r="B2477" s="3"/>
      <c r="C2477" s="3"/>
      <c r="D2477" s="5" t="s">
        <v>26</v>
      </c>
      <c r="E2477" s="5" t="s">
        <v>17</v>
      </c>
      <c r="F2477" s="3" t="s">
        <v>119</v>
      </c>
      <c r="G2477" s="6">
        <f>8.063*L2477</f>
        <v>104.819</v>
      </c>
      <c r="H2477" s="7">
        <v>41921</v>
      </c>
      <c r="I2477" s="6" t="s">
        <v>28</v>
      </c>
      <c r="J2477" s="6" t="s">
        <v>120</v>
      </c>
      <c r="K2477" s="6" t="s">
        <v>21</v>
      </c>
      <c r="L2477" s="6">
        <v>13</v>
      </c>
      <c r="M2477" s="15" t="s">
        <v>121</v>
      </c>
      <c r="N2477" s="15" t="s">
        <v>81</v>
      </c>
      <c r="O2477" s="28"/>
    </row>
    <row r="2478" spans="1:15" s="1" customFormat="1">
      <c r="A2478" s="3" t="s">
        <v>96</v>
      </c>
      <c r="B2478" s="3"/>
      <c r="C2478" s="3"/>
      <c r="D2478" s="5" t="s">
        <v>48</v>
      </c>
      <c r="E2478" s="5" t="s">
        <v>17</v>
      </c>
      <c r="F2478" s="3" t="s">
        <v>9120</v>
      </c>
      <c r="G2478" s="6">
        <f>8.926*L2478</f>
        <v>89.26</v>
      </c>
      <c r="H2478" s="7">
        <v>41921</v>
      </c>
      <c r="I2478" s="6" t="s">
        <v>98</v>
      </c>
      <c r="J2478" s="6" t="s">
        <v>9121</v>
      </c>
      <c r="K2478" s="6" t="s">
        <v>21</v>
      </c>
      <c r="L2478" s="6">
        <v>10</v>
      </c>
      <c r="M2478" s="15" t="s">
        <v>9122</v>
      </c>
      <c r="N2478" s="15" t="s">
        <v>5085</v>
      </c>
      <c r="O2478" s="28"/>
    </row>
    <row r="2479" spans="1:15">
      <c r="A2479" s="3" t="s">
        <v>96</v>
      </c>
      <c r="B2479" s="3"/>
      <c r="C2479" s="3"/>
      <c r="D2479" s="5" t="s">
        <v>48</v>
      </c>
      <c r="E2479" s="5" t="s">
        <v>17</v>
      </c>
      <c r="F2479" s="3" t="s">
        <v>9123</v>
      </c>
      <c r="G2479" s="6">
        <f>8.926*L2479</f>
        <v>98.186000000000007</v>
      </c>
      <c r="H2479" s="7">
        <v>41921</v>
      </c>
      <c r="I2479" s="6" t="s">
        <v>98</v>
      </c>
      <c r="J2479" s="6" t="s">
        <v>9124</v>
      </c>
      <c r="K2479" s="6" t="s">
        <v>21</v>
      </c>
      <c r="L2479" s="6">
        <v>11</v>
      </c>
      <c r="M2479" s="15" t="s">
        <v>9122</v>
      </c>
      <c r="N2479" s="15" t="s">
        <v>5088</v>
      </c>
      <c r="O2479" s="28"/>
    </row>
    <row r="2480" spans="1:15" s="1" customFormat="1">
      <c r="A2480" s="3" t="s">
        <v>854</v>
      </c>
      <c r="B2480" s="3"/>
      <c r="C2480" s="3"/>
      <c r="D2480" s="5" t="s">
        <v>5294</v>
      </c>
      <c r="E2480" s="5" t="s">
        <v>124</v>
      </c>
      <c r="F2480" s="3" t="s">
        <v>9824</v>
      </c>
      <c r="G2480" s="6">
        <f t="shared" ref="G2480:G2486" si="99">17.52*L2480</f>
        <v>210.24</v>
      </c>
      <c r="H2480" s="7">
        <v>41922</v>
      </c>
      <c r="I2480" s="6" t="s">
        <v>209</v>
      </c>
      <c r="J2480" s="6" t="s">
        <v>9825</v>
      </c>
      <c r="K2480" s="6" t="s">
        <v>21</v>
      </c>
      <c r="L2480" s="6">
        <v>12</v>
      </c>
      <c r="M2480" s="15" t="s">
        <v>9826</v>
      </c>
      <c r="N2480" s="15" t="s">
        <v>78</v>
      </c>
      <c r="O2480" s="28" t="s">
        <v>9826</v>
      </c>
    </row>
    <row r="2481" spans="1:15">
      <c r="A2481" s="3" t="s">
        <v>5435</v>
      </c>
      <c r="B2481" s="3"/>
      <c r="C2481" s="3"/>
      <c r="D2481" s="5" t="s">
        <v>5294</v>
      </c>
      <c r="E2481" s="5" t="s">
        <v>124</v>
      </c>
      <c r="F2481" s="3" t="s">
        <v>9827</v>
      </c>
      <c r="G2481" s="6">
        <f t="shared" si="99"/>
        <v>227.76</v>
      </c>
      <c r="H2481" s="7">
        <v>41922</v>
      </c>
      <c r="I2481" s="6" t="s">
        <v>209</v>
      </c>
      <c r="J2481" s="6" t="s">
        <v>9828</v>
      </c>
      <c r="K2481" s="6" t="s">
        <v>21</v>
      </c>
      <c r="L2481" s="6">
        <v>13</v>
      </c>
      <c r="M2481" s="15" t="s">
        <v>9826</v>
      </c>
      <c r="N2481" s="15" t="s">
        <v>81</v>
      </c>
      <c r="O2481" s="28" t="s">
        <v>9829</v>
      </c>
    </row>
    <row r="2482" spans="1:15" s="1" customFormat="1">
      <c r="A2482" s="3" t="s">
        <v>409</v>
      </c>
      <c r="B2482" s="3"/>
      <c r="C2482" s="3"/>
      <c r="D2482" s="5" t="s">
        <v>410</v>
      </c>
      <c r="E2482" s="5" t="s">
        <v>124</v>
      </c>
      <c r="F2482" s="3" t="s">
        <v>6960</v>
      </c>
      <c r="G2482" s="6">
        <f t="shared" si="99"/>
        <v>122.64</v>
      </c>
      <c r="H2482" s="7">
        <v>41922</v>
      </c>
      <c r="I2482" s="6" t="s">
        <v>209</v>
      </c>
      <c r="J2482" s="6" t="s">
        <v>6961</v>
      </c>
      <c r="K2482" s="6" t="s">
        <v>21</v>
      </c>
      <c r="L2482" s="6">
        <v>7</v>
      </c>
      <c r="M2482" s="15" t="s">
        <v>6962</v>
      </c>
      <c r="N2482" s="15" t="s">
        <v>5472</v>
      </c>
      <c r="O2482" s="28" t="s">
        <v>6962</v>
      </c>
    </row>
    <row r="2483" spans="1:15" s="1" customFormat="1">
      <c r="A2483" s="3" t="s">
        <v>1498</v>
      </c>
      <c r="B2483" s="3"/>
      <c r="C2483" s="3"/>
      <c r="D2483" s="5" t="s">
        <v>1499</v>
      </c>
      <c r="E2483" s="5" t="s">
        <v>124</v>
      </c>
      <c r="F2483" s="3" t="s">
        <v>9833</v>
      </c>
      <c r="G2483" s="6">
        <f t="shared" si="99"/>
        <v>105.12</v>
      </c>
      <c r="H2483" s="7">
        <v>41922</v>
      </c>
      <c r="I2483" s="6" t="s">
        <v>265</v>
      </c>
      <c r="J2483" s="6" t="s">
        <v>9834</v>
      </c>
      <c r="K2483" s="6" t="s">
        <v>21</v>
      </c>
      <c r="L2483" s="6">
        <v>6</v>
      </c>
      <c r="M2483" s="15" t="s">
        <v>9835</v>
      </c>
      <c r="N2483" s="15" t="s">
        <v>74</v>
      </c>
      <c r="O2483" s="28" t="s">
        <v>9835</v>
      </c>
    </row>
    <row r="2484" spans="1:15" s="1" customFormat="1">
      <c r="A2484" s="3" t="s">
        <v>5768</v>
      </c>
      <c r="B2484" s="3"/>
      <c r="C2484" s="3"/>
      <c r="D2484" s="5" t="s">
        <v>552</v>
      </c>
      <c r="E2484" s="5" t="s">
        <v>124</v>
      </c>
      <c r="F2484" s="3" t="s">
        <v>9836</v>
      </c>
      <c r="G2484" s="6">
        <f t="shared" si="99"/>
        <v>122.64</v>
      </c>
      <c r="H2484" s="7">
        <v>41922</v>
      </c>
      <c r="I2484" s="6" t="s">
        <v>265</v>
      </c>
      <c r="J2484" s="6" t="s">
        <v>9837</v>
      </c>
      <c r="K2484" s="6" t="s">
        <v>5478</v>
      </c>
      <c r="L2484" s="6">
        <v>7</v>
      </c>
      <c r="M2484" s="15" t="s">
        <v>6875</v>
      </c>
      <c r="N2484" s="15" t="s">
        <v>5596</v>
      </c>
      <c r="O2484" s="28" t="s">
        <v>9838</v>
      </c>
    </row>
    <row r="2485" spans="1:15">
      <c r="A2485" s="3" t="s">
        <v>4431</v>
      </c>
      <c r="B2485" s="3"/>
      <c r="C2485" s="3"/>
      <c r="D2485" s="5" t="s">
        <v>4432</v>
      </c>
      <c r="E2485" s="5" t="s">
        <v>124</v>
      </c>
      <c r="F2485" s="3" t="s">
        <v>6963</v>
      </c>
      <c r="G2485" s="6">
        <f t="shared" si="99"/>
        <v>52.56</v>
      </c>
      <c r="H2485" s="7">
        <v>41922</v>
      </c>
      <c r="I2485" s="6" t="s">
        <v>265</v>
      </c>
      <c r="J2485" s="6" t="s">
        <v>6964</v>
      </c>
      <c r="K2485" s="6" t="s">
        <v>21</v>
      </c>
      <c r="L2485" s="6">
        <v>3</v>
      </c>
      <c r="M2485" s="15" t="s">
        <v>6605</v>
      </c>
      <c r="N2485" s="15" t="s">
        <v>657</v>
      </c>
      <c r="O2485" s="28" t="s">
        <v>6965</v>
      </c>
    </row>
    <row r="2486" spans="1:15">
      <c r="A2486" s="3" t="s">
        <v>777</v>
      </c>
      <c r="B2486" s="3"/>
      <c r="C2486" s="3"/>
      <c r="D2486" s="5" t="s">
        <v>778</v>
      </c>
      <c r="E2486" s="5" t="s">
        <v>124</v>
      </c>
      <c r="F2486" s="3" t="s">
        <v>6966</v>
      </c>
      <c r="G2486" s="6">
        <f t="shared" si="99"/>
        <v>140.16</v>
      </c>
      <c r="H2486" s="7">
        <v>41922</v>
      </c>
      <c r="I2486" s="6" t="s">
        <v>265</v>
      </c>
      <c r="J2486" s="6" t="s">
        <v>6967</v>
      </c>
      <c r="K2486" s="6" t="s">
        <v>21</v>
      </c>
      <c r="L2486" s="6">
        <v>8</v>
      </c>
      <c r="M2486" s="15" t="s">
        <v>6968</v>
      </c>
      <c r="N2486" s="15" t="s">
        <v>5844</v>
      </c>
      <c r="O2486" s="28" t="s">
        <v>6968</v>
      </c>
    </row>
    <row r="2487" spans="1:15" s="1" customFormat="1">
      <c r="A2487" s="3" t="s">
        <v>3816</v>
      </c>
      <c r="B2487" s="3"/>
      <c r="C2487" s="3"/>
      <c r="D2487" s="5" t="s">
        <v>377</v>
      </c>
      <c r="E2487" s="5" t="s">
        <v>124</v>
      </c>
      <c r="F2487" s="3" t="s">
        <v>9848</v>
      </c>
      <c r="G2487" s="6">
        <f>18.708*L2487</f>
        <v>93.539999999999992</v>
      </c>
      <c r="H2487" s="7">
        <v>41922</v>
      </c>
      <c r="I2487" s="6" t="s">
        <v>265</v>
      </c>
      <c r="J2487" s="6" t="s">
        <v>9849</v>
      </c>
      <c r="K2487" s="6" t="s">
        <v>21</v>
      </c>
      <c r="L2487" s="6">
        <v>5</v>
      </c>
      <c r="M2487" s="15" t="s">
        <v>6846</v>
      </c>
      <c r="N2487" s="15" t="s">
        <v>1284</v>
      </c>
      <c r="O2487" s="28" t="s">
        <v>9850</v>
      </c>
    </row>
    <row r="2488" spans="1:15" s="1" customFormat="1">
      <c r="A2488" s="3" t="s">
        <v>1087</v>
      </c>
      <c r="B2488" s="3" t="s">
        <v>4520</v>
      </c>
      <c r="C2488" s="3"/>
      <c r="D2488" s="5" t="s">
        <v>1088</v>
      </c>
      <c r="E2488" s="5" t="s">
        <v>124</v>
      </c>
      <c r="F2488" s="3" t="s">
        <v>9851</v>
      </c>
      <c r="G2488" s="6">
        <f>9.804*L2488</f>
        <v>117.648</v>
      </c>
      <c r="H2488" s="7">
        <v>41922</v>
      </c>
      <c r="I2488" s="6" t="s">
        <v>1090</v>
      </c>
      <c r="J2488" s="6" t="s">
        <v>9852</v>
      </c>
      <c r="K2488" s="6" t="s">
        <v>21</v>
      </c>
      <c r="L2488" s="6">
        <v>12</v>
      </c>
      <c r="M2488" s="15" t="s">
        <v>9853</v>
      </c>
      <c r="N2488" s="15" t="s">
        <v>164</v>
      </c>
      <c r="O2488" s="28" t="s">
        <v>9853</v>
      </c>
    </row>
    <row r="2489" spans="1:15" s="1" customFormat="1">
      <c r="A2489" s="3" t="s">
        <v>1087</v>
      </c>
      <c r="B2489" s="3" t="s">
        <v>4520</v>
      </c>
      <c r="C2489" s="3"/>
      <c r="D2489" s="5" t="s">
        <v>1088</v>
      </c>
      <c r="E2489" s="5" t="s">
        <v>124</v>
      </c>
      <c r="F2489" s="3" t="s">
        <v>9866</v>
      </c>
      <c r="G2489" s="6">
        <f>9.804*L2489</f>
        <v>127.452</v>
      </c>
      <c r="H2489" s="7">
        <v>41922</v>
      </c>
      <c r="I2489" s="6" t="s">
        <v>1090</v>
      </c>
      <c r="J2489" s="6" t="s">
        <v>9867</v>
      </c>
      <c r="K2489" s="6" t="s">
        <v>21</v>
      </c>
      <c r="L2489" s="6">
        <v>13</v>
      </c>
      <c r="M2489" s="15" t="s">
        <v>9865</v>
      </c>
      <c r="N2489" s="15" t="s">
        <v>167</v>
      </c>
      <c r="O2489" s="28" t="s">
        <v>9868</v>
      </c>
    </row>
    <row r="2490" spans="1:15" s="1" customFormat="1">
      <c r="A2490" s="3" t="s">
        <v>290</v>
      </c>
      <c r="B2490" s="3"/>
      <c r="C2490" s="3"/>
      <c r="D2490" s="5" t="s">
        <v>291</v>
      </c>
      <c r="E2490" s="5" t="s">
        <v>124</v>
      </c>
      <c r="F2490" s="3" t="s">
        <v>9875</v>
      </c>
      <c r="G2490" s="6">
        <f>17.498*L2490</f>
        <v>52.494</v>
      </c>
      <c r="H2490" s="7">
        <v>41922</v>
      </c>
      <c r="I2490" s="6" t="s">
        <v>265</v>
      </c>
      <c r="J2490" s="6" t="s">
        <v>9876</v>
      </c>
      <c r="K2490" s="6" t="s">
        <v>21</v>
      </c>
      <c r="L2490" s="6">
        <v>3</v>
      </c>
      <c r="M2490" s="15" t="s">
        <v>9877</v>
      </c>
      <c r="N2490" s="15" t="s">
        <v>9878</v>
      </c>
      <c r="O2490" s="28" t="s">
        <v>9877</v>
      </c>
    </row>
    <row r="2491" spans="1:15">
      <c r="A2491" s="3" t="s">
        <v>290</v>
      </c>
      <c r="B2491" s="3"/>
      <c r="C2491" s="3"/>
      <c r="D2491" s="5" t="s">
        <v>291</v>
      </c>
      <c r="E2491" s="5" t="s">
        <v>124</v>
      </c>
      <c r="F2491" s="3" t="s">
        <v>6969</v>
      </c>
      <c r="G2491" s="6">
        <f>17.498*L2491</f>
        <v>34.996000000000002</v>
      </c>
      <c r="H2491" s="7">
        <v>41922</v>
      </c>
      <c r="I2491" s="6" t="s">
        <v>265</v>
      </c>
      <c r="J2491" s="6" t="s">
        <v>6970</v>
      </c>
      <c r="K2491" s="6" t="s">
        <v>21</v>
      </c>
      <c r="L2491" s="6">
        <v>2</v>
      </c>
      <c r="M2491" s="15" t="s">
        <v>6971</v>
      </c>
      <c r="N2491" s="15" t="s">
        <v>6533</v>
      </c>
      <c r="O2491" s="28" t="s">
        <v>6971</v>
      </c>
    </row>
    <row r="2492" spans="1:15" s="1" customFormat="1">
      <c r="A2492" s="3" t="s">
        <v>514</v>
      </c>
      <c r="B2492" s="3"/>
      <c r="C2492" s="3"/>
      <c r="D2492" s="5" t="s">
        <v>2030</v>
      </c>
      <c r="E2492" s="5" t="s">
        <v>124</v>
      </c>
      <c r="F2492" s="3" t="s">
        <v>6972</v>
      </c>
      <c r="G2492" s="6">
        <f>14.405*L2492</f>
        <v>172.85999999999999</v>
      </c>
      <c r="H2492" s="7">
        <v>41922</v>
      </c>
      <c r="I2492" s="6" t="s">
        <v>265</v>
      </c>
      <c r="J2492" s="6" t="s">
        <v>6973</v>
      </c>
      <c r="K2492" s="6" t="s">
        <v>21</v>
      </c>
      <c r="L2492" s="6">
        <v>12</v>
      </c>
      <c r="M2492" s="15" t="s">
        <v>6974</v>
      </c>
      <c r="N2492" s="15" t="s">
        <v>78</v>
      </c>
      <c r="O2492" s="28" t="s">
        <v>6974</v>
      </c>
    </row>
    <row r="2493" spans="1:15" s="1" customFormat="1">
      <c r="A2493" s="3" t="s">
        <v>514</v>
      </c>
      <c r="B2493" s="3"/>
      <c r="C2493" s="3"/>
      <c r="D2493" s="5" t="s">
        <v>2030</v>
      </c>
      <c r="E2493" s="5" t="s">
        <v>124</v>
      </c>
      <c r="F2493" s="3" t="s">
        <v>6975</v>
      </c>
      <c r="G2493" s="6">
        <f>14.405*L2493</f>
        <v>187.26499999999999</v>
      </c>
      <c r="H2493" s="7">
        <v>41922</v>
      </c>
      <c r="I2493" s="6" t="s">
        <v>265</v>
      </c>
      <c r="J2493" s="6" t="s">
        <v>6976</v>
      </c>
      <c r="K2493" s="6" t="s">
        <v>21</v>
      </c>
      <c r="L2493" s="6">
        <v>13</v>
      </c>
      <c r="M2493" s="15" t="s">
        <v>6974</v>
      </c>
      <c r="N2493" s="15" t="s">
        <v>167</v>
      </c>
      <c r="O2493" s="28" t="s">
        <v>6977</v>
      </c>
    </row>
    <row r="2494" spans="1:15">
      <c r="A2494" s="3" t="s">
        <v>5474</v>
      </c>
      <c r="B2494" s="3"/>
      <c r="C2494" s="3"/>
      <c r="D2494" s="5" t="s">
        <v>5475</v>
      </c>
      <c r="E2494" s="5" t="s">
        <v>124</v>
      </c>
      <c r="F2494" s="3" t="s">
        <v>9895</v>
      </c>
      <c r="G2494" s="6">
        <f>17.498*L2494</f>
        <v>262.47000000000003</v>
      </c>
      <c r="H2494" s="7">
        <v>41922</v>
      </c>
      <c r="I2494" s="6" t="s">
        <v>265</v>
      </c>
      <c r="J2494" s="6" t="s">
        <v>9896</v>
      </c>
      <c r="K2494" s="6" t="s">
        <v>5478</v>
      </c>
      <c r="L2494" s="6">
        <v>15</v>
      </c>
      <c r="M2494" s="15" t="s">
        <v>9897</v>
      </c>
      <c r="N2494" s="15" t="s">
        <v>5066</v>
      </c>
      <c r="O2494" s="28" t="s">
        <v>13501</v>
      </c>
    </row>
    <row r="2495" spans="1:15">
      <c r="A2495" s="22" t="s">
        <v>4453</v>
      </c>
      <c r="B2495" s="3"/>
      <c r="C2495" s="3"/>
      <c r="D2495" s="5" t="s">
        <v>3106</v>
      </c>
      <c r="E2495" s="5" t="s">
        <v>7026</v>
      </c>
      <c r="F2495" s="3" t="s">
        <v>9010</v>
      </c>
      <c r="G2495" s="6">
        <f>17.498*L2495</f>
        <v>209.976</v>
      </c>
      <c r="H2495" s="7">
        <v>41922</v>
      </c>
      <c r="I2495" s="6" t="s">
        <v>265</v>
      </c>
      <c r="J2495" s="6" t="s">
        <v>9011</v>
      </c>
      <c r="K2495" s="6" t="s">
        <v>21</v>
      </c>
      <c r="L2495" s="6">
        <v>12</v>
      </c>
      <c r="M2495" s="15" t="s">
        <v>9012</v>
      </c>
      <c r="N2495" s="15" t="s">
        <v>78</v>
      </c>
      <c r="O2495" s="28"/>
    </row>
    <row r="2496" spans="1:15">
      <c r="A2496" s="3" t="s">
        <v>4453</v>
      </c>
      <c r="B2496" s="3"/>
      <c r="C2496" s="3"/>
      <c r="D2496" s="5" t="s">
        <v>3106</v>
      </c>
      <c r="E2496" s="5" t="s">
        <v>7026</v>
      </c>
      <c r="F2496" s="3" t="s">
        <v>9013</v>
      </c>
      <c r="G2496" s="6">
        <f>17.498*L2496</f>
        <v>227.47400000000002</v>
      </c>
      <c r="H2496" s="7">
        <v>41922</v>
      </c>
      <c r="I2496" s="6" t="s">
        <v>265</v>
      </c>
      <c r="J2496" s="6" t="s">
        <v>9014</v>
      </c>
      <c r="K2496" s="6" t="s">
        <v>21</v>
      </c>
      <c r="L2496" s="6">
        <v>13</v>
      </c>
      <c r="M2496" s="15" t="s">
        <v>9012</v>
      </c>
      <c r="N2496" s="15" t="s">
        <v>167</v>
      </c>
      <c r="O2496" s="28"/>
    </row>
    <row r="2497" spans="1:15" s="1" customFormat="1">
      <c r="A2497" s="3" t="s">
        <v>157</v>
      </c>
      <c r="B2497" s="3" t="s">
        <v>283</v>
      </c>
      <c r="C2497" s="3"/>
      <c r="D2497" s="5" t="s">
        <v>1098</v>
      </c>
      <c r="E2497" s="5" t="s">
        <v>124</v>
      </c>
      <c r="F2497" s="3" t="s">
        <v>9898</v>
      </c>
      <c r="G2497" s="6">
        <f>9.871*L2497</f>
        <v>128.32300000000001</v>
      </c>
      <c r="H2497" s="7">
        <v>41923</v>
      </c>
      <c r="I2497" s="6" t="s">
        <v>161</v>
      </c>
      <c r="J2497" s="6" t="s">
        <v>9899</v>
      </c>
      <c r="K2497" s="6" t="s">
        <v>21</v>
      </c>
      <c r="L2497" s="6">
        <v>13</v>
      </c>
      <c r="M2497" s="15" t="s">
        <v>9900</v>
      </c>
      <c r="N2497" s="15" t="s">
        <v>9901</v>
      </c>
      <c r="O2497" s="28" t="s">
        <v>9900</v>
      </c>
    </row>
    <row r="2498" spans="1:15" s="1" customFormat="1">
      <c r="A2498" s="3" t="s">
        <v>1108</v>
      </c>
      <c r="B2498" s="3"/>
      <c r="C2498" s="3"/>
      <c r="D2498" s="5" t="s">
        <v>391</v>
      </c>
      <c r="E2498" s="5" t="s">
        <v>124</v>
      </c>
      <c r="F2498" s="3" t="s">
        <v>6978</v>
      </c>
      <c r="G2498" s="6">
        <f>17.712*L2498</f>
        <v>212.54399999999998</v>
      </c>
      <c r="H2498" s="7">
        <v>41923</v>
      </c>
      <c r="I2498" s="6" t="s">
        <v>265</v>
      </c>
      <c r="J2498" s="6" t="s">
        <v>6979</v>
      </c>
      <c r="K2498" s="6" t="s">
        <v>21</v>
      </c>
      <c r="L2498" s="6">
        <v>12</v>
      </c>
      <c r="M2498" s="15" t="s">
        <v>6980</v>
      </c>
      <c r="N2498" s="15" t="s">
        <v>164</v>
      </c>
      <c r="O2498" s="28" t="s">
        <v>6980</v>
      </c>
    </row>
    <row r="2499" spans="1:15" s="1" customFormat="1">
      <c r="A2499" s="3" t="s">
        <v>1108</v>
      </c>
      <c r="B2499" s="3"/>
      <c r="C2499" s="3"/>
      <c r="D2499" s="5" t="s">
        <v>391</v>
      </c>
      <c r="E2499" s="5" t="s">
        <v>124</v>
      </c>
      <c r="F2499" s="3" t="s">
        <v>9902</v>
      </c>
      <c r="G2499" s="6">
        <f>17.712*L2499</f>
        <v>230.256</v>
      </c>
      <c r="H2499" s="7">
        <v>41923</v>
      </c>
      <c r="I2499" s="6" t="s">
        <v>265</v>
      </c>
      <c r="J2499" s="6" t="s">
        <v>9903</v>
      </c>
      <c r="K2499" s="6" t="s">
        <v>21</v>
      </c>
      <c r="L2499" s="6">
        <v>13</v>
      </c>
      <c r="M2499" s="15" t="s">
        <v>6980</v>
      </c>
      <c r="N2499" s="15" t="s">
        <v>167</v>
      </c>
      <c r="O2499" s="28" t="s">
        <v>9904</v>
      </c>
    </row>
    <row r="2500" spans="1:15" s="1" customFormat="1">
      <c r="A2500" s="3" t="s">
        <v>1285</v>
      </c>
      <c r="B2500" s="3" t="s">
        <v>283</v>
      </c>
      <c r="C2500" s="3"/>
      <c r="D2500" s="5" t="s">
        <v>1287</v>
      </c>
      <c r="E2500" s="5" t="s">
        <v>124</v>
      </c>
      <c r="F2500" s="3" t="s">
        <v>9905</v>
      </c>
      <c r="G2500" s="6">
        <f>8.606*L2500</f>
        <v>86.06</v>
      </c>
      <c r="H2500" s="7">
        <v>41923</v>
      </c>
      <c r="I2500" s="6" t="s">
        <v>272</v>
      </c>
      <c r="J2500" s="6" t="s">
        <v>9906</v>
      </c>
      <c r="K2500" s="6" t="s">
        <v>21</v>
      </c>
      <c r="L2500" s="6">
        <v>10</v>
      </c>
      <c r="M2500" s="15" t="s">
        <v>9907</v>
      </c>
      <c r="N2500" s="15" t="s">
        <v>4953</v>
      </c>
      <c r="O2500" s="28" t="s">
        <v>9907</v>
      </c>
    </row>
    <row r="2501" spans="1:15" s="1" customFormat="1">
      <c r="A2501" s="3" t="s">
        <v>3653</v>
      </c>
      <c r="B2501" s="3"/>
      <c r="C2501" s="3"/>
      <c r="D2501" s="5" t="s">
        <v>495</v>
      </c>
      <c r="E2501" s="5" t="s">
        <v>124</v>
      </c>
      <c r="F2501" s="3" t="s">
        <v>6981</v>
      </c>
      <c r="G2501" s="6">
        <f>12.838*L2501</f>
        <v>154.05599999999998</v>
      </c>
      <c r="H2501" s="7">
        <v>41923</v>
      </c>
      <c r="I2501" s="6" t="s">
        <v>471</v>
      </c>
      <c r="J2501" s="6" t="s">
        <v>6982</v>
      </c>
      <c r="K2501" s="6" t="s">
        <v>21</v>
      </c>
      <c r="L2501" s="6">
        <v>12</v>
      </c>
      <c r="M2501" s="15" t="s">
        <v>6983</v>
      </c>
      <c r="N2501" s="15" t="s">
        <v>164</v>
      </c>
      <c r="O2501" s="28" t="s">
        <v>6983</v>
      </c>
    </row>
    <row r="2502" spans="1:15" s="1" customFormat="1">
      <c r="A2502" s="3" t="s">
        <v>3653</v>
      </c>
      <c r="B2502" s="3"/>
      <c r="C2502" s="3"/>
      <c r="D2502" s="5" t="s">
        <v>495</v>
      </c>
      <c r="E2502" s="5" t="s">
        <v>124</v>
      </c>
      <c r="F2502" s="3" t="s">
        <v>6984</v>
      </c>
      <c r="G2502" s="6">
        <f>12.838*L2502</f>
        <v>166.89399999999998</v>
      </c>
      <c r="H2502" s="7">
        <v>41923</v>
      </c>
      <c r="I2502" s="6" t="s">
        <v>471</v>
      </c>
      <c r="J2502" s="6" t="s">
        <v>6985</v>
      </c>
      <c r="K2502" s="6" t="s">
        <v>21</v>
      </c>
      <c r="L2502" s="6">
        <v>13</v>
      </c>
      <c r="M2502" s="15" t="s">
        <v>6983</v>
      </c>
      <c r="N2502" s="15" t="s">
        <v>167</v>
      </c>
      <c r="O2502" s="28" t="s">
        <v>6986</v>
      </c>
    </row>
    <row r="2503" spans="1:15" s="1" customFormat="1">
      <c r="A2503" s="3" t="s">
        <v>5351</v>
      </c>
      <c r="B2503" s="3"/>
      <c r="C2503" s="3"/>
      <c r="D2503" s="5" t="s">
        <v>364</v>
      </c>
      <c r="E2503" s="5" t="s">
        <v>124</v>
      </c>
      <c r="F2503" s="3" t="s">
        <v>9908</v>
      </c>
      <c r="G2503" s="6">
        <f>12.838*L2503</f>
        <v>102.70399999999999</v>
      </c>
      <c r="H2503" s="7">
        <v>41923</v>
      </c>
      <c r="I2503" s="6" t="s">
        <v>126</v>
      </c>
      <c r="J2503" s="6" t="s">
        <v>9909</v>
      </c>
      <c r="K2503" s="6" t="s">
        <v>21</v>
      </c>
      <c r="L2503" s="6">
        <v>8</v>
      </c>
      <c r="M2503" s="15" t="s">
        <v>5837</v>
      </c>
      <c r="N2503" s="15" t="s">
        <v>892</v>
      </c>
      <c r="O2503" s="28" t="s">
        <v>9910</v>
      </c>
    </row>
    <row r="2504" spans="1:15" s="1" customFormat="1">
      <c r="A2504" s="3" t="s">
        <v>5351</v>
      </c>
      <c r="B2504" s="3"/>
      <c r="C2504" s="3"/>
      <c r="D2504" s="5" t="s">
        <v>364</v>
      </c>
      <c r="E2504" s="5" t="s">
        <v>124</v>
      </c>
      <c r="F2504" s="3" t="s">
        <v>9911</v>
      </c>
      <c r="G2504" s="6">
        <f>12.838*L2504</f>
        <v>115.54199999999999</v>
      </c>
      <c r="H2504" s="7">
        <v>41923</v>
      </c>
      <c r="I2504" s="6" t="s">
        <v>11546</v>
      </c>
      <c r="J2504" s="6" t="s">
        <v>11547</v>
      </c>
      <c r="K2504" s="6" t="s">
        <v>21</v>
      </c>
      <c r="L2504" s="6">
        <v>9</v>
      </c>
      <c r="M2504" s="15" t="s">
        <v>5837</v>
      </c>
      <c r="N2504" s="15" t="s">
        <v>896</v>
      </c>
      <c r="O2504" s="28" t="s">
        <v>9912</v>
      </c>
    </row>
    <row r="2505" spans="1:15" s="1" customFormat="1">
      <c r="A2505" s="3" t="s">
        <v>6006</v>
      </c>
      <c r="B2505" s="3"/>
      <c r="C2505" s="3"/>
      <c r="D2505" s="5" t="s">
        <v>276</v>
      </c>
      <c r="E2505" s="5" t="s">
        <v>124</v>
      </c>
      <c r="F2505" s="3" t="s">
        <v>9913</v>
      </c>
      <c r="G2505" s="6">
        <f>6.405*L2505</f>
        <v>64.05</v>
      </c>
      <c r="H2505" s="7">
        <v>41923</v>
      </c>
      <c r="I2505" s="6" t="s">
        <v>6008</v>
      </c>
      <c r="J2505" s="6" t="s">
        <v>9914</v>
      </c>
      <c r="K2505" s="6" t="s">
        <v>21</v>
      </c>
      <c r="L2505" s="6">
        <v>10</v>
      </c>
      <c r="M2505" s="15" t="s">
        <v>9915</v>
      </c>
      <c r="N2505" s="15" t="s">
        <v>4953</v>
      </c>
      <c r="O2505" s="28" t="s">
        <v>9915</v>
      </c>
    </row>
    <row r="2506" spans="1:15" s="1" customFormat="1">
      <c r="A2506" s="3" t="s">
        <v>6006</v>
      </c>
      <c r="B2506" s="3"/>
      <c r="C2506" s="3"/>
      <c r="D2506" s="5" t="s">
        <v>276</v>
      </c>
      <c r="E2506" s="5" t="s">
        <v>124</v>
      </c>
      <c r="F2506" s="3" t="s">
        <v>9916</v>
      </c>
      <c r="G2506" s="6">
        <f>6.405*L2506</f>
        <v>64.05</v>
      </c>
      <c r="H2506" s="7">
        <v>41923</v>
      </c>
      <c r="I2506" s="6" t="s">
        <v>6008</v>
      </c>
      <c r="J2506" s="6" t="s">
        <v>9917</v>
      </c>
      <c r="K2506" s="6" t="s">
        <v>21</v>
      </c>
      <c r="L2506" s="6">
        <v>10</v>
      </c>
      <c r="M2506" s="15" t="s">
        <v>9915</v>
      </c>
      <c r="N2506" s="15" t="s">
        <v>556</v>
      </c>
      <c r="O2506" s="28" t="s">
        <v>9918</v>
      </c>
    </row>
    <row r="2507" spans="1:15" s="1" customFormat="1">
      <c r="A2507" s="3" t="s">
        <v>793</v>
      </c>
      <c r="B2507" s="3"/>
      <c r="C2507" s="3"/>
      <c r="D2507" s="5" t="s">
        <v>794</v>
      </c>
      <c r="E2507" s="5" t="s">
        <v>124</v>
      </c>
      <c r="F2507" s="3" t="s">
        <v>9919</v>
      </c>
      <c r="G2507" s="6">
        <f>8.137*L2507</f>
        <v>122.05500000000001</v>
      </c>
      <c r="H2507" s="7">
        <v>41923</v>
      </c>
      <c r="I2507" s="6" t="s">
        <v>186</v>
      </c>
      <c r="J2507" s="6" t="s">
        <v>9920</v>
      </c>
      <c r="K2507" s="6" t="s">
        <v>21</v>
      </c>
      <c r="L2507" s="6">
        <v>15</v>
      </c>
      <c r="M2507" s="15" t="s">
        <v>9921</v>
      </c>
      <c r="N2507" s="15" t="s">
        <v>5066</v>
      </c>
      <c r="O2507" s="28" t="s">
        <v>9921</v>
      </c>
    </row>
    <row r="2508" spans="1:15" s="1" customFormat="1">
      <c r="A2508" s="3" t="s">
        <v>788</v>
      </c>
      <c r="B2508" s="3" t="s">
        <v>283</v>
      </c>
      <c r="C2508" s="3"/>
      <c r="D2508" s="5" t="s">
        <v>789</v>
      </c>
      <c r="E2508" s="5" t="s">
        <v>124</v>
      </c>
      <c r="F2508" s="3" t="s">
        <v>9926</v>
      </c>
      <c r="G2508" s="6">
        <f>8.606*L2508</f>
        <v>43.03</v>
      </c>
      <c r="H2508" s="7">
        <v>41923</v>
      </c>
      <c r="I2508" s="6" t="s">
        <v>272</v>
      </c>
      <c r="J2508" s="6" t="s">
        <v>9927</v>
      </c>
      <c r="K2508" s="6" t="s">
        <v>21</v>
      </c>
      <c r="L2508" s="6">
        <v>5</v>
      </c>
      <c r="M2508" s="15" t="s">
        <v>9924</v>
      </c>
      <c r="N2508" s="15" t="s">
        <v>9928</v>
      </c>
      <c r="O2508" s="28" t="s">
        <v>9929</v>
      </c>
    </row>
    <row r="2509" spans="1:15" s="1" customFormat="1">
      <c r="A2509" s="22" t="s">
        <v>9930</v>
      </c>
      <c r="B2509" s="4" t="s">
        <v>283</v>
      </c>
      <c r="C2509" s="3"/>
      <c r="D2509" s="5" t="s">
        <v>789</v>
      </c>
      <c r="E2509" s="5" t="s">
        <v>124</v>
      </c>
      <c r="F2509" s="3" t="s">
        <v>9931</v>
      </c>
      <c r="G2509" s="6">
        <f>8.606*L2509</f>
        <v>68.847999999999999</v>
      </c>
      <c r="H2509" s="7">
        <v>41923</v>
      </c>
      <c r="I2509" s="6" t="s">
        <v>272</v>
      </c>
      <c r="J2509" s="6" t="s">
        <v>9932</v>
      </c>
      <c r="K2509" s="6" t="s">
        <v>21</v>
      </c>
      <c r="L2509" s="6">
        <v>8</v>
      </c>
      <c r="M2509" s="15" t="s">
        <v>9924</v>
      </c>
      <c r="N2509" s="15" t="s">
        <v>1096</v>
      </c>
      <c r="O2509" s="28" t="s">
        <v>9924</v>
      </c>
    </row>
    <row r="2510" spans="1:15" s="1" customFormat="1">
      <c r="A2510" s="3" t="s">
        <v>1216</v>
      </c>
      <c r="B2510" s="3"/>
      <c r="C2510" s="3"/>
      <c r="D2510" s="5" t="s">
        <v>2117</v>
      </c>
      <c r="E2510" s="5" t="s">
        <v>124</v>
      </c>
      <c r="F2510" s="3" t="s">
        <v>9945</v>
      </c>
      <c r="G2510" s="6">
        <v>232.44900000000001</v>
      </c>
      <c r="H2510" s="7">
        <v>41925</v>
      </c>
      <c r="I2510" s="6" t="s">
        <v>209</v>
      </c>
      <c r="J2510" s="6" t="s">
        <v>9946</v>
      </c>
      <c r="K2510" s="6" t="s">
        <v>128</v>
      </c>
      <c r="L2510" s="6" t="s">
        <v>1226</v>
      </c>
      <c r="M2510" s="15" t="s">
        <v>9947</v>
      </c>
      <c r="N2510" s="15" t="s">
        <v>5419</v>
      </c>
      <c r="O2510" s="28" t="s">
        <v>9948</v>
      </c>
    </row>
    <row r="2511" spans="1:15" s="1" customFormat="1">
      <c r="A2511" s="3" t="s">
        <v>1216</v>
      </c>
      <c r="B2511" s="3"/>
      <c r="C2511" s="3"/>
      <c r="D2511" s="5" t="s">
        <v>2117</v>
      </c>
      <c r="E2511" s="5" t="s">
        <v>124</v>
      </c>
      <c r="F2511" s="3" t="s">
        <v>9949</v>
      </c>
      <c r="G2511" s="6">
        <v>139.29499999999999</v>
      </c>
      <c r="H2511" s="7">
        <v>41925</v>
      </c>
      <c r="I2511" s="6" t="s">
        <v>209</v>
      </c>
      <c r="J2511" s="6" t="s">
        <v>9950</v>
      </c>
      <c r="K2511" s="6" t="s">
        <v>128</v>
      </c>
      <c r="L2511" s="6" t="s">
        <v>2183</v>
      </c>
      <c r="M2511" s="15" t="s">
        <v>9947</v>
      </c>
      <c r="N2511" s="15" t="s">
        <v>9951</v>
      </c>
      <c r="O2511" s="28" t="s">
        <v>9952</v>
      </c>
    </row>
    <row r="2512" spans="1:15" s="1" customFormat="1">
      <c r="A2512" s="3" t="s">
        <v>1534</v>
      </c>
      <c r="B2512" s="3"/>
      <c r="C2512" s="3"/>
      <c r="D2512" s="5" t="s">
        <v>2128</v>
      </c>
      <c r="E2512" s="5" t="s">
        <v>124</v>
      </c>
      <c r="F2512" s="3" t="s">
        <v>9953</v>
      </c>
      <c r="G2512" s="6">
        <v>260.24099999999999</v>
      </c>
      <c r="H2512" s="7">
        <v>41925</v>
      </c>
      <c r="I2512" s="6" t="s">
        <v>209</v>
      </c>
      <c r="J2512" s="6" t="s">
        <v>9954</v>
      </c>
      <c r="K2512" s="6" t="s">
        <v>128</v>
      </c>
      <c r="L2512" s="6" t="s">
        <v>1885</v>
      </c>
      <c r="M2512" s="15" t="s">
        <v>9955</v>
      </c>
      <c r="N2512" s="15" t="s">
        <v>9956</v>
      </c>
      <c r="O2512" s="28" t="s">
        <v>9957</v>
      </c>
    </row>
    <row r="2513" spans="1:15" s="1" customFormat="1">
      <c r="A2513" s="3" t="s">
        <v>1534</v>
      </c>
      <c r="B2513" s="3"/>
      <c r="C2513" s="3"/>
      <c r="D2513" s="5" t="s">
        <v>2128</v>
      </c>
      <c r="E2513" s="5" t="s">
        <v>124</v>
      </c>
      <c r="F2513" s="3" t="s">
        <v>9958</v>
      </c>
      <c r="G2513" s="6">
        <v>142.06299999999999</v>
      </c>
      <c r="H2513" s="7">
        <v>41925</v>
      </c>
      <c r="I2513" s="6" t="s">
        <v>209</v>
      </c>
      <c r="J2513" s="6" t="s">
        <v>9959</v>
      </c>
      <c r="K2513" s="6" t="s">
        <v>128</v>
      </c>
      <c r="L2513" s="6" t="s">
        <v>1641</v>
      </c>
      <c r="M2513" s="15" t="s">
        <v>9960</v>
      </c>
      <c r="N2513" s="15" t="s">
        <v>9961</v>
      </c>
      <c r="O2513" s="28" t="s">
        <v>9962</v>
      </c>
    </row>
    <row r="2514" spans="1:15" s="1" customFormat="1">
      <c r="A2514" s="3" t="s">
        <v>1311</v>
      </c>
      <c r="B2514" s="3"/>
      <c r="C2514" s="3"/>
      <c r="D2514" s="5" t="s">
        <v>1312</v>
      </c>
      <c r="E2514" s="5" t="s">
        <v>124</v>
      </c>
      <c r="F2514" s="3" t="s">
        <v>9967</v>
      </c>
      <c r="G2514" s="6">
        <v>85.108000000000004</v>
      </c>
      <c r="H2514" s="7">
        <v>41925</v>
      </c>
      <c r="I2514" s="6" t="s">
        <v>209</v>
      </c>
      <c r="J2514" s="6" t="s">
        <v>9968</v>
      </c>
      <c r="K2514" s="6" t="s">
        <v>128</v>
      </c>
      <c r="L2514" s="6" t="s">
        <v>2788</v>
      </c>
      <c r="M2514" s="15" t="s">
        <v>9969</v>
      </c>
      <c r="N2514" s="15" t="s">
        <v>9970</v>
      </c>
      <c r="O2514" s="28" t="s">
        <v>9971</v>
      </c>
    </row>
    <row r="2515" spans="1:15" s="1" customFormat="1">
      <c r="A2515" s="3" t="s">
        <v>5890</v>
      </c>
      <c r="B2515" s="3"/>
      <c r="C2515" s="3"/>
      <c r="D2515" s="5" t="s">
        <v>5892</v>
      </c>
      <c r="E2515" s="5" t="s">
        <v>124</v>
      </c>
      <c r="F2515" s="3" t="s">
        <v>6987</v>
      </c>
      <c r="G2515" s="6">
        <v>251.69800000000001</v>
      </c>
      <c r="H2515" s="7">
        <v>41925</v>
      </c>
      <c r="I2515" s="6" t="s">
        <v>178</v>
      </c>
      <c r="J2515" s="6" t="s">
        <v>6988</v>
      </c>
      <c r="K2515" s="6" t="s">
        <v>128</v>
      </c>
      <c r="L2515" s="6" t="s">
        <v>808</v>
      </c>
      <c r="M2515" s="15" t="s">
        <v>6989</v>
      </c>
      <c r="N2515" s="15" t="s">
        <v>4829</v>
      </c>
      <c r="O2515" s="28" t="s">
        <v>6990</v>
      </c>
    </row>
    <row r="2516" spans="1:15" s="1" customFormat="1">
      <c r="A2516" s="3" t="s">
        <v>5890</v>
      </c>
      <c r="B2516" s="3"/>
      <c r="C2516" s="3"/>
      <c r="D2516" s="5" t="s">
        <v>5892</v>
      </c>
      <c r="E2516" s="5" t="s">
        <v>124</v>
      </c>
      <c r="F2516" s="3" t="s">
        <v>9972</v>
      </c>
      <c r="G2516" s="6">
        <v>251.815</v>
      </c>
      <c r="H2516" s="7">
        <v>41925</v>
      </c>
      <c r="I2516" s="6" t="s">
        <v>178</v>
      </c>
      <c r="J2516" s="6" t="s">
        <v>9973</v>
      </c>
      <c r="K2516" s="6" t="s">
        <v>128</v>
      </c>
      <c r="L2516" s="6" t="s">
        <v>808</v>
      </c>
      <c r="M2516" s="15" t="s">
        <v>9974</v>
      </c>
      <c r="N2516" s="15" t="s">
        <v>5159</v>
      </c>
      <c r="O2516" s="28" t="s">
        <v>9975</v>
      </c>
    </row>
    <row r="2517" spans="1:15" s="1" customFormat="1">
      <c r="A2517" s="3" t="s">
        <v>5890</v>
      </c>
      <c r="B2517" s="3"/>
      <c r="C2517" s="3"/>
      <c r="D2517" s="5" t="s">
        <v>5892</v>
      </c>
      <c r="E2517" s="5" t="s">
        <v>124</v>
      </c>
      <c r="F2517" s="3" t="s">
        <v>9976</v>
      </c>
      <c r="G2517" s="6">
        <v>251.726</v>
      </c>
      <c r="H2517" s="7">
        <v>41925</v>
      </c>
      <c r="I2517" s="6" t="s">
        <v>178</v>
      </c>
      <c r="J2517" s="6" t="s">
        <v>9977</v>
      </c>
      <c r="K2517" s="6" t="s">
        <v>128</v>
      </c>
      <c r="L2517" s="6" t="s">
        <v>808</v>
      </c>
      <c r="M2517" s="15" t="s">
        <v>9978</v>
      </c>
      <c r="N2517" s="15" t="s">
        <v>5154</v>
      </c>
      <c r="O2517" s="28" t="s">
        <v>9979</v>
      </c>
    </row>
    <row r="2518" spans="1:15" s="1" customFormat="1">
      <c r="A2518" s="3" t="s">
        <v>5899</v>
      </c>
      <c r="B2518" s="3"/>
      <c r="C2518" s="3"/>
      <c r="D2518" s="5" t="s">
        <v>5892</v>
      </c>
      <c r="E2518" s="5" t="s">
        <v>124</v>
      </c>
      <c r="F2518" s="3" t="s">
        <v>6991</v>
      </c>
      <c r="G2518" s="6">
        <v>251.75399999999999</v>
      </c>
      <c r="H2518" s="7">
        <v>41925</v>
      </c>
      <c r="I2518" s="6" t="s">
        <v>209</v>
      </c>
      <c r="J2518" s="6" t="s">
        <v>6992</v>
      </c>
      <c r="K2518" s="6" t="s">
        <v>128</v>
      </c>
      <c r="L2518" s="6" t="s">
        <v>808</v>
      </c>
      <c r="M2518" s="15" t="s">
        <v>6993</v>
      </c>
      <c r="N2518" s="15" t="s">
        <v>6994</v>
      </c>
      <c r="O2518" s="28" t="s">
        <v>6995</v>
      </c>
    </row>
    <row r="2519" spans="1:15" s="1" customFormat="1">
      <c r="A2519" s="3" t="s">
        <v>5899</v>
      </c>
      <c r="B2519" s="3"/>
      <c r="C2519" s="3"/>
      <c r="D2519" s="5" t="s">
        <v>5892</v>
      </c>
      <c r="E2519" s="5" t="s">
        <v>124</v>
      </c>
      <c r="F2519" s="3" t="s">
        <v>9980</v>
      </c>
      <c r="G2519" s="6">
        <v>251.869</v>
      </c>
      <c r="H2519" s="7">
        <v>41925</v>
      </c>
      <c r="I2519" s="6" t="s">
        <v>209</v>
      </c>
      <c r="J2519" s="6" t="s">
        <v>9981</v>
      </c>
      <c r="K2519" s="6" t="s">
        <v>128</v>
      </c>
      <c r="L2519" s="6" t="s">
        <v>808</v>
      </c>
      <c r="M2519" s="15" t="s">
        <v>9982</v>
      </c>
      <c r="N2519" s="15" t="s">
        <v>9983</v>
      </c>
      <c r="O2519" s="28" t="s">
        <v>9984</v>
      </c>
    </row>
    <row r="2520" spans="1:15" s="1" customFormat="1">
      <c r="A2520" s="3" t="s">
        <v>5899</v>
      </c>
      <c r="B2520" s="3"/>
      <c r="C2520" s="3"/>
      <c r="D2520" s="5" t="s">
        <v>5892</v>
      </c>
      <c r="E2520" s="5" t="s">
        <v>124</v>
      </c>
      <c r="F2520" s="3" t="s">
        <v>9985</v>
      </c>
      <c r="G2520" s="6">
        <v>251.672</v>
      </c>
      <c r="H2520" s="7">
        <v>41925</v>
      </c>
      <c r="I2520" s="6" t="s">
        <v>209</v>
      </c>
      <c r="J2520" s="6" t="s">
        <v>9986</v>
      </c>
      <c r="K2520" s="6" t="s">
        <v>128</v>
      </c>
      <c r="L2520" s="6" t="s">
        <v>808</v>
      </c>
      <c r="M2520" s="15" t="s">
        <v>9987</v>
      </c>
      <c r="N2520" s="15" t="s">
        <v>9988</v>
      </c>
      <c r="O2520" s="28" t="s">
        <v>9989</v>
      </c>
    </row>
    <row r="2521" spans="1:15" s="1" customFormat="1">
      <c r="A2521" s="3" t="s">
        <v>215</v>
      </c>
      <c r="B2521" s="3"/>
      <c r="C2521" s="3"/>
      <c r="D2521" s="5" t="s">
        <v>216</v>
      </c>
      <c r="E2521" s="5" t="s">
        <v>124</v>
      </c>
      <c r="F2521" s="3" t="s">
        <v>9995</v>
      </c>
      <c r="G2521" s="6">
        <v>102.937</v>
      </c>
      <c r="H2521" s="7">
        <v>41925</v>
      </c>
      <c r="I2521" s="6" t="s">
        <v>209</v>
      </c>
      <c r="J2521" s="6" t="s">
        <v>9996</v>
      </c>
      <c r="K2521" s="6" t="s">
        <v>128</v>
      </c>
      <c r="L2521" s="6" t="s">
        <v>6998</v>
      </c>
      <c r="M2521" s="15" t="s">
        <v>9997</v>
      </c>
      <c r="N2521" s="15" t="s">
        <v>9998</v>
      </c>
      <c r="O2521" s="28" t="s">
        <v>9999</v>
      </c>
    </row>
    <row r="2522" spans="1:15" s="1" customFormat="1">
      <c r="A2522" s="3" t="s">
        <v>215</v>
      </c>
      <c r="B2522" s="3"/>
      <c r="C2522" s="3"/>
      <c r="D2522" s="5" t="s">
        <v>216</v>
      </c>
      <c r="E2522" s="5" t="s">
        <v>124</v>
      </c>
      <c r="F2522" s="3" t="s">
        <v>6996</v>
      </c>
      <c r="G2522" s="6">
        <v>102.97</v>
      </c>
      <c r="H2522" s="7">
        <v>41925</v>
      </c>
      <c r="I2522" s="6" t="s">
        <v>209</v>
      </c>
      <c r="J2522" s="6" t="s">
        <v>6997</v>
      </c>
      <c r="K2522" s="6" t="s">
        <v>128</v>
      </c>
      <c r="L2522" s="6" t="s">
        <v>6998</v>
      </c>
      <c r="M2522" s="15" t="s">
        <v>6999</v>
      </c>
      <c r="N2522" s="15" t="s">
        <v>7000</v>
      </c>
      <c r="O2522" s="28" t="s">
        <v>7001</v>
      </c>
    </row>
    <row r="2523" spans="1:15" s="1" customFormat="1">
      <c r="A2523" s="22" t="s">
        <v>10000</v>
      </c>
      <c r="B2523" s="3"/>
      <c r="C2523" s="3"/>
      <c r="D2523" s="5" t="s">
        <v>10001</v>
      </c>
      <c r="E2523" s="5" t="s">
        <v>124</v>
      </c>
      <c r="F2523" s="3" t="s">
        <v>10002</v>
      </c>
      <c r="G2523" s="6">
        <v>20.161999999999999</v>
      </c>
      <c r="H2523" s="7">
        <v>41925</v>
      </c>
      <c r="I2523" s="6" t="s">
        <v>6916</v>
      </c>
      <c r="J2523" s="6" t="s">
        <v>10003</v>
      </c>
      <c r="K2523" s="6" t="s">
        <v>10004</v>
      </c>
      <c r="L2523" s="6" t="s">
        <v>743</v>
      </c>
      <c r="M2523" s="15" t="s">
        <v>10005</v>
      </c>
      <c r="N2523" s="15" t="s">
        <v>10006</v>
      </c>
      <c r="O2523" s="28" t="s">
        <v>10007</v>
      </c>
    </row>
    <row r="2524" spans="1:15" s="1" customFormat="1">
      <c r="A2524" s="3" t="s">
        <v>10000</v>
      </c>
      <c r="B2524" s="3"/>
      <c r="C2524" s="3"/>
      <c r="D2524" s="5" t="s">
        <v>10001</v>
      </c>
      <c r="E2524" s="5" t="s">
        <v>124</v>
      </c>
      <c r="F2524" s="3" t="s">
        <v>10008</v>
      </c>
      <c r="G2524" s="6">
        <v>40.311999999999998</v>
      </c>
      <c r="H2524" s="7">
        <v>41925</v>
      </c>
      <c r="I2524" s="6" t="s">
        <v>6916</v>
      </c>
      <c r="J2524" s="6" t="s">
        <v>10009</v>
      </c>
      <c r="K2524" s="6" t="s">
        <v>10004</v>
      </c>
      <c r="L2524" s="6" t="s">
        <v>1635</v>
      </c>
      <c r="M2524" s="15" t="s">
        <v>10005</v>
      </c>
      <c r="N2524" s="15" t="s">
        <v>10010</v>
      </c>
      <c r="O2524" s="28" t="s">
        <v>10011</v>
      </c>
    </row>
    <row r="2525" spans="1:15" s="1" customFormat="1">
      <c r="A2525" s="22" t="s">
        <v>10012</v>
      </c>
      <c r="B2525" s="3"/>
      <c r="C2525" s="3"/>
      <c r="D2525" s="5" t="s">
        <v>10001</v>
      </c>
      <c r="E2525" s="5" t="s">
        <v>124</v>
      </c>
      <c r="F2525" s="3" t="s">
        <v>10013</v>
      </c>
      <c r="G2525" s="6">
        <v>20.158999999999999</v>
      </c>
      <c r="H2525" s="7">
        <v>41925</v>
      </c>
      <c r="I2525" s="6" t="s">
        <v>10014</v>
      </c>
      <c r="J2525" s="6" t="s">
        <v>10015</v>
      </c>
      <c r="K2525" s="6" t="s">
        <v>128</v>
      </c>
      <c r="L2525" s="6" t="s">
        <v>743</v>
      </c>
      <c r="M2525" s="15" t="s">
        <v>10005</v>
      </c>
      <c r="N2525" s="15" t="s">
        <v>10016</v>
      </c>
      <c r="O2525" s="28" t="s">
        <v>10017</v>
      </c>
    </row>
    <row r="2526" spans="1:15" s="1" customFormat="1">
      <c r="A2526" s="3" t="s">
        <v>88</v>
      </c>
      <c r="B2526" s="3"/>
      <c r="C2526" s="3"/>
      <c r="D2526" s="5" t="s">
        <v>55</v>
      </c>
      <c r="E2526" s="5" t="s">
        <v>17</v>
      </c>
      <c r="F2526" s="3" t="s">
        <v>9128</v>
      </c>
      <c r="G2526" s="6">
        <f>8.926*L2526</f>
        <v>107.11199999999999</v>
      </c>
      <c r="H2526" s="7">
        <v>41926</v>
      </c>
      <c r="I2526" s="6" t="s">
        <v>50</v>
      </c>
      <c r="J2526" s="6" t="s">
        <v>9129</v>
      </c>
      <c r="K2526" s="6" t="s">
        <v>21</v>
      </c>
      <c r="L2526" s="6">
        <v>12</v>
      </c>
      <c r="M2526" s="15" t="s">
        <v>9130</v>
      </c>
      <c r="N2526" s="15" t="s">
        <v>5860</v>
      </c>
      <c r="O2526" s="28"/>
    </row>
    <row r="2527" spans="1:15" s="1" customFormat="1">
      <c r="A2527" s="3" t="s">
        <v>585</v>
      </c>
      <c r="B2527" s="3"/>
      <c r="C2527" s="3"/>
      <c r="D2527" s="5" t="s">
        <v>586</v>
      </c>
      <c r="E2527" s="5" t="s">
        <v>124</v>
      </c>
      <c r="F2527" s="3" t="s">
        <v>7002</v>
      </c>
      <c r="G2527" s="6">
        <f t="shared" ref="G2527:G2532" si="100">17.52*L2527</f>
        <v>122.64</v>
      </c>
      <c r="H2527" s="7">
        <v>41926</v>
      </c>
      <c r="I2527" s="6" t="s">
        <v>209</v>
      </c>
      <c r="J2527" s="6" t="s">
        <v>7003</v>
      </c>
      <c r="K2527" s="6" t="s">
        <v>21</v>
      </c>
      <c r="L2527" s="6">
        <v>7</v>
      </c>
      <c r="M2527" s="15" t="s">
        <v>7004</v>
      </c>
      <c r="N2527" s="15" t="s">
        <v>5472</v>
      </c>
      <c r="O2527" s="28" t="s">
        <v>7004</v>
      </c>
    </row>
    <row r="2528" spans="1:15" s="1" customFormat="1">
      <c r="A2528" s="3" t="s">
        <v>1498</v>
      </c>
      <c r="B2528" s="3"/>
      <c r="C2528" s="3"/>
      <c r="D2528" s="5" t="s">
        <v>1499</v>
      </c>
      <c r="E2528" s="5" t="s">
        <v>124</v>
      </c>
      <c r="F2528" s="3" t="s">
        <v>10024</v>
      </c>
      <c r="G2528" s="6">
        <f t="shared" si="100"/>
        <v>175.2</v>
      </c>
      <c r="H2528" s="7">
        <v>41926</v>
      </c>
      <c r="I2528" s="6" t="s">
        <v>265</v>
      </c>
      <c r="J2528" s="6" t="s">
        <v>10025</v>
      </c>
      <c r="K2528" s="6" t="s">
        <v>21</v>
      </c>
      <c r="L2528" s="6">
        <v>10</v>
      </c>
      <c r="M2528" s="15" t="s">
        <v>10026</v>
      </c>
      <c r="N2528" s="15" t="s">
        <v>4953</v>
      </c>
      <c r="O2528" s="28" t="s">
        <v>10026</v>
      </c>
    </row>
    <row r="2529" spans="1:15" s="1" customFormat="1">
      <c r="A2529" s="3" t="s">
        <v>1498</v>
      </c>
      <c r="B2529" s="3"/>
      <c r="C2529" s="3"/>
      <c r="D2529" s="5" t="s">
        <v>1499</v>
      </c>
      <c r="E2529" s="5" t="s">
        <v>124</v>
      </c>
      <c r="F2529" s="3" t="s">
        <v>10027</v>
      </c>
      <c r="G2529" s="6">
        <f t="shared" si="100"/>
        <v>227.76</v>
      </c>
      <c r="H2529" s="7">
        <v>41926</v>
      </c>
      <c r="I2529" s="6" t="s">
        <v>265</v>
      </c>
      <c r="J2529" s="6" t="s">
        <v>10028</v>
      </c>
      <c r="K2529" s="6" t="s">
        <v>21</v>
      </c>
      <c r="L2529" s="6">
        <v>13</v>
      </c>
      <c r="M2529" s="15" t="s">
        <v>10026</v>
      </c>
      <c r="N2529" s="15" t="s">
        <v>10029</v>
      </c>
      <c r="O2529" s="28" t="s">
        <v>10030</v>
      </c>
    </row>
    <row r="2530" spans="1:15" s="1" customFormat="1">
      <c r="A2530" s="3" t="s">
        <v>6772</v>
      </c>
      <c r="B2530" s="3"/>
      <c r="C2530" s="3"/>
      <c r="D2530" s="5" t="s">
        <v>6773</v>
      </c>
      <c r="E2530" s="5" t="s">
        <v>124</v>
      </c>
      <c r="F2530" s="3" t="s">
        <v>10031</v>
      </c>
      <c r="G2530" s="6">
        <f t="shared" si="100"/>
        <v>35.04</v>
      </c>
      <c r="H2530" s="7">
        <v>41926</v>
      </c>
      <c r="I2530" s="6" t="s">
        <v>172</v>
      </c>
      <c r="J2530" s="6" t="s">
        <v>10032</v>
      </c>
      <c r="K2530" s="6" t="s">
        <v>21</v>
      </c>
      <c r="L2530" s="6">
        <v>2</v>
      </c>
      <c r="M2530" s="15" t="s">
        <v>10033</v>
      </c>
      <c r="N2530" s="15" t="s">
        <v>10034</v>
      </c>
      <c r="O2530" s="28" t="s">
        <v>10033</v>
      </c>
    </row>
    <row r="2531" spans="1:15" s="1" customFormat="1">
      <c r="A2531" s="3" t="s">
        <v>777</v>
      </c>
      <c r="B2531" s="3"/>
      <c r="C2531" s="3"/>
      <c r="D2531" s="5" t="s">
        <v>778</v>
      </c>
      <c r="E2531" s="5" t="s">
        <v>124</v>
      </c>
      <c r="F2531" s="3" t="s">
        <v>7005</v>
      </c>
      <c r="G2531" s="6">
        <f t="shared" si="100"/>
        <v>210.24</v>
      </c>
      <c r="H2531" s="7">
        <v>41926</v>
      </c>
      <c r="I2531" s="6" t="s">
        <v>265</v>
      </c>
      <c r="J2531" s="6" t="s">
        <v>7006</v>
      </c>
      <c r="K2531" s="6" t="s">
        <v>21</v>
      </c>
      <c r="L2531" s="6">
        <v>12</v>
      </c>
      <c r="M2531" s="15" t="s">
        <v>7007</v>
      </c>
      <c r="N2531" s="15" t="s">
        <v>78</v>
      </c>
      <c r="O2531" s="28" t="s">
        <v>7007</v>
      </c>
    </row>
    <row r="2532" spans="1:15" s="1" customFormat="1">
      <c r="A2532" s="3" t="s">
        <v>777</v>
      </c>
      <c r="B2532" s="3"/>
      <c r="C2532" s="3"/>
      <c r="D2532" s="5" t="s">
        <v>778</v>
      </c>
      <c r="E2532" s="5" t="s">
        <v>124</v>
      </c>
      <c r="F2532" s="3" t="s">
        <v>7008</v>
      </c>
      <c r="G2532" s="6">
        <f t="shared" si="100"/>
        <v>227.76</v>
      </c>
      <c r="H2532" s="7">
        <v>41926</v>
      </c>
      <c r="I2532" s="6" t="s">
        <v>265</v>
      </c>
      <c r="J2532" s="6" t="s">
        <v>7009</v>
      </c>
      <c r="K2532" s="6" t="s">
        <v>21</v>
      </c>
      <c r="L2532" s="6">
        <v>13</v>
      </c>
      <c r="M2532" s="15" t="s">
        <v>7007</v>
      </c>
      <c r="N2532" s="15" t="s">
        <v>81</v>
      </c>
      <c r="O2532" s="28" t="s">
        <v>7010</v>
      </c>
    </row>
    <row r="2533" spans="1:15" s="1" customFormat="1">
      <c r="A2533" s="3" t="s">
        <v>1187</v>
      </c>
      <c r="B2533" s="3"/>
      <c r="C2533" s="3"/>
      <c r="D2533" s="5" t="s">
        <v>1188</v>
      </c>
      <c r="E2533" s="5" t="s">
        <v>124</v>
      </c>
      <c r="F2533" s="3" t="s">
        <v>10035</v>
      </c>
      <c r="G2533" s="6">
        <f>29.101*L2533</f>
        <v>116.404</v>
      </c>
      <c r="H2533" s="7">
        <v>41926</v>
      </c>
      <c r="I2533" s="6" t="s">
        <v>178</v>
      </c>
      <c r="J2533" s="6" t="s">
        <v>10036</v>
      </c>
      <c r="K2533" s="6" t="s">
        <v>21</v>
      </c>
      <c r="L2533" s="6">
        <v>4</v>
      </c>
      <c r="M2533" s="15" t="s">
        <v>10037</v>
      </c>
      <c r="N2533" s="15" t="s">
        <v>5972</v>
      </c>
      <c r="O2533" s="28" t="s">
        <v>10037</v>
      </c>
    </row>
    <row r="2534" spans="1:15" s="1" customFormat="1">
      <c r="A2534" s="3" t="s">
        <v>514</v>
      </c>
      <c r="B2534" s="3"/>
      <c r="C2534" s="3"/>
      <c r="D2534" s="5" t="s">
        <v>2030</v>
      </c>
      <c r="E2534" s="5" t="s">
        <v>124</v>
      </c>
      <c r="F2534" s="3" t="s">
        <v>7011</v>
      </c>
      <c r="G2534" s="6">
        <f>14.405*L2534</f>
        <v>28.81</v>
      </c>
      <c r="H2534" s="7">
        <v>41926</v>
      </c>
      <c r="I2534" s="6" t="s">
        <v>265</v>
      </c>
      <c r="J2534" s="6" t="s">
        <v>7012</v>
      </c>
      <c r="K2534" s="6" t="s">
        <v>21</v>
      </c>
      <c r="L2534" s="6">
        <v>2</v>
      </c>
      <c r="M2534" s="15" t="s">
        <v>7013</v>
      </c>
      <c r="N2534" s="15" t="s">
        <v>7014</v>
      </c>
      <c r="O2534" s="28" t="s">
        <v>7013</v>
      </c>
    </row>
    <row r="2535" spans="1:15" s="1" customFormat="1">
      <c r="A2535" s="3" t="s">
        <v>514</v>
      </c>
      <c r="B2535" s="3"/>
      <c r="C2535" s="3"/>
      <c r="D2535" s="5" t="s">
        <v>2030</v>
      </c>
      <c r="E2535" s="5" t="s">
        <v>124</v>
      </c>
      <c r="F2535" s="3" t="s">
        <v>10038</v>
      </c>
      <c r="G2535" s="6">
        <f>14.405*L2535</f>
        <v>144.04999999999998</v>
      </c>
      <c r="H2535" s="7">
        <v>41926</v>
      </c>
      <c r="I2535" s="6" t="s">
        <v>265</v>
      </c>
      <c r="J2535" s="6" t="s">
        <v>10039</v>
      </c>
      <c r="K2535" s="6" t="s">
        <v>21</v>
      </c>
      <c r="L2535" s="6">
        <v>10</v>
      </c>
      <c r="M2535" s="15" t="s">
        <v>10040</v>
      </c>
      <c r="N2535" s="15" t="s">
        <v>10041</v>
      </c>
      <c r="O2535" s="28" t="s">
        <v>10040</v>
      </c>
    </row>
    <row r="2536" spans="1:15" s="1" customFormat="1">
      <c r="A2536" s="3" t="s">
        <v>514</v>
      </c>
      <c r="B2536" s="3"/>
      <c r="C2536" s="3"/>
      <c r="D2536" s="5" t="s">
        <v>2030</v>
      </c>
      <c r="E2536" s="5" t="s">
        <v>124</v>
      </c>
      <c r="F2536" s="3" t="s">
        <v>10042</v>
      </c>
      <c r="G2536" s="6">
        <f>14.405*L2536</f>
        <v>187.26499999999999</v>
      </c>
      <c r="H2536" s="7">
        <v>41926</v>
      </c>
      <c r="I2536" s="6" t="s">
        <v>265</v>
      </c>
      <c r="J2536" s="6" t="s">
        <v>10043</v>
      </c>
      <c r="K2536" s="6" t="s">
        <v>21</v>
      </c>
      <c r="L2536" s="6">
        <v>13</v>
      </c>
      <c r="M2536" s="15" t="s">
        <v>10040</v>
      </c>
      <c r="N2536" s="15" t="s">
        <v>81</v>
      </c>
      <c r="O2536" s="28" t="s">
        <v>10044</v>
      </c>
    </row>
    <row r="2537" spans="1:15" s="1" customFormat="1">
      <c r="A2537" s="3" t="s">
        <v>514</v>
      </c>
      <c r="B2537" s="3"/>
      <c r="C2537" s="3"/>
      <c r="D2537" s="5" t="s">
        <v>2030</v>
      </c>
      <c r="E2537" s="5" t="s">
        <v>124</v>
      </c>
      <c r="F2537" s="3" t="s">
        <v>7015</v>
      </c>
      <c r="G2537" s="6">
        <f>14.405*L2537</f>
        <v>172.85999999999999</v>
      </c>
      <c r="H2537" s="7">
        <v>41926</v>
      </c>
      <c r="I2537" s="6" t="s">
        <v>265</v>
      </c>
      <c r="J2537" s="6" t="s">
        <v>7016</v>
      </c>
      <c r="K2537" s="6" t="s">
        <v>21</v>
      </c>
      <c r="L2537" s="6">
        <v>12</v>
      </c>
      <c r="M2537" s="15" t="s">
        <v>7017</v>
      </c>
      <c r="N2537" s="15" t="s">
        <v>78</v>
      </c>
      <c r="O2537" s="28" t="s">
        <v>7017</v>
      </c>
    </row>
    <row r="2538" spans="1:15" s="1" customFormat="1">
      <c r="A2538" s="3" t="s">
        <v>514</v>
      </c>
      <c r="B2538" s="3"/>
      <c r="C2538" s="3"/>
      <c r="D2538" s="5" t="s">
        <v>2030</v>
      </c>
      <c r="E2538" s="5" t="s">
        <v>124</v>
      </c>
      <c r="F2538" s="3" t="s">
        <v>10045</v>
      </c>
      <c r="G2538" s="6">
        <f>14.405*L2538</f>
        <v>187.26499999999999</v>
      </c>
      <c r="H2538" s="7">
        <v>41926</v>
      </c>
      <c r="I2538" s="6" t="s">
        <v>265</v>
      </c>
      <c r="J2538" s="6" t="s">
        <v>10046</v>
      </c>
      <c r="K2538" s="6" t="s">
        <v>21</v>
      </c>
      <c r="L2538" s="6">
        <v>13</v>
      </c>
      <c r="M2538" s="15" t="s">
        <v>7017</v>
      </c>
      <c r="N2538" s="15" t="s">
        <v>81</v>
      </c>
      <c r="O2538" s="28" t="s">
        <v>10047</v>
      </c>
    </row>
    <row r="2539" spans="1:15" s="1" customFormat="1">
      <c r="A2539" s="3" t="s">
        <v>631</v>
      </c>
      <c r="B2539" s="3"/>
      <c r="C2539" s="3"/>
      <c r="D2539" s="5" t="s">
        <v>632</v>
      </c>
      <c r="E2539" s="5" t="s">
        <v>124</v>
      </c>
      <c r="F2539" s="3" t="s">
        <v>10048</v>
      </c>
      <c r="G2539" s="6">
        <f>17.498*3</f>
        <v>52.494</v>
      </c>
      <c r="H2539" s="7">
        <v>41926</v>
      </c>
      <c r="I2539" s="6" t="s">
        <v>471</v>
      </c>
      <c r="J2539" s="6" t="s">
        <v>10049</v>
      </c>
      <c r="K2539" s="6" t="s">
        <v>21</v>
      </c>
      <c r="L2539" s="6" t="s">
        <v>3350</v>
      </c>
      <c r="M2539" s="15" t="s">
        <v>10050</v>
      </c>
      <c r="N2539" s="15" t="s">
        <v>10051</v>
      </c>
      <c r="O2539" s="28" t="s">
        <v>10052</v>
      </c>
    </row>
    <row r="2540" spans="1:15" s="1" customFormat="1">
      <c r="A2540" s="3" t="s">
        <v>3870</v>
      </c>
      <c r="B2540" s="3"/>
      <c r="C2540" s="3"/>
      <c r="D2540" s="5" t="s">
        <v>3871</v>
      </c>
      <c r="E2540" s="5" t="s">
        <v>124</v>
      </c>
      <c r="F2540" s="3" t="s">
        <v>10053</v>
      </c>
      <c r="G2540" s="6">
        <f>13.006*L2540</f>
        <v>130.06</v>
      </c>
      <c r="H2540" s="7">
        <v>41926</v>
      </c>
      <c r="I2540" s="6" t="s">
        <v>6676</v>
      </c>
      <c r="J2540" s="6" t="s">
        <v>10054</v>
      </c>
      <c r="K2540" s="6" t="s">
        <v>21</v>
      </c>
      <c r="L2540" s="6">
        <v>10</v>
      </c>
      <c r="M2540" s="15" t="s">
        <v>10055</v>
      </c>
      <c r="N2540" s="15" t="s">
        <v>35</v>
      </c>
      <c r="O2540" s="28" t="s">
        <v>10055</v>
      </c>
    </row>
    <row r="2541" spans="1:15" s="1" customFormat="1">
      <c r="A2541" s="3" t="s">
        <v>3870</v>
      </c>
      <c r="B2541" s="3"/>
      <c r="C2541" s="3"/>
      <c r="D2541" s="5" t="s">
        <v>3871</v>
      </c>
      <c r="E2541" s="5" t="s">
        <v>124</v>
      </c>
      <c r="F2541" s="3" t="s">
        <v>10056</v>
      </c>
      <c r="G2541" s="6">
        <f>13.006*L2541</f>
        <v>182.084</v>
      </c>
      <c r="H2541" s="7">
        <v>41926</v>
      </c>
      <c r="I2541" s="6" t="s">
        <v>6676</v>
      </c>
      <c r="J2541" s="6" t="s">
        <v>10057</v>
      </c>
      <c r="K2541" s="6" t="s">
        <v>21</v>
      </c>
      <c r="L2541" s="6">
        <v>14</v>
      </c>
      <c r="M2541" s="15" t="s">
        <v>10055</v>
      </c>
      <c r="N2541" s="15" t="s">
        <v>8686</v>
      </c>
      <c r="O2541" s="28" t="s">
        <v>10058</v>
      </c>
    </row>
    <row r="2542" spans="1:15" s="1" customFormat="1">
      <c r="A2542" s="3" t="s">
        <v>3870</v>
      </c>
      <c r="B2542" s="3"/>
      <c r="C2542" s="3"/>
      <c r="D2542" s="5" t="s">
        <v>3871</v>
      </c>
      <c r="E2542" s="5" t="s">
        <v>124</v>
      </c>
      <c r="F2542" s="3" t="s">
        <v>7018</v>
      </c>
      <c r="G2542" s="6">
        <f>13.006*L2542</f>
        <v>130.06</v>
      </c>
      <c r="H2542" s="7">
        <v>41926</v>
      </c>
      <c r="I2542" s="6" t="s">
        <v>6676</v>
      </c>
      <c r="J2542" s="6" t="s">
        <v>7019</v>
      </c>
      <c r="K2542" s="6" t="s">
        <v>21</v>
      </c>
      <c r="L2542" s="6">
        <v>10</v>
      </c>
      <c r="M2542" s="15" t="s">
        <v>7020</v>
      </c>
      <c r="N2542" s="15" t="s">
        <v>2563</v>
      </c>
      <c r="O2542" s="28" t="s">
        <v>7020</v>
      </c>
    </row>
    <row r="2543" spans="1:15" s="1" customFormat="1">
      <c r="A2543" s="3" t="s">
        <v>3870</v>
      </c>
      <c r="B2543" s="3"/>
      <c r="C2543" s="3"/>
      <c r="D2543" s="5" t="s">
        <v>3871</v>
      </c>
      <c r="E2543" s="5" t="s">
        <v>124</v>
      </c>
      <c r="F2543" s="3" t="s">
        <v>10059</v>
      </c>
      <c r="G2543" s="6">
        <f>13.006*L2543</f>
        <v>169.078</v>
      </c>
      <c r="H2543" s="7">
        <v>41926</v>
      </c>
      <c r="I2543" s="6" t="s">
        <v>6676</v>
      </c>
      <c r="J2543" s="6" t="s">
        <v>10060</v>
      </c>
      <c r="K2543" s="6" t="s">
        <v>21</v>
      </c>
      <c r="L2543" s="6">
        <v>13</v>
      </c>
      <c r="M2543" s="15" t="s">
        <v>7020</v>
      </c>
      <c r="N2543" s="15" t="s">
        <v>167</v>
      </c>
      <c r="O2543" s="28" t="s">
        <v>10061</v>
      </c>
    </row>
    <row r="2544" spans="1:15" s="1" customFormat="1">
      <c r="A2544" s="3" t="s">
        <v>1108</v>
      </c>
      <c r="B2544" s="3"/>
      <c r="C2544" s="3"/>
      <c r="D2544" s="5" t="s">
        <v>391</v>
      </c>
      <c r="E2544" s="5" t="s">
        <v>124</v>
      </c>
      <c r="F2544" s="3" t="s">
        <v>7021</v>
      </c>
      <c r="G2544" s="6">
        <f>17.712*L2544</f>
        <v>212.54399999999998</v>
      </c>
      <c r="H2544" s="7">
        <v>41926</v>
      </c>
      <c r="I2544" s="6" t="s">
        <v>265</v>
      </c>
      <c r="J2544" s="6" t="s">
        <v>7022</v>
      </c>
      <c r="K2544" s="6" t="s">
        <v>21</v>
      </c>
      <c r="L2544" s="6">
        <v>12</v>
      </c>
      <c r="M2544" s="15" t="s">
        <v>7023</v>
      </c>
      <c r="N2544" s="15" t="s">
        <v>78</v>
      </c>
      <c r="O2544" s="28" t="s">
        <v>7023</v>
      </c>
    </row>
    <row r="2545" spans="1:15" s="1" customFormat="1">
      <c r="A2545" s="3" t="s">
        <v>1108</v>
      </c>
      <c r="B2545" s="3"/>
      <c r="C2545" s="3"/>
      <c r="D2545" s="5" t="s">
        <v>391</v>
      </c>
      <c r="E2545" s="5" t="s">
        <v>124</v>
      </c>
      <c r="F2545" s="3" t="s">
        <v>10062</v>
      </c>
      <c r="G2545" s="6">
        <f>17.712*L2545</f>
        <v>230.256</v>
      </c>
      <c r="H2545" s="7">
        <v>41926</v>
      </c>
      <c r="I2545" s="6" t="s">
        <v>265</v>
      </c>
      <c r="J2545" s="6" t="s">
        <v>10063</v>
      </c>
      <c r="K2545" s="6" t="s">
        <v>21</v>
      </c>
      <c r="L2545" s="6">
        <v>13</v>
      </c>
      <c r="M2545" s="15" t="s">
        <v>7023</v>
      </c>
      <c r="N2545" s="15" t="s">
        <v>81</v>
      </c>
      <c r="O2545" s="28" t="s">
        <v>10064</v>
      </c>
    </row>
    <row r="2546" spans="1:15" s="1" customFormat="1">
      <c r="A2546" s="3" t="s">
        <v>1108</v>
      </c>
      <c r="B2546" s="3"/>
      <c r="C2546" s="3"/>
      <c r="D2546" s="5" t="s">
        <v>391</v>
      </c>
      <c r="E2546" s="5" t="s">
        <v>124</v>
      </c>
      <c r="F2546" s="3" t="s">
        <v>10065</v>
      </c>
      <c r="G2546" s="6">
        <f>17.712*L2546</f>
        <v>212.54399999999998</v>
      </c>
      <c r="H2546" s="7">
        <v>41926</v>
      </c>
      <c r="I2546" s="6" t="s">
        <v>265</v>
      </c>
      <c r="J2546" s="6" t="s">
        <v>10066</v>
      </c>
      <c r="K2546" s="6" t="s">
        <v>21</v>
      </c>
      <c r="L2546" s="6">
        <v>12</v>
      </c>
      <c r="M2546" s="15" t="s">
        <v>10067</v>
      </c>
      <c r="N2546" s="15" t="s">
        <v>78</v>
      </c>
      <c r="O2546" s="28" t="s">
        <v>10067</v>
      </c>
    </row>
    <row r="2547" spans="1:15" s="1" customFormat="1">
      <c r="A2547" s="3" t="s">
        <v>1108</v>
      </c>
      <c r="B2547" s="3"/>
      <c r="C2547" s="3"/>
      <c r="D2547" s="5" t="s">
        <v>391</v>
      </c>
      <c r="E2547" s="5" t="s">
        <v>124</v>
      </c>
      <c r="F2547" s="3" t="s">
        <v>10068</v>
      </c>
      <c r="G2547" s="6">
        <f>17.712*L2547</f>
        <v>230.256</v>
      </c>
      <c r="H2547" s="7">
        <v>41926</v>
      </c>
      <c r="I2547" s="6" t="s">
        <v>265</v>
      </c>
      <c r="J2547" s="6" t="s">
        <v>10069</v>
      </c>
      <c r="K2547" s="6" t="s">
        <v>21</v>
      </c>
      <c r="L2547" s="6">
        <v>13</v>
      </c>
      <c r="M2547" s="15" t="s">
        <v>10067</v>
      </c>
      <c r="N2547" s="15" t="s">
        <v>81</v>
      </c>
      <c r="O2547" s="28" t="s">
        <v>10070</v>
      </c>
    </row>
    <row r="2548" spans="1:15" s="1" customFormat="1">
      <c r="A2548" s="3" t="s">
        <v>5304</v>
      </c>
      <c r="B2548" s="3"/>
      <c r="C2548" s="3"/>
      <c r="D2548" s="5" t="s">
        <v>6309</v>
      </c>
      <c r="E2548" s="5" t="s">
        <v>124</v>
      </c>
      <c r="F2548" s="3" t="s">
        <v>10075</v>
      </c>
      <c r="G2548" s="6">
        <f>27.688*L2548</f>
        <v>276.88</v>
      </c>
      <c r="H2548" s="7">
        <v>41926</v>
      </c>
      <c r="I2548" s="6" t="s">
        <v>265</v>
      </c>
      <c r="J2548" s="6" t="s">
        <v>10076</v>
      </c>
      <c r="K2548" s="6" t="s">
        <v>21</v>
      </c>
      <c r="L2548" s="6">
        <v>10</v>
      </c>
      <c r="M2548" s="15" t="s">
        <v>10077</v>
      </c>
      <c r="N2548" s="15" t="s">
        <v>114</v>
      </c>
      <c r="O2548" s="28" t="s">
        <v>10077</v>
      </c>
    </row>
    <row r="2549" spans="1:15" s="1" customFormat="1">
      <c r="A2549" s="3" t="s">
        <v>812</v>
      </c>
      <c r="B2549" s="3"/>
      <c r="C2549" s="3"/>
      <c r="D2549" s="5" t="s">
        <v>3759</v>
      </c>
      <c r="E2549" s="5" t="s">
        <v>124</v>
      </c>
      <c r="F2549" s="3" t="s">
        <v>10086</v>
      </c>
      <c r="G2549" s="6">
        <v>87.043000000000006</v>
      </c>
      <c r="H2549" s="7">
        <v>41926</v>
      </c>
      <c r="I2549" s="6" t="s">
        <v>209</v>
      </c>
      <c r="J2549" s="6" t="s">
        <v>10087</v>
      </c>
      <c r="K2549" s="6" t="s">
        <v>10004</v>
      </c>
      <c r="L2549" s="6" t="s">
        <v>1329</v>
      </c>
      <c r="M2549" s="15" t="s">
        <v>10088</v>
      </c>
      <c r="N2549" s="15" t="s">
        <v>10089</v>
      </c>
      <c r="O2549" s="28" t="s">
        <v>10090</v>
      </c>
    </row>
    <row r="2550" spans="1:15" s="1" customFormat="1">
      <c r="A2550" s="3" t="s">
        <v>7024</v>
      </c>
      <c r="B2550" s="3"/>
      <c r="C2550" s="3"/>
      <c r="D2550" s="5" t="s">
        <v>7025</v>
      </c>
      <c r="E2550" s="5" t="s">
        <v>7026</v>
      </c>
      <c r="F2550" s="3" t="s">
        <v>11121</v>
      </c>
      <c r="G2550" s="6">
        <f t="shared" ref="G2550:G2564" si="101">17.498*L2550</f>
        <v>227.47400000000002</v>
      </c>
      <c r="H2550" s="7">
        <v>41926</v>
      </c>
      <c r="I2550" s="6" t="s">
        <v>265</v>
      </c>
      <c r="J2550" s="6" t="s">
        <v>11122</v>
      </c>
      <c r="K2550" s="6" t="s">
        <v>21</v>
      </c>
      <c r="L2550" s="6">
        <v>13</v>
      </c>
      <c r="M2550" s="15" t="s">
        <v>8998</v>
      </c>
      <c r="N2550" s="15" t="s">
        <v>167</v>
      </c>
      <c r="O2550" s="28"/>
    </row>
    <row r="2551" spans="1:15" s="1" customFormat="1">
      <c r="A2551" s="3" t="s">
        <v>7024</v>
      </c>
      <c r="B2551" s="3"/>
      <c r="C2551" s="3"/>
      <c r="D2551" s="5" t="s">
        <v>7025</v>
      </c>
      <c r="E2551" s="5" t="s">
        <v>7026</v>
      </c>
      <c r="F2551" s="3" t="s">
        <v>11123</v>
      </c>
      <c r="G2551" s="6">
        <f t="shared" si="101"/>
        <v>209.976</v>
      </c>
      <c r="H2551" s="7">
        <v>41926</v>
      </c>
      <c r="I2551" s="6" t="s">
        <v>265</v>
      </c>
      <c r="J2551" s="6" t="s">
        <v>11124</v>
      </c>
      <c r="K2551" s="6" t="s">
        <v>21</v>
      </c>
      <c r="L2551" s="6">
        <v>12</v>
      </c>
      <c r="M2551" s="15" t="s">
        <v>9017</v>
      </c>
      <c r="N2551" s="15" t="s">
        <v>12465</v>
      </c>
      <c r="O2551" s="28"/>
    </row>
    <row r="2552" spans="1:15" s="1" customFormat="1">
      <c r="A2552" s="3" t="s">
        <v>7024</v>
      </c>
      <c r="B2552" s="3"/>
      <c r="C2552" s="3"/>
      <c r="D2552" s="5" t="s">
        <v>7025</v>
      </c>
      <c r="E2552" s="5" t="s">
        <v>7026</v>
      </c>
      <c r="F2552" s="3" t="s">
        <v>9015</v>
      </c>
      <c r="G2552" s="6">
        <f t="shared" si="101"/>
        <v>227.47400000000002</v>
      </c>
      <c r="H2552" s="7">
        <v>41926</v>
      </c>
      <c r="I2552" s="6" t="s">
        <v>265</v>
      </c>
      <c r="J2552" s="6" t="s">
        <v>9016</v>
      </c>
      <c r="K2552" s="6" t="s">
        <v>21</v>
      </c>
      <c r="L2552" s="6">
        <v>13</v>
      </c>
      <c r="M2552" s="15" t="s">
        <v>9017</v>
      </c>
      <c r="N2552" s="15" t="s">
        <v>12466</v>
      </c>
      <c r="O2552" s="28"/>
    </row>
    <row r="2553" spans="1:15" s="1" customFormat="1">
      <c r="A2553" s="3" t="s">
        <v>1259</v>
      </c>
      <c r="B2553" s="3"/>
      <c r="C2553" s="3"/>
      <c r="D2553" s="5" t="s">
        <v>170</v>
      </c>
      <c r="E2553" s="5" t="s">
        <v>7026</v>
      </c>
      <c r="F2553" s="3" t="s">
        <v>9018</v>
      </c>
      <c r="G2553" s="6">
        <f t="shared" si="101"/>
        <v>34.996000000000002</v>
      </c>
      <c r="H2553" s="7">
        <v>41926</v>
      </c>
      <c r="I2553" s="6" t="s">
        <v>265</v>
      </c>
      <c r="J2553" s="6" t="s">
        <v>9019</v>
      </c>
      <c r="K2553" s="6" t="s">
        <v>21</v>
      </c>
      <c r="L2553" s="6">
        <v>2</v>
      </c>
      <c r="M2553" s="15" t="s">
        <v>9020</v>
      </c>
      <c r="N2553" s="15" t="s">
        <v>534</v>
      </c>
      <c r="O2553" s="28"/>
    </row>
    <row r="2554" spans="1:15" s="1" customFormat="1">
      <c r="A2554" s="3" t="s">
        <v>1259</v>
      </c>
      <c r="B2554" s="3"/>
      <c r="C2554" s="3"/>
      <c r="D2554" s="5" t="s">
        <v>170</v>
      </c>
      <c r="E2554" s="5" t="s">
        <v>7026</v>
      </c>
      <c r="F2554" s="3" t="s">
        <v>9021</v>
      </c>
      <c r="G2554" s="6">
        <f t="shared" si="101"/>
        <v>34.996000000000002</v>
      </c>
      <c r="H2554" s="7">
        <v>41926</v>
      </c>
      <c r="I2554" s="6" t="s">
        <v>265</v>
      </c>
      <c r="J2554" s="6" t="s">
        <v>9022</v>
      </c>
      <c r="K2554" s="6" t="s">
        <v>21</v>
      </c>
      <c r="L2554" s="6">
        <v>2</v>
      </c>
      <c r="M2554" s="15" t="s">
        <v>9023</v>
      </c>
      <c r="N2554" s="15" t="s">
        <v>268</v>
      </c>
      <c r="O2554" s="28"/>
    </row>
    <row r="2555" spans="1:15" s="1" customFormat="1">
      <c r="A2555" s="3" t="s">
        <v>1259</v>
      </c>
      <c r="B2555" s="3"/>
      <c r="C2555" s="3"/>
      <c r="D2555" s="5" t="s">
        <v>170</v>
      </c>
      <c r="E2555" s="5" t="s">
        <v>7026</v>
      </c>
      <c r="F2555" s="3" t="s">
        <v>9024</v>
      </c>
      <c r="G2555" s="6">
        <f t="shared" si="101"/>
        <v>209.976</v>
      </c>
      <c r="H2555" s="7">
        <v>41926</v>
      </c>
      <c r="I2555" s="6" t="s">
        <v>265</v>
      </c>
      <c r="J2555" s="6" t="s">
        <v>9025</v>
      </c>
      <c r="K2555" s="6" t="s">
        <v>21</v>
      </c>
      <c r="L2555" s="6">
        <v>12</v>
      </c>
      <c r="M2555" s="15" t="s">
        <v>9026</v>
      </c>
      <c r="N2555" s="15" t="s">
        <v>78</v>
      </c>
      <c r="O2555" s="28"/>
    </row>
    <row r="2556" spans="1:15" s="1" customFormat="1">
      <c r="A2556" s="3" t="s">
        <v>1259</v>
      </c>
      <c r="B2556" s="3"/>
      <c r="C2556" s="3"/>
      <c r="D2556" s="5" t="s">
        <v>170</v>
      </c>
      <c r="E2556" s="5" t="s">
        <v>7026</v>
      </c>
      <c r="F2556" s="3" t="s">
        <v>9027</v>
      </c>
      <c r="G2556" s="6">
        <f t="shared" si="101"/>
        <v>227.47400000000002</v>
      </c>
      <c r="H2556" s="7">
        <v>41926</v>
      </c>
      <c r="I2556" s="6" t="s">
        <v>265</v>
      </c>
      <c r="J2556" s="6" t="s">
        <v>9028</v>
      </c>
      <c r="K2556" s="6" t="s">
        <v>21</v>
      </c>
      <c r="L2556" s="6">
        <v>13</v>
      </c>
      <c r="M2556" s="15" t="s">
        <v>9026</v>
      </c>
      <c r="N2556" s="15" t="s">
        <v>81</v>
      </c>
      <c r="O2556" s="28"/>
    </row>
    <row r="2557" spans="1:15" s="1" customFormat="1">
      <c r="A2557" s="3" t="s">
        <v>1259</v>
      </c>
      <c r="B2557" s="3"/>
      <c r="C2557" s="3"/>
      <c r="D2557" s="5" t="s">
        <v>170</v>
      </c>
      <c r="E2557" s="5" t="s">
        <v>7026</v>
      </c>
      <c r="F2557" s="3" t="s">
        <v>9029</v>
      </c>
      <c r="G2557" s="6">
        <f t="shared" si="101"/>
        <v>209.976</v>
      </c>
      <c r="H2557" s="7">
        <v>41926</v>
      </c>
      <c r="I2557" s="6" t="s">
        <v>265</v>
      </c>
      <c r="J2557" s="6" t="s">
        <v>9030</v>
      </c>
      <c r="K2557" s="6" t="s">
        <v>21</v>
      </c>
      <c r="L2557" s="6">
        <v>12</v>
      </c>
      <c r="M2557" s="15" t="s">
        <v>9031</v>
      </c>
      <c r="N2557" s="15" t="s">
        <v>78</v>
      </c>
      <c r="O2557" s="28"/>
    </row>
    <row r="2558" spans="1:15" s="1" customFormat="1">
      <c r="A2558" s="3" t="s">
        <v>1259</v>
      </c>
      <c r="B2558" s="3"/>
      <c r="C2558" s="3"/>
      <c r="D2558" s="5" t="s">
        <v>170</v>
      </c>
      <c r="E2558" s="5" t="s">
        <v>7026</v>
      </c>
      <c r="F2558" s="3" t="s">
        <v>11125</v>
      </c>
      <c r="G2558" s="6">
        <f t="shared" si="101"/>
        <v>227.47400000000002</v>
      </c>
      <c r="H2558" s="7">
        <v>41926</v>
      </c>
      <c r="I2558" s="6" t="s">
        <v>265</v>
      </c>
      <c r="J2558" s="6" t="s">
        <v>11126</v>
      </c>
      <c r="K2558" s="6" t="s">
        <v>21</v>
      </c>
      <c r="L2558" s="6">
        <v>13</v>
      </c>
      <c r="M2558" s="15" t="s">
        <v>9031</v>
      </c>
      <c r="N2558" s="15" t="s">
        <v>81</v>
      </c>
      <c r="O2558" s="28"/>
    </row>
    <row r="2559" spans="1:15" s="1" customFormat="1">
      <c r="A2559" s="3" t="s">
        <v>1259</v>
      </c>
      <c r="B2559" s="3"/>
      <c r="C2559" s="3"/>
      <c r="D2559" s="5" t="s">
        <v>170</v>
      </c>
      <c r="E2559" s="5" t="s">
        <v>7026</v>
      </c>
      <c r="F2559" s="3" t="s">
        <v>9032</v>
      </c>
      <c r="G2559" s="6">
        <f t="shared" si="101"/>
        <v>262.47000000000003</v>
      </c>
      <c r="H2559" s="7">
        <v>41926</v>
      </c>
      <c r="I2559" s="6" t="s">
        <v>265</v>
      </c>
      <c r="J2559" s="6" t="s">
        <v>9033</v>
      </c>
      <c r="K2559" s="6" t="s">
        <v>21</v>
      </c>
      <c r="L2559" s="6">
        <v>15</v>
      </c>
      <c r="M2559" s="15" t="s">
        <v>9034</v>
      </c>
      <c r="N2559" s="15" t="s">
        <v>1149</v>
      </c>
      <c r="O2559" s="28"/>
    </row>
    <row r="2560" spans="1:15" s="1" customFormat="1">
      <c r="A2560" s="3" t="s">
        <v>169</v>
      </c>
      <c r="B2560" s="3"/>
      <c r="C2560" s="3"/>
      <c r="D2560" s="5" t="s">
        <v>170</v>
      </c>
      <c r="E2560" s="5" t="s">
        <v>7026</v>
      </c>
      <c r="F2560" s="3" t="s">
        <v>11127</v>
      </c>
      <c r="G2560" s="6">
        <f t="shared" si="101"/>
        <v>174.98000000000002</v>
      </c>
      <c r="H2560" s="7">
        <v>41926</v>
      </c>
      <c r="I2560" s="6" t="s">
        <v>265</v>
      </c>
      <c r="J2560" s="6" t="s">
        <v>11128</v>
      </c>
      <c r="K2560" s="6" t="s">
        <v>21</v>
      </c>
      <c r="L2560" s="6">
        <v>10</v>
      </c>
      <c r="M2560" s="15" t="s">
        <v>9034</v>
      </c>
      <c r="N2560" s="15" t="s">
        <v>114</v>
      </c>
      <c r="O2560" s="28"/>
    </row>
    <row r="2561" spans="1:15" s="1" customFormat="1">
      <c r="A2561" s="3" t="s">
        <v>4453</v>
      </c>
      <c r="B2561" s="3"/>
      <c r="C2561" s="3"/>
      <c r="D2561" s="5" t="s">
        <v>3106</v>
      </c>
      <c r="E2561" s="5" t="s">
        <v>7026</v>
      </c>
      <c r="F2561" s="3" t="s">
        <v>11129</v>
      </c>
      <c r="G2561" s="6">
        <f t="shared" si="101"/>
        <v>209.976</v>
      </c>
      <c r="H2561" s="7">
        <v>41926</v>
      </c>
      <c r="I2561" s="6" t="s">
        <v>265</v>
      </c>
      <c r="J2561" s="6" t="s">
        <v>11130</v>
      </c>
      <c r="K2561" s="6" t="s">
        <v>21</v>
      </c>
      <c r="L2561" s="6">
        <v>12</v>
      </c>
      <c r="M2561" s="15" t="s">
        <v>11131</v>
      </c>
      <c r="N2561" s="15" t="s">
        <v>78</v>
      </c>
      <c r="O2561" s="28"/>
    </row>
    <row r="2562" spans="1:15" s="1" customFormat="1">
      <c r="A2562" s="3" t="s">
        <v>4453</v>
      </c>
      <c r="B2562" s="3"/>
      <c r="C2562" s="3"/>
      <c r="D2562" s="5" t="s">
        <v>3106</v>
      </c>
      <c r="E2562" s="5" t="s">
        <v>7026</v>
      </c>
      <c r="F2562" s="3" t="s">
        <v>11132</v>
      </c>
      <c r="G2562" s="6">
        <f t="shared" si="101"/>
        <v>227.47400000000002</v>
      </c>
      <c r="H2562" s="7">
        <v>41926</v>
      </c>
      <c r="I2562" s="6" t="s">
        <v>265</v>
      </c>
      <c r="J2562" s="6" t="s">
        <v>11133</v>
      </c>
      <c r="K2562" s="6" t="s">
        <v>21</v>
      </c>
      <c r="L2562" s="6">
        <v>13</v>
      </c>
      <c r="M2562" s="15" t="s">
        <v>11131</v>
      </c>
      <c r="N2562" s="15" t="s">
        <v>81</v>
      </c>
      <c r="O2562" s="28"/>
    </row>
    <row r="2563" spans="1:15" s="1" customFormat="1">
      <c r="A2563" s="3" t="s">
        <v>4453</v>
      </c>
      <c r="B2563" s="3"/>
      <c r="C2563" s="3"/>
      <c r="D2563" s="5" t="s">
        <v>3106</v>
      </c>
      <c r="E2563" s="5" t="s">
        <v>7026</v>
      </c>
      <c r="F2563" s="3" t="s">
        <v>11134</v>
      </c>
      <c r="G2563" s="6">
        <f t="shared" si="101"/>
        <v>209.976</v>
      </c>
      <c r="H2563" s="7">
        <v>41926</v>
      </c>
      <c r="I2563" s="6" t="s">
        <v>265</v>
      </c>
      <c r="J2563" s="6" t="s">
        <v>11135</v>
      </c>
      <c r="K2563" s="6" t="s">
        <v>21</v>
      </c>
      <c r="L2563" s="6">
        <v>12</v>
      </c>
      <c r="M2563" s="15" t="s">
        <v>11136</v>
      </c>
      <c r="N2563" s="15" t="s">
        <v>78</v>
      </c>
      <c r="O2563" s="28"/>
    </row>
    <row r="2564" spans="1:15" s="1" customFormat="1">
      <c r="A2564" s="3" t="s">
        <v>4453</v>
      </c>
      <c r="B2564" s="3"/>
      <c r="C2564" s="3"/>
      <c r="D2564" s="5" t="s">
        <v>3106</v>
      </c>
      <c r="E2564" s="5" t="s">
        <v>7026</v>
      </c>
      <c r="F2564" s="3" t="s">
        <v>11137</v>
      </c>
      <c r="G2564" s="6">
        <f t="shared" si="101"/>
        <v>227.47400000000002</v>
      </c>
      <c r="H2564" s="7">
        <v>41926</v>
      </c>
      <c r="I2564" s="6" t="s">
        <v>265</v>
      </c>
      <c r="J2564" s="6" t="s">
        <v>11138</v>
      </c>
      <c r="K2564" s="6" t="s">
        <v>21</v>
      </c>
      <c r="L2564" s="6">
        <v>13</v>
      </c>
      <c r="M2564" s="15" t="s">
        <v>11136</v>
      </c>
      <c r="N2564" s="15" t="s">
        <v>81</v>
      </c>
      <c r="O2564" s="28"/>
    </row>
    <row r="2565" spans="1:15" s="1" customFormat="1">
      <c r="A2565" s="3" t="s">
        <v>5768</v>
      </c>
      <c r="B2565" s="3"/>
      <c r="C2565" s="3"/>
      <c r="D2565" s="5" t="s">
        <v>552</v>
      </c>
      <c r="E2565" s="5" t="s">
        <v>124</v>
      </c>
      <c r="F2565" s="3" t="s">
        <v>10110</v>
      </c>
      <c r="G2565" s="6">
        <f>17.52*L2565</f>
        <v>105.12</v>
      </c>
      <c r="H2565" s="7">
        <v>41928</v>
      </c>
      <c r="I2565" s="6" t="s">
        <v>265</v>
      </c>
      <c r="J2565" s="6" t="s">
        <v>10111</v>
      </c>
      <c r="K2565" s="6" t="s">
        <v>5478</v>
      </c>
      <c r="L2565" s="6">
        <v>6</v>
      </c>
      <c r="M2565" s="15" t="s">
        <v>6875</v>
      </c>
      <c r="N2565" s="15" t="s">
        <v>5938</v>
      </c>
      <c r="O2565" s="28" t="s">
        <v>10112</v>
      </c>
    </row>
    <row r="2566" spans="1:15" s="1" customFormat="1">
      <c r="A2566" s="3" t="s">
        <v>6170</v>
      </c>
      <c r="B2566" s="3"/>
      <c r="C2566" s="3"/>
      <c r="D2566" s="5" t="s">
        <v>1128</v>
      </c>
      <c r="E2566" s="5" t="s">
        <v>124</v>
      </c>
      <c r="F2566" s="3" t="s">
        <v>10113</v>
      </c>
      <c r="G2566" s="6">
        <f>29.101*L2566</f>
        <v>378.31299999999999</v>
      </c>
      <c r="H2566" s="7">
        <v>41928</v>
      </c>
      <c r="I2566" s="6" t="s">
        <v>6172</v>
      </c>
      <c r="J2566" s="6" t="s">
        <v>10114</v>
      </c>
      <c r="K2566" s="6" t="s">
        <v>5478</v>
      </c>
      <c r="L2566" s="6">
        <v>13</v>
      </c>
      <c r="M2566" s="15" t="s">
        <v>6537</v>
      </c>
      <c r="N2566" s="15" t="s">
        <v>167</v>
      </c>
      <c r="O2566" s="28" t="s">
        <v>10115</v>
      </c>
    </row>
    <row r="2567" spans="1:15" s="1" customFormat="1">
      <c r="A2567" s="3" t="s">
        <v>6170</v>
      </c>
      <c r="B2567" s="3"/>
      <c r="C2567" s="3"/>
      <c r="D2567" s="5" t="s">
        <v>1128</v>
      </c>
      <c r="E2567" s="5" t="s">
        <v>124</v>
      </c>
      <c r="F2567" s="3" t="s">
        <v>10119</v>
      </c>
      <c r="G2567" s="6">
        <f>29.101*L2567</f>
        <v>378.31299999999999</v>
      </c>
      <c r="H2567" s="7">
        <v>41928</v>
      </c>
      <c r="I2567" s="6" t="s">
        <v>6172</v>
      </c>
      <c r="J2567" s="6" t="s">
        <v>10120</v>
      </c>
      <c r="K2567" s="6" t="s">
        <v>5478</v>
      </c>
      <c r="L2567" s="6">
        <v>13</v>
      </c>
      <c r="M2567" s="15" t="s">
        <v>10118</v>
      </c>
      <c r="N2567" s="15" t="s">
        <v>167</v>
      </c>
      <c r="O2567" s="28" t="s">
        <v>10121</v>
      </c>
    </row>
    <row r="2568" spans="1:15" s="1" customFormat="1">
      <c r="A2568" s="3" t="s">
        <v>557</v>
      </c>
      <c r="B2568" s="4" t="s">
        <v>283</v>
      </c>
      <c r="C2568" s="3"/>
      <c r="D2568" s="5" t="s">
        <v>558</v>
      </c>
      <c r="E2568" s="5" t="s">
        <v>124</v>
      </c>
      <c r="F2568" s="3" t="s">
        <v>13065</v>
      </c>
      <c r="G2568" s="6">
        <f>29.101*L2568</f>
        <v>174.60599999999999</v>
      </c>
      <c r="H2568" s="7">
        <v>41928</v>
      </c>
      <c r="I2568" s="6" t="s">
        <v>346</v>
      </c>
      <c r="J2568" s="6" t="s">
        <v>10122</v>
      </c>
      <c r="K2568" s="6" t="s">
        <v>5478</v>
      </c>
      <c r="L2568" s="6">
        <v>6</v>
      </c>
      <c r="M2568" s="15" t="s">
        <v>5600</v>
      </c>
      <c r="N2568" s="15" t="s">
        <v>10123</v>
      </c>
      <c r="O2568" s="28" t="s">
        <v>10124</v>
      </c>
    </row>
    <row r="2569" spans="1:15" s="1" customFormat="1">
      <c r="A2569" s="3" t="s">
        <v>442</v>
      </c>
      <c r="B2569" s="3"/>
      <c r="C2569" s="3"/>
      <c r="D2569" s="5" t="s">
        <v>443</v>
      </c>
      <c r="E2569" s="5" t="s">
        <v>124</v>
      </c>
      <c r="F2569" s="3" t="s">
        <v>10125</v>
      </c>
      <c r="G2569" s="6">
        <f>18.708*L2569</f>
        <v>149.66399999999999</v>
      </c>
      <c r="H2569" s="7">
        <v>41928</v>
      </c>
      <c r="I2569" s="6" t="s">
        <v>247</v>
      </c>
      <c r="J2569" s="6" t="s">
        <v>10126</v>
      </c>
      <c r="K2569" s="6" t="s">
        <v>5478</v>
      </c>
      <c r="L2569" s="6">
        <v>8</v>
      </c>
      <c r="M2569" s="15" t="s">
        <v>9750</v>
      </c>
      <c r="N2569" s="15" t="s">
        <v>5870</v>
      </c>
      <c r="O2569" s="28" t="s">
        <v>10127</v>
      </c>
    </row>
    <row r="2570" spans="1:15" s="1" customFormat="1">
      <c r="A2570" s="3" t="s">
        <v>5964</v>
      </c>
      <c r="B2570" s="3"/>
      <c r="C2570" s="3"/>
      <c r="D2570" s="5" t="s">
        <v>5965</v>
      </c>
      <c r="E2570" s="5" t="s">
        <v>124</v>
      </c>
      <c r="F2570" s="3" t="s">
        <v>10131</v>
      </c>
      <c r="G2570" s="6">
        <f>14.405*L2570</f>
        <v>57.62</v>
      </c>
      <c r="H2570" s="7">
        <v>41928</v>
      </c>
      <c r="I2570" s="6" t="s">
        <v>278</v>
      </c>
      <c r="J2570" s="6" t="s">
        <v>10132</v>
      </c>
      <c r="K2570" s="6" t="s">
        <v>5478</v>
      </c>
      <c r="L2570" s="6">
        <v>4</v>
      </c>
      <c r="M2570" s="15" t="s">
        <v>6586</v>
      </c>
      <c r="N2570" s="15" t="s">
        <v>6349</v>
      </c>
      <c r="O2570" s="28" t="s">
        <v>10133</v>
      </c>
    </row>
    <row r="2571" spans="1:15" s="1" customFormat="1">
      <c r="A2571" s="3" t="s">
        <v>579</v>
      </c>
      <c r="B2571" s="4" t="s">
        <v>283</v>
      </c>
      <c r="C2571" s="3"/>
      <c r="D2571" s="5" t="s">
        <v>580</v>
      </c>
      <c r="E2571" s="5" t="s">
        <v>124</v>
      </c>
      <c r="F2571" s="3" t="s">
        <v>10150</v>
      </c>
      <c r="G2571" s="6">
        <f>9.871*L2571</f>
        <v>98.710000000000008</v>
      </c>
      <c r="H2571" s="7">
        <v>41928</v>
      </c>
      <c r="I2571" s="6" t="s">
        <v>161</v>
      </c>
      <c r="J2571" s="6" t="s">
        <v>10151</v>
      </c>
      <c r="K2571" s="6" t="s">
        <v>5478</v>
      </c>
      <c r="L2571" s="6">
        <v>10</v>
      </c>
      <c r="M2571" s="15" t="s">
        <v>10149</v>
      </c>
      <c r="N2571" s="15" t="s">
        <v>114</v>
      </c>
      <c r="O2571" s="28" t="s">
        <v>10149</v>
      </c>
    </row>
    <row r="2572" spans="1:15" s="1" customFormat="1">
      <c r="A2572" s="3" t="s">
        <v>1072</v>
      </c>
      <c r="B2572" s="3"/>
      <c r="C2572" s="3"/>
      <c r="D2572" s="5" t="s">
        <v>1963</v>
      </c>
      <c r="E2572" s="5" t="s">
        <v>124</v>
      </c>
      <c r="F2572" s="3" t="s">
        <v>10152</v>
      </c>
      <c r="G2572" s="6">
        <f>17.712*L2572</f>
        <v>35.423999999999999</v>
      </c>
      <c r="H2572" s="7">
        <v>41928</v>
      </c>
      <c r="I2572" s="6" t="s">
        <v>265</v>
      </c>
      <c r="J2572" s="6" t="s">
        <v>10153</v>
      </c>
      <c r="K2572" s="6" t="s">
        <v>5478</v>
      </c>
      <c r="L2572" s="6">
        <v>2</v>
      </c>
      <c r="M2572" s="15" t="s">
        <v>10154</v>
      </c>
      <c r="N2572" s="15" t="s">
        <v>5185</v>
      </c>
      <c r="O2572" s="28" t="s">
        <v>10154</v>
      </c>
    </row>
    <row r="2573" spans="1:15" s="1" customFormat="1">
      <c r="A2573" s="3" t="s">
        <v>1072</v>
      </c>
      <c r="B2573" s="3"/>
      <c r="C2573" s="3"/>
      <c r="D2573" s="5" t="s">
        <v>1963</v>
      </c>
      <c r="E2573" s="5" t="s">
        <v>124</v>
      </c>
      <c r="F2573" s="3" t="s">
        <v>10155</v>
      </c>
      <c r="G2573" s="6">
        <f>17.712*L2573</f>
        <v>88.56</v>
      </c>
      <c r="H2573" s="7">
        <v>41928</v>
      </c>
      <c r="I2573" s="6" t="s">
        <v>265</v>
      </c>
      <c r="J2573" s="6" t="s">
        <v>10156</v>
      </c>
      <c r="K2573" s="6" t="s">
        <v>5478</v>
      </c>
      <c r="L2573" s="6">
        <v>5</v>
      </c>
      <c r="M2573" s="15" t="s">
        <v>10157</v>
      </c>
      <c r="N2573" s="15" t="s">
        <v>4602</v>
      </c>
      <c r="O2573" s="28" t="s">
        <v>10157</v>
      </c>
    </row>
    <row r="2574" spans="1:15" s="1" customFormat="1">
      <c r="A2574" s="3" t="s">
        <v>3653</v>
      </c>
      <c r="B2574" s="3"/>
      <c r="C2574" s="3"/>
      <c r="D2574" s="5" t="s">
        <v>495</v>
      </c>
      <c r="E2574" s="5" t="s">
        <v>124</v>
      </c>
      <c r="F2574" s="3" t="s">
        <v>10158</v>
      </c>
      <c r="G2574" s="6">
        <f>12.838*L2574</f>
        <v>89.866</v>
      </c>
      <c r="H2574" s="7">
        <v>41928</v>
      </c>
      <c r="I2574" s="6" t="s">
        <v>471</v>
      </c>
      <c r="J2574" s="6" t="s">
        <v>10159</v>
      </c>
      <c r="K2574" s="6" t="s">
        <v>5478</v>
      </c>
      <c r="L2574" s="6">
        <v>7</v>
      </c>
      <c r="M2574" s="15" t="s">
        <v>9523</v>
      </c>
      <c r="N2574" s="15" t="s">
        <v>5472</v>
      </c>
      <c r="O2574" s="28" t="s">
        <v>10160</v>
      </c>
    </row>
    <row r="2575" spans="1:15" s="1" customFormat="1">
      <c r="A2575" s="3" t="s">
        <v>269</v>
      </c>
      <c r="B2575" s="3"/>
      <c r="C2575" s="3"/>
      <c r="D2575" s="5" t="s">
        <v>270</v>
      </c>
      <c r="E2575" s="5" t="s">
        <v>7026</v>
      </c>
      <c r="F2575" s="3" t="s">
        <v>11139</v>
      </c>
      <c r="G2575" s="6">
        <f>17.498*L2575</f>
        <v>104.988</v>
      </c>
      <c r="H2575" s="7">
        <v>41928</v>
      </c>
      <c r="I2575" s="6" t="s">
        <v>913</v>
      </c>
      <c r="J2575" s="6" t="s">
        <v>11140</v>
      </c>
      <c r="K2575" s="6" t="s">
        <v>5478</v>
      </c>
      <c r="L2575" s="6">
        <v>6</v>
      </c>
      <c r="M2575" s="15" t="s">
        <v>11141</v>
      </c>
      <c r="N2575" s="15" t="s">
        <v>74</v>
      </c>
      <c r="O2575" s="28"/>
    </row>
    <row r="2576" spans="1:15" s="1" customFormat="1">
      <c r="A2576" s="3" t="s">
        <v>631</v>
      </c>
      <c r="B2576" s="3"/>
      <c r="C2576" s="3"/>
      <c r="D2576" s="5" t="s">
        <v>632</v>
      </c>
      <c r="E2576" s="5" t="s">
        <v>124</v>
      </c>
      <c r="F2576" s="3" t="s">
        <v>10137</v>
      </c>
      <c r="G2576" s="6">
        <f>17.498*6</f>
        <v>104.988</v>
      </c>
      <c r="H2576" s="7">
        <v>41928</v>
      </c>
      <c r="I2576" s="6" t="s">
        <v>471</v>
      </c>
      <c r="J2576" s="6" t="s">
        <v>10138</v>
      </c>
      <c r="K2576" s="6" t="s">
        <v>5478</v>
      </c>
      <c r="L2576" s="6" t="s">
        <v>9313</v>
      </c>
      <c r="M2576" s="15" t="s">
        <v>10139</v>
      </c>
      <c r="N2576" s="15" t="s">
        <v>10140</v>
      </c>
      <c r="O2576" s="28" t="s">
        <v>10141</v>
      </c>
    </row>
    <row r="2577" spans="1:15" s="1" customFormat="1">
      <c r="A2577" s="3" t="s">
        <v>812</v>
      </c>
      <c r="B2577" s="3"/>
      <c r="C2577" s="3"/>
      <c r="D2577" s="5" t="s">
        <v>3759</v>
      </c>
      <c r="E2577" s="5" t="s">
        <v>124</v>
      </c>
      <c r="F2577" s="3" t="s">
        <v>10165</v>
      </c>
      <c r="G2577" s="6">
        <v>86.643000000000001</v>
      </c>
      <c r="H2577" s="7">
        <v>41929</v>
      </c>
      <c r="I2577" s="6" t="s">
        <v>209</v>
      </c>
      <c r="J2577" s="6" t="s">
        <v>10166</v>
      </c>
      <c r="K2577" s="6" t="s">
        <v>128</v>
      </c>
      <c r="L2577" s="6" t="s">
        <v>1329</v>
      </c>
      <c r="M2577" s="15" t="s">
        <v>10167</v>
      </c>
      <c r="N2577" s="15" t="s">
        <v>10168</v>
      </c>
      <c r="O2577" s="28" t="s">
        <v>10169</v>
      </c>
    </row>
    <row r="2578" spans="1:15" s="1" customFormat="1">
      <c r="A2578" s="3" t="s">
        <v>1534</v>
      </c>
      <c r="B2578" s="3"/>
      <c r="C2578" s="3"/>
      <c r="D2578" s="5" t="s">
        <v>2128</v>
      </c>
      <c r="E2578" s="5" t="s">
        <v>124</v>
      </c>
      <c r="F2578" s="3" t="s">
        <v>10190</v>
      </c>
      <c r="G2578" s="6">
        <v>284.08100000000002</v>
      </c>
      <c r="H2578" s="7">
        <v>41929</v>
      </c>
      <c r="I2578" s="6" t="s">
        <v>209</v>
      </c>
      <c r="J2578" s="6" t="s">
        <v>10191</v>
      </c>
      <c r="K2578" s="6" t="s">
        <v>128</v>
      </c>
      <c r="L2578" s="6" t="s">
        <v>11618</v>
      </c>
      <c r="M2578" s="15" t="s">
        <v>10192</v>
      </c>
      <c r="N2578" s="15" t="s">
        <v>10193</v>
      </c>
      <c r="O2578" s="28" t="s">
        <v>10194</v>
      </c>
    </row>
    <row r="2579" spans="1:15" s="1" customFormat="1">
      <c r="A2579" s="3" t="s">
        <v>1534</v>
      </c>
      <c r="B2579" s="3"/>
      <c r="C2579" s="3"/>
      <c r="D2579" s="5" t="s">
        <v>2128</v>
      </c>
      <c r="E2579" s="5" t="s">
        <v>124</v>
      </c>
      <c r="F2579" s="3" t="s">
        <v>10200</v>
      </c>
      <c r="G2579" s="6">
        <v>260.18799999999999</v>
      </c>
      <c r="H2579" s="7">
        <v>41929</v>
      </c>
      <c r="I2579" s="6" t="s">
        <v>209</v>
      </c>
      <c r="J2579" s="6" t="s">
        <v>10201</v>
      </c>
      <c r="K2579" s="6" t="s">
        <v>128</v>
      </c>
      <c r="L2579" s="6" t="s">
        <v>1885</v>
      </c>
      <c r="M2579" s="15" t="s">
        <v>10202</v>
      </c>
      <c r="N2579" s="15" t="s">
        <v>10203</v>
      </c>
      <c r="O2579" s="28" t="s">
        <v>10204</v>
      </c>
    </row>
    <row r="2580" spans="1:15" s="1" customFormat="1">
      <c r="A2580" s="3" t="s">
        <v>236</v>
      </c>
      <c r="B2580" s="3"/>
      <c r="C2580" s="3"/>
      <c r="D2580" s="5" t="s">
        <v>237</v>
      </c>
      <c r="E2580" s="5" t="s">
        <v>124</v>
      </c>
      <c r="F2580" s="3" t="s">
        <v>10213</v>
      </c>
      <c r="G2580" s="6">
        <v>118.217</v>
      </c>
      <c r="H2580" s="7">
        <v>41929</v>
      </c>
      <c r="I2580" s="6" t="s">
        <v>209</v>
      </c>
      <c r="J2580" s="6" t="s">
        <v>10214</v>
      </c>
      <c r="K2580" s="6" t="s">
        <v>128</v>
      </c>
      <c r="L2580" s="6" t="s">
        <v>4712</v>
      </c>
      <c r="M2580" s="15" t="s">
        <v>10215</v>
      </c>
      <c r="N2580" s="15" t="s">
        <v>10216</v>
      </c>
      <c r="O2580" s="28" t="s">
        <v>10217</v>
      </c>
    </row>
    <row r="2581" spans="1:15" s="1" customFormat="1">
      <c r="A2581" s="3" t="s">
        <v>1322</v>
      </c>
      <c r="B2581" s="3"/>
      <c r="C2581" s="3"/>
      <c r="D2581" s="5" t="s">
        <v>672</v>
      </c>
      <c r="E2581" s="5" t="s">
        <v>124</v>
      </c>
      <c r="F2581" s="3" t="s">
        <v>10218</v>
      </c>
      <c r="G2581" s="6">
        <v>49.764000000000003</v>
      </c>
      <c r="H2581" s="7">
        <v>41929</v>
      </c>
      <c r="I2581" s="6" t="s">
        <v>209</v>
      </c>
      <c r="J2581" s="6" t="s">
        <v>10219</v>
      </c>
      <c r="K2581" s="6" t="s">
        <v>128</v>
      </c>
      <c r="L2581" s="6" t="s">
        <v>1990</v>
      </c>
      <c r="M2581" s="15" t="s">
        <v>10220</v>
      </c>
      <c r="N2581" s="15" t="s">
        <v>10221</v>
      </c>
      <c r="O2581" s="28" t="s">
        <v>10222</v>
      </c>
    </row>
    <row r="2582" spans="1:15" s="1" customFormat="1">
      <c r="A2582" s="3" t="s">
        <v>1311</v>
      </c>
      <c r="B2582" s="3"/>
      <c r="C2582" s="3"/>
      <c r="D2582" s="5" t="s">
        <v>1312</v>
      </c>
      <c r="E2582" s="5" t="s">
        <v>124</v>
      </c>
      <c r="F2582" s="3" t="s">
        <v>10228</v>
      </c>
      <c r="G2582" s="6">
        <v>83.856999999999999</v>
      </c>
      <c r="H2582" s="7">
        <v>41929</v>
      </c>
      <c r="I2582" s="6" t="s">
        <v>209</v>
      </c>
      <c r="J2582" s="6" t="s">
        <v>10229</v>
      </c>
      <c r="K2582" s="6" t="s">
        <v>128</v>
      </c>
      <c r="L2582" s="6" t="s">
        <v>2788</v>
      </c>
      <c r="M2582" s="15" t="s">
        <v>10230</v>
      </c>
      <c r="N2582" s="15" t="s">
        <v>9599</v>
      </c>
      <c r="O2582" s="28" t="s">
        <v>10231</v>
      </c>
    </row>
    <row r="2583" spans="1:15" s="1" customFormat="1">
      <c r="A2583" s="3" t="s">
        <v>1311</v>
      </c>
      <c r="B2583" s="3"/>
      <c r="C2583" s="3"/>
      <c r="D2583" s="5" t="s">
        <v>1312</v>
      </c>
      <c r="E2583" s="5" t="s">
        <v>124</v>
      </c>
      <c r="F2583" s="3" t="s">
        <v>10232</v>
      </c>
      <c r="G2583" s="6">
        <v>68.328000000000003</v>
      </c>
      <c r="H2583" s="7">
        <v>41929</v>
      </c>
      <c r="I2583" s="6" t="s">
        <v>209</v>
      </c>
      <c r="J2583" s="6" t="s">
        <v>10233</v>
      </c>
      <c r="K2583" s="6" t="s">
        <v>128</v>
      </c>
      <c r="L2583" s="6" t="s">
        <v>1658</v>
      </c>
      <c r="M2583" s="15" t="s">
        <v>10234</v>
      </c>
      <c r="N2583" s="15" t="s">
        <v>10235</v>
      </c>
      <c r="O2583" s="28" t="s">
        <v>10236</v>
      </c>
    </row>
    <row r="2584" spans="1:15" s="1" customFormat="1">
      <c r="A2584" s="3" t="s">
        <v>5890</v>
      </c>
      <c r="B2584" s="3"/>
      <c r="C2584" s="3"/>
      <c r="D2584" s="5" t="s">
        <v>5892</v>
      </c>
      <c r="E2584" s="5" t="s">
        <v>124</v>
      </c>
      <c r="F2584" s="3" t="s">
        <v>10243</v>
      </c>
      <c r="G2584" s="6">
        <v>251.78700000000001</v>
      </c>
      <c r="H2584" s="7">
        <v>41929</v>
      </c>
      <c r="I2584" s="6" t="s">
        <v>178</v>
      </c>
      <c r="J2584" s="6" t="s">
        <v>10244</v>
      </c>
      <c r="K2584" s="6" t="s">
        <v>128</v>
      </c>
      <c r="L2584" s="6" t="s">
        <v>808</v>
      </c>
      <c r="M2584" s="15" t="s">
        <v>10245</v>
      </c>
      <c r="N2584" s="15" t="s">
        <v>5154</v>
      </c>
      <c r="O2584" s="28" t="s">
        <v>10246</v>
      </c>
    </row>
    <row r="2585" spans="1:15" s="1" customFormat="1">
      <c r="A2585" s="3" t="s">
        <v>5890</v>
      </c>
      <c r="B2585" s="3"/>
      <c r="C2585" s="3"/>
      <c r="D2585" s="5" t="s">
        <v>5892</v>
      </c>
      <c r="E2585" s="5" t="s">
        <v>124</v>
      </c>
      <c r="F2585" s="3" t="s">
        <v>10247</v>
      </c>
      <c r="G2585" s="6">
        <v>161.172</v>
      </c>
      <c r="H2585" s="7">
        <v>41929</v>
      </c>
      <c r="I2585" s="6" t="s">
        <v>178</v>
      </c>
      <c r="J2585" s="6" t="s">
        <v>10248</v>
      </c>
      <c r="K2585" s="6" t="s">
        <v>128</v>
      </c>
      <c r="L2585" s="6" t="s">
        <v>6765</v>
      </c>
      <c r="M2585" s="15" t="s">
        <v>10249</v>
      </c>
      <c r="N2585" s="15" t="s">
        <v>10250</v>
      </c>
      <c r="O2585" s="28" t="s">
        <v>10251</v>
      </c>
    </row>
    <row r="2586" spans="1:15" s="1" customFormat="1">
      <c r="A2586" s="3" t="s">
        <v>5758</v>
      </c>
      <c r="B2586" s="3"/>
      <c r="C2586" s="3"/>
      <c r="D2586" s="5" t="s">
        <v>5751</v>
      </c>
      <c r="E2586" s="5" t="s">
        <v>124</v>
      </c>
      <c r="F2586" s="3" t="s">
        <v>10252</v>
      </c>
      <c r="G2586" s="6">
        <v>140.76300000000001</v>
      </c>
      <c r="H2586" s="7">
        <v>41929</v>
      </c>
      <c r="I2586" s="6" t="s">
        <v>209</v>
      </c>
      <c r="J2586" s="6" t="s">
        <v>10253</v>
      </c>
      <c r="K2586" s="6" t="s">
        <v>12997</v>
      </c>
      <c r="L2586" s="6" t="s">
        <v>1329</v>
      </c>
      <c r="M2586" s="15" t="s">
        <v>10254</v>
      </c>
      <c r="N2586" s="15" t="s">
        <v>10255</v>
      </c>
      <c r="O2586" s="28" t="s">
        <v>10256</v>
      </c>
    </row>
    <row r="2587" spans="1:15" s="1" customFormat="1">
      <c r="A2587" s="3" t="s">
        <v>1534</v>
      </c>
      <c r="B2587" s="3"/>
      <c r="C2587" s="3"/>
      <c r="D2587" s="5" t="s">
        <v>2128</v>
      </c>
      <c r="E2587" s="5" t="s">
        <v>124</v>
      </c>
      <c r="F2587" s="3" t="s">
        <v>10195</v>
      </c>
      <c r="G2587" s="6">
        <v>260.43099999999998</v>
      </c>
      <c r="H2587" s="7">
        <v>41929</v>
      </c>
      <c r="I2587" s="6" t="s">
        <v>209</v>
      </c>
      <c r="J2587" s="6" t="s">
        <v>10196</v>
      </c>
      <c r="K2587" s="6" t="s">
        <v>128</v>
      </c>
      <c r="L2587" s="6" t="s">
        <v>1885</v>
      </c>
      <c r="M2587" s="15" t="s">
        <v>10197</v>
      </c>
      <c r="N2587" s="15" t="s">
        <v>10198</v>
      </c>
      <c r="O2587" s="28" t="s">
        <v>10199</v>
      </c>
    </row>
    <row r="2588" spans="1:15" s="1" customFormat="1">
      <c r="A2588" s="3" t="s">
        <v>236</v>
      </c>
      <c r="B2588" s="3"/>
      <c r="C2588" s="3"/>
      <c r="D2588" s="5" t="s">
        <v>237</v>
      </c>
      <c r="E2588" s="5" t="s">
        <v>124</v>
      </c>
      <c r="F2588" s="3" t="s">
        <v>10209</v>
      </c>
      <c r="G2588" s="6">
        <v>155.39400000000001</v>
      </c>
      <c r="H2588" s="7">
        <v>41929</v>
      </c>
      <c r="I2588" s="6" t="s">
        <v>209</v>
      </c>
      <c r="J2588" s="6" t="s">
        <v>10210</v>
      </c>
      <c r="K2588" s="6" t="s">
        <v>128</v>
      </c>
      <c r="L2588" s="6" t="s">
        <v>808</v>
      </c>
      <c r="M2588" s="15" t="s">
        <v>10211</v>
      </c>
      <c r="N2588" s="15" t="s">
        <v>6994</v>
      </c>
      <c r="O2588" s="28" t="s">
        <v>10212</v>
      </c>
    </row>
    <row r="2589" spans="1:15" s="1" customFormat="1">
      <c r="A2589" s="3" t="s">
        <v>1043</v>
      </c>
      <c r="B2589" s="3"/>
      <c r="C2589" s="3"/>
      <c r="D2589" s="5" t="s">
        <v>443</v>
      </c>
      <c r="E2589" s="5" t="s">
        <v>7026</v>
      </c>
      <c r="F2589" s="3" t="s">
        <v>9035</v>
      </c>
      <c r="G2589" s="6">
        <f>18.708*L2589</f>
        <v>243.20399999999998</v>
      </c>
      <c r="H2589" s="7">
        <v>41932</v>
      </c>
      <c r="I2589" s="6" t="s">
        <v>178</v>
      </c>
      <c r="J2589" s="6" t="s">
        <v>9036</v>
      </c>
      <c r="K2589" s="6" t="s">
        <v>5478</v>
      </c>
      <c r="L2589" s="6">
        <v>13</v>
      </c>
      <c r="M2589" s="15" t="s">
        <v>9037</v>
      </c>
      <c r="N2589" s="15" t="s">
        <v>9038</v>
      </c>
      <c r="O2589" s="28"/>
    </row>
    <row r="2590" spans="1:15" s="1" customFormat="1">
      <c r="A2590" s="3" t="s">
        <v>1043</v>
      </c>
      <c r="B2590" s="3"/>
      <c r="C2590" s="3"/>
      <c r="D2590" s="5" t="s">
        <v>443</v>
      </c>
      <c r="E2590" s="5" t="s">
        <v>7026</v>
      </c>
      <c r="F2590" s="3" t="s">
        <v>9039</v>
      </c>
      <c r="G2590" s="6">
        <f>18.708*L2590</f>
        <v>187.07999999999998</v>
      </c>
      <c r="H2590" s="7">
        <v>41932</v>
      </c>
      <c r="I2590" s="6" t="s">
        <v>178</v>
      </c>
      <c r="J2590" s="6" t="s">
        <v>9040</v>
      </c>
      <c r="K2590" s="6" t="s">
        <v>5478</v>
      </c>
      <c r="L2590" s="6">
        <v>10</v>
      </c>
      <c r="M2590" s="15" t="s">
        <v>9041</v>
      </c>
      <c r="N2590" s="15" t="s">
        <v>9042</v>
      </c>
      <c r="O2590" s="28"/>
    </row>
    <row r="2591" spans="1:15" s="1" customFormat="1">
      <c r="A2591" s="3" t="s">
        <v>1043</v>
      </c>
      <c r="B2591" s="3"/>
      <c r="C2591" s="3"/>
      <c r="D2591" s="5" t="s">
        <v>443</v>
      </c>
      <c r="E2591" s="5" t="s">
        <v>7026</v>
      </c>
      <c r="F2591" s="3" t="s">
        <v>9043</v>
      </c>
      <c r="G2591" s="6">
        <f>18.708*L2591</f>
        <v>243.20399999999998</v>
      </c>
      <c r="H2591" s="7">
        <v>41932</v>
      </c>
      <c r="I2591" s="6" t="s">
        <v>178</v>
      </c>
      <c r="J2591" s="6" t="s">
        <v>9044</v>
      </c>
      <c r="K2591" s="6" t="s">
        <v>5478</v>
      </c>
      <c r="L2591" s="6">
        <v>13</v>
      </c>
      <c r="M2591" s="15" t="s">
        <v>9045</v>
      </c>
      <c r="N2591" s="15" t="s">
        <v>9038</v>
      </c>
      <c r="O2591" s="28"/>
    </row>
    <row r="2592" spans="1:15" s="1" customFormat="1">
      <c r="A2592" s="3" t="s">
        <v>1043</v>
      </c>
      <c r="B2592" s="3"/>
      <c r="C2592" s="3"/>
      <c r="D2592" s="5" t="s">
        <v>443</v>
      </c>
      <c r="E2592" s="5" t="s">
        <v>7026</v>
      </c>
      <c r="F2592" s="3" t="s">
        <v>11142</v>
      </c>
      <c r="G2592" s="6">
        <f>18.708*L2592</f>
        <v>224.49599999999998</v>
      </c>
      <c r="H2592" s="7">
        <v>41932</v>
      </c>
      <c r="I2592" s="6" t="s">
        <v>178</v>
      </c>
      <c r="J2592" s="6" t="s">
        <v>11143</v>
      </c>
      <c r="K2592" s="6" t="s">
        <v>5478</v>
      </c>
      <c r="L2592" s="6">
        <v>12</v>
      </c>
      <c r="M2592" s="15" t="s">
        <v>11144</v>
      </c>
      <c r="N2592" s="15" t="s">
        <v>6799</v>
      </c>
      <c r="O2592" s="28"/>
    </row>
    <row r="2593" spans="1:15" s="1" customFormat="1">
      <c r="A2593" s="3" t="s">
        <v>1043</v>
      </c>
      <c r="B2593" s="3"/>
      <c r="C2593" s="3"/>
      <c r="D2593" s="5" t="s">
        <v>443</v>
      </c>
      <c r="E2593" s="5" t="s">
        <v>7026</v>
      </c>
      <c r="F2593" s="3" t="s">
        <v>11145</v>
      </c>
      <c r="G2593" s="6">
        <f>18.708*L2593</f>
        <v>243.20399999999998</v>
      </c>
      <c r="H2593" s="7">
        <v>41932</v>
      </c>
      <c r="I2593" s="6" t="s">
        <v>178</v>
      </c>
      <c r="J2593" s="6" t="s">
        <v>11146</v>
      </c>
      <c r="K2593" s="6" t="s">
        <v>5478</v>
      </c>
      <c r="L2593" s="6">
        <v>13</v>
      </c>
      <c r="M2593" s="15" t="s">
        <v>11147</v>
      </c>
      <c r="N2593" s="15" t="s">
        <v>11148</v>
      </c>
      <c r="O2593" s="28"/>
    </row>
    <row r="2594" spans="1:15" s="1" customFormat="1">
      <c r="A2594" s="3" t="s">
        <v>7024</v>
      </c>
      <c r="B2594" s="3"/>
      <c r="C2594" s="3"/>
      <c r="D2594" s="5" t="s">
        <v>7025</v>
      </c>
      <c r="E2594" s="5" t="s">
        <v>7026</v>
      </c>
      <c r="F2594" s="3" t="s">
        <v>11155</v>
      </c>
      <c r="G2594" s="6">
        <f t="shared" ref="G2594:G2602" si="102">17.498*L2594</f>
        <v>174.98000000000002</v>
      </c>
      <c r="H2594" s="7">
        <v>41932</v>
      </c>
      <c r="I2594" s="6" t="s">
        <v>265</v>
      </c>
      <c r="J2594" s="6" t="s">
        <v>11156</v>
      </c>
      <c r="K2594" s="6" t="s">
        <v>5478</v>
      </c>
      <c r="L2594" s="6">
        <v>10</v>
      </c>
      <c r="M2594" s="15" t="s">
        <v>11157</v>
      </c>
      <c r="N2594" s="15" t="s">
        <v>4953</v>
      </c>
      <c r="O2594" s="28"/>
    </row>
    <row r="2595" spans="1:15" s="1" customFormat="1">
      <c r="A2595" s="3" t="s">
        <v>4453</v>
      </c>
      <c r="B2595" s="3"/>
      <c r="C2595" s="3"/>
      <c r="D2595" s="5" t="s">
        <v>3106</v>
      </c>
      <c r="E2595" s="5" t="s">
        <v>7026</v>
      </c>
      <c r="F2595" s="3" t="s">
        <v>11160</v>
      </c>
      <c r="G2595" s="6">
        <f t="shared" si="102"/>
        <v>209.976</v>
      </c>
      <c r="H2595" s="7">
        <v>41932</v>
      </c>
      <c r="I2595" s="6" t="s">
        <v>265</v>
      </c>
      <c r="J2595" s="6" t="s">
        <v>11161</v>
      </c>
      <c r="K2595" s="6" t="s">
        <v>5478</v>
      </c>
      <c r="L2595" s="6">
        <v>12</v>
      </c>
      <c r="M2595" s="15" t="s">
        <v>11162</v>
      </c>
      <c r="N2595" s="15" t="s">
        <v>78</v>
      </c>
      <c r="O2595" s="28"/>
    </row>
    <row r="2596" spans="1:15" s="1" customFormat="1">
      <c r="A2596" s="3" t="s">
        <v>4453</v>
      </c>
      <c r="B2596" s="3"/>
      <c r="C2596" s="3"/>
      <c r="D2596" s="5" t="s">
        <v>3106</v>
      </c>
      <c r="E2596" s="5" t="s">
        <v>7026</v>
      </c>
      <c r="F2596" s="3" t="s">
        <v>11163</v>
      </c>
      <c r="G2596" s="6">
        <f t="shared" si="102"/>
        <v>227.47400000000002</v>
      </c>
      <c r="H2596" s="7">
        <v>41932</v>
      </c>
      <c r="I2596" s="6" t="s">
        <v>265</v>
      </c>
      <c r="J2596" s="6" t="s">
        <v>11164</v>
      </c>
      <c r="K2596" s="6" t="s">
        <v>5478</v>
      </c>
      <c r="L2596" s="6">
        <v>13</v>
      </c>
      <c r="M2596" s="15" t="s">
        <v>11162</v>
      </c>
      <c r="N2596" s="15" t="s">
        <v>81</v>
      </c>
      <c r="O2596" s="28"/>
    </row>
    <row r="2597" spans="1:15" s="1" customFormat="1">
      <c r="A2597" s="3" t="s">
        <v>4453</v>
      </c>
      <c r="B2597" s="3"/>
      <c r="C2597" s="3"/>
      <c r="D2597" s="5" t="s">
        <v>3106</v>
      </c>
      <c r="E2597" s="5" t="s">
        <v>7026</v>
      </c>
      <c r="F2597" s="3" t="s">
        <v>11165</v>
      </c>
      <c r="G2597" s="6">
        <f t="shared" si="102"/>
        <v>209.976</v>
      </c>
      <c r="H2597" s="7">
        <v>41932</v>
      </c>
      <c r="I2597" s="6" t="s">
        <v>265</v>
      </c>
      <c r="J2597" s="6" t="s">
        <v>11166</v>
      </c>
      <c r="K2597" s="6" t="s">
        <v>5478</v>
      </c>
      <c r="L2597" s="6">
        <v>12</v>
      </c>
      <c r="M2597" s="15" t="s">
        <v>11167</v>
      </c>
      <c r="N2597" s="15" t="s">
        <v>78</v>
      </c>
      <c r="O2597" s="28"/>
    </row>
    <row r="2598" spans="1:15" s="1" customFormat="1">
      <c r="A2598" s="3" t="s">
        <v>4453</v>
      </c>
      <c r="B2598" s="3"/>
      <c r="C2598" s="3"/>
      <c r="D2598" s="5" t="s">
        <v>3106</v>
      </c>
      <c r="E2598" s="5" t="s">
        <v>7026</v>
      </c>
      <c r="F2598" s="3" t="s">
        <v>11168</v>
      </c>
      <c r="G2598" s="6">
        <f t="shared" si="102"/>
        <v>227.47400000000002</v>
      </c>
      <c r="H2598" s="7">
        <v>41932</v>
      </c>
      <c r="I2598" s="6" t="s">
        <v>265</v>
      </c>
      <c r="J2598" s="6" t="s">
        <v>11169</v>
      </c>
      <c r="K2598" s="6" t="s">
        <v>5478</v>
      </c>
      <c r="L2598" s="6">
        <v>13</v>
      </c>
      <c r="M2598" s="15" t="s">
        <v>11167</v>
      </c>
      <c r="N2598" s="15" t="s">
        <v>81</v>
      </c>
      <c r="O2598" s="28"/>
    </row>
    <row r="2599" spans="1:15" s="1" customFormat="1">
      <c r="A2599" s="3" t="s">
        <v>4453</v>
      </c>
      <c r="B2599" s="3"/>
      <c r="C2599" s="3"/>
      <c r="D2599" s="5" t="s">
        <v>3106</v>
      </c>
      <c r="E2599" s="5" t="s">
        <v>7026</v>
      </c>
      <c r="F2599" s="3" t="s">
        <v>11170</v>
      </c>
      <c r="G2599" s="6">
        <f t="shared" si="102"/>
        <v>209.976</v>
      </c>
      <c r="H2599" s="7">
        <v>41932</v>
      </c>
      <c r="I2599" s="6" t="s">
        <v>265</v>
      </c>
      <c r="J2599" s="6" t="s">
        <v>11171</v>
      </c>
      <c r="K2599" s="6" t="s">
        <v>5478</v>
      </c>
      <c r="L2599" s="6">
        <v>12</v>
      </c>
      <c r="M2599" s="15" t="s">
        <v>11172</v>
      </c>
      <c r="N2599" s="15" t="s">
        <v>78</v>
      </c>
      <c r="O2599" s="28"/>
    </row>
    <row r="2600" spans="1:15" s="1" customFormat="1">
      <c r="A2600" s="3" t="s">
        <v>4453</v>
      </c>
      <c r="B2600" s="3"/>
      <c r="C2600" s="3"/>
      <c r="D2600" s="5" t="s">
        <v>3106</v>
      </c>
      <c r="E2600" s="5" t="s">
        <v>7026</v>
      </c>
      <c r="F2600" s="3" t="s">
        <v>11173</v>
      </c>
      <c r="G2600" s="6">
        <f t="shared" si="102"/>
        <v>227.47400000000002</v>
      </c>
      <c r="H2600" s="7">
        <v>41932</v>
      </c>
      <c r="I2600" s="6" t="s">
        <v>265</v>
      </c>
      <c r="J2600" s="6" t="s">
        <v>11174</v>
      </c>
      <c r="K2600" s="6" t="s">
        <v>5478</v>
      </c>
      <c r="L2600" s="6">
        <v>13</v>
      </c>
      <c r="M2600" s="15" t="s">
        <v>11172</v>
      </c>
      <c r="N2600" s="15" t="s">
        <v>81</v>
      </c>
      <c r="O2600" s="28"/>
    </row>
    <row r="2601" spans="1:15" s="1" customFormat="1">
      <c r="A2601" s="3" t="s">
        <v>4453</v>
      </c>
      <c r="B2601" s="3"/>
      <c r="C2601" s="3"/>
      <c r="D2601" s="5" t="s">
        <v>3106</v>
      </c>
      <c r="E2601" s="5" t="s">
        <v>7026</v>
      </c>
      <c r="F2601" s="3" t="s">
        <v>11175</v>
      </c>
      <c r="G2601" s="6">
        <f t="shared" si="102"/>
        <v>262.47000000000003</v>
      </c>
      <c r="H2601" s="7">
        <v>41932</v>
      </c>
      <c r="I2601" s="6" t="s">
        <v>265</v>
      </c>
      <c r="J2601" s="6" t="s">
        <v>11176</v>
      </c>
      <c r="K2601" s="6" t="s">
        <v>5478</v>
      </c>
      <c r="L2601" s="6">
        <v>15</v>
      </c>
      <c r="M2601" s="15" t="s">
        <v>11177</v>
      </c>
      <c r="N2601" s="15" t="s">
        <v>2771</v>
      </c>
      <c r="O2601" s="28"/>
    </row>
    <row r="2602" spans="1:15" s="1" customFormat="1">
      <c r="A2602" s="3" t="s">
        <v>7024</v>
      </c>
      <c r="B2602" s="3"/>
      <c r="C2602" s="3"/>
      <c r="D2602" s="5" t="s">
        <v>7025</v>
      </c>
      <c r="E2602" s="5" t="s">
        <v>7026</v>
      </c>
      <c r="F2602" s="3" t="s">
        <v>11158</v>
      </c>
      <c r="G2602" s="6">
        <f t="shared" si="102"/>
        <v>174.98000000000002</v>
      </c>
      <c r="H2602" s="7">
        <v>41932</v>
      </c>
      <c r="I2602" s="6" t="s">
        <v>265</v>
      </c>
      <c r="J2602" s="6" t="s">
        <v>11159</v>
      </c>
      <c r="K2602" s="6" t="s">
        <v>5478</v>
      </c>
      <c r="L2602" s="6">
        <v>10</v>
      </c>
      <c r="M2602" s="15" t="s">
        <v>11157</v>
      </c>
      <c r="N2602" s="15" t="s">
        <v>556</v>
      </c>
      <c r="O2602" s="28"/>
    </row>
    <row r="2603" spans="1:15" s="1" customFormat="1">
      <c r="A2603" s="3" t="s">
        <v>1498</v>
      </c>
      <c r="B2603" s="3"/>
      <c r="C2603" s="3"/>
      <c r="D2603" s="5" t="s">
        <v>1499</v>
      </c>
      <c r="E2603" s="5" t="s">
        <v>124</v>
      </c>
      <c r="F2603" s="3" t="s">
        <v>10262</v>
      </c>
      <c r="G2603" s="6">
        <f>17.52*L2603</f>
        <v>210.24</v>
      </c>
      <c r="H2603" s="7">
        <v>41933</v>
      </c>
      <c r="I2603" s="6" t="s">
        <v>265</v>
      </c>
      <c r="J2603" s="6" t="s">
        <v>10263</v>
      </c>
      <c r="K2603" s="6" t="s">
        <v>21</v>
      </c>
      <c r="L2603" s="6">
        <v>12</v>
      </c>
      <c r="M2603" s="15" t="s">
        <v>10264</v>
      </c>
      <c r="N2603" s="15" t="s">
        <v>78</v>
      </c>
      <c r="O2603" s="28" t="s">
        <v>10264</v>
      </c>
    </row>
    <row r="2604" spans="1:15" s="1" customFormat="1">
      <c r="A2604" s="3" t="s">
        <v>1498</v>
      </c>
      <c r="B2604" s="3"/>
      <c r="C2604" s="3"/>
      <c r="D2604" s="5" t="s">
        <v>1499</v>
      </c>
      <c r="E2604" s="5" t="s">
        <v>124</v>
      </c>
      <c r="F2604" s="3" t="s">
        <v>10265</v>
      </c>
      <c r="G2604" s="6">
        <f>17.52*L2604</f>
        <v>227.76</v>
      </c>
      <c r="H2604" s="7">
        <v>41933</v>
      </c>
      <c r="I2604" s="6" t="s">
        <v>265</v>
      </c>
      <c r="J2604" s="6" t="s">
        <v>10266</v>
      </c>
      <c r="K2604" s="6" t="s">
        <v>21</v>
      </c>
      <c r="L2604" s="6">
        <v>13</v>
      </c>
      <c r="M2604" s="15" t="s">
        <v>10264</v>
      </c>
      <c r="N2604" s="15" t="s">
        <v>81</v>
      </c>
      <c r="O2604" s="28" t="s">
        <v>10267</v>
      </c>
    </row>
    <row r="2605" spans="1:15" s="1" customFormat="1">
      <c r="A2605" s="3" t="s">
        <v>777</v>
      </c>
      <c r="B2605" s="3"/>
      <c r="C2605" s="3"/>
      <c r="D2605" s="5" t="s">
        <v>778</v>
      </c>
      <c r="E2605" s="5" t="s">
        <v>124</v>
      </c>
      <c r="F2605" s="3" t="s">
        <v>10268</v>
      </c>
      <c r="G2605" s="6">
        <f>17.52*L2605</f>
        <v>210.24</v>
      </c>
      <c r="H2605" s="7">
        <v>41933</v>
      </c>
      <c r="I2605" s="6" t="s">
        <v>265</v>
      </c>
      <c r="J2605" s="6" t="s">
        <v>10269</v>
      </c>
      <c r="K2605" s="6" t="s">
        <v>21</v>
      </c>
      <c r="L2605" s="6">
        <v>12</v>
      </c>
      <c r="M2605" s="15" t="s">
        <v>10270</v>
      </c>
      <c r="N2605" s="15" t="s">
        <v>78</v>
      </c>
      <c r="O2605" s="28" t="s">
        <v>10270</v>
      </c>
    </row>
    <row r="2606" spans="1:15" s="1" customFormat="1">
      <c r="A2606" s="3" t="s">
        <v>777</v>
      </c>
      <c r="B2606" s="3"/>
      <c r="C2606" s="3"/>
      <c r="D2606" s="5" t="s">
        <v>778</v>
      </c>
      <c r="E2606" s="5" t="s">
        <v>124</v>
      </c>
      <c r="F2606" s="3" t="s">
        <v>10271</v>
      </c>
      <c r="G2606" s="6">
        <f>17.52*L2606</f>
        <v>227.76</v>
      </c>
      <c r="H2606" s="7">
        <v>41933</v>
      </c>
      <c r="I2606" s="6" t="s">
        <v>265</v>
      </c>
      <c r="J2606" s="6" t="s">
        <v>10272</v>
      </c>
      <c r="K2606" s="6" t="s">
        <v>21</v>
      </c>
      <c r="L2606" s="6">
        <v>13</v>
      </c>
      <c r="M2606" s="15" t="s">
        <v>10270</v>
      </c>
      <c r="N2606" s="15" t="s">
        <v>81</v>
      </c>
      <c r="O2606" s="28" t="s">
        <v>10273</v>
      </c>
    </row>
    <row r="2607" spans="1:15" s="1" customFormat="1">
      <c r="A2607" s="3" t="s">
        <v>514</v>
      </c>
      <c r="B2607" s="3"/>
      <c r="C2607" s="3"/>
      <c r="D2607" s="5" t="s">
        <v>2030</v>
      </c>
      <c r="E2607" s="5" t="s">
        <v>124</v>
      </c>
      <c r="F2607" s="3" t="s">
        <v>10277</v>
      </c>
      <c r="G2607" s="6">
        <f>14.405*L2607</f>
        <v>187.26499999999999</v>
      </c>
      <c r="H2607" s="7">
        <v>41933</v>
      </c>
      <c r="I2607" s="6" t="s">
        <v>265</v>
      </c>
      <c r="J2607" s="6" t="s">
        <v>10278</v>
      </c>
      <c r="K2607" s="6" t="s">
        <v>21</v>
      </c>
      <c r="L2607" s="6">
        <v>13</v>
      </c>
      <c r="M2607" s="15" t="s">
        <v>10279</v>
      </c>
      <c r="N2607" s="15" t="s">
        <v>6795</v>
      </c>
      <c r="O2607" s="28" t="s">
        <v>10279</v>
      </c>
    </row>
    <row r="2608" spans="1:15" s="1" customFormat="1">
      <c r="A2608" s="3" t="s">
        <v>514</v>
      </c>
      <c r="B2608" s="3"/>
      <c r="C2608" s="3"/>
      <c r="D2608" s="5" t="s">
        <v>2030</v>
      </c>
      <c r="E2608" s="5" t="s">
        <v>124</v>
      </c>
      <c r="F2608" s="3" t="s">
        <v>10280</v>
      </c>
      <c r="G2608" s="6">
        <f>14.405*L2608</f>
        <v>172.85999999999999</v>
      </c>
      <c r="H2608" s="7">
        <v>41933</v>
      </c>
      <c r="I2608" s="6" t="s">
        <v>265</v>
      </c>
      <c r="J2608" s="6" t="s">
        <v>10281</v>
      </c>
      <c r="K2608" s="6" t="s">
        <v>21</v>
      </c>
      <c r="L2608" s="6">
        <v>12</v>
      </c>
      <c r="M2608" s="15" t="s">
        <v>10282</v>
      </c>
      <c r="N2608" s="15" t="s">
        <v>6799</v>
      </c>
      <c r="O2608" s="28" t="s">
        <v>10282</v>
      </c>
    </row>
    <row r="2609" spans="1:15" s="1" customFormat="1">
      <c r="A2609" s="3" t="s">
        <v>514</v>
      </c>
      <c r="B2609" s="3"/>
      <c r="C2609" s="3"/>
      <c r="D2609" s="5" t="s">
        <v>2030</v>
      </c>
      <c r="E2609" s="5" t="s">
        <v>124</v>
      </c>
      <c r="F2609" s="3" t="s">
        <v>10283</v>
      </c>
      <c r="G2609" s="6">
        <f>14.405*L2609</f>
        <v>187.26499999999999</v>
      </c>
      <c r="H2609" s="7">
        <v>41933</v>
      </c>
      <c r="I2609" s="6" t="s">
        <v>265</v>
      </c>
      <c r="J2609" s="6" t="s">
        <v>10284</v>
      </c>
      <c r="K2609" s="6" t="s">
        <v>21</v>
      </c>
      <c r="L2609" s="6">
        <v>13</v>
      </c>
      <c r="M2609" s="15" t="s">
        <v>10285</v>
      </c>
      <c r="N2609" s="15" t="s">
        <v>6795</v>
      </c>
      <c r="O2609" s="28" t="s">
        <v>10285</v>
      </c>
    </row>
    <row r="2610" spans="1:15" s="1" customFormat="1">
      <c r="A2610" s="3" t="s">
        <v>514</v>
      </c>
      <c r="B2610" s="3"/>
      <c r="C2610" s="3"/>
      <c r="D2610" s="5" t="s">
        <v>2030</v>
      </c>
      <c r="E2610" s="5" t="s">
        <v>124</v>
      </c>
      <c r="F2610" s="3" t="s">
        <v>10286</v>
      </c>
      <c r="G2610" s="6">
        <f>14.405*L2610</f>
        <v>172.85999999999999</v>
      </c>
      <c r="H2610" s="7">
        <v>41933</v>
      </c>
      <c r="I2610" s="6" t="s">
        <v>265</v>
      </c>
      <c r="J2610" s="6" t="s">
        <v>10287</v>
      </c>
      <c r="K2610" s="6" t="s">
        <v>21</v>
      </c>
      <c r="L2610" s="6">
        <v>12</v>
      </c>
      <c r="M2610" s="15" t="s">
        <v>10288</v>
      </c>
      <c r="N2610" s="15" t="s">
        <v>6799</v>
      </c>
      <c r="O2610" s="28" t="s">
        <v>10288</v>
      </c>
    </row>
    <row r="2611" spans="1:15" s="1" customFormat="1">
      <c r="A2611" s="3" t="s">
        <v>1082</v>
      </c>
      <c r="B2611" s="3" t="s">
        <v>283</v>
      </c>
      <c r="C2611" s="3"/>
      <c r="D2611" s="5" t="s">
        <v>1083</v>
      </c>
      <c r="E2611" s="5" t="s">
        <v>124</v>
      </c>
      <c r="F2611" s="3" t="s">
        <v>10289</v>
      </c>
      <c r="G2611" s="6">
        <f>9.871*L2611</f>
        <v>98.710000000000008</v>
      </c>
      <c r="H2611" s="7">
        <v>41933</v>
      </c>
      <c r="I2611" s="6" t="s">
        <v>161</v>
      </c>
      <c r="J2611" s="6" t="s">
        <v>10290</v>
      </c>
      <c r="K2611" s="6" t="s">
        <v>21</v>
      </c>
      <c r="L2611" s="6">
        <v>10</v>
      </c>
      <c r="M2611" s="15" t="s">
        <v>10291</v>
      </c>
      <c r="N2611" s="15" t="s">
        <v>4953</v>
      </c>
      <c r="O2611" s="28" t="s">
        <v>10291</v>
      </c>
    </row>
    <row r="2612" spans="1:15" s="1" customFormat="1">
      <c r="A2612" s="3" t="s">
        <v>1082</v>
      </c>
      <c r="B2612" s="3" t="s">
        <v>283</v>
      </c>
      <c r="C2612" s="3"/>
      <c r="D2612" s="5" t="s">
        <v>1083</v>
      </c>
      <c r="E2612" s="5" t="s">
        <v>124</v>
      </c>
      <c r="F2612" s="3" t="s">
        <v>10292</v>
      </c>
      <c r="G2612" s="6">
        <f>9.871*L2612</f>
        <v>98.710000000000008</v>
      </c>
      <c r="H2612" s="7">
        <v>41933</v>
      </c>
      <c r="I2612" s="6" t="s">
        <v>161</v>
      </c>
      <c r="J2612" s="6" t="s">
        <v>10293</v>
      </c>
      <c r="K2612" s="6" t="s">
        <v>21</v>
      </c>
      <c r="L2612" s="6">
        <v>10</v>
      </c>
      <c r="M2612" s="15" t="s">
        <v>10291</v>
      </c>
      <c r="N2612" s="15" t="s">
        <v>10294</v>
      </c>
      <c r="O2612" s="28" t="s">
        <v>10295</v>
      </c>
    </row>
    <row r="2613" spans="1:15" s="1" customFormat="1">
      <c r="A2613" s="3" t="s">
        <v>3870</v>
      </c>
      <c r="B2613" s="3"/>
      <c r="C2613" s="3"/>
      <c r="D2613" s="5" t="s">
        <v>3871</v>
      </c>
      <c r="E2613" s="5" t="s">
        <v>124</v>
      </c>
      <c r="F2613" s="3" t="s">
        <v>10296</v>
      </c>
      <c r="G2613" s="6">
        <f t="shared" ref="G2613:G2622" si="103">13.006*L2613</f>
        <v>156.072</v>
      </c>
      <c r="H2613" s="7">
        <v>41933</v>
      </c>
      <c r="I2613" s="6" t="s">
        <v>6676</v>
      </c>
      <c r="J2613" s="6" t="s">
        <v>10297</v>
      </c>
      <c r="K2613" s="6" t="s">
        <v>21</v>
      </c>
      <c r="L2613" s="6">
        <v>12</v>
      </c>
      <c r="M2613" s="15" t="s">
        <v>10298</v>
      </c>
      <c r="N2613" s="15" t="s">
        <v>164</v>
      </c>
      <c r="O2613" s="28" t="s">
        <v>10298</v>
      </c>
    </row>
    <row r="2614" spans="1:15" s="1" customFormat="1">
      <c r="A2614" s="3" t="s">
        <v>3870</v>
      </c>
      <c r="B2614" s="3"/>
      <c r="C2614" s="3"/>
      <c r="D2614" s="5" t="s">
        <v>3871</v>
      </c>
      <c r="E2614" s="5" t="s">
        <v>124</v>
      </c>
      <c r="F2614" s="3" t="s">
        <v>10299</v>
      </c>
      <c r="G2614" s="6">
        <f t="shared" si="103"/>
        <v>169.078</v>
      </c>
      <c r="H2614" s="7">
        <v>41933</v>
      </c>
      <c r="I2614" s="6" t="s">
        <v>6676</v>
      </c>
      <c r="J2614" s="6" t="s">
        <v>10300</v>
      </c>
      <c r="K2614" s="6" t="s">
        <v>21</v>
      </c>
      <c r="L2614" s="6">
        <v>13</v>
      </c>
      <c r="M2614" s="15" t="s">
        <v>10298</v>
      </c>
      <c r="N2614" s="15" t="s">
        <v>167</v>
      </c>
      <c r="O2614" s="28" t="s">
        <v>10301</v>
      </c>
    </row>
    <row r="2615" spans="1:15" s="1" customFormat="1">
      <c r="A2615" s="3" t="s">
        <v>3870</v>
      </c>
      <c r="B2615" s="3"/>
      <c r="C2615" s="3"/>
      <c r="D2615" s="5" t="s">
        <v>3871</v>
      </c>
      <c r="E2615" s="5" t="s">
        <v>124</v>
      </c>
      <c r="F2615" s="3" t="s">
        <v>10302</v>
      </c>
      <c r="G2615" s="6">
        <f t="shared" si="103"/>
        <v>156.072</v>
      </c>
      <c r="H2615" s="7">
        <v>41933</v>
      </c>
      <c r="I2615" s="6" t="s">
        <v>6676</v>
      </c>
      <c r="J2615" s="6" t="s">
        <v>10303</v>
      </c>
      <c r="K2615" s="6" t="s">
        <v>21</v>
      </c>
      <c r="L2615" s="6">
        <v>12</v>
      </c>
      <c r="M2615" s="15" t="s">
        <v>10304</v>
      </c>
      <c r="N2615" s="15" t="s">
        <v>164</v>
      </c>
      <c r="O2615" s="28" t="s">
        <v>10304</v>
      </c>
    </row>
    <row r="2616" spans="1:15" s="1" customFormat="1">
      <c r="A2616" s="3" t="s">
        <v>3870</v>
      </c>
      <c r="B2616" s="3"/>
      <c r="C2616" s="3"/>
      <c r="D2616" s="5" t="s">
        <v>3871</v>
      </c>
      <c r="E2616" s="5" t="s">
        <v>124</v>
      </c>
      <c r="F2616" s="3" t="s">
        <v>10305</v>
      </c>
      <c r="G2616" s="6">
        <f t="shared" si="103"/>
        <v>169.078</v>
      </c>
      <c r="H2616" s="7">
        <v>41933</v>
      </c>
      <c r="I2616" s="6" t="s">
        <v>6676</v>
      </c>
      <c r="J2616" s="6" t="s">
        <v>10306</v>
      </c>
      <c r="K2616" s="6" t="s">
        <v>21</v>
      </c>
      <c r="L2616" s="6">
        <v>13</v>
      </c>
      <c r="M2616" s="15" t="s">
        <v>10304</v>
      </c>
      <c r="N2616" s="15" t="s">
        <v>167</v>
      </c>
      <c r="O2616" s="28" t="s">
        <v>10307</v>
      </c>
    </row>
    <row r="2617" spans="1:15" s="1" customFormat="1">
      <c r="A2617" s="3" t="s">
        <v>3870</v>
      </c>
      <c r="B2617" s="3"/>
      <c r="C2617" s="3"/>
      <c r="D2617" s="5" t="s">
        <v>3871</v>
      </c>
      <c r="E2617" s="5" t="s">
        <v>124</v>
      </c>
      <c r="F2617" s="3" t="s">
        <v>10308</v>
      </c>
      <c r="G2617" s="6">
        <f t="shared" si="103"/>
        <v>156.072</v>
      </c>
      <c r="H2617" s="7">
        <v>41933</v>
      </c>
      <c r="I2617" s="6" t="s">
        <v>6676</v>
      </c>
      <c r="J2617" s="6" t="s">
        <v>10309</v>
      </c>
      <c r="K2617" s="6" t="s">
        <v>21</v>
      </c>
      <c r="L2617" s="6">
        <v>12</v>
      </c>
      <c r="M2617" s="15" t="s">
        <v>10310</v>
      </c>
      <c r="N2617" s="15" t="s">
        <v>164</v>
      </c>
      <c r="O2617" s="28" t="s">
        <v>10310</v>
      </c>
    </row>
    <row r="2618" spans="1:15" s="1" customFormat="1">
      <c r="A2618" s="3" t="s">
        <v>3870</v>
      </c>
      <c r="B2618" s="3"/>
      <c r="C2618" s="3"/>
      <c r="D2618" s="5" t="s">
        <v>3871</v>
      </c>
      <c r="E2618" s="5" t="s">
        <v>124</v>
      </c>
      <c r="F2618" s="3" t="s">
        <v>10311</v>
      </c>
      <c r="G2618" s="6">
        <f t="shared" si="103"/>
        <v>169.078</v>
      </c>
      <c r="H2618" s="7">
        <v>41933</v>
      </c>
      <c r="I2618" s="6" t="s">
        <v>6676</v>
      </c>
      <c r="J2618" s="6" t="s">
        <v>10312</v>
      </c>
      <c r="K2618" s="6" t="s">
        <v>21</v>
      </c>
      <c r="L2618" s="6">
        <v>13</v>
      </c>
      <c r="M2618" s="15" t="s">
        <v>10310</v>
      </c>
      <c r="N2618" s="15" t="s">
        <v>167</v>
      </c>
      <c r="O2618" s="28" t="s">
        <v>10313</v>
      </c>
    </row>
    <row r="2619" spans="1:15" s="1" customFormat="1">
      <c r="A2619" s="3" t="s">
        <v>3870</v>
      </c>
      <c r="B2619" s="3"/>
      <c r="C2619" s="3"/>
      <c r="D2619" s="5" t="s">
        <v>3871</v>
      </c>
      <c r="E2619" s="5" t="s">
        <v>124</v>
      </c>
      <c r="F2619" s="3" t="s">
        <v>10314</v>
      </c>
      <c r="G2619" s="6">
        <f t="shared" si="103"/>
        <v>156.072</v>
      </c>
      <c r="H2619" s="7">
        <v>41933</v>
      </c>
      <c r="I2619" s="6" t="s">
        <v>6676</v>
      </c>
      <c r="J2619" s="6" t="s">
        <v>10315</v>
      </c>
      <c r="K2619" s="6" t="s">
        <v>21</v>
      </c>
      <c r="L2619" s="6">
        <v>12</v>
      </c>
      <c r="M2619" s="15" t="s">
        <v>10316</v>
      </c>
      <c r="N2619" s="15" t="s">
        <v>164</v>
      </c>
      <c r="O2619" s="28" t="s">
        <v>10316</v>
      </c>
    </row>
    <row r="2620" spans="1:15" s="1" customFormat="1">
      <c r="A2620" s="3" t="s">
        <v>3870</v>
      </c>
      <c r="B2620" s="3"/>
      <c r="C2620" s="3"/>
      <c r="D2620" s="5" t="s">
        <v>3871</v>
      </c>
      <c r="E2620" s="5" t="s">
        <v>124</v>
      </c>
      <c r="F2620" s="3" t="s">
        <v>10317</v>
      </c>
      <c r="G2620" s="6">
        <f t="shared" si="103"/>
        <v>169.078</v>
      </c>
      <c r="H2620" s="7">
        <v>41933</v>
      </c>
      <c r="I2620" s="6" t="s">
        <v>6676</v>
      </c>
      <c r="J2620" s="6" t="s">
        <v>10318</v>
      </c>
      <c r="K2620" s="6" t="s">
        <v>21</v>
      </c>
      <c r="L2620" s="6">
        <v>13</v>
      </c>
      <c r="M2620" s="15" t="s">
        <v>10316</v>
      </c>
      <c r="N2620" s="15" t="s">
        <v>167</v>
      </c>
      <c r="O2620" s="28" t="s">
        <v>10319</v>
      </c>
    </row>
    <row r="2621" spans="1:15" s="1" customFormat="1">
      <c r="A2621" s="3" t="s">
        <v>3870</v>
      </c>
      <c r="B2621" s="3"/>
      <c r="C2621" s="3"/>
      <c r="D2621" s="5" t="s">
        <v>3871</v>
      </c>
      <c r="E2621" s="5" t="s">
        <v>124</v>
      </c>
      <c r="F2621" s="3" t="s">
        <v>10320</v>
      </c>
      <c r="G2621" s="6">
        <f t="shared" si="103"/>
        <v>156.072</v>
      </c>
      <c r="H2621" s="7">
        <v>41933</v>
      </c>
      <c r="I2621" s="6" t="s">
        <v>6676</v>
      </c>
      <c r="J2621" s="6" t="s">
        <v>10321</v>
      </c>
      <c r="K2621" s="6" t="s">
        <v>21</v>
      </c>
      <c r="L2621" s="6">
        <v>12</v>
      </c>
      <c r="M2621" s="15" t="s">
        <v>10322</v>
      </c>
      <c r="N2621" s="15" t="s">
        <v>164</v>
      </c>
      <c r="O2621" s="28" t="s">
        <v>10322</v>
      </c>
    </row>
    <row r="2622" spans="1:15" s="1" customFormat="1">
      <c r="A2622" s="3" t="s">
        <v>3870</v>
      </c>
      <c r="B2622" s="3"/>
      <c r="C2622" s="3"/>
      <c r="D2622" s="5" t="s">
        <v>3871</v>
      </c>
      <c r="E2622" s="5" t="s">
        <v>124</v>
      </c>
      <c r="F2622" s="3" t="s">
        <v>10323</v>
      </c>
      <c r="G2622" s="6">
        <f t="shared" si="103"/>
        <v>169.078</v>
      </c>
      <c r="H2622" s="7">
        <v>41933</v>
      </c>
      <c r="I2622" s="6" t="s">
        <v>6676</v>
      </c>
      <c r="J2622" s="6" t="s">
        <v>10324</v>
      </c>
      <c r="K2622" s="6" t="s">
        <v>21</v>
      </c>
      <c r="L2622" s="6">
        <v>13</v>
      </c>
      <c r="M2622" s="15" t="s">
        <v>10322</v>
      </c>
      <c r="N2622" s="15" t="s">
        <v>167</v>
      </c>
      <c r="O2622" s="28" t="s">
        <v>10325</v>
      </c>
    </row>
    <row r="2623" spans="1:15" s="1" customFormat="1">
      <c r="A2623" s="3" t="s">
        <v>5435</v>
      </c>
      <c r="B2623" s="3"/>
      <c r="C2623" s="3"/>
      <c r="D2623" s="5" t="s">
        <v>5294</v>
      </c>
      <c r="E2623" s="5" t="s">
        <v>124</v>
      </c>
      <c r="F2623" s="3" t="s">
        <v>10326</v>
      </c>
      <c r="G2623" s="6">
        <f>17.52*L2623</f>
        <v>262.8</v>
      </c>
      <c r="H2623" s="7">
        <v>41933</v>
      </c>
      <c r="I2623" s="6" t="s">
        <v>209</v>
      </c>
      <c r="J2623" s="6" t="s">
        <v>10327</v>
      </c>
      <c r="K2623" s="6" t="s">
        <v>21</v>
      </c>
      <c r="L2623" s="6">
        <v>15</v>
      </c>
      <c r="M2623" s="15" t="s">
        <v>10328</v>
      </c>
      <c r="N2623" s="15" t="s">
        <v>5066</v>
      </c>
      <c r="O2623" s="28" t="s">
        <v>10328</v>
      </c>
    </row>
    <row r="2624" spans="1:15" s="1" customFormat="1">
      <c r="A2624" s="3" t="s">
        <v>585</v>
      </c>
      <c r="B2624" s="3"/>
      <c r="C2624" s="3"/>
      <c r="D2624" s="5" t="s">
        <v>586</v>
      </c>
      <c r="E2624" s="5" t="s">
        <v>124</v>
      </c>
      <c r="F2624" s="3" t="s">
        <v>10332</v>
      </c>
      <c r="G2624" s="6">
        <f>17.52*L2624</f>
        <v>87.6</v>
      </c>
      <c r="H2624" s="7">
        <v>41933</v>
      </c>
      <c r="I2624" s="6" t="s">
        <v>209</v>
      </c>
      <c r="J2624" s="6" t="s">
        <v>10333</v>
      </c>
      <c r="K2624" s="6" t="s">
        <v>21</v>
      </c>
      <c r="L2624" s="6">
        <v>5</v>
      </c>
      <c r="M2624" s="15" t="s">
        <v>10334</v>
      </c>
      <c r="N2624" s="15" t="s">
        <v>6000</v>
      </c>
      <c r="O2624" s="28" t="s">
        <v>10334</v>
      </c>
    </row>
    <row r="2625" spans="1:15" s="1" customFormat="1">
      <c r="A2625" s="3" t="s">
        <v>846</v>
      </c>
      <c r="B2625" s="3"/>
      <c r="C2625" s="3"/>
      <c r="D2625" s="5" t="s">
        <v>191</v>
      </c>
      <c r="E2625" s="5" t="s">
        <v>124</v>
      </c>
      <c r="F2625" s="3" t="s">
        <v>10338</v>
      </c>
      <c r="G2625" s="6">
        <f>18.708*L2625</f>
        <v>112.24799999999999</v>
      </c>
      <c r="H2625" s="7">
        <v>41933</v>
      </c>
      <c r="I2625" s="6" t="s">
        <v>247</v>
      </c>
      <c r="J2625" s="6" t="s">
        <v>10339</v>
      </c>
      <c r="K2625" s="6" t="s">
        <v>21</v>
      </c>
      <c r="L2625" s="6">
        <v>6</v>
      </c>
      <c r="M2625" s="15" t="s">
        <v>10337</v>
      </c>
      <c r="N2625" s="15" t="s">
        <v>10340</v>
      </c>
      <c r="O2625" s="28" t="s">
        <v>10341</v>
      </c>
    </row>
    <row r="2626" spans="1:15" s="1" customFormat="1">
      <c r="A2626" s="3" t="s">
        <v>846</v>
      </c>
      <c r="B2626" s="3"/>
      <c r="C2626" s="3"/>
      <c r="D2626" s="5" t="s">
        <v>191</v>
      </c>
      <c r="E2626" s="5" t="s">
        <v>124</v>
      </c>
      <c r="F2626" s="3" t="s">
        <v>10342</v>
      </c>
      <c r="G2626" s="6">
        <f>18.708*L2626</f>
        <v>224.49599999999998</v>
      </c>
      <c r="H2626" s="7">
        <v>41933</v>
      </c>
      <c r="I2626" s="6" t="s">
        <v>247</v>
      </c>
      <c r="J2626" s="6" t="s">
        <v>10343</v>
      </c>
      <c r="K2626" s="6" t="s">
        <v>21</v>
      </c>
      <c r="L2626" s="6">
        <v>12</v>
      </c>
      <c r="M2626" s="15" t="s">
        <v>10344</v>
      </c>
      <c r="N2626" s="15" t="s">
        <v>6799</v>
      </c>
      <c r="O2626" s="28" t="s">
        <v>10344</v>
      </c>
    </row>
    <row r="2627" spans="1:15" s="1" customFormat="1">
      <c r="A2627" s="3" t="s">
        <v>4051</v>
      </c>
      <c r="B2627" s="3"/>
      <c r="C2627" s="3"/>
      <c r="D2627" s="5" t="s">
        <v>9670</v>
      </c>
      <c r="E2627" s="5" t="s">
        <v>124</v>
      </c>
      <c r="F2627" s="3" t="s">
        <v>10345</v>
      </c>
      <c r="G2627" s="6">
        <f>14.405*4</f>
        <v>57.62</v>
      </c>
      <c r="H2627" s="7">
        <v>41933</v>
      </c>
      <c r="I2627" s="6" t="s">
        <v>471</v>
      </c>
      <c r="J2627" s="6" t="s">
        <v>10346</v>
      </c>
      <c r="K2627" s="6" t="s">
        <v>21</v>
      </c>
      <c r="L2627" s="6" t="s">
        <v>6113</v>
      </c>
      <c r="M2627" s="15" t="s">
        <v>10347</v>
      </c>
      <c r="N2627" s="15" t="s">
        <v>10348</v>
      </c>
      <c r="O2627" s="28" t="s">
        <v>10349</v>
      </c>
    </row>
    <row r="2628" spans="1:15" s="1" customFormat="1">
      <c r="A2628" s="3" t="s">
        <v>1108</v>
      </c>
      <c r="B2628" s="3"/>
      <c r="C2628" s="3"/>
      <c r="D2628" s="5" t="s">
        <v>391</v>
      </c>
      <c r="E2628" s="5" t="s">
        <v>124</v>
      </c>
      <c r="F2628" s="3" t="s">
        <v>10350</v>
      </c>
      <c r="G2628" s="6">
        <f>17.712*L2628</f>
        <v>141.696</v>
      </c>
      <c r="H2628" s="7">
        <v>41933</v>
      </c>
      <c r="I2628" s="6" t="s">
        <v>265</v>
      </c>
      <c r="J2628" s="6" t="s">
        <v>10351</v>
      </c>
      <c r="K2628" s="6" t="s">
        <v>21</v>
      </c>
      <c r="L2628" s="6">
        <v>8</v>
      </c>
      <c r="M2628" s="15" t="s">
        <v>10073</v>
      </c>
      <c r="N2628" s="15" t="s">
        <v>8846</v>
      </c>
      <c r="O2628" s="28" t="s">
        <v>10352</v>
      </c>
    </row>
    <row r="2629" spans="1:15" s="1" customFormat="1">
      <c r="A2629" s="3" t="s">
        <v>1043</v>
      </c>
      <c r="B2629" s="3"/>
      <c r="C2629" s="3"/>
      <c r="D2629" s="5" t="s">
        <v>443</v>
      </c>
      <c r="E2629" s="5" t="s">
        <v>7026</v>
      </c>
      <c r="F2629" s="3" t="s">
        <v>9046</v>
      </c>
      <c r="G2629" s="6">
        <f>18.708*L2629</f>
        <v>224.49599999999998</v>
      </c>
      <c r="H2629" s="7">
        <v>41933</v>
      </c>
      <c r="I2629" s="6" t="s">
        <v>178</v>
      </c>
      <c r="J2629" s="6" t="s">
        <v>9047</v>
      </c>
      <c r="K2629" s="6" t="s">
        <v>5478</v>
      </c>
      <c r="L2629" s="6">
        <v>12</v>
      </c>
      <c r="M2629" s="15" t="s">
        <v>9048</v>
      </c>
      <c r="N2629" s="15" t="s">
        <v>6799</v>
      </c>
      <c r="O2629" s="28"/>
    </row>
    <row r="2630" spans="1:15" s="1" customFormat="1">
      <c r="A2630" s="3" t="s">
        <v>4453</v>
      </c>
      <c r="B2630" s="3"/>
      <c r="C2630" s="3"/>
      <c r="D2630" s="5" t="s">
        <v>3106</v>
      </c>
      <c r="E2630" s="5" t="s">
        <v>7026</v>
      </c>
      <c r="F2630" s="3" t="s">
        <v>11178</v>
      </c>
      <c r="G2630" s="6">
        <f>17.498*L2630</f>
        <v>209.976</v>
      </c>
      <c r="H2630" s="7">
        <v>41933</v>
      </c>
      <c r="I2630" s="6" t="s">
        <v>265</v>
      </c>
      <c r="J2630" s="6" t="s">
        <v>11179</v>
      </c>
      <c r="K2630" s="6" t="s">
        <v>5478</v>
      </c>
      <c r="L2630" s="6">
        <v>12</v>
      </c>
      <c r="M2630" s="15" t="s">
        <v>11180</v>
      </c>
      <c r="N2630" s="15" t="s">
        <v>78</v>
      </c>
      <c r="O2630" s="28"/>
    </row>
    <row r="2631" spans="1:15" s="1" customFormat="1">
      <c r="A2631" s="3" t="s">
        <v>4453</v>
      </c>
      <c r="B2631" s="3"/>
      <c r="C2631" s="3"/>
      <c r="D2631" s="5" t="s">
        <v>3106</v>
      </c>
      <c r="E2631" s="5" t="s">
        <v>7026</v>
      </c>
      <c r="F2631" s="3" t="s">
        <v>11181</v>
      </c>
      <c r="G2631" s="6">
        <f>17.498*L2631</f>
        <v>227.47400000000002</v>
      </c>
      <c r="H2631" s="7">
        <v>41933</v>
      </c>
      <c r="I2631" s="6" t="s">
        <v>265</v>
      </c>
      <c r="J2631" s="6" t="s">
        <v>11182</v>
      </c>
      <c r="K2631" s="6" t="s">
        <v>5478</v>
      </c>
      <c r="L2631" s="6">
        <v>13</v>
      </c>
      <c r="M2631" s="15" t="s">
        <v>11180</v>
      </c>
      <c r="N2631" s="15" t="s">
        <v>81</v>
      </c>
      <c r="O2631" s="28"/>
    </row>
    <row r="2632" spans="1:15" s="1" customFormat="1">
      <c r="A2632" s="3" t="s">
        <v>4453</v>
      </c>
      <c r="B2632" s="3"/>
      <c r="C2632" s="3"/>
      <c r="D2632" s="5" t="s">
        <v>3106</v>
      </c>
      <c r="E2632" s="5" t="s">
        <v>7026</v>
      </c>
      <c r="F2632" s="3" t="s">
        <v>11183</v>
      </c>
      <c r="G2632" s="6">
        <f>17.498*L2632</f>
        <v>209.976</v>
      </c>
      <c r="H2632" s="7">
        <v>41933</v>
      </c>
      <c r="I2632" s="6" t="s">
        <v>265</v>
      </c>
      <c r="J2632" s="6" t="s">
        <v>11184</v>
      </c>
      <c r="K2632" s="6" t="s">
        <v>5478</v>
      </c>
      <c r="L2632" s="6">
        <v>12</v>
      </c>
      <c r="M2632" s="15" t="s">
        <v>11185</v>
      </c>
      <c r="N2632" s="15" t="s">
        <v>78</v>
      </c>
      <c r="O2632" s="28"/>
    </row>
    <row r="2633" spans="1:15" s="1" customFormat="1">
      <c r="A2633" s="3" t="s">
        <v>4453</v>
      </c>
      <c r="B2633" s="3"/>
      <c r="C2633" s="3"/>
      <c r="D2633" s="5" t="s">
        <v>3106</v>
      </c>
      <c r="E2633" s="5" t="s">
        <v>7026</v>
      </c>
      <c r="F2633" s="3" t="s">
        <v>11186</v>
      </c>
      <c r="G2633" s="6">
        <f>17.498*L2633</f>
        <v>227.47400000000002</v>
      </c>
      <c r="H2633" s="7">
        <v>41933</v>
      </c>
      <c r="I2633" s="6" t="s">
        <v>265</v>
      </c>
      <c r="J2633" s="6" t="s">
        <v>11187</v>
      </c>
      <c r="K2633" s="6" t="s">
        <v>5478</v>
      </c>
      <c r="L2633" s="6">
        <v>13</v>
      </c>
      <c r="M2633" s="15" t="s">
        <v>11185</v>
      </c>
      <c r="N2633" s="15" t="s">
        <v>81</v>
      </c>
      <c r="O2633" s="28"/>
    </row>
    <row r="2634" spans="1:15" s="1" customFormat="1">
      <c r="A2634" s="3" t="s">
        <v>96</v>
      </c>
      <c r="B2634" s="3"/>
      <c r="C2634" s="3"/>
      <c r="D2634" s="5" t="s">
        <v>48</v>
      </c>
      <c r="E2634" s="5" t="s">
        <v>17</v>
      </c>
      <c r="F2634" s="3" t="s">
        <v>9131</v>
      </c>
      <c r="G2634" s="6">
        <f>8.926*L2634</f>
        <v>89.26</v>
      </c>
      <c r="H2634" s="7">
        <v>41933</v>
      </c>
      <c r="I2634" s="6" t="s">
        <v>98</v>
      </c>
      <c r="J2634" s="6" t="s">
        <v>9132</v>
      </c>
      <c r="K2634" s="6" t="s">
        <v>21</v>
      </c>
      <c r="L2634" s="6">
        <v>10</v>
      </c>
      <c r="M2634" s="15" t="s">
        <v>9133</v>
      </c>
      <c r="N2634" s="15" t="s">
        <v>4872</v>
      </c>
      <c r="O2634" s="28"/>
    </row>
    <row r="2635" spans="1:15" s="1" customFormat="1">
      <c r="A2635" s="3" t="s">
        <v>514</v>
      </c>
      <c r="B2635" s="3"/>
      <c r="C2635" s="3"/>
      <c r="D2635" s="5" t="s">
        <v>2030</v>
      </c>
      <c r="E2635" s="5" t="s">
        <v>124</v>
      </c>
      <c r="F2635" s="3" t="s">
        <v>10356</v>
      </c>
      <c r="G2635" s="6">
        <f>14.405*L2635</f>
        <v>144.04999999999998</v>
      </c>
      <c r="H2635" s="7">
        <v>41934</v>
      </c>
      <c r="I2635" s="6" t="s">
        <v>265</v>
      </c>
      <c r="J2635" s="6" t="s">
        <v>10357</v>
      </c>
      <c r="K2635" s="6" t="s">
        <v>21</v>
      </c>
      <c r="L2635" s="6">
        <v>10</v>
      </c>
      <c r="M2635" s="15" t="s">
        <v>10358</v>
      </c>
      <c r="N2635" s="15" t="s">
        <v>10359</v>
      </c>
      <c r="O2635" s="28" t="s">
        <v>10358</v>
      </c>
    </row>
    <row r="2636" spans="1:15" s="1" customFormat="1">
      <c r="A2636" s="3" t="s">
        <v>514</v>
      </c>
      <c r="B2636" s="3"/>
      <c r="C2636" s="3"/>
      <c r="D2636" s="5" t="s">
        <v>2030</v>
      </c>
      <c r="E2636" s="5" t="s">
        <v>124</v>
      </c>
      <c r="F2636" s="3" t="s">
        <v>10360</v>
      </c>
      <c r="G2636" s="6">
        <f>14.405*L2636</f>
        <v>129.64499999999998</v>
      </c>
      <c r="H2636" s="7">
        <v>41934</v>
      </c>
      <c r="I2636" s="6" t="s">
        <v>265</v>
      </c>
      <c r="J2636" s="6" t="s">
        <v>10361</v>
      </c>
      <c r="K2636" s="6" t="s">
        <v>21</v>
      </c>
      <c r="L2636" s="6">
        <v>9</v>
      </c>
      <c r="M2636" s="15" t="s">
        <v>10358</v>
      </c>
      <c r="N2636" s="15" t="s">
        <v>4974</v>
      </c>
      <c r="O2636" s="28" t="s">
        <v>10362</v>
      </c>
    </row>
    <row r="2637" spans="1:15" s="1" customFormat="1">
      <c r="A2637" s="3" t="s">
        <v>3870</v>
      </c>
      <c r="B2637" s="3"/>
      <c r="C2637" s="3"/>
      <c r="D2637" s="5" t="s">
        <v>3871</v>
      </c>
      <c r="E2637" s="5" t="s">
        <v>124</v>
      </c>
      <c r="F2637" s="3" t="s">
        <v>10366</v>
      </c>
      <c r="G2637" s="6">
        <f>13.006*L2637</f>
        <v>156.072</v>
      </c>
      <c r="H2637" s="7">
        <v>41934</v>
      </c>
      <c r="I2637" s="6" t="s">
        <v>6676</v>
      </c>
      <c r="J2637" s="6" t="s">
        <v>10367</v>
      </c>
      <c r="K2637" s="6" t="s">
        <v>21</v>
      </c>
      <c r="L2637" s="6">
        <v>12</v>
      </c>
      <c r="M2637" s="15" t="s">
        <v>10368</v>
      </c>
      <c r="N2637" s="15" t="s">
        <v>164</v>
      </c>
      <c r="O2637" s="28" t="s">
        <v>10368</v>
      </c>
    </row>
    <row r="2638" spans="1:15" s="1" customFormat="1">
      <c r="A2638" s="3" t="s">
        <v>3870</v>
      </c>
      <c r="B2638" s="3"/>
      <c r="C2638" s="3"/>
      <c r="D2638" s="5" t="s">
        <v>3871</v>
      </c>
      <c r="E2638" s="5" t="s">
        <v>124</v>
      </c>
      <c r="F2638" s="3" t="s">
        <v>10369</v>
      </c>
      <c r="G2638" s="6">
        <f>13.006*L2638</f>
        <v>169.078</v>
      </c>
      <c r="H2638" s="7">
        <v>41934</v>
      </c>
      <c r="I2638" s="6" t="s">
        <v>6676</v>
      </c>
      <c r="J2638" s="6" t="s">
        <v>10370</v>
      </c>
      <c r="K2638" s="6" t="s">
        <v>21</v>
      </c>
      <c r="L2638" s="6">
        <v>13</v>
      </c>
      <c r="M2638" s="15" t="s">
        <v>10368</v>
      </c>
      <c r="N2638" s="15" t="s">
        <v>167</v>
      </c>
      <c r="O2638" s="28" t="s">
        <v>10371</v>
      </c>
    </row>
    <row r="2639" spans="1:15" s="1" customFormat="1">
      <c r="A2639" s="3" t="s">
        <v>5750</v>
      </c>
      <c r="B2639" s="3"/>
      <c r="C2639" s="3"/>
      <c r="D2639" s="5" t="s">
        <v>5751</v>
      </c>
      <c r="E2639" s="5" t="s">
        <v>124</v>
      </c>
      <c r="F2639" s="3" t="s">
        <v>10372</v>
      </c>
      <c r="G2639" s="6">
        <v>50.37</v>
      </c>
      <c r="H2639" s="7">
        <v>41934</v>
      </c>
      <c r="I2639" s="6" t="s">
        <v>178</v>
      </c>
      <c r="J2639" s="6" t="s">
        <v>10373</v>
      </c>
      <c r="K2639" s="6" t="s">
        <v>128</v>
      </c>
      <c r="L2639" s="6" t="s">
        <v>301</v>
      </c>
      <c r="M2639" s="15" t="s">
        <v>10374</v>
      </c>
      <c r="N2639" s="15" t="s">
        <v>10375</v>
      </c>
      <c r="O2639" s="28" t="s">
        <v>10376</v>
      </c>
    </row>
    <row r="2640" spans="1:15" s="1" customFormat="1">
      <c r="A2640" s="3" t="s">
        <v>5758</v>
      </c>
      <c r="B2640" s="3"/>
      <c r="C2640" s="3"/>
      <c r="D2640" s="5" t="s">
        <v>5751</v>
      </c>
      <c r="E2640" s="5" t="s">
        <v>124</v>
      </c>
      <c r="F2640" s="3" t="s">
        <v>10377</v>
      </c>
      <c r="G2640" s="6">
        <v>140.268</v>
      </c>
      <c r="H2640" s="7">
        <v>41934</v>
      </c>
      <c r="I2640" s="6" t="s">
        <v>209</v>
      </c>
      <c r="J2640" s="6" t="s">
        <v>10378</v>
      </c>
      <c r="K2640" s="6" t="s">
        <v>12997</v>
      </c>
      <c r="L2640" s="6" t="s">
        <v>1329</v>
      </c>
      <c r="M2640" s="15" t="s">
        <v>10374</v>
      </c>
      <c r="N2640" s="15" t="s">
        <v>10379</v>
      </c>
      <c r="O2640" s="28" t="s">
        <v>10380</v>
      </c>
    </row>
    <row r="2641" spans="1:15" s="1" customFormat="1">
      <c r="A2641" s="3" t="s">
        <v>5890</v>
      </c>
      <c r="B2641" s="3"/>
      <c r="C2641" s="3"/>
      <c r="D2641" s="5" t="s">
        <v>5892</v>
      </c>
      <c r="E2641" s="5" t="s">
        <v>124</v>
      </c>
      <c r="F2641" s="3" t="s">
        <v>10381</v>
      </c>
      <c r="G2641" s="6">
        <v>251.57300000000001</v>
      </c>
      <c r="H2641" s="7">
        <v>41934</v>
      </c>
      <c r="I2641" s="6" t="s">
        <v>178</v>
      </c>
      <c r="J2641" s="6" t="s">
        <v>10382</v>
      </c>
      <c r="K2641" s="6" t="s">
        <v>128</v>
      </c>
      <c r="L2641" s="6" t="s">
        <v>808</v>
      </c>
      <c r="M2641" s="15" t="s">
        <v>10383</v>
      </c>
      <c r="N2641" s="15" t="s">
        <v>5159</v>
      </c>
      <c r="O2641" s="28" t="s">
        <v>10384</v>
      </c>
    </row>
    <row r="2642" spans="1:15" s="1" customFormat="1">
      <c r="A2642" s="3" t="s">
        <v>5890</v>
      </c>
      <c r="B2642" s="3"/>
      <c r="C2642" s="3"/>
      <c r="D2642" s="5" t="s">
        <v>5892</v>
      </c>
      <c r="E2642" s="5" t="s">
        <v>124</v>
      </c>
      <c r="F2642" s="3" t="s">
        <v>10389</v>
      </c>
      <c r="G2642" s="6">
        <v>251.69300000000001</v>
      </c>
      <c r="H2642" s="7">
        <v>41934</v>
      </c>
      <c r="I2642" s="6" t="s">
        <v>178</v>
      </c>
      <c r="J2642" s="6" t="s">
        <v>10390</v>
      </c>
      <c r="K2642" s="6" t="s">
        <v>128</v>
      </c>
      <c r="L2642" s="6" t="s">
        <v>808</v>
      </c>
      <c r="M2642" s="15" t="s">
        <v>10391</v>
      </c>
      <c r="N2642" s="15" t="s">
        <v>5159</v>
      </c>
      <c r="O2642" s="28" t="s">
        <v>10392</v>
      </c>
    </row>
    <row r="2643" spans="1:15" s="1" customFormat="1">
      <c r="A2643" s="3" t="s">
        <v>5890</v>
      </c>
      <c r="B2643" s="3"/>
      <c r="C2643" s="3"/>
      <c r="D2643" s="5" t="s">
        <v>5892</v>
      </c>
      <c r="E2643" s="5" t="s">
        <v>124</v>
      </c>
      <c r="F2643" s="3" t="s">
        <v>10393</v>
      </c>
      <c r="G2643" s="6">
        <v>161.09100000000001</v>
      </c>
      <c r="H2643" s="7">
        <v>41934</v>
      </c>
      <c r="I2643" s="6" t="s">
        <v>178</v>
      </c>
      <c r="J2643" s="6" t="s">
        <v>10394</v>
      </c>
      <c r="K2643" s="6" t="s">
        <v>128</v>
      </c>
      <c r="L2643" s="6" t="s">
        <v>6765</v>
      </c>
      <c r="M2643" s="15" t="s">
        <v>10395</v>
      </c>
      <c r="N2643" s="15" t="s">
        <v>10396</v>
      </c>
      <c r="O2643" s="28" t="s">
        <v>10397</v>
      </c>
    </row>
    <row r="2644" spans="1:15" s="1" customFormat="1">
      <c r="A2644" s="3" t="s">
        <v>5899</v>
      </c>
      <c r="B2644" s="3"/>
      <c r="C2644" s="3"/>
      <c r="D2644" s="5" t="s">
        <v>5892</v>
      </c>
      <c r="E2644" s="5" t="s">
        <v>124</v>
      </c>
      <c r="F2644" s="3" t="s">
        <v>10398</v>
      </c>
      <c r="G2644" s="6">
        <v>251.917</v>
      </c>
      <c r="H2644" s="7">
        <v>41934</v>
      </c>
      <c r="I2644" s="6" t="s">
        <v>209</v>
      </c>
      <c r="J2644" s="6" t="s">
        <v>10399</v>
      </c>
      <c r="K2644" s="6" t="s">
        <v>128</v>
      </c>
      <c r="L2644" s="6" t="s">
        <v>808</v>
      </c>
      <c r="M2644" s="15" t="s">
        <v>10400</v>
      </c>
      <c r="N2644" s="15" t="s">
        <v>10401</v>
      </c>
      <c r="O2644" s="28" t="s">
        <v>10402</v>
      </c>
    </row>
    <row r="2645" spans="1:15" s="1" customFormat="1">
      <c r="A2645" s="3" t="s">
        <v>5899</v>
      </c>
      <c r="B2645" s="3"/>
      <c r="C2645" s="3"/>
      <c r="D2645" s="5" t="s">
        <v>5892</v>
      </c>
      <c r="E2645" s="5" t="s">
        <v>124</v>
      </c>
      <c r="F2645" s="3" t="s">
        <v>10403</v>
      </c>
      <c r="G2645" s="6">
        <v>251.68700000000001</v>
      </c>
      <c r="H2645" s="7">
        <v>41934</v>
      </c>
      <c r="I2645" s="6" t="s">
        <v>209</v>
      </c>
      <c r="J2645" s="6" t="s">
        <v>10404</v>
      </c>
      <c r="K2645" s="6" t="s">
        <v>128</v>
      </c>
      <c r="L2645" s="6" t="s">
        <v>808</v>
      </c>
      <c r="M2645" s="15" t="s">
        <v>10405</v>
      </c>
      <c r="N2645" s="15" t="s">
        <v>10406</v>
      </c>
      <c r="O2645" s="28" t="s">
        <v>10407</v>
      </c>
    </row>
    <row r="2646" spans="1:15" s="1" customFormat="1">
      <c r="A2646" s="3" t="s">
        <v>5899</v>
      </c>
      <c r="B2646" s="3"/>
      <c r="C2646" s="3"/>
      <c r="D2646" s="5" t="s">
        <v>5892</v>
      </c>
      <c r="E2646" s="5" t="s">
        <v>124</v>
      </c>
      <c r="F2646" s="3" t="s">
        <v>10408</v>
      </c>
      <c r="G2646" s="6">
        <v>110.875</v>
      </c>
      <c r="H2646" s="7">
        <v>41934</v>
      </c>
      <c r="I2646" s="6" t="s">
        <v>209</v>
      </c>
      <c r="J2646" s="6" t="s">
        <v>10409</v>
      </c>
      <c r="K2646" s="6" t="s">
        <v>128</v>
      </c>
      <c r="L2646" s="6" t="s">
        <v>1335</v>
      </c>
      <c r="M2646" s="15" t="s">
        <v>10410</v>
      </c>
      <c r="N2646" s="15" t="s">
        <v>10411</v>
      </c>
      <c r="O2646" s="28" t="s">
        <v>10412</v>
      </c>
    </row>
    <row r="2647" spans="1:15" s="1" customFormat="1">
      <c r="A2647" s="3" t="s">
        <v>25</v>
      </c>
      <c r="B2647" s="3"/>
      <c r="C2647" s="3"/>
      <c r="D2647" s="5" t="s">
        <v>26</v>
      </c>
      <c r="E2647" s="5" t="s">
        <v>17</v>
      </c>
      <c r="F2647" s="3" t="s">
        <v>9140</v>
      </c>
      <c r="G2647" s="6">
        <f>8.063*L2647</f>
        <v>80.63000000000001</v>
      </c>
      <c r="H2647" s="7">
        <v>41935</v>
      </c>
      <c r="I2647" s="6" t="s">
        <v>28</v>
      </c>
      <c r="J2647" s="6" t="s">
        <v>9141</v>
      </c>
      <c r="K2647" s="6" t="s">
        <v>21</v>
      </c>
      <c r="L2647" s="6">
        <v>10</v>
      </c>
      <c r="M2647" s="15" t="s">
        <v>9139</v>
      </c>
      <c r="N2647" s="15" t="s">
        <v>556</v>
      </c>
      <c r="O2647" s="28"/>
    </row>
    <row r="2648" spans="1:15" s="1" customFormat="1">
      <c r="A2648" s="3" t="s">
        <v>25</v>
      </c>
      <c r="B2648" s="3"/>
      <c r="C2648" s="3"/>
      <c r="D2648" s="5" t="s">
        <v>26</v>
      </c>
      <c r="E2648" s="5" t="s">
        <v>17</v>
      </c>
      <c r="F2648" s="3" t="s">
        <v>9142</v>
      </c>
      <c r="G2648" s="6">
        <f>8.063*L2648</f>
        <v>96.756</v>
      </c>
      <c r="H2648" s="7">
        <v>41935</v>
      </c>
      <c r="I2648" s="6" t="s">
        <v>28</v>
      </c>
      <c r="J2648" s="6" t="s">
        <v>9143</v>
      </c>
      <c r="K2648" s="6" t="s">
        <v>21</v>
      </c>
      <c r="L2648" s="6">
        <v>12</v>
      </c>
      <c r="M2648" s="15" t="s">
        <v>9144</v>
      </c>
      <c r="N2648" s="15" t="s">
        <v>164</v>
      </c>
      <c r="O2648" s="28"/>
    </row>
    <row r="2649" spans="1:15" s="1" customFormat="1">
      <c r="A2649" s="3" t="s">
        <v>10018</v>
      </c>
      <c r="B2649" s="3"/>
      <c r="C2649" s="3"/>
      <c r="D2649" s="5" t="s">
        <v>10019</v>
      </c>
      <c r="E2649" s="5" t="s">
        <v>124</v>
      </c>
      <c r="F2649" s="3" t="s">
        <v>10413</v>
      </c>
      <c r="G2649" s="6">
        <v>172.654</v>
      </c>
      <c r="H2649" s="7">
        <v>41935</v>
      </c>
      <c r="I2649" s="6" t="s">
        <v>10014</v>
      </c>
      <c r="J2649" s="6" t="s">
        <v>10414</v>
      </c>
      <c r="K2649" s="6" t="s">
        <v>128</v>
      </c>
      <c r="L2649" s="6" t="s">
        <v>10415</v>
      </c>
      <c r="M2649" s="15" t="s">
        <v>10416</v>
      </c>
      <c r="N2649" s="15" t="s">
        <v>10417</v>
      </c>
      <c r="O2649" s="28" t="s">
        <v>10418</v>
      </c>
    </row>
    <row r="2650" spans="1:15" s="1" customFormat="1">
      <c r="A2650" s="3" t="s">
        <v>1150</v>
      </c>
      <c r="B2650" s="3"/>
      <c r="C2650" s="3"/>
      <c r="D2650" s="5" t="s">
        <v>1151</v>
      </c>
      <c r="E2650" s="5" t="s">
        <v>7026</v>
      </c>
      <c r="F2650" s="3" t="s">
        <v>11188</v>
      </c>
      <c r="G2650" s="6">
        <f t="shared" ref="G2650:G2655" si="104">17.712*L2650</f>
        <v>212.54399999999998</v>
      </c>
      <c r="H2650" s="7">
        <v>41935</v>
      </c>
      <c r="I2650" s="6" t="s">
        <v>265</v>
      </c>
      <c r="J2650" s="6" t="s">
        <v>11189</v>
      </c>
      <c r="K2650" s="6" t="s">
        <v>21</v>
      </c>
      <c r="L2650" s="6">
        <v>12</v>
      </c>
      <c r="M2650" s="15" t="s">
        <v>11190</v>
      </c>
      <c r="N2650" s="15" t="s">
        <v>164</v>
      </c>
      <c r="O2650" s="28"/>
    </row>
    <row r="2651" spans="1:15" s="1" customFormat="1">
      <c r="A2651" s="3" t="s">
        <v>1150</v>
      </c>
      <c r="B2651" s="3"/>
      <c r="C2651" s="3"/>
      <c r="D2651" s="5" t="s">
        <v>1151</v>
      </c>
      <c r="E2651" s="5" t="s">
        <v>7026</v>
      </c>
      <c r="F2651" s="3" t="s">
        <v>11191</v>
      </c>
      <c r="G2651" s="6">
        <f t="shared" si="104"/>
        <v>230.256</v>
      </c>
      <c r="H2651" s="7">
        <v>41935</v>
      </c>
      <c r="I2651" s="6" t="s">
        <v>265</v>
      </c>
      <c r="J2651" s="6" t="s">
        <v>11192</v>
      </c>
      <c r="K2651" s="6" t="s">
        <v>21</v>
      </c>
      <c r="L2651" s="6">
        <v>13</v>
      </c>
      <c r="M2651" s="15" t="s">
        <v>11190</v>
      </c>
      <c r="N2651" s="15" t="s">
        <v>167</v>
      </c>
      <c r="O2651" s="28"/>
    </row>
    <row r="2652" spans="1:15" s="1" customFormat="1">
      <c r="A2652" s="3" t="s">
        <v>1150</v>
      </c>
      <c r="B2652" s="3"/>
      <c r="C2652" s="3"/>
      <c r="D2652" s="5" t="s">
        <v>1151</v>
      </c>
      <c r="E2652" s="5" t="s">
        <v>7026</v>
      </c>
      <c r="F2652" s="3" t="s">
        <v>11193</v>
      </c>
      <c r="G2652" s="6">
        <f t="shared" si="104"/>
        <v>212.54399999999998</v>
      </c>
      <c r="H2652" s="7">
        <v>41935</v>
      </c>
      <c r="I2652" s="6" t="s">
        <v>265</v>
      </c>
      <c r="J2652" s="6" t="s">
        <v>11194</v>
      </c>
      <c r="K2652" s="6" t="s">
        <v>21</v>
      </c>
      <c r="L2652" s="6">
        <v>12</v>
      </c>
      <c r="M2652" s="15" t="s">
        <v>11195</v>
      </c>
      <c r="N2652" s="15" t="s">
        <v>164</v>
      </c>
      <c r="O2652" s="28"/>
    </row>
    <row r="2653" spans="1:15" s="1" customFormat="1">
      <c r="A2653" s="3" t="s">
        <v>1150</v>
      </c>
      <c r="B2653" s="3"/>
      <c r="C2653" s="3"/>
      <c r="D2653" s="5" t="s">
        <v>1151</v>
      </c>
      <c r="E2653" s="5" t="s">
        <v>7026</v>
      </c>
      <c r="F2653" s="3" t="s">
        <v>11196</v>
      </c>
      <c r="G2653" s="6">
        <f t="shared" si="104"/>
        <v>230.256</v>
      </c>
      <c r="H2653" s="7">
        <v>41935</v>
      </c>
      <c r="I2653" s="6" t="s">
        <v>265</v>
      </c>
      <c r="J2653" s="6" t="s">
        <v>11197</v>
      </c>
      <c r="K2653" s="6" t="s">
        <v>21</v>
      </c>
      <c r="L2653" s="6">
        <v>13</v>
      </c>
      <c r="M2653" s="15" t="s">
        <v>11195</v>
      </c>
      <c r="N2653" s="15" t="s">
        <v>167</v>
      </c>
      <c r="O2653" s="28"/>
    </row>
    <row r="2654" spans="1:15" s="1" customFormat="1">
      <c r="A2654" s="3" t="s">
        <v>1150</v>
      </c>
      <c r="B2654" s="3"/>
      <c r="C2654" s="3"/>
      <c r="D2654" s="5" t="s">
        <v>1151</v>
      </c>
      <c r="E2654" s="5" t="s">
        <v>7026</v>
      </c>
      <c r="F2654" s="3" t="s">
        <v>11198</v>
      </c>
      <c r="G2654" s="6">
        <f t="shared" si="104"/>
        <v>212.54399999999998</v>
      </c>
      <c r="H2654" s="7">
        <v>41935</v>
      </c>
      <c r="I2654" s="6" t="s">
        <v>265</v>
      </c>
      <c r="J2654" s="6" t="s">
        <v>11199</v>
      </c>
      <c r="K2654" s="6" t="s">
        <v>21</v>
      </c>
      <c r="L2654" s="6">
        <v>12</v>
      </c>
      <c r="M2654" s="15" t="s">
        <v>11200</v>
      </c>
      <c r="N2654" s="15" t="s">
        <v>164</v>
      </c>
      <c r="O2654" s="28"/>
    </row>
    <row r="2655" spans="1:15" s="1" customFormat="1">
      <c r="A2655" s="3" t="s">
        <v>1150</v>
      </c>
      <c r="B2655" s="3"/>
      <c r="C2655" s="3"/>
      <c r="D2655" s="5" t="s">
        <v>1151</v>
      </c>
      <c r="E2655" s="5" t="s">
        <v>7026</v>
      </c>
      <c r="F2655" s="3" t="s">
        <v>11201</v>
      </c>
      <c r="G2655" s="6">
        <f t="shared" si="104"/>
        <v>230.256</v>
      </c>
      <c r="H2655" s="7">
        <v>41935</v>
      </c>
      <c r="I2655" s="6" t="s">
        <v>265</v>
      </c>
      <c r="J2655" s="6" t="s">
        <v>11202</v>
      </c>
      <c r="K2655" s="6" t="s">
        <v>21</v>
      </c>
      <c r="L2655" s="6">
        <v>13</v>
      </c>
      <c r="M2655" s="15" t="s">
        <v>11200</v>
      </c>
      <c r="N2655" s="15" t="s">
        <v>167</v>
      </c>
      <c r="O2655" s="28"/>
    </row>
    <row r="2656" spans="1:15" s="1" customFormat="1">
      <c r="A2656" s="3" t="s">
        <v>1127</v>
      </c>
      <c r="B2656" s="3"/>
      <c r="C2656" s="3"/>
      <c r="D2656" s="5" t="s">
        <v>1128</v>
      </c>
      <c r="E2656" s="5" t="s">
        <v>7026</v>
      </c>
      <c r="F2656" s="3" t="s">
        <v>11203</v>
      </c>
      <c r="G2656" s="6">
        <f>29.101*L2656</f>
        <v>378.31299999999999</v>
      </c>
      <c r="H2656" s="7">
        <v>41935</v>
      </c>
      <c r="I2656" s="6" t="s">
        <v>178</v>
      </c>
      <c r="J2656" s="6" t="s">
        <v>11204</v>
      </c>
      <c r="K2656" s="6" t="s">
        <v>21</v>
      </c>
      <c r="L2656" s="6">
        <v>13</v>
      </c>
      <c r="M2656" s="15" t="s">
        <v>11205</v>
      </c>
      <c r="N2656" s="15" t="s">
        <v>6795</v>
      </c>
      <c r="O2656" s="28"/>
    </row>
    <row r="2657" spans="1:15" s="1" customFormat="1">
      <c r="A2657" s="3" t="s">
        <v>1127</v>
      </c>
      <c r="B2657" s="3"/>
      <c r="C2657" s="3"/>
      <c r="D2657" s="5" t="s">
        <v>1128</v>
      </c>
      <c r="E2657" s="5" t="s">
        <v>7026</v>
      </c>
      <c r="F2657" s="3" t="s">
        <v>11206</v>
      </c>
      <c r="G2657" s="6">
        <f>29.101*L2657</f>
        <v>349.21199999999999</v>
      </c>
      <c r="H2657" s="7">
        <v>41935</v>
      </c>
      <c r="I2657" s="6" t="s">
        <v>178</v>
      </c>
      <c r="J2657" s="6" t="s">
        <v>11207</v>
      </c>
      <c r="K2657" s="6" t="s">
        <v>21</v>
      </c>
      <c r="L2657" s="6">
        <v>12</v>
      </c>
      <c r="M2657" s="15" t="s">
        <v>11208</v>
      </c>
      <c r="N2657" s="15" t="s">
        <v>6799</v>
      </c>
      <c r="O2657" s="28"/>
    </row>
    <row r="2658" spans="1:15" s="1" customFormat="1">
      <c r="A2658" s="3" t="s">
        <v>1043</v>
      </c>
      <c r="B2658" s="3"/>
      <c r="C2658" s="3"/>
      <c r="D2658" s="5" t="s">
        <v>443</v>
      </c>
      <c r="E2658" s="5" t="s">
        <v>7026</v>
      </c>
      <c r="F2658" s="3" t="s">
        <v>11209</v>
      </c>
      <c r="G2658" s="6">
        <f>18.708*L2658</f>
        <v>224.49599999999998</v>
      </c>
      <c r="H2658" s="7">
        <v>41935</v>
      </c>
      <c r="I2658" s="6" t="s">
        <v>178</v>
      </c>
      <c r="J2658" s="6" t="s">
        <v>11210</v>
      </c>
      <c r="K2658" s="6" t="s">
        <v>5478</v>
      </c>
      <c r="L2658" s="6">
        <v>12</v>
      </c>
      <c r="M2658" s="15" t="s">
        <v>11211</v>
      </c>
      <c r="N2658" s="15" t="s">
        <v>164</v>
      </c>
      <c r="O2658" s="28"/>
    </row>
    <row r="2659" spans="1:15" s="1" customFormat="1">
      <c r="A2659" s="3" t="s">
        <v>1043</v>
      </c>
      <c r="B2659" s="3"/>
      <c r="C2659" s="3"/>
      <c r="D2659" s="5" t="s">
        <v>443</v>
      </c>
      <c r="E2659" s="5" t="s">
        <v>7026</v>
      </c>
      <c r="F2659" s="3" t="s">
        <v>11212</v>
      </c>
      <c r="G2659" s="6">
        <f>18.708*L2659</f>
        <v>243.20399999999998</v>
      </c>
      <c r="H2659" s="7">
        <v>41935</v>
      </c>
      <c r="I2659" s="6" t="s">
        <v>178</v>
      </c>
      <c r="J2659" s="6" t="s">
        <v>11213</v>
      </c>
      <c r="K2659" s="6" t="s">
        <v>5478</v>
      </c>
      <c r="L2659" s="6">
        <v>13</v>
      </c>
      <c r="M2659" s="15" t="s">
        <v>11211</v>
      </c>
      <c r="N2659" s="15" t="s">
        <v>167</v>
      </c>
      <c r="O2659" s="28"/>
    </row>
    <row r="2660" spans="1:15" s="1" customFormat="1">
      <c r="A2660" s="3" t="s">
        <v>10000</v>
      </c>
      <c r="B2660" s="3"/>
      <c r="C2660" s="3"/>
      <c r="D2660" s="5" t="s">
        <v>10001</v>
      </c>
      <c r="E2660" s="5" t="s">
        <v>124</v>
      </c>
      <c r="F2660" s="3" t="s">
        <v>10419</v>
      </c>
      <c r="G2660" s="6">
        <v>110.854</v>
      </c>
      <c r="H2660" s="7">
        <v>41936</v>
      </c>
      <c r="I2660" s="6" t="s">
        <v>6916</v>
      </c>
      <c r="J2660" s="6" t="s">
        <v>10420</v>
      </c>
      <c r="K2660" s="6" t="s">
        <v>128</v>
      </c>
      <c r="L2660" s="6" t="s">
        <v>1335</v>
      </c>
      <c r="M2660" s="15" t="s">
        <v>10421</v>
      </c>
      <c r="N2660" s="15" t="s">
        <v>10422</v>
      </c>
      <c r="O2660" s="28" t="s">
        <v>10423</v>
      </c>
    </row>
    <row r="2661" spans="1:15" s="1" customFormat="1">
      <c r="A2661" s="3" t="s">
        <v>5899</v>
      </c>
      <c r="B2661" s="3"/>
      <c r="C2661" s="3"/>
      <c r="D2661" s="5" t="s">
        <v>5892</v>
      </c>
      <c r="E2661" s="5" t="s">
        <v>124</v>
      </c>
      <c r="F2661" s="3" t="s">
        <v>10424</v>
      </c>
      <c r="G2661" s="6">
        <v>251.77199999999999</v>
      </c>
      <c r="H2661" s="7">
        <v>41936</v>
      </c>
      <c r="I2661" s="6" t="s">
        <v>209</v>
      </c>
      <c r="J2661" s="6" t="s">
        <v>10425</v>
      </c>
      <c r="K2661" s="6" t="s">
        <v>128</v>
      </c>
      <c r="L2661" s="6" t="s">
        <v>808</v>
      </c>
      <c r="M2661" s="15" t="s">
        <v>10426</v>
      </c>
      <c r="N2661" s="15" t="s">
        <v>5154</v>
      </c>
      <c r="O2661" s="28" t="s">
        <v>10427</v>
      </c>
    </row>
    <row r="2662" spans="1:15" s="1" customFormat="1">
      <c r="A2662" s="3" t="s">
        <v>777</v>
      </c>
      <c r="B2662" s="3"/>
      <c r="C2662" s="3"/>
      <c r="D2662" s="5" t="s">
        <v>778</v>
      </c>
      <c r="E2662" s="5" t="s">
        <v>124</v>
      </c>
      <c r="F2662" s="3" t="s">
        <v>10431</v>
      </c>
      <c r="G2662" s="6">
        <f>17.52*L2662</f>
        <v>227.76</v>
      </c>
      <c r="H2662" s="7">
        <v>41939</v>
      </c>
      <c r="I2662" s="6" t="s">
        <v>265</v>
      </c>
      <c r="J2662" s="6" t="s">
        <v>10432</v>
      </c>
      <c r="K2662" s="6" t="s">
        <v>21</v>
      </c>
      <c r="L2662" s="6">
        <v>13</v>
      </c>
      <c r="M2662" s="15" t="s">
        <v>10430</v>
      </c>
      <c r="N2662" s="15" t="s">
        <v>81</v>
      </c>
      <c r="O2662" s="28" t="s">
        <v>10433</v>
      </c>
    </row>
    <row r="2663" spans="1:15" s="1" customFormat="1">
      <c r="A2663" s="3" t="s">
        <v>514</v>
      </c>
      <c r="B2663" s="3"/>
      <c r="C2663" s="3"/>
      <c r="D2663" s="5" t="s">
        <v>2030</v>
      </c>
      <c r="E2663" s="5" t="s">
        <v>124</v>
      </c>
      <c r="F2663" s="3" t="s">
        <v>10434</v>
      </c>
      <c r="G2663" s="6">
        <f>14.405*L2663</f>
        <v>187.26499999999999</v>
      </c>
      <c r="H2663" s="7">
        <v>41939</v>
      </c>
      <c r="I2663" s="6" t="s">
        <v>265</v>
      </c>
      <c r="J2663" s="6" t="s">
        <v>10435</v>
      </c>
      <c r="K2663" s="6" t="s">
        <v>21</v>
      </c>
      <c r="L2663" s="6">
        <v>13</v>
      </c>
      <c r="M2663" s="15" t="s">
        <v>10436</v>
      </c>
      <c r="N2663" s="15" t="s">
        <v>6795</v>
      </c>
      <c r="O2663" s="28" t="s">
        <v>10436</v>
      </c>
    </row>
    <row r="2664" spans="1:15" s="1" customFormat="1">
      <c r="A2664" s="3" t="s">
        <v>514</v>
      </c>
      <c r="B2664" s="3"/>
      <c r="C2664" s="3"/>
      <c r="D2664" s="5" t="s">
        <v>2030</v>
      </c>
      <c r="E2664" s="5" t="s">
        <v>124</v>
      </c>
      <c r="F2664" s="3" t="s">
        <v>10437</v>
      </c>
      <c r="G2664" s="6">
        <f>14.405*L2664</f>
        <v>172.85999999999999</v>
      </c>
      <c r="H2664" s="7">
        <v>41939</v>
      </c>
      <c r="I2664" s="6" t="s">
        <v>265</v>
      </c>
      <c r="J2664" s="6" t="s">
        <v>10438</v>
      </c>
      <c r="K2664" s="6" t="s">
        <v>21</v>
      </c>
      <c r="L2664" s="6">
        <v>12</v>
      </c>
      <c r="M2664" s="15" t="s">
        <v>10439</v>
      </c>
      <c r="N2664" s="15" t="s">
        <v>6799</v>
      </c>
      <c r="O2664" s="28" t="s">
        <v>10439</v>
      </c>
    </row>
    <row r="2665" spans="1:15" s="1" customFormat="1">
      <c r="A2665" s="3" t="s">
        <v>1285</v>
      </c>
      <c r="B2665" s="3" t="s">
        <v>283</v>
      </c>
      <c r="C2665" s="3"/>
      <c r="D2665" s="5" t="s">
        <v>1287</v>
      </c>
      <c r="E2665" s="5" t="s">
        <v>124</v>
      </c>
      <c r="F2665" s="3" t="s">
        <v>10440</v>
      </c>
      <c r="G2665" s="6">
        <f>8.606*L2665</f>
        <v>111.878</v>
      </c>
      <c r="H2665" s="7">
        <v>41939</v>
      </c>
      <c r="I2665" s="6" t="s">
        <v>272</v>
      </c>
      <c r="J2665" s="6" t="s">
        <v>10441</v>
      </c>
      <c r="K2665" s="6" t="s">
        <v>5478</v>
      </c>
      <c r="L2665" s="6">
        <v>13</v>
      </c>
      <c r="M2665" s="15" t="s">
        <v>10442</v>
      </c>
      <c r="N2665" s="15" t="s">
        <v>6795</v>
      </c>
      <c r="O2665" s="28" t="s">
        <v>10442</v>
      </c>
    </row>
    <row r="2666" spans="1:15" s="1" customFormat="1">
      <c r="A2666" s="3" t="s">
        <v>1285</v>
      </c>
      <c r="B2666" s="3" t="s">
        <v>283</v>
      </c>
      <c r="C2666" s="3"/>
      <c r="D2666" s="5" t="s">
        <v>1287</v>
      </c>
      <c r="E2666" s="5" t="s">
        <v>124</v>
      </c>
      <c r="F2666" s="3" t="s">
        <v>10443</v>
      </c>
      <c r="G2666" s="6">
        <f>8.606*L2666</f>
        <v>103.27199999999999</v>
      </c>
      <c r="H2666" s="7">
        <v>41939</v>
      </c>
      <c r="I2666" s="6" t="s">
        <v>272</v>
      </c>
      <c r="J2666" s="6" t="s">
        <v>10444</v>
      </c>
      <c r="K2666" s="6" t="s">
        <v>5478</v>
      </c>
      <c r="L2666" s="6">
        <v>12</v>
      </c>
      <c r="M2666" s="15" t="s">
        <v>10445</v>
      </c>
      <c r="N2666" s="15" t="s">
        <v>6799</v>
      </c>
      <c r="O2666" s="28" t="s">
        <v>10445</v>
      </c>
    </row>
    <row r="2667" spans="1:15" s="1" customFormat="1">
      <c r="A2667" s="3" t="s">
        <v>3996</v>
      </c>
      <c r="B2667" s="3"/>
      <c r="C2667" s="3"/>
      <c r="D2667" s="5" t="s">
        <v>3997</v>
      </c>
      <c r="E2667" s="5" t="s">
        <v>124</v>
      </c>
      <c r="F2667" s="3" t="s">
        <v>10446</v>
      </c>
      <c r="G2667" s="6">
        <f>12.838*L2667</f>
        <v>25.675999999999998</v>
      </c>
      <c r="H2667" s="7">
        <v>41939</v>
      </c>
      <c r="I2667" s="6" t="s">
        <v>471</v>
      </c>
      <c r="J2667" s="6" t="s">
        <v>10447</v>
      </c>
      <c r="K2667" s="6" t="s">
        <v>21</v>
      </c>
      <c r="L2667" s="6">
        <v>2</v>
      </c>
      <c r="M2667" s="15" t="s">
        <v>10448</v>
      </c>
      <c r="N2667" s="15" t="s">
        <v>10449</v>
      </c>
      <c r="O2667" s="28" t="s">
        <v>10448</v>
      </c>
    </row>
    <row r="2668" spans="1:15" s="1" customFormat="1">
      <c r="A2668" s="22" t="s">
        <v>11214</v>
      </c>
      <c r="B2668" s="4" t="s">
        <v>7547</v>
      </c>
      <c r="C2668" s="3"/>
      <c r="D2668" s="5" t="s">
        <v>11215</v>
      </c>
      <c r="E2668" s="5" t="s">
        <v>7026</v>
      </c>
      <c r="F2668" s="3" t="s">
        <v>11216</v>
      </c>
      <c r="G2668" s="6">
        <f>14.88*L2668</f>
        <v>14.88</v>
      </c>
      <c r="H2668" s="7">
        <v>41939</v>
      </c>
      <c r="I2668" s="6" t="s">
        <v>11217</v>
      </c>
      <c r="J2668" s="6" t="s">
        <v>11218</v>
      </c>
      <c r="K2668" s="6" t="s">
        <v>5478</v>
      </c>
      <c r="L2668" s="6">
        <v>1</v>
      </c>
      <c r="M2668" s="15" t="s">
        <v>11219</v>
      </c>
      <c r="N2668" s="15" t="s">
        <v>2501</v>
      </c>
      <c r="O2668" s="28"/>
    </row>
    <row r="2669" spans="1:15" s="1" customFormat="1">
      <c r="A2669" s="3" t="s">
        <v>5890</v>
      </c>
      <c r="B2669" s="3"/>
      <c r="C2669" s="3"/>
      <c r="D2669" s="5" t="s">
        <v>5892</v>
      </c>
      <c r="E2669" s="5" t="s">
        <v>124</v>
      </c>
      <c r="F2669" s="3" t="s">
        <v>10455</v>
      </c>
      <c r="G2669" s="6">
        <v>251.90899999999999</v>
      </c>
      <c r="H2669" s="7">
        <v>41940</v>
      </c>
      <c r="I2669" s="6" t="s">
        <v>178</v>
      </c>
      <c r="J2669" s="6" t="s">
        <v>10456</v>
      </c>
      <c r="K2669" s="6" t="s">
        <v>128</v>
      </c>
      <c r="L2669" s="6" t="s">
        <v>808</v>
      </c>
      <c r="M2669" s="15" t="s">
        <v>10457</v>
      </c>
      <c r="N2669" s="15" t="s">
        <v>10458</v>
      </c>
      <c r="O2669" s="28" t="s">
        <v>10459</v>
      </c>
    </row>
    <row r="2670" spans="1:15" s="1" customFormat="1">
      <c r="A2670" s="3" t="s">
        <v>5890</v>
      </c>
      <c r="B2670" s="3"/>
      <c r="C2670" s="3"/>
      <c r="D2670" s="5" t="s">
        <v>5892</v>
      </c>
      <c r="E2670" s="5" t="s">
        <v>124</v>
      </c>
      <c r="F2670" s="3" t="s">
        <v>10460</v>
      </c>
      <c r="G2670" s="6">
        <v>161.15899999999999</v>
      </c>
      <c r="H2670" s="7">
        <v>41940</v>
      </c>
      <c r="I2670" s="6" t="s">
        <v>178</v>
      </c>
      <c r="J2670" s="6" t="s">
        <v>10461</v>
      </c>
      <c r="K2670" s="6" t="s">
        <v>128</v>
      </c>
      <c r="L2670" s="6" t="s">
        <v>6765</v>
      </c>
      <c r="M2670" s="15" t="s">
        <v>10462</v>
      </c>
      <c r="N2670" s="15" t="s">
        <v>10463</v>
      </c>
      <c r="O2670" s="28" t="s">
        <v>10464</v>
      </c>
    </row>
    <row r="2671" spans="1:15" s="1" customFormat="1">
      <c r="A2671" s="3" t="s">
        <v>5890</v>
      </c>
      <c r="B2671" s="3"/>
      <c r="C2671" s="3"/>
      <c r="D2671" s="5" t="s">
        <v>5892</v>
      </c>
      <c r="E2671" s="5" t="s">
        <v>124</v>
      </c>
      <c r="F2671" s="3" t="s">
        <v>10465</v>
      </c>
      <c r="G2671" s="6">
        <v>251.898</v>
      </c>
      <c r="H2671" s="7">
        <v>41940</v>
      </c>
      <c r="I2671" s="6" t="s">
        <v>178</v>
      </c>
      <c r="J2671" s="6" t="s">
        <v>10466</v>
      </c>
      <c r="K2671" s="6" t="s">
        <v>128</v>
      </c>
      <c r="L2671" s="6" t="s">
        <v>808</v>
      </c>
      <c r="M2671" s="15" t="s">
        <v>10467</v>
      </c>
      <c r="N2671" s="15" t="s">
        <v>5159</v>
      </c>
      <c r="O2671" s="28" t="s">
        <v>10468</v>
      </c>
    </row>
    <row r="2672" spans="1:15" s="1" customFormat="1">
      <c r="A2672" s="3" t="s">
        <v>5899</v>
      </c>
      <c r="B2672" s="3"/>
      <c r="C2672" s="3"/>
      <c r="D2672" s="5" t="s">
        <v>5892</v>
      </c>
      <c r="E2672" s="5" t="s">
        <v>124</v>
      </c>
      <c r="F2672" s="3" t="s">
        <v>10469</v>
      </c>
      <c r="G2672" s="6">
        <v>80.56</v>
      </c>
      <c r="H2672" s="7">
        <v>41940</v>
      </c>
      <c r="I2672" s="6" t="s">
        <v>209</v>
      </c>
      <c r="J2672" s="6" t="s">
        <v>10470</v>
      </c>
      <c r="K2672" s="6" t="s">
        <v>128</v>
      </c>
      <c r="L2672" s="6" t="s">
        <v>1990</v>
      </c>
      <c r="M2672" s="15" t="s">
        <v>10471</v>
      </c>
      <c r="N2672" s="15" t="s">
        <v>10472</v>
      </c>
      <c r="O2672" s="28" t="s">
        <v>10473</v>
      </c>
    </row>
    <row r="2673" spans="1:15" s="1" customFormat="1">
      <c r="A2673" s="3" t="s">
        <v>5899</v>
      </c>
      <c r="B2673" s="3"/>
      <c r="C2673" s="3"/>
      <c r="D2673" s="5" t="s">
        <v>5892</v>
      </c>
      <c r="E2673" s="5" t="s">
        <v>124</v>
      </c>
      <c r="F2673" s="3" t="s">
        <v>10474</v>
      </c>
      <c r="G2673" s="6">
        <v>251.87100000000001</v>
      </c>
      <c r="H2673" s="7">
        <v>41940</v>
      </c>
      <c r="I2673" s="6" t="s">
        <v>209</v>
      </c>
      <c r="J2673" s="6" t="s">
        <v>10475</v>
      </c>
      <c r="K2673" s="6" t="s">
        <v>128</v>
      </c>
      <c r="L2673" s="6" t="s">
        <v>808</v>
      </c>
      <c r="M2673" s="15" t="s">
        <v>10476</v>
      </c>
      <c r="N2673" s="15" t="s">
        <v>10477</v>
      </c>
      <c r="O2673" s="28" t="s">
        <v>10478</v>
      </c>
    </row>
    <row r="2674" spans="1:15" s="1" customFormat="1">
      <c r="A2674" s="3" t="s">
        <v>1285</v>
      </c>
      <c r="B2674" s="3" t="s">
        <v>283</v>
      </c>
      <c r="C2674" s="3"/>
      <c r="D2674" s="5" t="s">
        <v>1287</v>
      </c>
      <c r="E2674" s="5" t="s">
        <v>124</v>
      </c>
      <c r="F2674" s="3" t="s">
        <v>10479</v>
      </c>
      <c r="G2674" s="6">
        <f>8.606*L2674</f>
        <v>111.878</v>
      </c>
      <c r="H2674" s="7">
        <v>41940</v>
      </c>
      <c r="I2674" s="6" t="s">
        <v>272</v>
      </c>
      <c r="J2674" s="6" t="s">
        <v>10480</v>
      </c>
      <c r="K2674" s="6" t="s">
        <v>5478</v>
      </c>
      <c r="L2674" s="6">
        <v>13</v>
      </c>
      <c r="M2674" s="15" t="s">
        <v>10481</v>
      </c>
      <c r="N2674" s="15" t="s">
        <v>6795</v>
      </c>
      <c r="O2674" s="28" t="s">
        <v>10481</v>
      </c>
    </row>
    <row r="2675" spans="1:15" s="1" customFormat="1">
      <c r="A2675" s="3" t="s">
        <v>1285</v>
      </c>
      <c r="B2675" s="3" t="s">
        <v>283</v>
      </c>
      <c r="C2675" s="3"/>
      <c r="D2675" s="5" t="s">
        <v>1287</v>
      </c>
      <c r="E2675" s="5" t="s">
        <v>124</v>
      </c>
      <c r="F2675" s="3" t="s">
        <v>10482</v>
      </c>
      <c r="G2675" s="6">
        <f>8.606*L2675</f>
        <v>103.27199999999999</v>
      </c>
      <c r="H2675" s="7">
        <v>41940</v>
      </c>
      <c r="I2675" s="6" t="s">
        <v>272</v>
      </c>
      <c r="J2675" s="6" t="s">
        <v>10483</v>
      </c>
      <c r="K2675" s="6" t="s">
        <v>5478</v>
      </c>
      <c r="L2675" s="6">
        <v>12</v>
      </c>
      <c r="M2675" s="15" t="s">
        <v>10484</v>
      </c>
      <c r="N2675" s="15" t="s">
        <v>10485</v>
      </c>
      <c r="O2675" s="28" t="s">
        <v>10484</v>
      </c>
    </row>
    <row r="2676" spans="1:15" s="1" customFormat="1">
      <c r="A2676" s="3" t="s">
        <v>3996</v>
      </c>
      <c r="B2676" s="3"/>
      <c r="C2676" s="3"/>
      <c r="D2676" s="5" t="s">
        <v>3997</v>
      </c>
      <c r="E2676" s="5" t="s">
        <v>124</v>
      </c>
      <c r="F2676" s="3" t="s">
        <v>10486</v>
      </c>
      <c r="G2676" s="6">
        <f>12.838*L2676</f>
        <v>25.675999999999998</v>
      </c>
      <c r="H2676" s="7">
        <v>41940</v>
      </c>
      <c r="I2676" s="6" t="s">
        <v>471</v>
      </c>
      <c r="J2676" s="6" t="s">
        <v>10487</v>
      </c>
      <c r="K2676" s="6" t="s">
        <v>21</v>
      </c>
      <c r="L2676" s="6">
        <v>2</v>
      </c>
      <c r="M2676" s="15" t="s">
        <v>10488</v>
      </c>
      <c r="N2676" s="15" t="s">
        <v>10489</v>
      </c>
      <c r="O2676" s="28" t="s">
        <v>10488</v>
      </c>
    </row>
    <row r="2677" spans="1:15" s="1" customFormat="1">
      <c r="A2677" s="3" t="s">
        <v>5304</v>
      </c>
      <c r="B2677" s="3"/>
      <c r="C2677" s="3"/>
      <c r="D2677" s="5" t="s">
        <v>6309</v>
      </c>
      <c r="E2677" s="5" t="s">
        <v>124</v>
      </c>
      <c r="F2677" s="3" t="s">
        <v>10490</v>
      </c>
      <c r="G2677" s="6">
        <f>27.688*L2677</f>
        <v>249.19199999999998</v>
      </c>
      <c r="H2677" s="7">
        <v>41940</v>
      </c>
      <c r="I2677" s="6" t="s">
        <v>265</v>
      </c>
      <c r="J2677" s="6" t="s">
        <v>10491</v>
      </c>
      <c r="K2677" s="6" t="s">
        <v>21</v>
      </c>
      <c r="L2677" s="6">
        <v>9</v>
      </c>
      <c r="M2677" s="15" t="s">
        <v>10492</v>
      </c>
      <c r="N2677" s="15" t="s">
        <v>486</v>
      </c>
      <c r="O2677" s="28" t="s">
        <v>10492</v>
      </c>
    </row>
    <row r="2678" spans="1:15" s="1" customFormat="1">
      <c r="A2678" s="3" t="s">
        <v>5304</v>
      </c>
      <c r="B2678" s="3"/>
      <c r="C2678" s="3"/>
      <c r="D2678" s="5" t="s">
        <v>6309</v>
      </c>
      <c r="E2678" s="5" t="s">
        <v>124</v>
      </c>
      <c r="F2678" s="3" t="s">
        <v>10493</v>
      </c>
      <c r="G2678" s="6">
        <f>27.688*L2678</f>
        <v>249.19199999999998</v>
      </c>
      <c r="H2678" s="7">
        <v>41940</v>
      </c>
      <c r="I2678" s="6" t="s">
        <v>265</v>
      </c>
      <c r="J2678" s="6" t="s">
        <v>10494</v>
      </c>
      <c r="K2678" s="6" t="s">
        <v>21</v>
      </c>
      <c r="L2678" s="6">
        <v>9</v>
      </c>
      <c r="M2678" s="15" t="s">
        <v>10492</v>
      </c>
      <c r="N2678" s="15" t="s">
        <v>492</v>
      </c>
      <c r="O2678" s="28" t="s">
        <v>10495</v>
      </c>
    </row>
    <row r="2679" spans="1:15" s="1" customFormat="1">
      <c r="A2679" s="3" t="s">
        <v>1259</v>
      </c>
      <c r="B2679" s="3"/>
      <c r="C2679" s="3"/>
      <c r="D2679" s="5" t="s">
        <v>170</v>
      </c>
      <c r="E2679" s="5" t="s">
        <v>7026</v>
      </c>
      <c r="F2679" s="3" t="s">
        <v>11220</v>
      </c>
      <c r="G2679" s="6">
        <f>17.498*L2679</f>
        <v>209.976</v>
      </c>
      <c r="H2679" s="7">
        <v>41940</v>
      </c>
      <c r="I2679" s="6" t="s">
        <v>265</v>
      </c>
      <c r="J2679" s="6" t="s">
        <v>11221</v>
      </c>
      <c r="K2679" s="6" t="s">
        <v>21</v>
      </c>
      <c r="L2679" s="6">
        <v>12</v>
      </c>
      <c r="M2679" s="15" t="s">
        <v>11222</v>
      </c>
      <c r="N2679" s="15" t="s">
        <v>11223</v>
      </c>
      <c r="O2679" s="28"/>
    </row>
    <row r="2680" spans="1:15" s="1" customFormat="1">
      <c r="A2680" s="3" t="s">
        <v>1259</v>
      </c>
      <c r="B2680" s="3"/>
      <c r="C2680" s="3"/>
      <c r="D2680" s="5" t="s">
        <v>170</v>
      </c>
      <c r="E2680" s="5" t="s">
        <v>7026</v>
      </c>
      <c r="F2680" s="3" t="s">
        <v>11224</v>
      </c>
      <c r="G2680" s="6">
        <f>17.498*L2680</f>
        <v>209.976</v>
      </c>
      <c r="H2680" s="7">
        <v>41940</v>
      </c>
      <c r="I2680" s="6" t="s">
        <v>265</v>
      </c>
      <c r="J2680" s="6" t="s">
        <v>11225</v>
      </c>
      <c r="K2680" s="6" t="s">
        <v>21</v>
      </c>
      <c r="L2680" s="6">
        <v>12</v>
      </c>
      <c r="M2680" s="15" t="s">
        <v>11222</v>
      </c>
      <c r="N2680" s="15" t="s">
        <v>1211</v>
      </c>
      <c r="O2680" s="28"/>
    </row>
    <row r="2681" spans="1:15" s="1" customFormat="1">
      <c r="A2681" s="3" t="s">
        <v>4453</v>
      </c>
      <c r="B2681" s="3"/>
      <c r="C2681" s="3"/>
      <c r="D2681" s="5" t="s">
        <v>3106</v>
      </c>
      <c r="E2681" s="5" t="s">
        <v>7026</v>
      </c>
      <c r="F2681" s="3" t="s">
        <v>11226</v>
      </c>
      <c r="G2681" s="6">
        <v>209.976</v>
      </c>
      <c r="H2681" s="7">
        <v>41940</v>
      </c>
      <c r="I2681" s="6" t="s">
        <v>265</v>
      </c>
      <c r="J2681" s="6" t="s">
        <v>11227</v>
      </c>
      <c r="K2681" s="6" t="s">
        <v>5478</v>
      </c>
      <c r="L2681" s="6">
        <v>12</v>
      </c>
      <c r="M2681" s="15" t="s">
        <v>11228</v>
      </c>
      <c r="N2681" s="15" t="s">
        <v>78</v>
      </c>
      <c r="O2681" s="28"/>
    </row>
    <row r="2682" spans="1:15" s="1" customFormat="1">
      <c r="A2682" s="3" t="s">
        <v>4453</v>
      </c>
      <c r="B2682" s="3"/>
      <c r="C2682" s="3"/>
      <c r="D2682" s="5" t="s">
        <v>3106</v>
      </c>
      <c r="E2682" s="5" t="s">
        <v>7026</v>
      </c>
      <c r="F2682" s="3" t="s">
        <v>11229</v>
      </c>
      <c r="G2682" s="6">
        <v>227.47399999999999</v>
      </c>
      <c r="H2682" s="7">
        <v>41940</v>
      </c>
      <c r="I2682" s="6" t="s">
        <v>265</v>
      </c>
      <c r="J2682" s="6" t="s">
        <v>11230</v>
      </c>
      <c r="K2682" s="6" t="s">
        <v>5478</v>
      </c>
      <c r="L2682" s="6">
        <v>13</v>
      </c>
      <c r="M2682" s="15" t="s">
        <v>11228</v>
      </c>
      <c r="N2682" s="15" t="s">
        <v>81</v>
      </c>
      <c r="O2682" s="28"/>
    </row>
    <row r="2683" spans="1:15" s="1" customFormat="1">
      <c r="A2683" s="3" t="s">
        <v>4453</v>
      </c>
      <c r="B2683" s="3"/>
      <c r="C2683" s="3"/>
      <c r="D2683" s="5" t="s">
        <v>3106</v>
      </c>
      <c r="E2683" s="5" t="s">
        <v>7026</v>
      </c>
      <c r="F2683" s="3" t="s">
        <v>11231</v>
      </c>
      <c r="G2683" s="6">
        <v>262.47000000000003</v>
      </c>
      <c r="H2683" s="7">
        <v>41940</v>
      </c>
      <c r="I2683" s="6" t="s">
        <v>265</v>
      </c>
      <c r="J2683" s="6" t="s">
        <v>11232</v>
      </c>
      <c r="K2683" s="6" t="s">
        <v>5478</v>
      </c>
      <c r="L2683" s="6">
        <v>15</v>
      </c>
      <c r="M2683" s="15" t="s">
        <v>11233</v>
      </c>
      <c r="N2683" s="15" t="s">
        <v>2771</v>
      </c>
      <c r="O2683" s="28"/>
    </row>
    <row r="2684" spans="1:15" s="1" customFormat="1">
      <c r="A2684" s="3" t="s">
        <v>654</v>
      </c>
      <c r="B2684" s="3"/>
      <c r="C2684" s="3"/>
      <c r="D2684" s="5" t="s">
        <v>5294</v>
      </c>
      <c r="E2684" s="5" t="s">
        <v>124</v>
      </c>
      <c r="F2684" s="3" t="s">
        <v>10499</v>
      </c>
      <c r="G2684" s="6">
        <f>17.52*L2684</f>
        <v>227.76</v>
      </c>
      <c r="H2684" s="7">
        <v>41941</v>
      </c>
      <c r="I2684" s="6" t="s">
        <v>209</v>
      </c>
      <c r="J2684" s="6" t="s">
        <v>10500</v>
      </c>
      <c r="K2684" s="6" t="s">
        <v>21</v>
      </c>
      <c r="L2684" s="6">
        <v>13</v>
      </c>
      <c r="M2684" s="15" t="s">
        <v>10501</v>
      </c>
      <c r="N2684" s="15" t="s">
        <v>8866</v>
      </c>
      <c r="O2684" s="28" t="s">
        <v>10501</v>
      </c>
    </row>
    <row r="2685" spans="1:15" s="1" customFormat="1">
      <c r="A2685" s="3" t="s">
        <v>854</v>
      </c>
      <c r="B2685" s="3"/>
      <c r="C2685" s="3"/>
      <c r="D2685" s="5" t="s">
        <v>5294</v>
      </c>
      <c r="E2685" s="5" t="s">
        <v>124</v>
      </c>
      <c r="F2685" s="3" t="s">
        <v>10502</v>
      </c>
      <c r="G2685" s="6">
        <f>17.52*L2685</f>
        <v>210.24</v>
      </c>
      <c r="H2685" s="7">
        <v>41941</v>
      </c>
      <c r="I2685" s="6" t="s">
        <v>209</v>
      </c>
      <c r="J2685" s="6" t="s">
        <v>10503</v>
      </c>
      <c r="K2685" s="6" t="s">
        <v>21</v>
      </c>
      <c r="L2685" s="6">
        <v>12</v>
      </c>
      <c r="M2685" s="15" t="s">
        <v>10501</v>
      </c>
      <c r="N2685" s="15" t="s">
        <v>5860</v>
      </c>
      <c r="O2685" s="28" t="s">
        <v>10504</v>
      </c>
    </row>
    <row r="2686" spans="1:15" s="1" customFormat="1">
      <c r="A2686" s="3" t="s">
        <v>316</v>
      </c>
      <c r="B2686" s="3"/>
      <c r="C2686" s="3"/>
      <c r="D2686" s="5" t="s">
        <v>317</v>
      </c>
      <c r="E2686" s="5" t="s">
        <v>124</v>
      </c>
      <c r="F2686" s="3" t="s">
        <v>10508</v>
      </c>
      <c r="G2686" s="6">
        <f>17.52*L2686</f>
        <v>140.16</v>
      </c>
      <c r="H2686" s="7">
        <v>41941</v>
      </c>
      <c r="I2686" s="6" t="s">
        <v>209</v>
      </c>
      <c r="J2686" s="6" t="s">
        <v>10509</v>
      </c>
      <c r="K2686" s="6" t="s">
        <v>5478</v>
      </c>
      <c r="L2686" s="6">
        <v>8</v>
      </c>
      <c r="M2686" s="15" t="s">
        <v>10510</v>
      </c>
      <c r="N2686" s="15" t="s">
        <v>5844</v>
      </c>
      <c r="O2686" s="28" t="s">
        <v>10510</v>
      </c>
    </row>
    <row r="2687" spans="1:15" s="1" customFormat="1">
      <c r="A2687" s="3" t="s">
        <v>753</v>
      </c>
      <c r="B2687" s="3"/>
      <c r="C2687" s="3"/>
      <c r="D2687" s="5" t="s">
        <v>754</v>
      </c>
      <c r="E2687" s="5" t="s">
        <v>124</v>
      </c>
      <c r="F2687" s="3" t="s">
        <v>10511</v>
      </c>
      <c r="G2687" s="6">
        <f>17.52*L2687</f>
        <v>140.16</v>
      </c>
      <c r="H2687" s="7">
        <v>41941</v>
      </c>
      <c r="I2687" s="6" t="s">
        <v>265</v>
      </c>
      <c r="J2687" s="6" t="s">
        <v>10512</v>
      </c>
      <c r="K2687" s="6" t="s">
        <v>21</v>
      </c>
      <c r="L2687" s="6">
        <v>8</v>
      </c>
      <c r="M2687" s="15" t="s">
        <v>10513</v>
      </c>
      <c r="N2687" s="15" t="s">
        <v>5844</v>
      </c>
      <c r="O2687" s="28" t="s">
        <v>10513</v>
      </c>
    </row>
    <row r="2688" spans="1:15" s="1" customFormat="1">
      <c r="A2688" s="3" t="s">
        <v>416</v>
      </c>
      <c r="B2688" s="3"/>
      <c r="C2688" s="3"/>
      <c r="D2688" s="5" t="s">
        <v>417</v>
      </c>
      <c r="E2688" s="5" t="s">
        <v>124</v>
      </c>
      <c r="F2688" s="3" t="s">
        <v>10514</v>
      </c>
      <c r="G2688" s="6">
        <f>29.101*L2688</f>
        <v>349.21199999999999</v>
      </c>
      <c r="H2688" s="7">
        <v>41941</v>
      </c>
      <c r="I2688" s="6" t="s">
        <v>419</v>
      </c>
      <c r="J2688" s="6" t="s">
        <v>10515</v>
      </c>
      <c r="K2688" s="6" t="s">
        <v>5478</v>
      </c>
      <c r="L2688" s="6">
        <v>12</v>
      </c>
      <c r="M2688" s="15" t="s">
        <v>10516</v>
      </c>
      <c r="N2688" s="15" t="s">
        <v>6799</v>
      </c>
      <c r="O2688" s="28" t="s">
        <v>10516</v>
      </c>
    </row>
    <row r="2689" spans="1:15" s="1" customFormat="1">
      <c r="A2689" s="3" t="s">
        <v>416</v>
      </c>
      <c r="B2689" s="3"/>
      <c r="C2689" s="3"/>
      <c r="D2689" s="5" t="s">
        <v>417</v>
      </c>
      <c r="E2689" s="5" t="s">
        <v>124</v>
      </c>
      <c r="F2689" s="3" t="s">
        <v>10517</v>
      </c>
      <c r="G2689" s="6">
        <f>29.101*L2689</f>
        <v>145.505</v>
      </c>
      <c r="H2689" s="7">
        <v>41941</v>
      </c>
      <c r="I2689" s="6" t="s">
        <v>419</v>
      </c>
      <c r="J2689" s="6" t="s">
        <v>10518</v>
      </c>
      <c r="K2689" s="6" t="s">
        <v>5478</v>
      </c>
      <c r="L2689" s="6">
        <v>5</v>
      </c>
      <c r="M2689" s="15" t="s">
        <v>10519</v>
      </c>
      <c r="N2689" s="15" t="s">
        <v>4602</v>
      </c>
      <c r="O2689" s="28" t="s">
        <v>10519</v>
      </c>
    </row>
    <row r="2690" spans="1:15" s="1" customFormat="1">
      <c r="A2690" s="3" t="s">
        <v>654</v>
      </c>
      <c r="B2690" s="3"/>
      <c r="C2690" s="3"/>
      <c r="D2690" s="5" t="s">
        <v>5294</v>
      </c>
      <c r="E2690" s="5" t="s">
        <v>124</v>
      </c>
      <c r="F2690" s="3" t="s">
        <v>10520</v>
      </c>
      <c r="G2690" s="6">
        <f t="shared" ref="G2690:G2695" si="105">17.52*L2690</f>
        <v>175.2</v>
      </c>
      <c r="H2690" s="7">
        <v>41941</v>
      </c>
      <c r="I2690" s="6" t="s">
        <v>209</v>
      </c>
      <c r="J2690" s="6" t="s">
        <v>10521</v>
      </c>
      <c r="K2690" s="6" t="s">
        <v>21</v>
      </c>
      <c r="L2690" s="6">
        <v>10</v>
      </c>
      <c r="M2690" s="15" t="s">
        <v>10522</v>
      </c>
      <c r="N2690" s="15" t="s">
        <v>4953</v>
      </c>
      <c r="O2690" s="28" t="s">
        <v>10522</v>
      </c>
    </row>
    <row r="2691" spans="1:15" s="1" customFormat="1">
      <c r="A2691" s="3" t="s">
        <v>654</v>
      </c>
      <c r="B2691" s="3"/>
      <c r="C2691" s="3"/>
      <c r="D2691" s="5" t="s">
        <v>5294</v>
      </c>
      <c r="E2691" s="5" t="s">
        <v>124</v>
      </c>
      <c r="F2691" s="3" t="s">
        <v>10523</v>
      </c>
      <c r="G2691" s="6">
        <f t="shared" si="105"/>
        <v>210.24</v>
      </c>
      <c r="H2691" s="7">
        <v>41941</v>
      </c>
      <c r="I2691" s="6" t="s">
        <v>209</v>
      </c>
      <c r="J2691" s="6" t="s">
        <v>10524</v>
      </c>
      <c r="K2691" s="6" t="s">
        <v>21</v>
      </c>
      <c r="L2691" s="6">
        <v>12</v>
      </c>
      <c r="M2691" s="15" t="s">
        <v>10522</v>
      </c>
      <c r="N2691" s="15" t="s">
        <v>10525</v>
      </c>
      <c r="O2691" s="28" t="s">
        <v>10526</v>
      </c>
    </row>
    <row r="2692" spans="1:15" s="1" customFormat="1">
      <c r="A2692" s="3" t="s">
        <v>1498</v>
      </c>
      <c r="B2692" s="3"/>
      <c r="C2692" s="3"/>
      <c r="D2692" s="5" t="s">
        <v>1499</v>
      </c>
      <c r="E2692" s="5" t="s">
        <v>124</v>
      </c>
      <c r="F2692" s="3" t="s">
        <v>10530</v>
      </c>
      <c r="G2692" s="6">
        <f t="shared" si="105"/>
        <v>262.8</v>
      </c>
      <c r="H2692" s="7">
        <v>41941</v>
      </c>
      <c r="I2692" s="6" t="s">
        <v>265</v>
      </c>
      <c r="J2692" s="6" t="s">
        <v>10531</v>
      </c>
      <c r="K2692" s="6" t="s">
        <v>21</v>
      </c>
      <c r="L2692" s="6">
        <v>15</v>
      </c>
      <c r="M2692" s="15" t="s">
        <v>10532</v>
      </c>
      <c r="N2692" s="15" t="s">
        <v>5066</v>
      </c>
      <c r="O2692" s="28" t="s">
        <v>10532</v>
      </c>
    </row>
    <row r="2693" spans="1:15" s="1" customFormat="1">
      <c r="A2693" s="3" t="s">
        <v>777</v>
      </c>
      <c r="B2693" s="3"/>
      <c r="C2693" s="3"/>
      <c r="D2693" s="5" t="s">
        <v>778</v>
      </c>
      <c r="E2693" s="5" t="s">
        <v>124</v>
      </c>
      <c r="F2693" s="3" t="s">
        <v>10536</v>
      </c>
      <c r="G2693" s="6">
        <f t="shared" si="105"/>
        <v>227.76</v>
      </c>
      <c r="H2693" s="7">
        <v>41941</v>
      </c>
      <c r="I2693" s="6" t="s">
        <v>265</v>
      </c>
      <c r="J2693" s="6" t="s">
        <v>10537</v>
      </c>
      <c r="K2693" s="6" t="s">
        <v>21</v>
      </c>
      <c r="L2693" s="6">
        <v>13</v>
      </c>
      <c r="M2693" s="15" t="s">
        <v>10535</v>
      </c>
      <c r="N2693" s="15" t="s">
        <v>81</v>
      </c>
      <c r="O2693" s="28" t="s">
        <v>10538</v>
      </c>
    </row>
    <row r="2694" spans="1:15" s="1" customFormat="1">
      <c r="A2694" s="3" t="s">
        <v>777</v>
      </c>
      <c r="B2694" s="3"/>
      <c r="C2694" s="3"/>
      <c r="D2694" s="5" t="s">
        <v>778</v>
      </c>
      <c r="E2694" s="5" t="s">
        <v>124</v>
      </c>
      <c r="F2694" s="3" t="s">
        <v>10539</v>
      </c>
      <c r="G2694" s="6">
        <f t="shared" si="105"/>
        <v>210.24</v>
      </c>
      <c r="H2694" s="7">
        <v>41941</v>
      </c>
      <c r="I2694" s="6" t="s">
        <v>265</v>
      </c>
      <c r="J2694" s="6" t="s">
        <v>10540</v>
      </c>
      <c r="K2694" s="6" t="s">
        <v>21</v>
      </c>
      <c r="L2694" s="6">
        <v>12</v>
      </c>
      <c r="M2694" s="15" t="s">
        <v>10541</v>
      </c>
      <c r="N2694" s="15" t="s">
        <v>78</v>
      </c>
      <c r="O2694" s="28" t="s">
        <v>10541</v>
      </c>
    </row>
    <row r="2695" spans="1:15" s="1" customFormat="1">
      <c r="A2695" s="3" t="s">
        <v>777</v>
      </c>
      <c r="B2695" s="3"/>
      <c r="C2695" s="3"/>
      <c r="D2695" s="5" t="s">
        <v>778</v>
      </c>
      <c r="E2695" s="5" t="s">
        <v>124</v>
      </c>
      <c r="F2695" s="3" t="s">
        <v>10542</v>
      </c>
      <c r="G2695" s="6">
        <f t="shared" si="105"/>
        <v>227.76</v>
      </c>
      <c r="H2695" s="7">
        <v>41941</v>
      </c>
      <c r="I2695" s="6" t="s">
        <v>265</v>
      </c>
      <c r="J2695" s="6" t="s">
        <v>10543</v>
      </c>
      <c r="K2695" s="6" t="s">
        <v>21</v>
      </c>
      <c r="L2695" s="6">
        <v>13</v>
      </c>
      <c r="M2695" s="15" t="s">
        <v>10541</v>
      </c>
      <c r="N2695" s="15" t="s">
        <v>81</v>
      </c>
      <c r="O2695" s="28" t="s">
        <v>10544</v>
      </c>
    </row>
    <row r="2696" spans="1:15" s="1" customFormat="1">
      <c r="A2696" s="3" t="s">
        <v>3816</v>
      </c>
      <c r="B2696" s="3"/>
      <c r="C2696" s="3"/>
      <c r="D2696" s="5" t="s">
        <v>377</v>
      </c>
      <c r="E2696" s="5" t="s">
        <v>124</v>
      </c>
      <c r="F2696" s="3" t="s">
        <v>10545</v>
      </c>
      <c r="G2696" s="6">
        <f t="shared" ref="G2696:G2701" si="106">18.708*L2696</f>
        <v>224.49599999999998</v>
      </c>
      <c r="H2696" s="7">
        <v>41941</v>
      </c>
      <c r="I2696" s="6" t="s">
        <v>265</v>
      </c>
      <c r="J2696" s="6" t="s">
        <v>10546</v>
      </c>
      <c r="K2696" s="6" t="s">
        <v>21</v>
      </c>
      <c r="L2696" s="6">
        <v>12</v>
      </c>
      <c r="M2696" s="15" t="s">
        <v>10547</v>
      </c>
      <c r="N2696" s="15" t="s">
        <v>164</v>
      </c>
      <c r="O2696" s="28" t="s">
        <v>10547</v>
      </c>
    </row>
    <row r="2697" spans="1:15" s="1" customFormat="1">
      <c r="A2697" s="3" t="s">
        <v>3816</v>
      </c>
      <c r="B2697" s="3"/>
      <c r="C2697" s="3"/>
      <c r="D2697" s="5" t="s">
        <v>377</v>
      </c>
      <c r="E2697" s="5" t="s">
        <v>124</v>
      </c>
      <c r="F2697" s="3" t="s">
        <v>10548</v>
      </c>
      <c r="G2697" s="6">
        <f t="shared" si="106"/>
        <v>243.20399999999998</v>
      </c>
      <c r="H2697" s="7">
        <v>41941</v>
      </c>
      <c r="I2697" s="6" t="s">
        <v>265</v>
      </c>
      <c r="J2697" s="6" t="s">
        <v>10549</v>
      </c>
      <c r="K2697" s="6" t="s">
        <v>21</v>
      </c>
      <c r="L2697" s="6">
        <v>13</v>
      </c>
      <c r="M2697" s="15" t="s">
        <v>10547</v>
      </c>
      <c r="N2697" s="15" t="s">
        <v>167</v>
      </c>
      <c r="O2697" s="28" t="s">
        <v>10550</v>
      </c>
    </row>
    <row r="2698" spans="1:15" s="1" customFormat="1">
      <c r="A2698" s="3" t="s">
        <v>3816</v>
      </c>
      <c r="B2698" s="3"/>
      <c r="C2698" s="3"/>
      <c r="D2698" s="5" t="s">
        <v>377</v>
      </c>
      <c r="E2698" s="5" t="s">
        <v>124</v>
      </c>
      <c r="F2698" s="3" t="s">
        <v>10551</v>
      </c>
      <c r="G2698" s="6">
        <f t="shared" si="106"/>
        <v>224.49599999999998</v>
      </c>
      <c r="H2698" s="7">
        <v>41941</v>
      </c>
      <c r="I2698" s="6" t="s">
        <v>265</v>
      </c>
      <c r="J2698" s="6" t="s">
        <v>10552</v>
      </c>
      <c r="K2698" s="6" t="s">
        <v>21</v>
      </c>
      <c r="L2698" s="6">
        <v>12</v>
      </c>
      <c r="M2698" s="15" t="s">
        <v>10553</v>
      </c>
      <c r="N2698" s="15" t="s">
        <v>164</v>
      </c>
      <c r="O2698" s="28" t="s">
        <v>10553</v>
      </c>
    </row>
    <row r="2699" spans="1:15" s="1" customFormat="1">
      <c r="A2699" s="3" t="s">
        <v>3816</v>
      </c>
      <c r="B2699" s="3"/>
      <c r="C2699" s="3"/>
      <c r="D2699" s="5" t="s">
        <v>377</v>
      </c>
      <c r="E2699" s="5" t="s">
        <v>124</v>
      </c>
      <c r="F2699" s="3" t="s">
        <v>10554</v>
      </c>
      <c r="G2699" s="6">
        <f t="shared" si="106"/>
        <v>243.20399999999998</v>
      </c>
      <c r="H2699" s="7">
        <v>41941</v>
      </c>
      <c r="I2699" s="6" t="s">
        <v>265</v>
      </c>
      <c r="J2699" s="6" t="s">
        <v>10555</v>
      </c>
      <c r="K2699" s="6" t="s">
        <v>21</v>
      </c>
      <c r="L2699" s="6">
        <v>13</v>
      </c>
      <c r="M2699" s="15" t="s">
        <v>10553</v>
      </c>
      <c r="N2699" s="15" t="s">
        <v>167</v>
      </c>
      <c r="O2699" s="28" t="s">
        <v>10556</v>
      </c>
    </row>
    <row r="2700" spans="1:15" s="1" customFormat="1">
      <c r="A2700" s="3" t="s">
        <v>3816</v>
      </c>
      <c r="B2700" s="3"/>
      <c r="C2700" s="3"/>
      <c r="D2700" s="5" t="s">
        <v>377</v>
      </c>
      <c r="E2700" s="5" t="s">
        <v>124</v>
      </c>
      <c r="F2700" s="3" t="s">
        <v>10557</v>
      </c>
      <c r="G2700" s="6">
        <f t="shared" si="106"/>
        <v>224.49599999999998</v>
      </c>
      <c r="H2700" s="7">
        <v>41941</v>
      </c>
      <c r="I2700" s="6" t="s">
        <v>265</v>
      </c>
      <c r="J2700" s="6" t="s">
        <v>10558</v>
      </c>
      <c r="K2700" s="6" t="s">
        <v>21</v>
      </c>
      <c r="L2700" s="6">
        <v>12</v>
      </c>
      <c r="M2700" s="15" t="s">
        <v>10559</v>
      </c>
      <c r="N2700" s="15" t="s">
        <v>164</v>
      </c>
      <c r="O2700" s="28" t="s">
        <v>10559</v>
      </c>
    </row>
    <row r="2701" spans="1:15" s="1" customFormat="1">
      <c r="A2701" s="3" t="s">
        <v>3816</v>
      </c>
      <c r="B2701" s="3"/>
      <c r="C2701" s="3"/>
      <c r="D2701" s="5" t="s">
        <v>377</v>
      </c>
      <c r="E2701" s="5" t="s">
        <v>124</v>
      </c>
      <c r="F2701" s="3" t="s">
        <v>10560</v>
      </c>
      <c r="G2701" s="6">
        <f t="shared" si="106"/>
        <v>243.20399999999998</v>
      </c>
      <c r="H2701" s="7">
        <v>41941</v>
      </c>
      <c r="I2701" s="6" t="s">
        <v>11472</v>
      </c>
      <c r="J2701" s="6" t="s">
        <v>11473</v>
      </c>
      <c r="K2701" s="6" t="s">
        <v>21</v>
      </c>
      <c r="L2701" s="6">
        <v>13</v>
      </c>
      <c r="M2701" s="15" t="s">
        <v>10559</v>
      </c>
      <c r="N2701" s="15" t="s">
        <v>167</v>
      </c>
      <c r="O2701" s="28" t="s">
        <v>10561</v>
      </c>
    </row>
    <row r="2702" spans="1:15" s="1" customFormat="1">
      <c r="A2702" s="3" t="s">
        <v>1285</v>
      </c>
      <c r="B2702" s="3" t="s">
        <v>283</v>
      </c>
      <c r="C2702" s="3"/>
      <c r="D2702" s="5" t="s">
        <v>1287</v>
      </c>
      <c r="E2702" s="5" t="s">
        <v>124</v>
      </c>
      <c r="F2702" s="3" t="s">
        <v>10562</v>
      </c>
      <c r="G2702" s="6">
        <f>8.606*L2702</f>
        <v>103.27199999999999</v>
      </c>
      <c r="H2702" s="7">
        <v>41941</v>
      </c>
      <c r="I2702" s="6" t="s">
        <v>272</v>
      </c>
      <c r="J2702" s="6" t="s">
        <v>10563</v>
      </c>
      <c r="K2702" s="6" t="s">
        <v>5478</v>
      </c>
      <c r="L2702" s="6">
        <v>12</v>
      </c>
      <c r="M2702" s="15" t="s">
        <v>10564</v>
      </c>
      <c r="N2702" s="15" t="s">
        <v>164</v>
      </c>
      <c r="O2702" s="28" t="s">
        <v>10564</v>
      </c>
    </row>
    <row r="2703" spans="1:15" s="1" customFormat="1">
      <c r="A2703" s="3" t="s">
        <v>1285</v>
      </c>
      <c r="B2703" s="3" t="s">
        <v>283</v>
      </c>
      <c r="C2703" s="3"/>
      <c r="D2703" s="5" t="s">
        <v>1287</v>
      </c>
      <c r="E2703" s="5" t="s">
        <v>124</v>
      </c>
      <c r="F2703" s="3" t="s">
        <v>10565</v>
      </c>
      <c r="G2703" s="6">
        <f>8.606*L2703</f>
        <v>111.878</v>
      </c>
      <c r="H2703" s="7">
        <v>41941</v>
      </c>
      <c r="I2703" s="6" t="s">
        <v>272</v>
      </c>
      <c r="J2703" s="6" t="s">
        <v>10566</v>
      </c>
      <c r="K2703" s="6" t="s">
        <v>5478</v>
      </c>
      <c r="L2703" s="6">
        <v>13</v>
      </c>
      <c r="M2703" s="15" t="s">
        <v>10564</v>
      </c>
      <c r="N2703" s="15" t="s">
        <v>167</v>
      </c>
      <c r="O2703" s="28" t="s">
        <v>10567</v>
      </c>
    </row>
    <row r="2704" spans="1:15" s="1" customFormat="1">
      <c r="A2704" s="3" t="s">
        <v>1285</v>
      </c>
      <c r="B2704" s="3" t="s">
        <v>283</v>
      </c>
      <c r="C2704" s="3"/>
      <c r="D2704" s="5" t="s">
        <v>1287</v>
      </c>
      <c r="E2704" s="5" t="s">
        <v>124</v>
      </c>
      <c r="F2704" s="3" t="s">
        <v>10568</v>
      </c>
      <c r="G2704" s="6">
        <f>8.606*L2704</f>
        <v>103.27199999999999</v>
      </c>
      <c r="H2704" s="7">
        <v>41941</v>
      </c>
      <c r="I2704" s="6" t="s">
        <v>272</v>
      </c>
      <c r="J2704" s="6" t="s">
        <v>10569</v>
      </c>
      <c r="K2704" s="6" t="s">
        <v>5478</v>
      </c>
      <c r="L2704" s="6">
        <v>12</v>
      </c>
      <c r="M2704" s="15" t="s">
        <v>10570</v>
      </c>
      <c r="N2704" s="15" t="s">
        <v>164</v>
      </c>
      <c r="O2704" s="28" t="s">
        <v>10570</v>
      </c>
    </row>
    <row r="2705" spans="1:15" s="1" customFormat="1">
      <c r="A2705" s="3" t="s">
        <v>1285</v>
      </c>
      <c r="B2705" s="3" t="s">
        <v>283</v>
      </c>
      <c r="C2705" s="3"/>
      <c r="D2705" s="5" t="s">
        <v>1287</v>
      </c>
      <c r="E2705" s="5" t="s">
        <v>124</v>
      </c>
      <c r="F2705" s="3" t="s">
        <v>10571</v>
      </c>
      <c r="G2705" s="6">
        <f>8.606*L2705</f>
        <v>111.878</v>
      </c>
      <c r="H2705" s="7">
        <v>41941</v>
      </c>
      <c r="I2705" s="6" t="s">
        <v>272</v>
      </c>
      <c r="J2705" s="6" t="s">
        <v>10572</v>
      </c>
      <c r="K2705" s="6" t="s">
        <v>5478</v>
      </c>
      <c r="L2705" s="6">
        <v>13</v>
      </c>
      <c r="M2705" s="15" t="s">
        <v>10570</v>
      </c>
      <c r="N2705" s="15" t="s">
        <v>167</v>
      </c>
      <c r="O2705" s="28" t="s">
        <v>11468</v>
      </c>
    </row>
    <row r="2706" spans="1:15" s="1" customFormat="1">
      <c r="A2706" s="3" t="s">
        <v>1259</v>
      </c>
      <c r="B2706" s="3"/>
      <c r="C2706" s="3"/>
      <c r="D2706" s="5" t="s">
        <v>170</v>
      </c>
      <c r="E2706" s="5" t="s">
        <v>7026</v>
      </c>
      <c r="F2706" s="3" t="s">
        <v>11239</v>
      </c>
      <c r="G2706" s="6">
        <v>209.976</v>
      </c>
      <c r="H2706" s="7">
        <v>41941</v>
      </c>
      <c r="I2706" s="6" t="s">
        <v>265</v>
      </c>
      <c r="J2706" s="6" t="s">
        <v>11240</v>
      </c>
      <c r="K2706" s="6" t="s">
        <v>21</v>
      </c>
      <c r="L2706" s="6">
        <v>12</v>
      </c>
      <c r="M2706" s="15" t="s">
        <v>11241</v>
      </c>
      <c r="N2706" s="15" t="s">
        <v>78</v>
      </c>
      <c r="O2706" s="28"/>
    </row>
    <row r="2707" spans="1:15" s="1" customFormat="1">
      <c r="A2707" s="3" t="s">
        <v>1259</v>
      </c>
      <c r="B2707" s="3"/>
      <c r="C2707" s="3"/>
      <c r="D2707" s="5" t="s">
        <v>170</v>
      </c>
      <c r="E2707" s="5" t="s">
        <v>7026</v>
      </c>
      <c r="F2707" s="3" t="s">
        <v>11242</v>
      </c>
      <c r="G2707" s="6">
        <v>227.47399999999999</v>
      </c>
      <c r="H2707" s="7">
        <v>41941</v>
      </c>
      <c r="I2707" s="6" t="s">
        <v>265</v>
      </c>
      <c r="J2707" s="6" t="s">
        <v>11243</v>
      </c>
      <c r="K2707" s="6" t="s">
        <v>21</v>
      </c>
      <c r="L2707" s="6">
        <v>13</v>
      </c>
      <c r="M2707" s="15" t="s">
        <v>11241</v>
      </c>
      <c r="N2707" s="15" t="s">
        <v>81</v>
      </c>
      <c r="O2707" s="28"/>
    </row>
    <row r="2708" spans="1:15" s="1" customFormat="1">
      <c r="A2708" s="3" t="s">
        <v>1127</v>
      </c>
      <c r="B2708" s="3"/>
      <c r="C2708" s="3"/>
      <c r="D2708" s="5" t="s">
        <v>1128</v>
      </c>
      <c r="E2708" s="5" t="s">
        <v>7026</v>
      </c>
      <c r="F2708" s="3" t="s">
        <v>11244</v>
      </c>
      <c r="G2708" s="6">
        <v>349.21199999999999</v>
      </c>
      <c r="H2708" s="7">
        <v>41941</v>
      </c>
      <c r="I2708" s="6" t="s">
        <v>178</v>
      </c>
      <c r="J2708" s="6" t="s">
        <v>11245</v>
      </c>
      <c r="K2708" s="6" t="s">
        <v>21</v>
      </c>
      <c r="L2708" s="6">
        <v>12</v>
      </c>
      <c r="M2708" s="15" t="s">
        <v>11246</v>
      </c>
      <c r="N2708" s="15" t="s">
        <v>78</v>
      </c>
      <c r="O2708" s="28"/>
    </row>
    <row r="2709" spans="1:15" s="1" customFormat="1">
      <c r="A2709" s="3" t="s">
        <v>1127</v>
      </c>
      <c r="B2709" s="3"/>
      <c r="C2709" s="3"/>
      <c r="D2709" s="5" t="s">
        <v>1128</v>
      </c>
      <c r="E2709" s="5" t="s">
        <v>7026</v>
      </c>
      <c r="F2709" s="3" t="s">
        <v>11247</v>
      </c>
      <c r="G2709" s="6">
        <v>378.31299999999999</v>
      </c>
      <c r="H2709" s="7">
        <v>41941</v>
      </c>
      <c r="I2709" s="6" t="s">
        <v>178</v>
      </c>
      <c r="J2709" s="6" t="s">
        <v>11248</v>
      </c>
      <c r="K2709" s="6" t="s">
        <v>21</v>
      </c>
      <c r="L2709" s="6">
        <v>13</v>
      </c>
      <c r="M2709" s="15" t="s">
        <v>11246</v>
      </c>
      <c r="N2709" s="15" t="s">
        <v>81</v>
      </c>
      <c r="O2709" s="28"/>
    </row>
    <row r="2710" spans="1:15" s="1" customFormat="1">
      <c r="A2710" s="3" t="s">
        <v>1127</v>
      </c>
      <c r="B2710" s="3"/>
      <c r="C2710" s="3"/>
      <c r="D2710" s="5" t="s">
        <v>1128</v>
      </c>
      <c r="E2710" s="5" t="s">
        <v>7026</v>
      </c>
      <c r="F2710" s="3" t="s">
        <v>11249</v>
      </c>
      <c r="G2710" s="6">
        <v>378.31299999999999</v>
      </c>
      <c r="H2710" s="7">
        <v>41941</v>
      </c>
      <c r="I2710" s="6" t="s">
        <v>178</v>
      </c>
      <c r="J2710" s="6" t="s">
        <v>11250</v>
      </c>
      <c r="K2710" s="6" t="s">
        <v>21</v>
      </c>
      <c r="L2710" s="6">
        <v>13</v>
      </c>
      <c r="M2710" s="15" t="s">
        <v>11251</v>
      </c>
      <c r="N2710" s="15" t="s">
        <v>6795</v>
      </c>
      <c r="O2710" s="28"/>
    </row>
    <row r="2711" spans="1:15" s="1" customFormat="1">
      <c r="A2711" s="3" t="s">
        <v>1127</v>
      </c>
      <c r="B2711" s="3"/>
      <c r="C2711" s="3"/>
      <c r="D2711" s="5" t="s">
        <v>1128</v>
      </c>
      <c r="E2711" s="5" t="s">
        <v>7026</v>
      </c>
      <c r="F2711" s="3" t="s">
        <v>11252</v>
      </c>
      <c r="G2711" s="6">
        <v>349.21199999999999</v>
      </c>
      <c r="H2711" s="7">
        <v>41941</v>
      </c>
      <c r="I2711" s="6" t="s">
        <v>178</v>
      </c>
      <c r="J2711" s="6" t="s">
        <v>11253</v>
      </c>
      <c r="K2711" s="6" t="s">
        <v>21</v>
      </c>
      <c r="L2711" s="6">
        <v>12</v>
      </c>
      <c r="M2711" s="15" t="s">
        <v>11254</v>
      </c>
      <c r="N2711" s="15" t="s">
        <v>6799</v>
      </c>
      <c r="O2711" s="28"/>
    </row>
    <row r="2712" spans="1:15" s="1" customFormat="1">
      <c r="A2712" s="3" t="s">
        <v>1127</v>
      </c>
      <c r="B2712" s="3"/>
      <c r="C2712" s="3"/>
      <c r="D2712" s="5" t="s">
        <v>1128</v>
      </c>
      <c r="E2712" s="5" t="s">
        <v>7026</v>
      </c>
      <c r="F2712" s="3" t="s">
        <v>11255</v>
      </c>
      <c r="G2712" s="6">
        <v>349.21199999999999</v>
      </c>
      <c r="H2712" s="7">
        <v>41941</v>
      </c>
      <c r="I2712" s="6" t="s">
        <v>178</v>
      </c>
      <c r="J2712" s="6" t="s">
        <v>11256</v>
      </c>
      <c r="K2712" s="6" t="s">
        <v>21</v>
      </c>
      <c r="L2712" s="6">
        <v>12</v>
      </c>
      <c r="M2712" s="15" t="s">
        <v>11257</v>
      </c>
      <c r="N2712" s="15" t="s">
        <v>78</v>
      </c>
      <c r="O2712" s="28"/>
    </row>
    <row r="2713" spans="1:15" s="1" customFormat="1">
      <c r="A2713" s="3" t="s">
        <v>1127</v>
      </c>
      <c r="B2713" s="3"/>
      <c r="C2713" s="3"/>
      <c r="D2713" s="5" t="s">
        <v>1128</v>
      </c>
      <c r="E2713" s="5" t="s">
        <v>7026</v>
      </c>
      <c r="F2713" s="3" t="s">
        <v>11258</v>
      </c>
      <c r="G2713" s="6">
        <v>378.31299999999999</v>
      </c>
      <c r="H2713" s="7">
        <v>41941</v>
      </c>
      <c r="I2713" s="6" t="s">
        <v>178</v>
      </c>
      <c r="J2713" s="6" t="s">
        <v>11259</v>
      </c>
      <c r="K2713" s="6" t="s">
        <v>21</v>
      </c>
      <c r="L2713" s="6">
        <v>13</v>
      </c>
      <c r="M2713" s="15" t="s">
        <v>11257</v>
      </c>
      <c r="N2713" s="15" t="s">
        <v>81</v>
      </c>
      <c r="O2713" s="28"/>
    </row>
    <row r="2714" spans="1:15" s="1" customFormat="1">
      <c r="A2714" s="3" t="s">
        <v>1127</v>
      </c>
      <c r="B2714" s="3"/>
      <c r="C2714" s="3"/>
      <c r="D2714" s="5" t="s">
        <v>1128</v>
      </c>
      <c r="E2714" s="5" t="s">
        <v>7026</v>
      </c>
      <c r="F2714" s="3" t="s">
        <v>11260</v>
      </c>
      <c r="G2714" s="6">
        <v>378.31299999999999</v>
      </c>
      <c r="H2714" s="7">
        <v>41941</v>
      </c>
      <c r="I2714" s="6" t="s">
        <v>178</v>
      </c>
      <c r="J2714" s="6" t="s">
        <v>11261</v>
      </c>
      <c r="K2714" s="6" t="s">
        <v>21</v>
      </c>
      <c r="L2714" s="6">
        <v>13</v>
      </c>
      <c r="M2714" s="15" t="s">
        <v>11262</v>
      </c>
      <c r="N2714" s="15" t="s">
        <v>6795</v>
      </c>
      <c r="O2714" s="28"/>
    </row>
    <row r="2715" spans="1:15" s="1" customFormat="1">
      <c r="A2715" s="3" t="s">
        <v>1127</v>
      </c>
      <c r="B2715" s="3"/>
      <c r="C2715" s="3"/>
      <c r="D2715" s="5" t="s">
        <v>1128</v>
      </c>
      <c r="E2715" s="5" t="s">
        <v>7026</v>
      </c>
      <c r="F2715" s="3" t="s">
        <v>11263</v>
      </c>
      <c r="G2715" s="6">
        <v>87.302999999999997</v>
      </c>
      <c r="H2715" s="7">
        <v>41941</v>
      </c>
      <c r="I2715" s="6" t="s">
        <v>178</v>
      </c>
      <c r="J2715" s="6" t="s">
        <v>11264</v>
      </c>
      <c r="K2715" s="6" t="s">
        <v>21</v>
      </c>
      <c r="L2715" s="6">
        <v>3</v>
      </c>
      <c r="M2715" s="15" t="s">
        <v>11265</v>
      </c>
      <c r="N2715" s="15" t="s">
        <v>8983</v>
      </c>
      <c r="O2715" s="28"/>
    </row>
    <row r="2716" spans="1:15" s="1" customFormat="1">
      <c r="A2716" s="3" t="s">
        <v>1127</v>
      </c>
      <c r="B2716" s="3"/>
      <c r="C2716" s="3"/>
      <c r="D2716" s="5" t="s">
        <v>1128</v>
      </c>
      <c r="E2716" s="5" t="s">
        <v>7026</v>
      </c>
      <c r="F2716" s="3" t="s">
        <v>11266</v>
      </c>
      <c r="G2716" s="6">
        <v>349.21199999999999</v>
      </c>
      <c r="H2716" s="7">
        <v>41941</v>
      </c>
      <c r="I2716" s="6" t="s">
        <v>178</v>
      </c>
      <c r="J2716" s="6" t="s">
        <v>11267</v>
      </c>
      <c r="K2716" s="6" t="s">
        <v>21</v>
      </c>
      <c r="L2716" s="6">
        <v>12</v>
      </c>
      <c r="M2716" s="15" t="s">
        <v>11268</v>
      </c>
      <c r="N2716" s="15" t="s">
        <v>6799</v>
      </c>
      <c r="O2716" s="28"/>
    </row>
    <row r="2717" spans="1:15" s="1" customFormat="1">
      <c r="A2717" s="3" t="s">
        <v>1043</v>
      </c>
      <c r="B2717" s="3"/>
      <c r="C2717" s="3"/>
      <c r="D2717" s="5" t="s">
        <v>443</v>
      </c>
      <c r="E2717" s="5" t="s">
        <v>7026</v>
      </c>
      <c r="F2717" s="3" t="s">
        <v>11269</v>
      </c>
      <c r="G2717" s="6">
        <v>224.49600000000001</v>
      </c>
      <c r="H2717" s="7">
        <v>41941</v>
      </c>
      <c r="I2717" s="6" t="s">
        <v>178</v>
      </c>
      <c r="J2717" s="6" t="s">
        <v>11270</v>
      </c>
      <c r="K2717" s="6" t="s">
        <v>5478</v>
      </c>
      <c r="L2717" s="6">
        <v>12</v>
      </c>
      <c r="M2717" s="15" t="s">
        <v>11271</v>
      </c>
      <c r="N2717" s="15" t="s">
        <v>164</v>
      </c>
      <c r="O2717" s="28"/>
    </row>
    <row r="2718" spans="1:15" s="1" customFormat="1">
      <c r="A2718" s="3" t="s">
        <v>1043</v>
      </c>
      <c r="B2718" s="3"/>
      <c r="C2718" s="3"/>
      <c r="D2718" s="5" t="s">
        <v>443</v>
      </c>
      <c r="E2718" s="5" t="s">
        <v>7026</v>
      </c>
      <c r="F2718" s="3" t="s">
        <v>11272</v>
      </c>
      <c r="G2718" s="6">
        <v>243.20400000000001</v>
      </c>
      <c r="H2718" s="7">
        <v>41941</v>
      </c>
      <c r="I2718" s="6" t="s">
        <v>178</v>
      </c>
      <c r="J2718" s="6" t="s">
        <v>11273</v>
      </c>
      <c r="K2718" s="6" t="s">
        <v>5478</v>
      </c>
      <c r="L2718" s="6">
        <v>13</v>
      </c>
      <c r="M2718" s="15" t="s">
        <v>11271</v>
      </c>
      <c r="N2718" s="15" t="s">
        <v>167</v>
      </c>
      <c r="O2718" s="28"/>
    </row>
    <row r="2719" spans="1:15" s="1" customFormat="1">
      <c r="A2719" s="3" t="s">
        <v>7024</v>
      </c>
      <c r="B2719" s="3"/>
      <c r="C2719" s="3"/>
      <c r="D2719" s="5" t="s">
        <v>7025</v>
      </c>
      <c r="E2719" s="5" t="s">
        <v>7026</v>
      </c>
      <c r="F2719" s="3" t="s">
        <v>11274</v>
      </c>
      <c r="G2719" s="6">
        <v>87.49</v>
      </c>
      <c r="H2719" s="7">
        <v>41941</v>
      </c>
      <c r="I2719" s="6" t="s">
        <v>265</v>
      </c>
      <c r="J2719" s="6" t="s">
        <v>11275</v>
      </c>
      <c r="K2719" s="6" t="s">
        <v>5478</v>
      </c>
      <c r="L2719" s="6">
        <v>5</v>
      </c>
      <c r="M2719" s="15" t="s">
        <v>11157</v>
      </c>
      <c r="N2719" s="15" t="s">
        <v>5969</v>
      </c>
      <c r="O2719" s="28"/>
    </row>
    <row r="2720" spans="1:15" s="1" customFormat="1">
      <c r="A2720" s="3" t="s">
        <v>409</v>
      </c>
      <c r="B2720" s="3"/>
      <c r="C2720" s="3"/>
      <c r="D2720" s="5" t="s">
        <v>410</v>
      </c>
      <c r="E2720" s="5" t="s">
        <v>124</v>
      </c>
      <c r="F2720" s="3" t="s">
        <v>10505</v>
      </c>
      <c r="G2720" s="6">
        <f>17.52*L2720</f>
        <v>35.04</v>
      </c>
      <c r="H2720" s="7">
        <v>41941</v>
      </c>
      <c r="I2720" s="6" t="s">
        <v>209</v>
      </c>
      <c r="J2720" s="6" t="s">
        <v>10506</v>
      </c>
      <c r="K2720" s="6" t="s">
        <v>21</v>
      </c>
      <c r="L2720" s="6">
        <v>2</v>
      </c>
      <c r="M2720" s="15" t="s">
        <v>10331</v>
      </c>
      <c r="N2720" s="15" t="s">
        <v>6514</v>
      </c>
      <c r="O2720" s="28" t="s">
        <v>10507</v>
      </c>
    </row>
    <row r="2721" spans="1:15" s="1" customFormat="1">
      <c r="A2721" s="3" t="s">
        <v>9357</v>
      </c>
      <c r="B2721" s="3"/>
      <c r="C2721" s="3"/>
      <c r="D2721" s="5" t="s">
        <v>552</v>
      </c>
      <c r="E2721" s="5" t="s">
        <v>124</v>
      </c>
      <c r="F2721" s="3" t="s">
        <v>10576</v>
      </c>
      <c r="G2721" s="6">
        <f>17.52*L2721</f>
        <v>52.56</v>
      </c>
      <c r="H2721" s="7">
        <v>41943</v>
      </c>
      <c r="I2721" s="6" t="s">
        <v>265</v>
      </c>
      <c r="J2721" s="6" t="s">
        <v>10577</v>
      </c>
      <c r="K2721" s="6" t="s">
        <v>21</v>
      </c>
      <c r="L2721" s="6">
        <v>3</v>
      </c>
      <c r="M2721" s="15" t="s">
        <v>10575</v>
      </c>
      <c r="N2721" s="15" t="s">
        <v>10578</v>
      </c>
      <c r="O2721" s="28" t="s">
        <v>10579</v>
      </c>
    </row>
    <row r="2722" spans="1:15" s="1" customFormat="1">
      <c r="A2722" s="3" t="s">
        <v>1187</v>
      </c>
      <c r="B2722" s="3"/>
      <c r="C2722" s="3"/>
      <c r="D2722" s="5" t="s">
        <v>1188</v>
      </c>
      <c r="E2722" s="5" t="s">
        <v>124</v>
      </c>
      <c r="F2722" s="3" t="s">
        <v>10587</v>
      </c>
      <c r="G2722" s="6">
        <f>29.101*L2722</f>
        <v>58.201999999999998</v>
      </c>
      <c r="H2722" s="7">
        <v>41943</v>
      </c>
      <c r="I2722" s="6" t="s">
        <v>178</v>
      </c>
      <c r="J2722" s="6" t="s">
        <v>10588</v>
      </c>
      <c r="K2722" s="6" t="s">
        <v>21</v>
      </c>
      <c r="L2722" s="6">
        <v>2</v>
      </c>
      <c r="M2722" s="15" t="s">
        <v>6390</v>
      </c>
      <c r="N2722" s="15" t="s">
        <v>255</v>
      </c>
      <c r="O2722" s="28" t="s">
        <v>10589</v>
      </c>
    </row>
    <row r="2723" spans="1:15" s="1" customFormat="1">
      <c r="A2723" s="3" t="s">
        <v>846</v>
      </c>
      <c r="B2723" s="3"/>
      <c r="C2723" s="3"/>
      <c r="D2723" s="5" t="s">
        <v>191</v>
      </c>
      <c r="E2723" s="5" t="s">
        <v>124</v>
      </c>
      <c r="F2723" s="3" t="s">
        <v>10593</v>
      </c>
      <c r="G2723" s="6">
        <f t="shared" ref="G2723:G2728" si="107">18.708*L2723</f>
        <v>224.49599999999998</v>
      </c>
      <c r="H2723" s="7">
        <v>41943</v>
      </c>
      <c r="I2723" s="6" t="s">
        <v>247</v>
      </c>
      <c r="J2723" s="6" t="s">
        <v>10594</v>
      </c>
      <c r="K2723" s="6" t="s">
        <v>21</v>
      </c>
      <c r="L2723" s="6">
        <v>12</v>
      </c>
      <c r="M2723" s="15" t="s">
        <v>10595</v>
      </c>
      <c r="N2723" s="15" t="s">
        <v>78</v>
      </c>
      <c r="O2723" s="28" t="s">
        <v>10595</v>
      </c>
    </row>
    <row r="2724" spans="1:15" s="1" customFormat="1">
      <c r="A2724" s="3" t="s">
        <v>846</v>
      </c>
      <c r="B2724" s="3"/>
      <c r="C2724" s="3"/>
      <c r="D2724" s="5" t="s">
        <v>191</v>
      </c>
      <c r="E2724" s="5" t="s">
        <v>124</v>
      </c>
      <c r="F2724" s="3" t="s">
        <v>10596</v>
      </c>
      <c r="G2724" s="6">
        <f t="shared" si="107"/>
        <v>243.20399999999998</v>
      </c>
      <c r="H2724" s="7">
        <v>41943</v>
      </c>
      <c r="I2724" s="6" t="s">
        <v>247</v>
      </c>
      <c r="J2724" s="6" t="s">
        <v>10597</v>
      </c>
      <c r="K2724" s="6" t="s">
        <v>21</v>
      </c>
      <c r="L2724" s="6">
        <v>13</v>
      </c>
      <c r="M2724" s="15" t="s">
        <v>10595</v>
      </c>
      <c r="N2724" s="15" t="s">
        <v>81</v>
      </c>
      <c r="O2724" s="28" t="s">
        <v>10598</v>
      </c>
    </row>
    <row r="2725" spans="1:15" s="1" customFormat="1">
      <c r="A2725" s="3" t="s">
        <v>846</v>
      </c>
      <c r="B2725" s="3"/>
      <c r="C2725" s="3"/>
      <c r="D2725" s="5" t="s">
        <v>191</v>
      </c>
      <c r="E2725" s="5" t="s">
        <v>124</v>
      </c>
      <c r="F2725" s="3" t="s">
        <v>10599</v>
      </c>
      <c r="G2725" s="6">
        <f t="shared" si="107"/>
        <v>224.49599999999998</v>
      </c>
      <c r="H2725" s="7">
        <v>41943</v>
      </c>
      <c r="I2725" s="6" t="s">
        <v>247</v>
      </c>
      <c r="J2725" s="6" t="s">
        <v>10600</v>
      </c>
      <c r="K2725" s="6" t="s">
        <v>21</v>
      </c>
      <c r="L2725" s="6">
        <v>12</v>
      </c>
      <c r="M2725" s="15" t="s">
        <v>10601</v>
      </c>
      <c r="N2725" s="15" t="s">
        <v>78</v>
      </c>
      <c r="O2725" s="28" t="s">
        <v>10601</v>
      </c>
    </row>
    <row r="2726" spans="1:15" s="1" customFormat="1">
      <c r="A2726" s="3" t="s">
        <v>846</v>
      </c>
      <c r="B2726" s="3"/>
      <c r="C2726" s="3"/>
      <c r="D2726" s="5" t="s">
        <v>191</v>
      </c>
      <c r="E2726" s="5" t="s">
        <v>124</v>
      </c>
      <c r="F2726" s="3" t="s">
        <v>10602</v>
      </c>
      <c r="G2726" s="6">
        <f t="shared" si="107"/>
        <v>243.20399999999998</v>
      </c>
      <c r="H2726" s="7">
        <v>41943</v>
      </c>
      <c r="I2726" s="6" t="s">
        <v>247</v>
      </c>
      <c r="J2726" s="6" t="s">
        <v>10603</v>
      </c>
      <c r="K2726" s="6" t="s">
        <v>21</v>
      </c>
      <c r="L2726" s="6">
        <v>13</v>
      </c>
      <c r="M2726" s="15" t="s">
        <v>10601</v>
      </c>
      <c r="N2726" s="15" t="s">
        <v>81</v>
      </c>
      <c r="O2726" s="28" t="s">
        <v>10604</v>
      </c>
    </row>
    <row r="2727" spans="1:15" s="1" customFormat="1">
      <c r="A2727" s="3" t="s">
        <v>376</v>
      </c>
      <c r="B2727" s="3"/>
      <c r="C2727" s="3"/>
      <c r="D2727" s="5" t="s">
        <v>377</v>
      </c>
      <c r="E2727" s="5" t="s">
        <v>124</v>
      </c>
      <c r="F2727" s="3" t="s">
        <v>10605</v>
      </c>
      <c r="G2727" s="6">
        <f t="shared" si="107"/>
        <v>224.49599999999998</v>
      </c>
      <c r="H2727" s="7">
        <v>41943</v>
      </c>
      <c r="I2727" s="6" t="s">
        <v>379</v>
      </c>
      <c r="J2727" s="6" t="s">
        <v>10606</v>
      </c>
      <c r="K2727" s="6" t="s">
        <v>21</v>
      </c>
      <c r="L2727" s="6">
        <v>12</v>
      </c>
      <c r="M2727" s="15" t="s">
        <v>10607</v>
      </c>
      <c r="N2727" s="15" t="s">
        <v>10608</v>
      </c>
      <c r="O2727" s="28" t="s">
        <v>10607</v>
      </c>
    </row>
    <row r="2728" spans="1:15" s="1" customFormat="1">
      <c r="A2728" s="3" t="s">
        <v>376</v>
      </c>
      <c r="B2728" s="3"/>
      <c r="C2728" s="3"/>
      <c r="D2728" s="5" t="s">
        <v>377</v>
      </c>
      <c r="E2728" s="5" t="s">
        <v>124</v>
      </c>
      <c r="F2728" s="3" t="s">
        <v>10609</v>
      </c>
      <c r="G2728" s="6">
        <f t="shared" si="107"/>
        <v>224.49599999999998</v>
      </c>
      <c r="H2728" s="7">
        <v>41943</v>
      </c>
      <c r="I2728" s="6" t="s">
        <v>379</v>
      </c>
      <c r="J2728" s="6" t="s">
        <v>10610</v>
      </c>
      <c r="K2728" s="6" t="s">
        <v>21</v>
      </c>
      <c r="L2728" s="6">
        <v>12</v>
      </c>
      <c r="M2728" s="15" t="s">
        <v>10607</v>
      </c>
      <c r="N2728" s="15" t="s">
        <v>1211</v>
      </c>
      <c r="O2728" s="28" t="s">
        <v>10611</v>
      </c>
    </row>
    <row r="2729" spans="1:15" s="1" customFormat="1">
      <c r="A2729" s="3" t="s">
        <v>1108</v>
      </c>
      <c r="B2729" s="3"/>
      <c r="C2729" s="3"/>
      <c r="D2729" s="5" t="s">
        <v>391</v>
      </c>
      <c r="E2729" s="5" t="s">
        <v>124</v>
      </c>
      <c r="F2729" s="3" t="s">
        <v>10616</v>
      </c>
      <c r="G2729" s="6">
        <f>17.712*L2729</f>
        <v>212.54399999999998</v>
      </c>
      <c r="H2729" s="7">
        <v>41943</v>
      </c>
      <c r="I2729" s="6" t="s">
        <v>265</v>
      </c>
      <c r="J2729" s="6" t="s">
        <v>10617</v>
      </c>
      <c r="K2729" s="6" t="s">
        <v>21</v>
      </c>
      <c r="L2729" s="6">
        <v>12</v>
      </c>
      <c r="M2729" s="15" t="s">
        <v>10618</v>
      </c>
      <c r="N2729" s="15" t="s">
        <v>78</v>
      </c>
      <c r="O2729" s="28" t="s">
        <v>10618</v>
      </c>
    </row>
    <row r="2730" spans="1:15" s="1" customFormat="1">
      <c r="A2730" s="3" t="s">
        <v>1108</v>
      </c>
      <c r="B2730" s="3"/>
      <c r="C2730" s="3"/>
      <c r="D2730" s="5" t="s">
        <v>391</v>
      </c>
      <c r="E2730" s="5" t="s">
        <v>124</v>
      </c>
      <c r="F2730" s="3" t="s">
        <v>10619</v>
      </c>
      <c r="G2730" s="6">
        <f>17.712*L2730</f>
        <v>230.256</v>
      </c>
      <c r="H2730" s="7">
        <v>41943</v>
      </c>
      <c r="I2730" s="6" t="s">
        <v>265</v>
      </c>
      <c r="J2730" s="6" t="s">
        <v>10620</v>
      </c>
      <c r="K2730" s="6" t="s">
        <v>21</v>
      </c>
      <c r="L2730" s="6">
        <v>13</v>
      </c>
      <c r="M2730" s="15" t="s">
        <v>10618</v>
      </c>
      <c r="N2730" s="15" t="s">
        <v>81</v>
      </c>
      <c r="O2730" s="28" t="s">
        <v>10621</v>
      </c>
    </row>
    <row r="2731" spans="1:15" s="1" customFormat="1">
      <c r="A2731" s="3" t="s">
        <v>6006</v>
      </c>
      <c r="B2731" s="3"/>
      <c r="C2731" s="3"/>
      <c r="D2731" s="5" t="s">
        <v>276</v>
      </c>
      <c r="E2731" s="5" t="s">
        <v>124</v>
      </c>
      <c r="F2731" s="3" t="s">
        <v>10625</v>
      </c>
      <c r="G2731" s="6">
        <f>6.405*L2731</f>
        <v>32.024999999999999</v>
      </c>
      <c r="H2731" s="7">
        <v>41943</v>
      </c>
      <c r="I2731" s="6" t="s">
        <v>6008</v>
      </c>
      <c r="J2731" s="6" t="s">
        <v>10626</v>
      </c>
      <c r="K2731" s="6" t="s">
        <v>5478</v>
      </c>
      <c r="L2731" s="6">
        <v>5</v>
      </c>
      <c r="M2731" s="15" t="s">
        <v>9915</v>
      </c>
      <c r="N2731" s="15" t="s">
        <v>5969</v>
      </c>
      <c r="O2731" s="28" t="s">
        <v>10627</v>
      </c>
    </row>
    <row r="2732" spans="1:15" s="1" customFormat="1">
      <c r="A2732" s="3" t="s">
        <v>275</v>
      </c>
      <c r="B2732" s="3"/>
      <c r="C2732" s="3"/>
      <c r="D2732" s="5" t="s">
        <v>276</v>
      </c>
      <c r="E2732" s="5" t="s">
        <v>124</v>
      </c>
      <c r="F2732" s="3" t="s">
        <v>10632</v>
      </c>
      <c r="G2732" s="6">
        <f>6.405*L2732</f>
        <v>64.05</v>
      </c>
      <c r="H2732" s="7">
        <v>41943</v>
      </c>
      <c r="I2732" s="6" t="s">
        <v>471</v>
      </c>
      <c r="J2732" s="6" t="s">
        <v>10633</v>
      </c>
      <c r="K2732" s="6" t="s">
        <v>21</v>
      </c>
      <c r="L2732" s="6">
        <v>10</v>
      </c>
      <c r="M2732" s="15" t="s">
        <v>10630</v>
      </c>
      <c r="N2732" s="15" t="s">
        <v>4849</v>
      </c>
      <c r="O2732" s="28" t="s">
        <v>10630</v>
      </c>
    </row>
    <row r="2733" spans="1:15" s="1" customFormat="1">
      <c r="A2733" s="3" t="s">
        <v>3897</v>
      </c>
      <c r="B2733" s="3"/>
      <c r="C2733" s="3"/>
      <c r="D2733" s="5" t="s">
        <v>276</v>
      </c>
      <c r="E2733" s="5" t="s">
        <v>124</v>
      </c>
      <c r="F2733" s="3" t="s">
        <v>10634</v>
      </c>
      <c r="G2733" s="6">
        <f>6.405*L2733</f>
        <v>64.05</v>
      </c>
      <c r="H2733" s="7">
        <v>41943</v>
      </c>
      <c r="I2733" s="6" t="s">
        <v>3899</v>
      </c>
      <c r="J2733" s="6" t="s">
        <v>10635</v>
      </c>
      <c r="K2733" s="6" t="s">
        <v>21</v>
      </c>
      <c r="L2733" s="6">
        <v>10</v>
      </c>
      <c r="M2733" s="15" t="s">
        <v>10630</v>
      </c>
      <c r="N2733" s="15" t="s">
        <v>114</v>
      </c>
      <c r="O2733" s="28" t="s">
        <v>10636</v>
      </c>
    </row>
    <row r="2734" spans="1:15" s="1" customFormat="1">
      <c r="A2734" s="3" t="s">
        <v>1285</v>
      </c>
      <c r="B2734" s="3" t="s">
        <v>283</v>
      </c>
      <c r="C2734" s="3"/>
      <c r="D2734" s="5" t="s">
        <v>1287</v>
      </c>
      <c r="E2734" s="5" t="s">
        <v>124</v>
      </c>
      <c r="F2734" s="3" t="s">
        <v>10650</v>
      </c>
      <c r="G2734" s="6">
        <f>8.606*L2734</f>
        <v>103.27199999999999</v>
      </c>
      <c r="H2734" s="7">
        <v>41943</v>
      </c>
      <c r="I2734" s="6" t="s">
        <v>272</v>
      </c>
      <c r="J2734" s="6" t="s">
        <v>10651</v>
      </c>
      <c r="K2734" s="6" t="s">
        <v>5478</v>
      </c>
      <c r="L2734" s="6">
        <v>12</v>
      </c>
      <c r="M2734" s="15" t="s">
        <v>10652</v>
      </c>
      <c r="N2734" s="15" t="s">
        <v>78</v>
      </c>
      <c r="O2734" s="28" t="s">
        <v>10652</v>
      </c>
    </row>
    <row r="2735" spans="1:15" s="1" customFormat="1">
      <c r="A2735" s="3" t="s">
        <v>1285</v>
      </c>
      <c r="B2735" s="3" t="s">
        <v>283</v>
      </c>
      <c r="C2735" s="3"/>
      <c r="D2735" s="5" t="s">
        <v>1287</v>
      </c>
      <c r="E2735" s="5" t="s">
        <v>124</v>
      </c>
      <c r="F2735" s="3" t="s">
        <v>10653</v>
      </c>
      <c r="G2735" s="6">
        <f>8.606*L2735</f>
        <v>111.878</v>
      </c>
      <c r="H2735" s="7">
        <v>41943</v>
      </c>
      <c r="I2735" s="6" t="s">
        <v>272</v>
      </c>
      <c r="J2735" s="6" t="s">
        <v>10654</v>
      </c>
      <c r="K2735" s="6" t="s">
        <v>5478</v>
      </c>
      <c r="L2735" s="6">
        <v>13</v>
      </c>
      <c r="M2735" s="15" t="s">
        <v>10652</v>
      </c>
      <c r="N2735" s="15" t="s">
        <v>167</v>
      </c>
      <c r="O2735" s="28" t="s">
        <v>11456</v>
      </c>
    </row>
    <row r="2736" spans="1:15" s="1" customFormat="1">
      <c r="A2736" s="3" t="s">
        <v>1150</v>
      </c>
      <c r="B2736" s="3"/>
      <c r="C2736" s="3"/>
      <c r="D2736" s="5" t="s">
        <v>1151</v>
      </c>
      <c r="E2736" s="5" t="s">
        <v>7026</v>
      </c>
      <c r="F2736" s="3" t="s">
        <v>11276</v>
      </c>
      <c r="G2736" s="6">
        <v>212.54400000000001</v>
      </c>
      <c r="H2736" s="7">
        <v>41943</v>
      </c>
      <c r="I2736" s="6" t="s">
        <v>265</v>
      </c>
      <c r="J2736" s="6" t="s">
        <v>11277</v>
      </c>
      <c r="K2736" s="6" t="s">
        <v>21</v>
      </c>
      <c r="L2736" s="6">
        <v>12</v>
      </c>
      <c r="M2736" s="15" t="s">
        <v>11278</v>
      </c>
      <c r="N2736" s="15" t="s">
        <v>164</v>
      </c>
      <c r="O2736" s="28"/>
    </row>
    <row r="2737" spans="1:15" s="1" customFormat="1">
      <c r="A2737" s="3" t="s">
        <v>1150</v>
      </c>
      <c r="B2737" s="3"/>
      <c r="C2737" s="3"/>
      <c r="D2737" s="5" t="s">
        <v>1151</v>
      </c>
      <c r="E2737" s="5" t="s">
        <v>7026</v>
      </c>
      <c r="F2737" s="3" t="s">
        <v>11279</v>
      </c>
      <c r="G2737" s="6">
        <v>230.256</v>
      </c>
      <c r="H2737" s="7">
        <v>41943</v>
      </c>
      <c r="I2737" s="6" t="s">
        <v>265</v>
      </c>
      <c r="J2737" s="6" t="s">
        <v>11280</v>
      </c>
      <c r="K2737" s="6" t="s">
        <v>21</v>
      </c>
      <c r="L2737" s="6">
        <v>13</v>
      </c>
      <c r="M2737" s="15" t="s">
        <v>11278</v>
      </c>
      <c r="N2737" s="15" t="s">
        <v>167</v>
      </c>
      <c r="O2737" s="28"/>
    </row>
    <row r="2738" spans="1:15" s="1" customFormat="1">
      <c r="A2738" s="3" t="s">
        <v>1150</v>
      </c>
      <c r="B2738" s="3"/>
      <c r="C2738" s="3"/>
      <c r="D2738" s="5" t="s">
        <v>1151</v>
      </c>
      <c r="E2738" s="5" t="s">
        <v>7026</v>
      </c>
      <c r="F2738" s="3" t="s">
        <v>11281</v>
      </c>
      <c r="G2738" s="6">
        <v>212.54400000000001</v>
      </c>
      <c r="H2738" s="7">
        <v>41943</v>
      </c>
      <c r="I2738" s="6" t="s">
        <v>265</v>
      </c>
      <c r="J2738" s="6" t="s">
        <v>11282</v>
      </c>
      <c r="K2738" s="6" t="s">
        <v>21</v>
      </c>
      <c r="L2738" s="6">
        <v>12</v>
      </c>
      <c r="M2738" s="15" t="s">
        <v>11283</v>
      </c>
      <c r="N2738" s="15" t="s">
        <v>164</v>
      </c>
      <c r="O2738" s="28"/>
    </row>
    <row r="2739" spans="1:15" s="1" customFormat="1">
      <c r="A2739" s="3" t="s">
        <v>1150</v>
      </c>
      <c r="B2739" s="3"/>
      <c r="C2739" s="3"/>
      <c r="D2739" s="5" t="s">
        <v>1151</v>
      </c>
      <c r="E2739" s="5" t="s">
        <v>7026</v>
      </c>
      <c r="F2739" s="3" t="s">
        <v>11284</v>
      </c>
      <c r="G2739" s="6">
        <v>230.256</v>
      </c>
      <c r="H2739" s="7">
        <v>41943</v>
      </c>
      <c r="I2739" s="6" t="s">
        <v>265</v>
      </c>
      <c r="J2739" s="6" t="s">
        <v>11285</v>
      </c>
      <c r="K2739" s="6" t="s">
        <v>21</v>
      </c>
      <c r="L2739" s="6">
        <v>13</v>
      </c>
      <c r="M2739" s="15" t="s">
        <v>11283</v>
      </c>
      <c r="N2739" s="15" t="s">
        <v>167</v>
      </c>
      <c r="O2739" s="28"/>
    </row>
    <row r="2740" spans="1:15" s="1" customFormat="1">
      <c r="A2740" s="3" t="s">
        <v>1150</v>
      </c>
      <c r="B2740" s="3"/>
      <c r="C2740" s="3"/>
      <c r="D2740" s="5" t="s">
        <v>1151</v>
      </c>
      <c r="E2740" s="5" t="s">
        <v>7026</v>
      </c>
      <c r="F2740" s="3" t="s">
        <v>11289</v>
      </c>
      <c r="G2740" s="6">
        <v>230.256</v>
      </c>
      <c r="H2740" s="7">
        <v>41943</v>
      </c>
      <c r="I2740" s="6" t="s">
        <v>265</v>
      </c>
      <c r="J2740" s="6" t="s">
        <v>11290</v>
      </c>
      <c r="K2740" s="6" t="s">
        <v>21</v>
      </c>
      <c r="L2740" s="6">
        <v>13</v>
      </c>
      <c r="M2740" s="15" t="s">
        <v>11288</v>
      </c>
      <c r="N2740" s="15" t="s">
        <v>167</v>
      </c>
      <c r="O2740" s="28"/>
    </row>
    <row r="2741" spans="1:15" s="1" customFormat="1">
      <c r="A2741" s="3" t="s">
        <v>1150</v>
      </c>
      <c r="B2741" s="3"/>
      <c r="C2741" s="3"/>
      <c r="D2741" s="5" t="s">
        <v>1151</v>
      </c>
      <c r="E2741" s="5" t="s">
        <v>7026</v>
      </c>
      <c r="F2741" s="3" t="s">
        <v>11286</v>
      </c>
      <c r="G2741" s="6">
        <v>212.54400000000001</v>
      </c>
      <c r="H2741" s="7">
        <v>41943</v>
      </c>
      <c r="I2741" s="6" t="s">
        <v>265</v>
      </c>
      <c r="J2741" s="6" t="s">
        <v>11287</v>
      </c>
      <c r="K2741" s="6" t="s">
        <v>21</v>
      </c>
      <c r="L2741" s="6">
        <v>12</v>
      </c>
      <c r="M2741" s="15" t="s">
        <v>11288</v>
      </c>
      <c r="N2741" s="15" t="s">
        <v>164</v>
      </c>
      <c r="O2741" s="28"/>
    </row>
    <row r="2742" spans="1:15" s="1" customFormat="1">
      <c r="A2742" s="3" t="s">
        <v>6628</v>
      </c>
      <c r="B2742" s="3" t="s">
        <v>5764</v>
      </c>
      <c r="C2742" s="3"/>
      <c r="D2742" s="5" t="s">
        <v>6630</v>
      </c>
      <c r="E2742" s="5" t="s">
        <v>124</v>
      </c>
      <c r="F2742" s="3" t="s">
        <v>10670</v>
      </c>
      <c r="G2742" s="6">
        <v>100</v>
      </c>
      <c r="H2742" s="7">
        <v>41946</v>
      </c>
      <c r="I2742" s="6"/>
      <c r="J2742" s="6"/>
      <c r="K2742" s="6"/>
      <c r="L2742" s="6"/>
      <c r="M2742" s="15"/>
      <c r="N2742" s="15"/>
      <c r="O2742" s="28" t="s">
        <v>1918</v>
      </c>
    </row>
    <row r="2743" spans="1:15" s="1" customFormat="1">
      <c r="A2743" s="3" t="s">
        <v>1285</v>
      </c>
      <c r="B2743" s="3" t="s">
        <v>283</v>
      </c>
      <c r="C2743" s="3"/>
      <c r="D2743" s="5" t="s">
        <v>1287</v>
      </c>
      <c r="E2743" s="5" t="s">
        <v>124</v>
      </c>
      <c r="F2743" s="3" t="s">
        <v>10671</v>
      </c>
      <c r="G2743" s="6">
        <f>8.606*L2743</f>
        <v>103.27199999999999</v>
      </c>
      <c r="H2743" s="7">
        <v>41946</v>
      </c>
      <c r="I2743" s="6" t="s">
        <v>272</v>
      </c>
      <c r="J2743" s="6" t="s">
        <v>10672</v>
      </c>
      <c r="K2743" s="6" t="s">
        <v>5478</v>
      </c>
      <c r="L2743" s="6">
        <v>12</v>
      </c>
      <c r="M2743" s="15" t="s">
        <v>10673</v>
      </c>
      <c r="N2743" s="15" t="s">
        <v>78</v>
      </c>
      <c r="O2743" s="28" t="s">
        <v>10673</v>
      </c>
    </row>
    <row r="2744" spans="1:15" s="1" customFormat="1">
      <c r="A2744" s="3" t="s">
        <v>1285</v>
      </c>
      <c r="B2744" s="3" t="s">
        <v>283</v>
      </c>
      <c r="C2744" s="3"/>
      <c r="D2744" s="5" t="s">
        <v>1287</v>
      </c>
      <c r="E2744" s="5" t="s">
        <v>124</v>
      </c>
      <c r="F2744" s="3" t="s">
        <v>10674</v>
      </c>
      <c r="G2744" s="6">
        <f>8.606*L2744</f>
        <v>111.878</v>
      </c>
      <c r="H2744" s="7">
        <v>41946</v>
      </c>
      <c r="I2744" s="6" t="s">
        <v>272</v>
      </c>
      <c r="J2744" s="6" t="s">
        <v>10675</v>
      </c>
      <c r="K2744" s="6" t="s">
        <v>5478</v>
      </c>
      <c r="L2744" s="6">
        <v>13</v>
      </c>
      <c r="M2744" s="15" t="s">
        <v>10673</v>
      </c>
      <c r="N2744" s="15" t="s">
        <v>167</v>
      </c>
      <c r="O2744" s="28" t="s">
        <v>11553</v>
      </c>
    </row>
    <row r="2745" spans="1:15" s="1" customFormat="1">
      <c r="A2745" s="22" t="s">
        <v>10682</v>
      </c>
      <c r="B2745" s="3"/>
      <c r="C2745" s="3"/>
      <c r="D2745" s="5" t="s">
        <v>10683</v>
      </c>
      <c r="E2745" s="5" t="s">
        <v>124</v>
      </c>
      <c r="F2745" s="3" t="s">
        <v>10684</v>
      </c>
      <c r="G2745" s="6">
        <v>39.149000000000001</v>
      </c>
      <c r="H2745" s="7">
        <v>41947</v>
      </c>
      <c r="I2745" s="6" t="s">
        <v>209</v>
      </c>
      <c r="J2745" s="6" t="s">
        <v>10685</v>
      </c>
      <c r="K2745" s="6" t="s">
        <v>9082</v>
      </c>
      <c r="L2745" s="6" t="s">
        <v>10686</v>
      </c>
      <c r="M2745" s="15" t="s">
        <v>10687</v>
      </c>
      <c r="N2745" s="15" t="s">
        <v>10688</v>
      </c>
      <c r="O2745" s="28" t="s">
        <v>10689</v>
      </c>
    </row>
    <row r="2746" spans="1:15" s="1" customFormat="1">
      <c r="A2746" s="3" t="s">
        <v>5890</v>
      </c>
      <c r="B2746" s="3"/>
      <c r="C2746" s="3"/>
      <c r="D2746" s="5" t="s">
        <v>5892</v>
      </c>
      <c r="E2746" s="5" t="s">
        <v>124</v>
      </c>
      <c r="F2746" s="3" t="s">
        <v>10700</v>
      </c>
      <c r="G2746" s="6">
        <v>251.846</v>
      </c>
      <c r="H2746" s="7">
        <v>41947</v>
      </c>
      <c r="I2746" s="6" t="s">
        <v>178</v>
      </c>
      <c r="J2746" s="6" t="s">
        <v>10701</v>
      </c>
      <c r="K2746" s="6" t="s">
        <v>128</v>
      </c>
      <c r="L2746" s="6" t="s">
        <v>808</v>
      </c>
      <c r="M2746" s="15" t="s">
        <v>10702</v>
      </c>
      <c r="N2746" s="15" t="s">
        <v>6332</v>
      </c>
      <c r="O2746" s="28" t="s">
        <v>10703</v>
      </c>
    </row>
    <row r="2747" spans="1:15" s="1" customFormat="1">
      <c r="A2747" s="3" t="s">
        <v>5899</v>
      </c>
      <c r="B2747" s="3"/>
      <c r="C2747" s="3"/>
      <c r="D2747" s="5" t="s">
        <v>5892</v>
      </c>
      <c r="E2747" s="5" t="s">
        <v>124</v>
      </c>
      <c r="F2747" s="3" t="s">
        <v>10704</v>
      </c>
      <c r="G2747" s="6">
        <v>251.84800000000001</v>
      </c>
      <c r="H2747" s="7">
        <v>41947</v>
      </c>
      <c r="I2747" s="6" t="s">
        <v>209</v>
      </c>
      <c r="J2747" s="6" t="s">
        <v>10705</v>
      </c>
      <c r="K2747" s="6" t="s">
        <v>128</v>
      </c>
      <c r="L2747" s="6" t="s">
        <v>808</v>
      </c>
      <c r="M2747" s="15" t="s">
        <v>10706</v>
      </c>
      <c r="N2747" s="15" t="s">
        <v>5154</v>
      </c>
      <c r="O2747" s="28" t="s">
        <v>10707</v>
      </c>
    </row>
    <row r="2748" spans="1:15" s="1" customFormat="1">
      <c r="A2748" s="3" t="s">
        <v>5899</v>
      </c>
      <c r="B2748" s="3"/>
      <c r="C2748" s="3"/>
      <c r="D2748" s="5" t="s">
        <v>5892</v>
      </c>
      <c r="E2748" s="5" t="s">
        <v>124</v>
      </c>
      <c r="F2748" s="3" t="s">
        <v>10708</v>
      </c>
      <c r="G2748" s="6">
        <v>251.96100000000001</v>
      </c>
      <c r="H2748" s="7">
        <v>41947</v>
      </c>
      <c r="I2748" s="6" t="s">
        <v>209</v>
      </c>
      <c r="J2748" s="6" t="s">
        <v>10709</v>
      </c>
      <c r="K2748" s="6" t="s">
        <v>128</v>
      </c>
      <c r="L2748" s="6" t="s">
        <v>808</v>
      </c>
      <c r="M2748" s="15" t="s">
        <v>10710</v>
      </c>
      <c r="N2748" s="15" t="s">
        <v>10711</v>
      </c>
      <c r="O2748" s="28" t="s">
        <v>10712</v>
      </c>
    </row>
    <row r="2749" spans="1:15" s="1" customFormat="1">
      <c r="A2749" s="3" t="s">
        <v>10000</v>
      </c>
      <c r="B2749" s="3"/>
      <c r="C2749" s="3"/>
      <c r="D2749" s="5" t="s">
        <v>10001</v>
      </c>
      <c r="E2749" s="5" t="s">
        <v>124</v>
      </c>
      <c r="F2749" s="3" t="s">
        <v>10713</v>
      </c>
      <c r="G2749" s="6">
        <v>231.38399999999999</v>
      </c>
      <c r="H2749" s="7">
        <v>41947</v>
      </c>
      <c r="I2749" s="6" t="s">
        <v>178</v>
      </c>
      <c r="J2749" s="6" t="s">
        <v>10714</v>
      </c>
      <c r="K2749" s="6" t="s">
        <v>128</v>
      </c>
      <c r="L2749" s="6" t="s">
        <v>9483</v>
      </c>
      <c r="M2749" s="15" t="s">
        <v>10715</v>
      </c>
      <c r="N2749" s="15" t="s">
        <v>10716</v>
      </c>
      <c r="O2749" s="28" t="s">
        <v>10717</v>
      </c>
    </row>
    <row r="2750" spans="1:15" s="1" customFormat="1">
      <c r="A2750" s="3" t="s">
        <v>10000</v>
      </c>
      <c r="B2750" s="3"/>
      <c r="C2750" s="3"/>
      <c r="D2750" s="5" t="s">
        <v>10001</v>
      </c>
      <c r="E2750" s="5" t="s">
        <v>124</v>
      </c>
      <c r="F2750" s="3" t="s">
        <v>10718</v>
      </c>
      <c r="G2750" s="6">
        <v>231.715</v>
      </c>
      <c r="H2750" s="7">
        <v>41947</v>
      </c>
      <c r="I2750" s="6" t="s">
        <v>178</v>
      </c>
      <c r="J2750" s="6" t="s">
        <v>10719</v>
      </c>
      <c r="K2750" s="6" t="s">
        <v>128</v>
      </c>
      <c r="L2750" s="6" t="s">
        <v>9483</v>
      </c>
      <c r="M2750" s="15" t="s">
        <v>10720</v>
      </c>
      <c r="N2750" s="15" t="s">
        <v>10721</v>
      </c>
      <c r="O2750" s="28" t="s">
        <v>10722</v>
      </c>
    </row>
    <row r="2751" spans="1:15" s="1" customFormat="1">
      <c r="A2751" s="3" t="s">
        <v>1534</v>
      </c>
      <c r="B2751" s="3"/>
      <c r="C2751" s="3"/>
      <c r="D2751" s="5" t="s">
        <v>2128</v>
      </c>
      <c r="E2751" s="5" t="s">
        <v>124</v>
      </c>
      <c r="F2751" s="3" t="s">
        <v>10733</v>
      </c>
      <c r="G2751" s="6">
        <v>260.18299999999999</v>
      </c>
      <c r="H2751" s="7">
        <v>41947</v>
      </c>
      <c r="I2751" s="6" t="s">
        <v>209</v>
      </c>
      <c r="J2751" s="6" t="s">
        <v>10734</v>
      </c>
      <c r="K2751" s="6" t="s">
        <v>128</v>
      </c>
      <c r="L2751" s="6" t="s">
        <v>1885</v>
      </c>
      <c r="M2751" s="15" t="s">
        <v>10735</v>
      </c>
      <c r="N2751" s="15" t="s">
        <v>10736</v>
      </c>
      <c r="O2751" s="28" t="s">
        <v>10737</v>
      </c>
    </row>
    <row r="2752" spans="1:15" s="1" customFormat="1">
      <c r="A2752" s="3" t="s">
        <v>1534</v>
      </c>
      <c r="B2752" s="3"/>
      <c r="C2752" s="3"/>
      <c r="D2752" s="5" t="s">
        <v>2128</v>
      </c>
      <c r="E2752" s="5" t="s">
        <v>124</v>
      </c>
      <c r="F2752" s="3" t="s">
        <v>10738</v>
      </c>
      <c r="G2752" s="6">
        <v>260.68700000000001</v>
      </c>
      <c r="H2752" s="7">
        <v>41947</v>
      </c>
      <c r="I2752" s="6" t="s">
        <v>209</v>
      </c>
      <c r="J2752" s="6" t="s">
        <v>10739</v>
      </c>
      <c r="K2752" s="6" t="s">
        <v>128</v>
      </c>
      <c r="L2752" s="6" t="s">
        <v>1885</v>
      </c>
      <c r="M2752" s="15" t="s">
        <v>10740</v>
      </c>
      <c r="N2752" s="15" t="s">
        <v>10741</v>
      </c>
      <c r="O2752" s="28" t="s">
        <v>10742</v>
      </c>
    </row>
    <row r="2753" spans="1:15" s="1" customFormat="1">
      <c r="A2753" s="3" t="s">
        <v>9381</v>
      </c>
      <c r="B2753" s="3"/>
      <c r="C2753" s="3"/>
      <c r="D2753" s="5" t="s">
        <v>9382</v>
      </c>
      <c r="E2753" s="5" t="s">
        <v>124</v>
      </c>
      <c r="F2753" s="3" t="s">
        <v>10746</v>
      </c>
      <c r="G2753" s="6">
        <f>14.405*L2753</f>
        <v>172.85999999999999</v>
      </c>
      <c r="H2753" s="7">
        <v>41948</v>
      </c>
      <c r="I2753" s="6" t="s">
        <v>504</v>
      </c>
      <c r="J2753" s="6" t="s">
        <v>10747</v>
      </c>
      <c r="K2753" s="6" t="s">
        <v>21</v>
      </c>
      <c r="L2753" s="6">
        <v>12</v>
      </c>
      <c r="M2753" s="15" t="s">
        <v>10748</v>
      </c>
      <c r="N2753" s="15" t="s">
        <v>164</v>
      </c>
      <c r="O2753" s="28" t="s">
        <v>10749</v>
      </c>
    </row>
    <row r="2754" spans="1:15" s="1" customFormat="1">
      <c r="A2754" s="3" t="s">
        <v>9381</v>
      </c>
      <c r="B2754" s="3"/>
      <c r="C2754" s="3"/>
      <c r="D2754" s="5" t="s">
        <v>9382</v>
      </c>
      <c r="E2754" s="5" t="s">
        <v>124</v>
      </c>
      <c r="F2754" s="3" t="s">
        <v>10750</v>
      </c>
      <c r="G2754" s="6">
        <f>14.405*L2754</f>
        <v>187.26499999999999</v>
      </c>
      <c r="H2754" s="7">
        <v>41948</v>
      </c>
      <c r="I2754" s="6" t="s">
        <v>11499</v>
      </c>
      <c r="J2754" s="6" t="s">
        <v>11500</v>
      </c>
      <c r="K2754" s="6" t="s">
        <v>21</v>
      </c>
      <c r="L2754" s="6">
        <v>13</v>
      </c>
      <c r="M2754" s="15" t="s">
        <v>10748</v>
      </c>
      <c r="N2754" s="15" t="s">
        <v>167</v>
      </c>
      <c r="O2754" s="28" t="s">
        <v>10751</v>
      </c>
    </row>
    <row r="2755" spans="1:15" s="1" customFormat="1">
      <c r="A2755" s="3" t="s">
        <v>5474</v>
      </c>
      <c r="B2755" s="3"/>
      <c r="C2755" s="3"/>
      <c r="D2755" s="5" t="s">
        <v>5475</v>
      </c>
      <c r="E2755" s="5" t="s">
        <v>124</v>
      </c>
      <c r="F2755" s="3" t="s">
        <v>10752</v>
      </c>
      <c r="G2755" s="6">
        <f>17.498*L2755</f>
        <v>139.98400000000001</v>
      </c>
      <c r="H2755" s="7">
        <v>41948</v>
      </c>
      <c r="I2755" s="6" t="s">
        <v>265</v>
      </c>
      <c r="J2755" s="6" t="s">
        <v>10753</v>
      </c>
      <c r="K2755" s="6" t="s">
        <v>21</v>
      </c>
      <c r="L2755" s="6">
        <v>8</v>
      </c>
      <c r="M2755" s="15" t="s">
        <v>10754</v>
      </c>
      <c r="N2755" s="15" t="s">
        <v>10164</v>
      </c>
      <c r="O2755" s="28" t="s">
        <v>13502</v>
      </c>
    </row>
    <row r="2756" spans="1:15" s="1" customFormat="1">
      <c r="A2756" s="3" t="s">
        <v>157</v>
      </c>
      <c r="B2756" s="3" t="s">
        <v>283</v>
      </c>
      <c r="C2756" s="3"/>
      <c r="D2756" s="5" t="s">
        <v>1098</v>
      </c>
      <c r="E2756" s="5" t="s">
        <v>124</v>
      </c>
      <c r="F2756" s="3" t="s">
        <v>10755</v>
      </c>
      <c r="G2756" s="6">
        <f t="shared" ref="G2756:G2763" si="108">9.871*L2756</f>
        <v>98.710000000000008</v>
      </c>
      <c r="H2756" s="7">
        <v>41948</v>
      </c>
      <c r="I2756" s="6" t="s">
        <v>11467</v>
      </c>
      <c r="J2756" s="6" t="s">
        <v>10756</v>
      </c>
      <c r="K2756" s="6" t="s">
        <v>21</v>
      </c>
      <c r="L2756" s="6">
        <v>10</v>
      </c>
      <c r="M2756" s="15" t="s">
        <v>10757</v>
      </c>
      <c r="N2756" s="15" t="s">
        <v>4953</v>
      </c>
      <c r="O2756" s="28" t="s">
        <v>10757</v>
      </c>
    </row>
    <row r="2757" spans="1:15" s="1" customFormat="1">
      <c r="A2757" s="3" t="s">
        <v>1082</v>
      </c>
      <c r="B2757" s="3" t="s">
        <v>283</v>
      </c>
      <c r="C2757" s="3"/>
      <c r="D2757" s="5" t="s">
        <v>1083</v>
      </c>
      <c r="E2757" s="5" t="s">
        <v>124</v>
      </c>
      <c r="F2757" s="3" t="s">
        <v>10760</v>
      </c>
      <c r="G2757" s="6">
        <f t="shared" si="108"/>
        <v>118.452</v>
      </c>
      <c r="H2757" s="7">
        <v>41948</v>
      </c>
      <c r="I2757" s="6" t="s">
        <v>161</v>
      </c>
      <c r="J2757" s="6" t="s">
        <v>10761</v>
      </c>
      <c r="K2757" s="6" t="s">
        <v>21</v>
      </c>
      <c r="L2757" s="6">
        <v>12</v>
      </c>
      <c r="M2757" s="15" t="s">
        <v>10762</v>
      </c>
      <c r="N2757" s="15" t="s">
        <v>78</v>
      </c>
      <c r="O2757" s="28" t="s">
        <v>10762</v>
      </c>
    </row>
    <row r="2758" spans="1:15" s="1" customFormat="1">
      <c r="A2758" s="3" t="s">
        <v>1082</v>
      </c>
      <c r="B2758" s="3" t="s">
        <v>283</v>
      </c>
      <c r="C2758" s="3"/>
      <c r="D2758" s="5" t="s">
        <v>1083</v>
      </c>
      <c r="E2758" s="5" t="s">
        <v>124</v>
      </c>
      <c r="F2758" s="3" t="s">
        <v>10763</v>
      </c>
      <c r="G2758" s="6">
        <f t="shared" si="108"/>
        <v>128.32300000000001</v>
      </c>
      <c r="H2758" s="7">
        <v>41948</v>
      </c>
      <c r="I2758" s="6" t="s">
        <v>161</v>
      </c>
      <c r="J2758" s="6" t="s">
        <v>10764</v>
      </c>
      <c r="K2758" s="6" t="s">
        <v>21</v>
      </c>
      <c r="L2758" s="6">
        <v>13</v>
      </c>
      <c r="M2758" s="15" t="s">
        <v>10762</v>
      </c>
      <c r="N2758" s="15" t="s">
        <v>167</v>
      </c>
      <c r="O2758" s="28" t="s">
        <v>11554</v>
      </c>
    </row>
    <row r="2759" spans="1:15" s="1" customFormat="1">
      <c r="A2759" s="3" t="s">
        <v>1082</v>
      </c>
      <c r="B2759" s="3" t="s">
        <v>283</v>
      </c>
      <c r="C2759" s="3"/>
      <c r="D2759" s="5" t="s">
        <v>1083</v>
      </c>
      <c r="E2759" s="5" t="s">
        <v>124</v>
      </c>
      <c r="F2759" s="3" t="s">
        <v>10765</v>
      </c>
      <c r="G2759" s="6">
        <f t="shared" si="108"/>
        <v>49.355000000000004</v>
      </c>
      <c r="H2759" s="7">
        <v>41948</v>
      </c>
      <c r="I2759" s="6" t="s">
        <v>161</v>
      </c>
      <c r="J2759" s="6" t="s">
        <v>10766</v>
      </c>
      <c r="K2759" s="6" t="s">
        <v>21</v>
      </c>
      <c r="L2759" s="6">
        <v>5</v>
      </c>
      <c r="M2759" s="15" t="s">
        <v>10767</v>
      </c>
      <c r="N2759" s="15" t="s">
        <v>1284</v>
      </c>
      <c r="O2759" s="28" t="s">
        <v>10767</v>
      </c>
    </row>
    <row r="2760" spans="1:15" s="1" customFormat="1">
      <c r="A2760" s="3" t="s">
        <v>1082</v>
      </c>
      <c r="B2760" s="3" t="s">
        <v>283</v>
      </c>
      <c r="C2760" s="3"/>
      <c r="D2760" s="5" t="s">
        <v>1083</v>
      </c>
      <c r="E2760" s="5" t="s">
        <v>124</v>
      </c>
      <c r="F2760" s="3" t="s">
        <v>10773</v>
      </c>
      <c r="G2760" s="6">
        <f t="shared" si="108"/>
        <v>118.452</v>
      </c>
      <c r="H2760" s="7">
        <v>41948</v>
      </c>
      <c r="I2760" s="6" t="s">
        <v>161</v>
      </c>
      <c r="J2760" s="6" t="s">
        <v>10774</v>
      </c>
      <c r="K2760" s="6" t="s">
        <v>21</v>
      </c>
      <c r="L2760" s="6">
        <v>12</v>
      </c>
      <c r="M2760" s="15" t="s">
        <v>10775</v>
      </c>
      <c r="N2760" s="15" t="s">
        <v>78</v>
      </c>
      <c r="O2760" s="28" t="s">
        <v>10775</v>
      </c>
    </row>
    <row r="2761" spans="1:15" s="1" customFormat="1">
      <c r="A2761" s="3" t="s">
        <v>1082</v>
      </c>
      <c r="B2761" s="3" t="s">
        <v>283</v>
      </c>
      <c r="C2761" s="3"/>
      <c r="D2761" s="5" t="s">
        <v>1083</v>
      </c>
      <c r="E2761" s="5" t="s">
        <v>124</v>
      </c>
      <c r="F2761" s="3" t="s">
        <v>10778</v>
      </c>
      <c r="G2761" s="6">
        <f t="shared" si="108"/>
        <v>118.452</v>
      </c>
      <c r="H2761" s="7">
        <v>41948</v>
      </c>
      <c r="I2761" s="6" t="s">
        <v>161</v>
      </c>
      <c r="J2761" s="6" t="s">
        <v>10779</v>
      </c>
      <c r="K2761" s="6" t="s">
        <v>21</v>
      </c>
      <c r="L2761" s="6">
        <v>12</v>
      </c>
      <c r="M2761" s="15" t="s">
        <v>10780</v>
      </c>
      <c r="N2761" s="15" t="s">
        <v>78</v>
      </c>
      <c r="O2761" s="28" t="s">
        <v>10780</v>
      </c>
    </row>
    <row r="2762" spans="1:15" s="1" customFormat="1">
      <c r="A2762" s="3" t="s">
        <v>1082</v>
      </c>
      <c r="B2762" s="3" t="s">
        <v>283</v>
      </c>
      <c r="C2762" s="3"/>
      <c r="D2762" s="5" t="s">
        <v>1083</v>
      </c>
      <c r="E2762" s="5" t="s">
        <v>124</v>
      </c>
      <c r="F2762" s="3" t="s">
        <v>10781</v>
      </c>
      <c r="G2762" s="6">
        <f t="shared" si="108"/>
        <v>128.32300000000001</v>
      </c>
      <c r="H2762" s="7">
        <v>41948</v>
      </c>
      <c r="I2762" s="6" t="s">
        <v>161</v>
      </c>
      <c r="J2762" s="6" t="s">
        <v>10782</v>
      </c>
      <c r="K2762" s="6" t="s">
        <v>21</v>
      </c>
      <c r="L2762" s="6">
        <v>13</v>
      </c>
      <c r="M2762" s="15" t="s">
        <v>10780</v>
      </c>
      <c r="N2762" s="15" t="s">
        <v>167</v>
      </c>
      <c r="O2762" s="28" t="s">
        <v>11836</v>
      </c>
    </row>
    <row r="2763" spans="1:15" s="1" customFormat="1">
      <c r="A2763" s="3" t="s">
        <v>1082</v>
      </c>
      <c r="B2763" s="3" t="s">
        <v>11789</v>
      </c>
      <c r="C2763" s="3"/>
      <c r="D2763" s="5" t="s">
        <v>1083</v>
      </c>
      <c r="E2763" s="5" t="s">
        <v>124</v>
      </c>
      <c r="F2763" s="3" t="s">
        <v>10786</v>
      </c>
      <c r="G2763" s="6">
        <f t="shared" si="108"/>
        <v>128.32300000000001</v>
      </c>
      <c r="H2763" s="7">
        <v>41948</v>
      </c>
      <c r="I2763" s="6" t="s">
        <v>11790</v>
      </c>
      <c r="J2763" s="6" t="s">
        <v>11791</v>
      </c>
      <c r="K2763" s="6" t="s">
        <v>11782</v>
      </c>
      <c r="L2763" s="6">
        <v>13</v>
      </c>
      <c r="M2763" s="15" t="s">
        <v>10785</v>
      </c>
      <c r="N2763" s="15" t="s">
        <v>11806</v>
      </c>
      <c r="O2763" s="28" t="s">
        <v>10785</v>
      </c>
    </row>
    <row r="2764" spans="1:15" s="1" customFormat="1">
      <c r="A2764" s="3" t="s">
        <v>1108</v>
      </c>
      <c r="B2764" s="3"/>
      <c r="C2764" s="3"/>
      <c r="D2764" s="5" t="s">
        <v>391</v>
      </c>
      <c r="E2764" s="5" t="s">
        <v>124</v>
      </c>
      <c r="F2764" s="3" t="s">
        <v>10787</v>
      </c>
      <c r="G2764" s="6">
        <f>17.712*L2764</f>
        <v>212.54399999999998</v>
      </c>
      <c r="H2764" s="7">
        <v>41948</v>
      </c>
      <c r="I2764" s="6" t="s">
        <v>265</v>
      </c>
      <c r="J2764" s="6" t="s">
        <v>10788</v>
      </c>
      <c r="K2764" s="6" t="s">
        <v>21</v>
      </c>
      <c r="L2764" s="6">
        <v>12</v>
      </c>
      <c r="M2764" s="15" t="s">
        <v>10789</v>
      </c>
      <c r="N2764" s="15" t="s">
        <v>78</v>
      </c>
      <c r="O2764" s="28" t="s">
        <v>10789</v>
      </c>
    </row>
    <row r="2765" spans="1:15" s="1" customFormat="1">
      <c r="A2765" s="3" t="s">
        <v>1108</v>
      </c>
      <c r="B2765" s="3"/>
      <c r="C2765" s="3"/>
      <c r="D2765" s="5" t="s">
        <v>391</v>
      </c>
      <c r="E2765" s="5" t="s">
        <v>124</v>
      </c>
      <c r="F2765" s="3" t="s">
        <v>10790</v>
      </c>
      <c r="G2765" s="6">
        <f>17.712*L2765</f>
        <v>230.256</v>
      </c>
      <c r="H2765" s="7">
        <v>41948</v>
      </c>
      <c r="I2765" s="6" t="s">
        <v>265</v>
      </c>
      <c r="J2765" s="6" t="s">
        <v>10791</v>
      </c>
      <c r="K2765" s="6" t="s">
        <v>21</v>
      </c>
      <c r="L2765" s="6">
        <v>13</v>
      </c>
      <c r="M2765" s="15" t="s">
        <v>10789</v>
      </c>
      <c r="N2765" s="15" t="s">
        <v>81</v>
      </c>
      <c r="O2765" s="28" t="s">
        <v>10792</v>
      </c>
    </row>
    <row r="2766" spans="1:15" s="1" customFormat="1">
      <c r="A2766" s="3" t="s">
        <v>262</v>
      </c>
      <c r="B2766" s="3"/>
      <c r="C2766" s="3"/>
      <c r="D2766" s="5" t="s">
        <v>263</v>
      </c>
      <c r="E2766" s="5" t="s">
        <v>124</v>
      </c>
      <c r="F2766" s="3" t="s">
        <v>10793</v>
      </c>
      <c r="G2766" s="6">
        <f>17.498*L2766</f>
        <v>69.992000000000004</v>
      </c>
      <c r="H2766" s="7">
        <v>41948</v>
      </c>
      <c r="I2766" s="6" t="s">
        <v>265</v>
      </c>
      <c r="J2766" s="6" t="s">
        <v>10794</v>
      </c>
      <c r="K2766" s="6" t="s">
        <v>21</v>
      </c>
      <c r="L2766" s="6">
        <v>4</v>
      </c>
      <c r="M2766" s="15" t="s">
        <v>10795</v>
      </c>
      <c r="N2766" s="15" t="s">
        <v>1596</v>
      </c>
      <c r="O2766" s="28" t="s">
        <v>10796</v>
      </c>
    </row>
    <row r="2767" spans="1:15" s="1" customFormat="1">
      <c r="A2767" s="3" t="s">
        <v>1216</v>
      </c>
      <c r="B2767" s="3"/>
      <c r="C2767" s="3"/>
      <c r="D2767" s="5" t="s">
        <v>2117</v>
      </c>
      <c r="E2767" s="5" t="s">
        <v>124</v>
      </c>
      <c r="F2767" s="3" t="s">
        <v>10797</v>
      </c>
      <c r="G2767" s="6">
        <v>232.53299999999999</v>
      </c>
      <c r="H2767" s="7">
        <v>41948</v>
      </c>
      <c r="I2767" s="6" t="s">
        <v>209</v>
      </c>
      <c r="J2767" s="6" t="s">
        <v>10798</v>
      </c>
      <c r="K2767" s="6" t="s">
        <v>128</v>
      </c>
      <c r="L2767" s="6" t="s">
        <v>1226</v>
      </c>
      <c r="M2767" s="15" t="s">
        <v>10799</v>
      </c>
      <c r="N2767" s="15" t="s">
        <v>10800</v>
      </c>
      <c r="O2767" s="28" t="s">
        <v>10801</v>
      </c>
    </row>
    <row r="2768" spans="1:15" s="1" customFormat="1">
      <c r="A2768" s="3" t="s">
        <v>1216</v>
      </c>
      <c r="B2768" s="3"/>
      <c r="C2768" s="3"/>
      <c r="D2768" s="5" t="s">
        <v>2117</v>
      </c>
      <c r="E2768" s="5" t="s">
        <v>124</v>
      </c>
      <c r="F2768" s="3" t="s">
        <v>10802</v>
      </c>
      <c r="G2768" s="6">
        <v>139.62799999999999</v>
      </c>
      <c r="H2768" s="7">
        <v>41948</v>
      </c>
      <c r="I2768" s="6" t="s">
        <v>209</v>
      </c>
      <c r="J2768" s="6" t="s">
        <v>10803</v>
      </c>
      <c r="K2768" s="6" t="s">
        <v>128</v>
      </c>
      <c r="L2768" s="6" t="s">
        <v>2183</v>
      </c>
      <c r="M2768" s="15" t="s">
        <v>10804</v>
      </c>
      <c r="N2768" s="15" t="s">
        <v>10805</v>
      </c>
      <c r="O2768" s="28" t="s">
        <v>10806</v>
      </c>
    </row>
    <row r="2769" spans="1:15" s="1" customFormat="1">
      <c r="A2769" s="3" t="s">
        <v>1216</v>
      </c>
      <c r="B2769" s="3"/>
      <c r="C2769" s="3"/>
      <c r="D2769" s="5" t="s">
        <v>2117</v>
      </c>
      <c r="E2769" s="5" t="s">
        <v>124</v>
      </c>
      <c r="F2769" s="3" t="s">
        <v>10807</v>
      </c>
      <c r="G2769" s="6">
        <v>139.68100000000001</v>
      </c>
      <c r="H2769" s="7">
        <v>41948</v>
      </c>
      <c r="I2769" s="6" t="s">
        <v>209</v>
      </c>
      <c r="J2769" s="6" t="s">
        <v>10808</v>
      </c>
      <c r="K2769" s="6" t="s">
        <v>128</v>
      </c>
      <c r="L2769" s="6" t="s">
        <v>2183</v>
      </c>
      <c r="M2769" s="15" t="s">
        <v>10809</v>
      </c>
      <c r="N2769" s="15" t="s">
        <v>10810</v>
      </c>
      <c r="O2769" s="28" t="s">
        <v>10811</v>
      </c>
    </row>
    <row r="2770" spans="1:15" s="1" customFormat="1">
      <c r="A2770" s="3" t="s">
        <v>1216</v>
      </c>
      <c r="B2770" s="3"/>
      <c r="C2770" s="3"/>
      <c r="D2770" s="5" t="s">
        <v>2117</v>
      </c>
      <c r="E2770" s="5" t="s">
        <v>124</v>
      </c>
      <c r="F2770" s="3" t="s">
        <v>10812</v>
      </c>
      <c r="G2770" s="6">
        <v>138.92699999999999</v>
      </c>
      <c r="H2770" s="7">
        <v>41948</v>
      </c>
      <c r="I2770" s="6" t="s">
        <v>209</v>
      </c>
      <c r="J2770" s="6" t="s">
        <v>10813</v>
      </c>
      <c r="K2770" s="6" t="s">
        <v>128</v>
      </c>
      <c r="L2770" s="6" t="s">
        <v>2183</v>
      </c>
      <c r="M2770" s="15" t="s">
        <v>10814</v>
      </c>
      <c r="N2770" s="15" t="s">
        <v>10815</v>
      </c>
      <c r="O2770" s="28" t="s">
        <v>10816</v>
      </c>
    </row>
    <row r="2771" spans="1:15" s="1" customFormat="1">
      <c r="A2771" s="3" t="s">
        <v>1216</v>
      </c>
      <c r="B2771" s="3"/>
      <c r="C2771" s="3"/>
      <c r="D2771" s="5" t="s">
        <v>2117</v>
      </c>
      <c r="E2771" s="5" t="s">
        <v>124</v>
      </c>
      <c r="F2771" s="3" t="s">
        <v>10817</v>
      </c>
      <c r="G2771" s="6">
        <v>108.60599999999999</v>
      </c>
      <c r="H2771" s="7">
        <v>41948</v>
      </c>
      <c r="I2771" s="6" t="s">
        <v>209</v>
      </c>
      <c r="J2771" s="6" t="s">
        <v>10818</v>
      </c>
      <c r="K2771" s="6" t="s">
        <v>128</v>
      </c>
      <c r="L2771" s="6" t="s">
        <v>6475</v>
      </c>
      <c r="M2771" s="15" t="s">
        <v>10819</v>
      </c>
      <c r="N2771" s="15" t="s">
        <v>10820</v>
      </c>
      <c r="O2771" s="28" t="s">
        <v>10821</v>
      </c>
    </row>
    <row r="2772" spans="1:15" s="1" customFormat="1">
      <c r="A2772" s="3" t="s">
        <v>1259</v>
      </c>
      <c r="B2772" s="3"/>
      <c r="C2772" s="3"/>
      <c r="D2772" s="5" t="s">
        <v>170</v>
      </c>
      <c r="E2772" s="5" t="s">
        <v>7026</v>
      </c>
      <c r="F2772" s="3" t="s">
        <v>11294</v>
      </c>
      <c r="G2772" s="6">
        <f t="shared" ref="G2772:G2780" si="109">17.498*L2772</f>
        <v>209.976</v>
      </c>
      <c r="H2772" s="7">
        <v>41948</v>
      </c>
      <c r="I2772" s="6" t="s">
        <v>265</v>
      </c>
      <c r="J2772" s="6" t="s">
        <v>11295</v>
      </c>
      <c r="K2772" s="6" t="s">
        <v>21</v>
      </c>
      <c r="L2772" s="6">
        <v>12</v>
      </c>
      <c r="M2772" s="15" t="s">
        <v>11296</v>
      </c>
      <c r="N2772" s="15" t="s">
        <v>78</v>
      </c>
      <c r="O2772" s="28"/>
    </row>
    <row r="2773" spans="1:15" s="1" customFormat="1">
      <c r="A2773" s="3" t="s">
        <v>1259</v>
      </c>
      <c r="B2773" s="3"/>
      <c r="C2773" s="3"/>
      <c r="D2773" s="5" t="s">
        <v>170</v>
      </c>
      <c r="E2773" s="5" t="s">
        <v>7026</v>
      </c>
      <c r="F2773" s="3" t="s">
        <v>11297</v>
      </c>
      <c r="G2773" s="6">
        <f t="shared" si="109"/>
        <v>227.47400000000002</v>
      </c>
      <c r="H2773" s="7">
        <v>41948</v>
      </c>
      <c r="I2773" s="6" t="s">
        <v>265</v>
      </c>
      <c r="J2773" s="6" t="s">
        <v>11298</v>
      </c>
      <c r="K2773" s="6" t="s">
        <v>21</v>
      </c>
      <c r="L2773" s="6">
        <v>13</v>
      </c>
      <c r="M2773" s="15" t="s">
        <v>11296</v>
      </c>
      <c r="N2773" s="15" t="s">
        <v>81</v>
      </c>
      <c r="O2773" s="28"/>
    </row>
    <row r="2774" spans="1:15" s="1" customFormat="1">
      <c r="A2774" s="3" t="s">
        <v>1259</v>
      </c>
      <c r="B2774" s="3"/>
      <c r="C2774" s="3"/>
      <c r="D2774" s="5" t="s">
        <v>170</v>
      </c>
      <c r="E2774" s="5" t="s">
        <v>7026</v>
      </c>
      <c r="F2774" s="3" t="s">
        <v>11299</v>
      </c>
      <c r="G2774" s="6">
        <f t="shared" si="109"/>
        <v>209.976</v>
      </c>
      <c r="H2774" s="7">
        <v>41948</v>
      </c>
      <c r="I2774" s="6" t="s">
        <v>265</v>
      </c>
      <c r="J2774" s="6" t="s">
        <v>11300</v>
      </c>
      <c r="K2774" s="6" t="s">
        <v>21</v>
      </c>
      <c r="L2774" s="6">
        <v>12</v>
      </c>
      <c r="M2774" s="15" t="s">
        <v>11301</v>
      </c>
      <c r="N2774" s="15" t="s">
        <v>78</v>
      </c>
      <c r="O2774" s="28"/>
    </row>
    <row r="2775" spans="1:15" s="1" customFormat="1">
      <c r="A2775" s="3" t="s">
        <v>1259</v>
      </c>
      <c r="B2775" s="3"/>
      <c r="C2775" s="3"/>
      <c r="D2775" s="5" t="s">
        <v>170</v>
      </c>
      <c r="E2775" s="5" t="s">
        <v>7026</v>
      </c>
      <c r="F2775" s="3" t="s">
        <v>11302</v>
      </c>
      <c r="G2775" s="6">
        <f t="shared" si="109"/>
        <v>227.47400000000002</v>
      </c>
      <c r="H2775" s="7">
        <v>41948</v>
      </c>
      <c r="I2775" s="6" t="s">
        <v>265</v>
      </c>
      <c r="J2775" s="6" t="s">
        <v>11303</v>
      </c>
      <c r="K2775" s="6" t="s">
        <v>21</v>
      </c>
      <c r="L2775" s="6">
        <v>13</v>
      </c>
      <c r="M2775" s="15" t="s">
        <v>11301</v>
      </c>
      <c r="N2775" s="15" t="s">
        <v>81</v>
      </c>
      <c r="O2775" s="28"/>
    </row>
    <row r="2776" spans="1:15" s="1" customFormat="1">
      <c r="A2776" s="3" t="s">
        <v>1259</v>
      </c>
      <c r="B2776" s="3"/>
      <c r="C2776" s="3"/>
      <c r="D2776" s="5" t="s">
        <v>170</v>
      </c>
      <c r="E2776" s="5" t="s">
        <v>7026</v>
      </c>
      <c r="F2776" s="3" t="s">
        <v>11304</v>
      </c>
      <c r="G2776" s="6">
        <f t="shared" si="109"/>
        <v>209.976</v>
      </c>
      <c r="H2776" s="7">
        <v>41948</v>
      </c>
      <c r="I2776" s="6" t="s">
        <v>265</v>
      </c>
      <c r="J2776" s="6" t="s">
        <v>11305</v>
      </c>
      <c r="K2776" s="6" t="s">
        <v>21</v>
      </c>
      <c r="L2776" s="6">
        <v>12</v>
      </c>
      <c r="M2776" s="15" t="s">
        <v>11306</v>
      </c>
      <c r="N2776" s="15" t="s">
        <v>78</v>
      </c>
      <c r="O2776" s="28"/>
    </row>
    <row r="2777" spans="1:15" s="1" customFormat="1">
      <c r="A2777" s="3" t="s">
        <v>1259</v>
      </c>
      <c r="B2777" s="3"/>
      <c r="C2777" s="3"/>
      <c r="D2777" s="5" t="s">
        <v>170</v>
      </c>
      <c r="E2777" s="5" t="s">
        <v>7026</v>
      </c>
      <c r="F2777" s="3" t="s">
        <v>11307</v>
      </c>
      <c r="G2777" s="6">
        <f t="shared" si="109"/>
        <v>227.47400000000002</v>
      </c>
      <c r="H2777" s="7">
        <v>41948</v>
      </c>
      <c r="I2777" s="6" t="s">
        <v>265</v>
      </c>
      <c r="J2777" s="6" t="s">
        <v>11308</v>
      </c>
      <c r="K2777" s="6" t="s">
        <v>21</v>
      </c>
      <c r="L2777" s="6">
        <v>13</v>
      </c>
      <c r="M2777" s="15" t="s">
        <v>11306</v>
      </c>
      <c r="N2777" s="15" t="s">
        <v>81</v>
      </c>
      <c r="O2777" s="28"/>
    </row>
    <row r="2778" spans="1:15" s="1" customFormat="1">
      <c r="A2778" s="3" t="s">
        <v>7145</v>
      </c>
      <c r="B2778" s="3"/>
      <c r="C2778" s="3"/>
      <c r="D2778" s="5" t="s">
        <v>170</v>
      </c>
      <c r="E2778" s="5" t="s">
        <v>7026</v>
      </c>
      <c r="F2778" s="3" t="s">
        <v>11309</v>
      </c>
      <c r="G2778" s="6">
        <f t="shared" si="109"/>
        <v>227.47400000000002</v>
      </c>
      <c r="H2778" s="7">
        <v>41948</v>
      </c>
      <c r="I2778" s="6" t="s">
        <v>265</v>
      </c>
      <c r="J2778" s="6" t="s">
        <v>11310</v>
      </c>
      <c r="K2778" s="6" t="s">
        <v>21</v>
      </c>
      <c r="L2778" s="6">
        <v>13</v>
      </c>
      <c r="M2778" s="15" t="s">
        <v>11311</v>
      </c>
      <c r="N2778" s="15" t="s">
        <v>8866</v>
      </c>
      <c r="O2778" s="28"/>
    </row>
    <row r="2779" spans="1:15" s="1" customFormat="1">
      <c r="A2779" s="3" t="s">
        <v>169</v>
      </c>
      <c r="B2779" s="3"/>
      <c r="C2779" s="3"/>
      <c r="D2779" s="5" t="s">
        <v>170</v>
      </c>
      <c r="E2779" s="5" t="s">
        <v>7026</v>
      </c>
      <c r="F2779" s="3" t="s">
        <v>11317</v>
      </c>
      <c r="G2779" s="6">
        <f t="shared" si="109"/>
        <v>227.47400000000002</v>
      </c>
      <c r="H2779" s="7">
        <v>41948</v>
      </c>
      <c r="I2779" s="6" t="s">
        <v>265</v>
      </c>
      <c r="J2779" s="6" t="s">
        <v>11318</v>
      </c>
      <c r="K2779" s="6" t="s">
        <v>21</v>
      </c>
      <c r="L2779" s="6">
        <v>13</v>
      </c>
      <c r="M2779" s="15" t="s">
        <v>11316</v>
      </c>
      <c r="N2779" s="15" t="s">
        <v>167</v>
      </c>
      <c r="O2779" s="28"/>
    </row>
    <row r="2780" spans="1:15" s="1" customFormat="1">
      <c r="A2780" s="22" t="s">
        <v>5604</v>
      </c>
      <c r="B2780" s="3"/>
      <c r="C2780" s="3"/>
      <c r="D2780" s="5" t="s">
        <v>3106</v>
      </c>
      <c r="E2780" s="5" t="s">
        <v>7026</v>
      </c>
      <c r="F2780" s="3" t="s">
        <v>11319</v>
      </c>
      <c r="G2780" s="6">
        <f t="shared" si="109"/>
        <v>209.976</v>
      </c>
      <c r="H2780" s="7">
        <v>41948</v>
      </c>
      <c r="I2780" s="6" t="s">
        <v>265</v>
      </c>
      <c r="J2780" s="6" t="s">
        <v>11320</v>
      </c>
      <c r="K2780" s="6" t="s">
        <v>21</v>
      </c>
      <c r="L2780" s="6">
        <v>12</v>
      </c>
      <c r="M2780" s="15" t="s">
        <v>11321</v>
      </c>
      <c r="N2780" s="15" t="s">
        <v>78</v>
      </c>
      <c r="O2780" s="28"/>
    </row>
    <row r="2781" spans="1:15" s="1" customFormat="1">
      <c r="A2781" s="3" t="s">
        <v>1082</v>
      </c>
      <c r="B2781" s="3" t="s">
        <v>283</v>
      </c>
      <c r="C2781" s="3"/>
      <c r="D2781" s="5" t="s">
        <v>1083</v>
      </c>
      <c r="E2781" s="5" t="s">
        <v>124</v>
      </c>
      <c r="F2781" s="3" t="s">
        <v>10776</v>
      </c>
      <c r="G2781" s="6">
        <f>9.871*L2781</f>
        <v>128.32300000000001</v>
      </c>
      <c r="H2781" s="7">
        <v>41948</v>
      </c>
      <c r="I2781" s="6" t="s">
        <v>161</v>
      </c>
      <c r="J2781" s="6" t="s">
        <v>10777</v>
      </c>
      <c r="K2781" s="6" t="s">
        <v>21</v>
      </c>
      <c r="L2781" s="6">
        <v>13</v>
      </c>
      <c r="M2781" s="15" t="s">
        <v>10775</v>
      </c>
      <c r="N2781" s="15" t="s">
        <v>167</v>
      </c>
      <c r="O2781" s="28" t="s">
        <v>11556</v>
      </c>
    </row>
    <row r="2782" spans="1:15" s="1" customFormat="1">
      <c r="A2782" s="3" t="s">
        <v>1082</v>
      </c>
      <c r="B2782" s="3" t="s">
        <v>283</v>
      </c>
      <c r="C2782" s="3"/>
      <c r="D2782" s="5" t="s">
        <v>1083</v>
      </c>
      <c r="E2782" s="5" t="s">
        <v>124</v>
      </c>
      <c r="F2782" s="3" t="s">
        <v>10783</v>
      </c>
      <c r="G2782" s="6">
        <f>9.871*L2782</f>
        <v>118.452</v>
      </c>
      <c r="H2782" s="7">
        <v>41948</v>
      </c>
      <c r="I2782" s="6" t="s">
        <v>161</v>
      </c>
      <c r="J2782" s="6" t="s">
        <v>10784</v>
      </c>
      <c r="K2782" s="6" t="s">
        <v>21</v>
      </c>
      <c r="L2782" s="6">
        <v>12</v>
      </c>
      <c r="M2782" s="15" t="s">
        <v>10785</v>
      </c>
      <c r="N2782" s="15" t="s">
        <v>78</v>
      </c>
      <c r="O2782" s="28" t="s">
        <v>12127</v>
      </c>
    </row>
    <row r="2783" spans="1:15" s="1" customFormat="1">
      <c r="A2783" s="3" t="s">
        <v>654</v>
      </c>
      <c r="B2783" s="3"/>
      <c r="C2783" s="3"/>
      <c r="D2783" s="5" t="s">
        <v>5294</v>
      </c>
      <c r="E2783" s="5" t="s">
        <v>124</v>
      </c>
      <c r="F2783" s="3" t="s">
        <v>10828</v>
      </c>
      <c r="G2783" s="6">
        <f>17.52*L2783</f>
        <v>175.2</v>
      </c>
      <c r="H2783" s="7">
        <v>41949</v>
      </c>
      <c r="I2783" s="6" t="s">
        <v>209</v>
      </c>
      <c r="J2783" s="6" t="s">
        <v>10829</v>
      </c>
      <c r="K2783" s="6" t="s">
        <v>21</v>
      </c>
      <c r="L2783" s="6">
        <v>10</v>
      </c>
      <c r="M2783" s="15" t="s">
        <v>10830</v>
      </c>
      <c r="N2783" s="15" t="s">
        <v>4953</v>
      </c>
      <c r="O2783" s="28" t="s">
        <v>10830</v>
      </c>
    </row>
    <row r="2784" spans="1:15" s="1" customFormat="1">
      <c r="A2784" s="3" t="s">
        <v>846</v>
      </c>
      <c r="B2784" s="3"/>
      <c r="C2784" s="3"/>
      <c r="D2784" s="5" t="s">
        <v>191</v>
      </c>
      <c r="E2784" s="5" t="s">
        <v>124</v>
      </c>
      <c r="F2784" s="3" t="s">
        <v>10838</v>
      </c>
      <c r="G2784" s="6">
        <f>18.708*L2784</f>
        <v>280.62</v>
      </c>
      <c r="H2784" s="7">
        <v>41949</v>
      </c>
      <c r="I2784" s="6" t="s">
        <v>11779</v>
      </c>
      <c r="J2784" s="6" t="s">
        <v>11780</v>
      </c>
      <c r="K2784" s="6" t="s">
        <v>21</v>
      </c>
      <c r="L2784" s="6">
        <v>15</v>
      </c>
      <c r="M2784" s="15" t="s">
        <v>10839</v>
      </c>
      <c r="N2784" s="15" t="s">
        <v>5066</v>
      </c>
      <c r="O2784" s="28" t="s">
        <v>10839</v>
      </c>
    </row>
    <row r="2785" spans="1:15" s="1" customFormat="1">
      <c r="A2785" s="3" t="s">
        <v>442</v>
      </c>
      <c r="B2785" s="3"/>
      <c r="C2785" s="3"/>
      <c r="D2785" s="5" t="s">
        <v>443</v>
      </c>
      <c r="E2785" s="5" t="s">
        <v>124</v>
      </c>
      <c r="F2785" s="3" t="s">
        <v>10843</v>
      </c>
      <c r="G2785" s="6">
        <f>18.708*L2785</f>
        <v>224.49599999999998</v>
      </c>
      <c r="H2785" s="7">
        <v>41949</v>
      </c>
      <c r="I2785" s="6" t="s">
        <v>247</v>
      </c>
      <c r="J2785" s="6" t="s">
        <v>10844</v>
      </c>
      <c r="K2785" s="6" t="s">
        <v>5478</v>
      </c>
      <c r="L2785" s="6">
        <v>12</v>
      </c>
      <c r="M2785" s="15" t="s">
        <v>10842</v>
      </c>
      <c r="N2785" s="15" t="s">
        <v>10845</v>
      </c>
      <c r="O2785" s="28" t="s">
        <v>10846</v>
      </c>
    </row>
    <row r="2786" spans="1:15" s="1" customFormat="1">
      <c r="A2786" s="3" t="s">
        <v>514</v>
      </c>
      <c r="B2786" s="3"/>
      <c r="C2786" s="3"/>
      <c r="D2786" s="5" t="s">
        <v>2030</v>
      </c>
      <c r="E2786" s="5" t="s">
        <v>124</v>
      </c>
      <c r="F2786" s="3" t="s">
        <v>10847</v>
      </c>
      <c r="G2786" s="6">
        <f>14.405*L2786</f>
        <v>172.85999999999999</v>
      </c>
      <c r="H2786" s="7">
        <v>41949</v>
      </c>
      <c r="I2786" s="6" t="s">
        <v>265</v>
      </c>
      <c r="J2786" s="6" t="s">
        <v>10848</v>
      </c>
      <c r="K2786" s="6" t="s">
        <v>21</v>
      </c>
      <c r="L2786" s="6">
        <v>12</v>
      </c>
      <c r="M2786" s="15" t="s">
        <v>10849</v>
      </c>
      <c r="N2786" s="15" t="s">
        <v>78</v>
      </c>
      <c r="O2786" s="28" t="s">
        <v>10849</v>
      </c>
    </row>
    <row r="2787" spans="1:15" s="1" customFormat="1">
      <c r="A2787" s="3" t="s">
        <v>514</v>
      </c>
      <c r="B2787" s="3"/>
      <c r="C2787" s="3"/>
      <c r="D2787" s="5" t="s">
        <v>2030</v>
      </c>
      <c r="E2787" s="5" t="s">
        <v>124</v>
      </c>
      <c r="F2787" s="3" t="s">
        <v>10850</v>
      </c>
      <c r="G2787" s="6">
        <f>14.405*L2787</f>
        <v>187.26499999999999</v>
      </c>
      <c r="H2787" s="7">
        <v>41949</v>
      </c>
      <c r="I2787" s="6" t="s">
        <v>11472</v>
      </c>
      <c r="J2787" s="6" t="s">
        <v>11480</v>
      </c>
      <c r="K2787" s="6" t="s">
        <v>21</v>
      </c>
      <c r="L2787" s="6">
        <v>13</v>
      </c>
      <c r="M2787" s="15" t="s">
        <v>10849</v>
      </c>
      <c r="N2787" s="15" t="s">
        <v>81</v>
      </c>
      <c r="O2787" s="28" t="s">
        <v>10851</v>
      </c>
    </row>
    <row r="2788" spans="1:15" s="1" customFormat="1">
      <c r="A2788" s="3" t="s">
        <v>4051</v>
      </c>
      <c r="B2788" s="3"/>
      <c r="C2788" s="3"/>
      <c r="D2788" s="5" t="s">
        <v>9670</v>
      </c>
      <c r="E2788" s="5" t="s">
        <v>124</v>
      </c>
      <c r="F2788" s="3" t="s">
        <v>10852</v>
      </c>
      <c r="G2788" s="6">
        <f>14.405*4</f>
        <v>57.62</v>
      </c>
      <c r="H2788" s="7">
        <v>41949</v>
      </c>
      <c r="I2788" s="6" t="s">
        <v>11492</v>
      </c>
      <c r="J2788" s="6" t="s">
        <v>11493</v>
      </c>
      <c r="K2788" s="6" t="s">
        <v>21</v>
      </c>
      <c r="L2788" s="6" t="s">
        <v>6113</v>
      </c>
      <c r="M2788" s="15" t="s">
        <v>10853</v>
      </c>
      <c r="N2788" s="15" t="s">
        <v>10854</v>
      </c>
      <c r="O2788" s="28" t="s">
        <v>10855</v>
      </c>
    </row>
    <row r="2789" spans="1:15" s="1" customFormat="1">
      <c r="A2789" s="3" t="s">
        <v>5435</v>
      </c>
      <c r="B2789" s="3"/>
      <c r="C2789" s="3"/>
      <c r="D2789" s="5" t="s">
        <v>5294</v>
      </c>
      <c r="E2789" s="5" t="s">
        <v>124</v>
      </c>
      <c r="F2789" s="3" t="s">
        <v>10831</v>
      </c>
      <c r="G2789" s="6">
        <f>17.52*L2789</f>
        <v>175.2</v>
      </c>
      <c r="H2789" s="7">
        <v>41949</v>
      </c>
      <c r="I2789" s="6" t="s">
        <v>209</v>
      </c>
      <c r="J2789" s="6" t="s">
        <v>10832</v>
      </c>
      <c r="K2789" s="6" t="s">
        <v>21</v>
      </c>
      <c r="L2789" s="6">
        <v>10</v>
      </c>
      <c r="M2789" s="15" t="s">
        <v>10830</v>
      </c>
      <c r="N2789" s="15" t="s">
        <v>8694</v>
      </c>
      <c r="O2789" s="28" t="s">
        <v>10833</v>
      </c>
    </row>
    <row r="2790" spans="1:15" s="1" customFormat="1">
      <c r="A2790" s="3" t="s">
        <v>557</v>
      </c>
      <c r="B2790" s="4" t="s">
        <v>283</v>
      </c>
      <c r="C2790" s="3"/>
      <c r="D2790" s="5" t="s">
        <v>558</v>
      </c>
      <c r="E2790" s="5" t="s">
        <v>124</v>
      </c>
      <c r="F2790" s="3" t="s">
        <v>13064</v>
      </c>
      <c r="G2790" s="6">
        <f t="shared" ref="G2790:G2813" si="110">29.101*L2790</f>
        <v>87.302999999999997</v>
      </c>
      <c r="H2790" s="7">
        <v>41949</v>
      </c>
      <c r="I2790" s="6" t="s">
        <v>346</v>
      </c>
      <c r="J2790" s="6" t="s">
        <v>10837</v>
      </c>
      <c r="K2790" s="6" t="s">
        <v>5478</v>
      </c>
      <c r="L2790" s="6">
        <v>3</v>
      </c>
      <c r="M2790" s="15" t="s">
        <v>5599</v>
      </c>
      <c r="N2790" s="15" t="s">
        <v>657</v>
      </c>
      <c r="O2790" s="28" t="s">
        <v>12128</v>
      </c>
    </row>
    <row r="2791" spans="1:15" s="1" customFormat="1">
      <c r="A2791" s="3" t="s">
        <v>1127</v>
      </c>
      <c r="B2791" s="3"/>
      <c r="C2791" s="3"/>
      <c r="D2791" s="5" t="s">
        <v>1128</v>
      </c>
      <c r="E2791" s="5" t="s">
        <v>7026</v>
      </c>
      <c r="F2791" s="3" t="s">
        <v>11324</v>
      </c>
      <c r="G2791" s="6">
        <f t="shared" si="110"/>
        <v>320.11099999999999</v>
      </c>
      <c r="H2791" s="7">
        <v>41950</v>
      </c>
      <c r="I2791" s="6" t="s">
        <v>178</v>
      </c>
      <c r="J2791" s="6" t="s">
        <v>11325</v>
      </c>
      <c r="K2791" s="6" t="s">
        <v>21</v>
      </c>
      <c r="L2791" s="6">
        <v>11</v>
      </c>
      <c r="M2791" s="15" t="s">
        <v>11326</v>
      </c>
      <c r="N2791" s="15" t="s">
        <v>11327</v>
      </c>
      <c r="O2791" s="28"/>
    </row>
    <row r="2792" spans="1:15" s="1" customFormat="1">
      <c r="A2792" s="3" t="s">
        <v>1127</v>
      </c>
      <c r="B2792" s="3"/>
      <c r="C2792" s="3"/>
      <c r="D2792" s="5" t="s">
        <v>1128</v>
      </c>
      <c r="E2792" s="5" t="s">
        <v>7026</v>
      </c>
      <c r="F2792" s="3" t="s">
        <v>11328</v>
      </c>
      <c r="G2792" s="6">
        <f t="shared" si="110"/>
        <v>349.21199999999999</v>
      </c>
      <c r="H2792" s="7">
        <v>41950</v>
      </c>
      <c r="I2792" s="6" t="s">
        <v>178</v>
      </c>
      <c r="J2792" s="6" t="s">
        <v>11329</v>
      </c>
      <c r="K2792" s="6" t="s">
        <v>21</v>
      </c>
      <c r="L2792" s="6">
        <v>12</v>
      </c>
      <c r="M2792" s="15" t="s">
        <v>11330</v>
      </c>
      <c r="N2792" s="15" t="s">
        <v>78</v>
      </c>
      <c r="O2792" s="28"/>
    </row>
    <row r="2793" spans="1:15" s="1" customFormat="1">
      <c r="A2793" s="3" t="s">
        <v>1127</v>
      </c>
      <c r="B2793" s="3"/>
      <c r="C2793" s="3"/>
      <c r="D2793" s="5" t="s">
        <v>1128</v>
      </c>
      <c r="E2793" s="5" t="s">
        <v>7026</v>
      </c>
      <c r="F2793" s="3" t="s">
        <v>11331</v>
      </c>
      <c r="G2793" s="6">
        <f t="shared" si="110"/>
        <v>378.31299999999999</v>
      </c>
      <c r="H2793" s="7">
        <v>41950</v>
      </c>
      <c r="I2793" s="6" t="s">
        <v>178</v>
      </c>
      <c r="J2793" s="6" t="s">
        <v>11332</v>
      </c>
      <c r="K2793" s="6" t="s">
        <v>21</v>
      </c>
      <c r="L2793" s="6">
        <v>13</v>
      </c>
      <c r="M2793" s="15" t="s">
        <v>11330</v>
      </c>
      <c r="N2793" s="15" t="s">
        <v>81</v>
      </c>
      <c r="O2793" s="28"/>
    </row>
    <row r="2794" spans="1:15" s="1" customFormat="1">
      <c r="A2794" s="3" t="s">
        <v>1127</v>
      </c>
      <c r="B2794" s="3"/>
      <c r="C2794" s="3"/>
      <c r="D2794" s="5" t="s">
        <v>1128</v>
      </c>
      <c r="E2794" s="5" t="s">
        <v>7026</v>
      </c>
      <c r="F2794" s="3" t="s">
        <v>11333</v>
      </c>
      <c r="G2794" s="6">
        <f t="shared" si="110"/>
        <v>349.21199999999999</v>
      </c>
      <c r="H2794" s="7">
        <v>41950</v>
      </c>
      <c r="I2794" s="6" t="s">
        <v>178</v>
      </c>
      <c r="J2794" s="6" t="s">
        <v>11334</v>
      </c>
      <c r="K2794" s="6" t="s">
        <v>21</v>
      </c>
      <c r="L2794" s="6">
        <v>12</v>
      </c>
      <c r="M2794" s="15" t="s">
        <v>11335</v>
      </c>
      <c r="N2794" s="15" t="s">
        <v>78</v>
      </c>
      <c r="O2794" s="28"/>
    </row>
    <row r="2795" spans="1:15" s="1" customFormat="1">
      <c r="A2795" s="3" t="s">
        <v>1127</v>
      </c>
      <c r="B2795" s="3"/>
      <c r="C2795" s="3"/>
      <c r="D2795" s="5" t="s">
        <v>1128</v>
      </c>
      <c r="E2795" s="5" t="s">
        <v>7026</v>
      </c>
      <c r="F2795" s="3" t="s">
        <v>11336</v>
      </c>
      <c r="G2795" s="6">
        <f t="shared" si="110"/>
        <v>378.31299999999999</v>
      </c>
      <c r="H2795" s="7">
        <v>41950</v>
      </c>
      <c r="I2795" s="6" t="s">
        <v>178</v>
      </c>
      <c r="J2795" s="6" t="s">
        <v>11337</v>
      </c>
      <c r="K2795" s="6" t="s">
        <v>21</v>
      </c>
      <c r="L2795" s="6">
        <v>13</v>
      </c>
      <c r="M2795" s="15" t="s">
        <v>11335</v>
      </c>
      <c r="N2795" s="15" t="s">
        <v>81</v>
      </c>
      <c r="O2795" s="28"/>
    </row>
    <row r="2796" spans="1:15" s="1" customFormat="1">
      <c r="A2796" s="3" t="s">
        <v>1127</v>
      </c>
      <c r="B2796" s="3"/>
      <c r="C2796" s="3"/>
      <c r="D2796" s="5" t="s">
        <v>1128</v>
      </c>
      <c r="E2796" s="5" t="s">
        <v>7026</v>
      </c>
      <c r="F2796" s="3" t="s">
        <v>11338</v>
      </c>
      <c r="G2796" s="6">
        <f t="shared" si="110"/>
        <v>320.11099999999999</v>
      </c>
      <c r="H2796" s="7">
        <v>41950</v>
      </c>
      <c r="I2796" s="6" t="s">
        <v>178</v>
      </c>
      <c r="J2796" s="6" t="s">
        <v>11339</v>
      </c>
      <c r="K2796" s="6" t="s">
        <v>21</v>
      </c>
      <c r="L2796" s="6">
        <v>11</v>
      </c>
      <c r="M2796" s="15" t="s">
        <v>11340</v>
      </c>
      <c r="N2796" s="15" t="s">
        <v>4504</v>
      </c>
      <c r="O2796" s="28"/>
    </row>
    <row r="2797" spans="1:15" s="1" customFormat="1">
      <c r="A2797" s="3" t="s">
        <v>1127</v>
      </c>
      <c r="B2797" s="3"/>
      <c r="C2797" s="3"/>
      <c r="D2797" s="5" t="s">
        <v>1128</v>
      </c>
      <c r="E2797" s="5" t="s">
        <v>7026</v>
      </c>
      <c r="F2797" s="3" t="s">
        <v>11341</v>
      </c>
      <c r="G2797" s="6">
        <f t="shared" si="110"/>
        <v>349.21199999999999</v>
      </c>
      <c r="H2797" s="7">
        <v>41950</v>
      </c>
      <c r="I2797" s="6" t="s">
        <v>178</v>
      </c>
      <c r="J2797" s="6" t="s">
        <v>11342</v>
      </c>
      <c r="K2797" s="6" t="s">
        <v>21</v>
      </c>
      <c r="L2797" s="6">
        <v>12</v>
      </c>
      <c r="M2797" s="15" t="s">
        <v>11340</v>
      </c>
      <c r="N2797" s="15" t="s">
        <v>5860</v>
      </c>
      <c r="O2797" s="28"/>
    </row>
    <row r="2798" spans="1:15" s="1" customFormat="1">
      <c r="A2798" s="3" t="s">
        <v>1127</v>
      </c>
      <c r="B2798" s="3"/>
      <c r="C2798" s="3"/>
      <c r="D2798" s="5" t="s">
        <v>1128</v>
      </c>
      <c r="E2798" s="5" t="s">
        <v>7026</v>
      </c>
      <c r="F2798" s="3" t="s">
        <v>11343</v>
      </c>
      <c r="G2798" s="6">
        <f t="shared" si="110"/>
        <v>349.21199999999999</v>
      </c>
      <c r="H2798" s="7">
        <v>41950</v>
      </c>
      <c r="I2798" s="6" t="s">
        <v>178</v>
      </c>
      <c r="J2798" s="6" t="s">
        <v>11344</v>
      </c>
      <c r="K2798" s="6" t="s">
        <v>21</v>
      </c>
      <c r="L2798" s="6">
        <v>12</v>
      </c>
      <c r="M2798" s="15" t="s">
        <v>11345</v>
      </c>
      <c r="N2798" s="15" t="s">
        <v>78</v>
      </c>
      <c r="O2798" s="28"/>
    </row>
    <row r="2799" spans="1:15" s="1" customFormat="1">
      <c r="A2799" s="3" t="s">
        <v>1127</v>
      </c>
      <c r="B2799" s="3"/>
      <c r="C2799" s="3"/>
      <c r="D2799" s="5" t="s">
        <v>1128</v>
      </c>
      <c r="E2799" s="5" t="s">
        <v>7026</v>
      </c>
      <c r="F2799" s="3" t="s">
        <v>11346</v>
      </c>
      <c r="G2799" s="6">
        <f t="shared" si="110"/>
        <v>378.31299999999999</v>
      </c>
      <c r="H2799" s="7">
        <v>41950</v>
      </c>
      <c r="I2799" s="6" t="s">
        <v>178</v>
      </c>
      <c r="J2799" s="6" t="s">
        <v>11347</v>
      </c>
      <c r="K2799" s="6" t="s">
        <v>21</v>
      </c>
      <c r="L2799" s="6">
        <v>13</v>
      </c>
      <c r="M2799" s="15" t="s">
        <v>11345</v>
      </c>
      <c r="N2799" s="15" t="s">
        <v>81</v>
      </c>
      <c r="O2799" s="28"/>
    </row>
    <row r="2800" spans="1:15" s="1" customFormat="1">
      <c r="A2800" s="3" t="s">
        <v>1127</v>
      </c>
      <c r="B2800" s="3"/>
      <c r="C2800" s="3"/>
      <c r="D2800" s="5" t="s">
        <v>1128</v>
      </c>
      <c r="E2800" s="5" t="s">
        <v>7026</v>
      </c>
      <c r="F2800" s="3" t="s">
        <v>11348</v>
      </c>
      <c r="G2800" s="6">
        <f t="shared" si="110"/>
        <v>349.21199999999999</v>
      </c>
      <c r="H2800" s="7">
        <v>41950</v>
      </c>
      <c r="I2800" s="6" t="s">
        <v>178</v>
      </c>
      <c r="J2800" s="6" t="s">
        <v>11349</v>
      </c>
      <c r="K2800" s="6" t="s">
        <v>21</v>
      </c>
      <c r="L2800" s="6">
        <v>12</v>
      </c>
      <c r="M2800" s="15" t="s">
        <v>11350</v>
      </c>
      <c r="N2800" s="15" t="s">
        <v>78</v>
      </c>
      <c r="O2800" s="28"/>
    </row>
    <row r="2801" spans="1:15" s="1" customFormat="1">
      <c r="A2801" s="3" t="s">
        <v>1127</v>
      </c>
      <c r="B2801" s="3"/>
      <c r="C2801" s="3"/>
      <c r="D2801" s="5" t="s">
        <v>1128</v>
      </c>
      <c r="E2801" s="5" t="s">
        <v>7026</v>
      </c>
      <c r="F2801" s="3" t="s">
        <v>11351</v>
      </c>
      <c r="G2801" s="6">
        <f t="shared" si="110"/>
        <v>378.31299999999999</v>
      </c>
      <c r="H2801" s="7">
        <v>41950</v>
      </c>
      <c r="I2801" s="6" t="s">
        <v>178</v>
      </c>
      <c r="J2801" s="6" t="s">
        <v>11352</v>
      </c>
      <c r="K2801" s="6" t="s">
        <v>21</v>
      </c>
      <c r="L2801" s="6">
        <v>13</v>
      </c>
      <c r="M2801" s="15" t="s">
        <v>11350</v>
      </c>
      <c r="N2801" s="15" t="s">
        <v>81</v>
      </c>
      <c r="O2801" s="28"/>
    </row>
    <row r="2802" spans="1:15" s="1" customFormat="1">
      <c r="A2802" s="3" t="s">
        <v>1127</v>
      </c>
      <c r="B2802" s="3"/>
      <c r="C2802" s="3"/>
      <c r="D2802" s="5" t="s">
        <v>1128</v>
      </c>
      <c r="E2802" s="5" t="s">
        <v>7026</v>
      </c>
      <c r="F2802" s="3" t="s">
        <v>11353</v>
      </c>
      <c r="G2802" s="6">
        <f t="shared" si="110"/>
        <v>349.21199999999999</v>
      </c>
      <c r="H2802" s="7">
        <v>41950</v>
      </c>
      <c r="I2802" s="6" t="s">
        <v>178</v>
      </c>
      <c r="J2802" s="6" t="s">
        <v>11354</v>
      </c>
      <c r="K2802" s="6" t="s">
        <v>21</v>
      </c>
      <c r="L2802" s="6">
        <v>12</v>
      </c>
      <c r="M2802" s="15" t="s">
        <v>11355</v>
      </c>
      <c r="N2802" s="15" t="s">
        <v>78</v>
      </c>
      <c r="O2802" s="28"/>
    </row>
    <row r="2803" spans="1:15" s="1" customFormat="1">
      <c r="A2803" s="3" t="s">
        <v>1127</v>
      </c>
      <c r="B2803" s="3"/>
      <c r="C2803" s="3"/>
      <c r="D2803" s="5" t="s">
        <v>1128</v>
      </c>
      <c r="E2803" s="5" t="s">
        <v>7026</v>
      </c>
      <c r="F2803" s="3" t="s">
        <v>11356</v>
      </c>
      <c r="G2803" s="6">
        <f t="shared" si="110"/>
        <v>378.31299999999999</v>
      </c>
      <c r="H2803" s="7">
        <v>41950</v>
      </c>
      <c r="I2803" s="6" t="s">
        <v>178</v>
      </c>
      <c r="J2803" s="6" t="s">
        <v>11357</v>
      </c>
      <c r="K2803" s="6" t="s">
        <v>21</v>
      </c>
      <c r="L2803" s="6">
        <v>13</v>
      </c>
      <c r="M2803" s="15" t="s">
        <v>11355</v>
      </c>
      <c r="N2803" s="15" t="s">
        <v>81</v>
      </c>
      <c r="O2803" s="28"/>
    </row>
    <row r="2804" spans="1:15" s="1" customFormat="1">
      <c r="A2804" s="3" t="s">
        <v>1127</v>
      </c>
      <c r="B2804" s="3"/>
      <c r="C2804" s="3"/>
      <c r="D2804" s="5" t="s">
        <v>1128</v>
      </c>
      <c r="E2804" s="5" t="s">
        <v>7026</v>
      </c>
      <c r="F2804" s="3" t="s">
        <v>11361</v>
      </c>
      <c r="G2804" s="6">
        <f t="shared" si="110"/>
        <v>378.31299999999999</v>
      </c>
      <c r="H2804" s="7">
        <v>41950</v>
      </c>
      <c r="I2804" s="6" t="s">
        <v>178</v>
      </c>
      <c r="J2804" s="6" t="s">
        <v>11362</v>
      </c>
      <c r="K2804" s="6" t="s">
        <v>21</v>
      </c>
      <c r="L2804" s="6">
        <v>13</v>
      </c>
      <c r="M2804" s="15" t="s">
        <v>11360</v>
      </c>
      <c r="N2804" s="15" t="s">
        <v>81</v>
      </c>
      <c r="O2804" s="28"/>
    </row>
    <row r="2805" spans="1:15" s="1" customFormat="1">
      <c r="A2805" s="3" t="s">
        <v>1127</v>
      </c>
      <c r="B2805" s="3"/>
      <c r="C2805" s="3"/>
      <c r="D2805" s="5" t="s">
        <v>1128</v>
      </c>
      <c r="E2805" s="5" t="s">
        <v>7026</v>
      </c>
      <c r="F2805" s="3" t="s">
        <v>11363</v>
      </c>
      <c r="G2805" s="6">
        <f t="shared" si="110"/>
        <v>349.21199999999999</v>
      </c>
      <c r="H2805" s="7">
        <v>41950</v>
      </c>
      <c r="I2805" s="6" t="s">
        <v>178</v>
      </c>
      <c r="J2805" s="6" t="s">
        <v>11364</v>
      </c>
      <c r="K2805" s="6" t="s">
        <v>21</v>
      </c>
      <c r="L2805" s="6">
        <v>12</v>
      </c>
      <c r="M2805" s="15" t="s">
        <v>11365</v>
      </c>
      <c r="N2805" s="15" t="s">
        <v>78</v>
      </c>
      <c r="O2805" s="28"/>
    </row>
    <row r="2806" spans="1:15" s="1" customFormat="1">
      <c r="A2806" s="3" t="s">
        <v>1127</v>
      </c>
      <c r="B2806" s="3"/>
      <c r="C2806" s="3"/>
      <c r="D2806" s="5" t="s">
        <v>1128</v>
      </c>
      <c r="E2806" s="5" t="s">
        <v>7026</v>
      </c>
      <c r="F2806" s="3" t="s">
        <v>11366</v>
      </c>
      <c r="G2806" s="6">
        <f t="shared" si="110"/>
        <v>378.31299999999999</v>
      </c>
      <c r="H2806" s="7">
        <v>41950</v>
      </c>
      <c r="I2806" s="6" t="s">
        <v>178</v>
      </c>
      <c r="J2806" s="6" t="s">
        <v>11367</v>
      </c>
      <c r="K2806" s="6" t="s">
        <v>21</v>
      </c>
      <c r="L2806" s="6">
        <v>13</v>
      </c>
      <c r="M2806" s="15" t="s">
        <v>11365</v>
      </c>
      <c r="N2806" s="15" t="s">
        <v>81</v>
      </c>
      <c r="O2806" s="28"/>
    </row>
    <row r="2807" spans="1:15" s="1" customFormat="1">
      <c r="A2807" s="3" t="s">
        <v>1127</v>
      </c>
      <c r="B2807" s="3"/>
      <c r="C2807" s="3"/>
      <c r="D2807" s="5" t="s">
        <v>1128</v>
      </c>
      <c r="E2807" s="5" t="s">
        <v>7026</v>
      </c>
      <c r="F2807" s="3" t="s">
        <v>11368</v>
      </c>
      <c r="G2807" s="6">
        <f t="shared" si="110"/>
        <v>349.21199999999999</v>
      </c>
      <c r="H2807" s="7">
        <v>41950</v>
      </c>
      <c r="I2807" s="6" t="s">
        <v>178</v>
      </c>
      <c r="J2807" s="6" t="s">
        <v>11369</v>
      </c>
      <c r="K2807" s="6" t="s">
        <v>21</v>
      </c>
      <c r="L2807" s="6">
        <v>12</v>
      </c>
      <c r="M2807" s="15" t="s">
        <v>11370</v>
      </c>
      <c r="N2807" s="15" t="s">
        <v>78</v>
      </c>
      <c r="O2807" s="28"/>
    </row>
    <row r="2808" spans="1:15" s="1" customFormat="1">
      <c r="A2808" s="3" t="s">
        <v>1127</v>
      </c>
      <c r="B2808" s="3"/>
      <c r="C2808" s="3"/>
      <c r="D2808" s="5" t="s">
        <v>1128</v>
      </c>
      <c r="E2808" s="5" t="s">
        <v>7026</v>
      </c>
      <c r="F2808" s="3" t="s">
        <v>11373</v>
      </c>
      <c r="G2808" s="6">
        <f t="shared" si="110"/>
        <v>349.21199999999999</v>
      </c>
      <c r="H2808" s="7">
        <v>41950</v>
      </c>
      <c r="I2808" s="6" t="s">
        <v>178</v>
      </c>
      <c r="J2808" s="6" t="s">
        <v>11374</v>
      </c>
      <c r="K2808" s="6" t="s">
        <v>21</v>
      </c>
      <c r="L2808" s="6">
        <v>12</v>
      </c>
      <c r="M2808" s="15" t="s">
        <v>11375</v>
      </c>
      <c r="N2808" s="15" t="s">
        <v>78</v>
      </c>
      <c r="O2808" s="28"/>
    </row>
    <row r="2809" spans="1:15" s="1" customFormat="1">
      <c r="A2809" s="3" t="s">
        <v>1127</v>
      </c>
      <c r="B2809" s="3"/>
      <c r="C2809" s="3"/>
      <c r="D2809" s="5" t="s">
        <v>1128</v>
      </c>
      <c r="E2809" s="5" t="s">
        <v>7026</v>
      </c>
      <c r="F2809" s="3" t="s">
        <v>11376</v>
      </c>
      <c r="G2809" s="6">
        <f t="shared" si="110"/>
        <v>378.31299999999999</v>
      </c>
      <c r="H2809" s="7">
        <v>41950</v>
      </c>
      <c r="I2809" s="6" t="s">
        <v>178</v>
      </c>
      <c r="J2809" s="6" t="s">
        <v>11377</v>
      </c>
      <c r="K2809" s="6" t="s">
        <v>21</v>
      </c>
      <c r="L2809" s="6">
        <v>13</v>
      </c>
      <c r="M2809" s="15" t="s">
        <v>11375</v>
      </c>
      <c r="N2809" s="15" t="s">
        <v>81</v>
      </c>
      <c r="O2809" s="28"/>
    </row>
    <row r="2810" spans="1:15" s="1" customFormat="1">
      <c r="A2810" s="3" t="s">
        <v>1127</v>
      </c>
      <c r="B2810" s="3"/>
      <c r="C2810" s="3"/>
      <c r="D2810" s="5" t="s">
        <v>1128</v>
      </c>
      <c r="E2810" s="5" t="s">
        <v>7026</v>
      </c>
      <c r="F2810" s="3" t="s">
        <v>11378</v>
      </c>
      <c r="G2810" s="6">
        <f t="shared" si="110"/>
        <v>349.21199999999999</v>
      </c>
      <c r="H2810" s="7">
        <v>41950</v>
      </c>
      <c r="I2810" s="6" t="s">
        <v>178</v>
      </c>
      <c r="J2810" s="6" t="s">
        <v>11379</v>
      </c>
      <c r="K2810" s="6" t="s">
        <v>21</v>
      </c>
      <c r="L2810" s="6">
        <v>12</v>
      </c>
      <c r="M2810" s="15" t="s">
        <v>11380</v>
      </c>
      <c r="N2810" s="15" t="s">
        <v>78</v>
      </c>
      <c r="O2810" s="28"/>
    </row>
    <row r="2811" spans="1:15" s="1" customFormat="1">
      <c r="A2811" s="3" t="s">
        <v>1127</v>
      </c>
      <c r="B2811" s="3"/>
      <c r="C2811" s="3"/>
      <c r="D2811" s="5" t="s">
        <v>1128</v>
      </c>
      <c r="E2811" s="5" t="s">
        <v>7026</v>
      </c>
      <c r="F2811" s="3" t="s">
        <v>11381</v>
      </c>
      <c r="G2811" s="6">
        <f t="shared" si="110"/>
        <v>378.31299999999999</v>
      </c>
      <c r="H2811" s="7">
        <v>41950</v>
      </c>
      <c r="I2811" s="6" t="s">
        <v>178</v>
      </c>
      <c r="J2811" s="6" t="s">
        <v>11382</v>
      </c>
      <c r="K2811" s="6" t="s">
        <v>21</v>
      </c>
      <c r="L2811" s="6">
        <v>13</v>
      </c>
      <c r="M2811" s="15" t="s">
        <v>11380</v>
      </c>
      <c r="N2811" s="15" t="s">
        <v>81</v>
      </c>
      <c r="O2811" s="28"/>
    </row>
    <row r="2812" spans="1:15" s="1" customFormat="1">
      <c r="A2812" s="3" t="s">
        <v>1127</v>
      </c>
      <c r="B2812" s="3"/>
      <c r="C2812" s="3"/>
      <c r="D2812" s="5" t="s">
        <v>1128</v>
      </c>
      <c r="E2812" s="5" t="s">
        <v>7026</v>
      </c>
      <c r="F2812" s="3" t="s">
        <v>11383</v>
      </c>
      <c r="G2812" s="6">
        <f t="shared" si="110"/>
        <v>349.21199999999999</v>
      </c>
      <c r="H2812" s="7">
        <v>41950</v>
      </c>
      <c r="I2812" s="6" t="s">
        <v>178</v>
      </c>
      <c r="J2812" s="6" t="s">
        <v>11384</v>
      </c>
      <c r="K2812" s="6" t="s">
        <v>21</v>
      </c>
      <c r="L2812" s="6">
        <v>12</v>
      </c>
      <c r="M2812" s="15" t="s">
        <v>11385</v>
      </c>
      <c r="N2812" s="15" t="s">
        <v>78</v>
      </c>
      <c r="O2812" s="28"/>
    </row>
    <row r="2813" spans="1:15" s="1" customFormat="1">
      <c r="A2813" s="3" t="s">
        <v>1127</v>
      </c>
      <c r="B2813" s="3"/>
      <c r="C2813" s="3"/>
      <c r="D2813" s="5" t="s">
        <v>1128</v>
      </c>
      <c r="E2813" s="5" t="s">
        <v>7026</v>
      </c>
      <c r="F2813" s="3" t="s">
        <v>11386</v>
      </c>
      <c r="G2813" s="6">
        <f t="shared" si="110"/>
        <v>378.31299999999999</v>
      </c>
      <c r="H2813" s="7">
        <v>41950</v>
      </c>
      <c r="I2813" s="6" t="s">
        <v>178</v>
      </c>
      <c r="J2813" s="6" t="s">
        <v>11387</v>
      </c>
      <c r="K2813" s="6" t="s">
        <v>21</v>
      </c>
      <c r="L2813" s="6">
        <v>13</v>
      </c>
      <c r="M2813" s="15" t="s">
        <v>11385</v>
      </c>
      <c r="N2813" s="15" t="s">
        <v>81</v>
      </c>
      <c r="O2813" s="28"/>
    </row>
    <row r="2814" spans="1:15" s="1" customFormat="1">
      <c r="A2814" s="3" t="s">
        <v>1043</v>
      </c>
      <c r="B2814" s="3"/>
      <c r="C2814" s="3"/>
      <c r="D2814" s="5" t="s">
        <v>443</v>
      </c>
      <c r="E2814" s="5" t="s">
        <v>7026</v>
      </c>
      <c r="F2814" s="3" t="s">
        <v>11388</v>
      </c>
      <c r="G2814" s="6">
        <f t="shared" ref="G2814:G2821" si="111">18.708*L2814</f>
        <v>224.49599999999998</v>
      </c>
      <c r="H2814" s="7">
        <v>41950</v>
      </c>
      <c r="I2814" s="6" t="s">
        <v>178</v>
      </c>
      <c r="J2814" s="6" t="s">
        <v>11389</v>
      </c>
      <c r="K2814" s="6" t="s">
        <v>5478</v>
      </c>
      <c r="L2814" s="6">
        <v>12</v>
      </c>
      <c r="M2814" s="15" t="s">
        <v>11390</v>
      </c>
      <c r="N2814" s="15" t="s">
        <v>164</v>
      </c>
      <c r="O2814" s="28"/>
    </row>
    <row r="2815" spans="1:15" s="1" customFormat="1">
      <c r="A2815" s="3" t="s">
        <v>1043</v>
      </c>
      <c r="B2815" s="3"/>
      <c r="C2815" s="3"/>
      <c r="D2815" s="5" t="s">
        <v>443</v>
      </c>
      <c r="E2815" s="5" t="s">
        <v>7026</v>
      </c>
      <c r="F2815" s="3" t="s">
        <v>11391</v>
      </c>
      <c r="G2815" s="6">
        <f t="shared" si="111"/>
        <v>243.20399999999998</v>
      </c>
      <c r="H2815" s="7">
        <v>41950</v>
      </c>
      <c r="I2815" s="6" t="s">
        <v>178</v>
      </c>
      <c r="J2815" s="6" t="s">
        <v>11392</v>
      </c>
      <c r="K2815" s="6" t="s">
        <v>5478</v>
      </c>
      <c r="L2815" s="6">
        <v>13</v>
      </c>
      <c r="M2815" s="15" t="s">
        <v>11390</v>
      </c>
      <c r="N2815" s="15" t="s">
        <v>167</v>
      </c>
      <c r="O2815" s="28"/>
    </row>
    <row r="2816" spans="1:15" s="1" customFormat="1">
      <c r="A2816" s="3" t="s">
        <v>1043</v>
      </c>
      <c r="B2816" s="3"/>
      <c r="C2816" s="3"/>
      <c r="D2816" s="5" t="s">
        <v>443</v>
      </c>
      <c r="E2816" s="5" t="s">
        <v>7026</v>
      </c>
      <c r="F2816" s="3" t="s">
        <v>11393</v>
      </c>
      <c r="G2816" s="6">
        <f t="shared" si="111"/>
        <v>224.49599999999998</v>
      </c>
      <c r="H2816" s="7">
        <v>41950</v>
      </c>
      <c r="I2816" s="6" t="s">
        <v>178</v>
      </c>
      <c r="J2816" s="6" t="s">
        <v>11394</v>
      </c>
      <c r="K2816" s="6" t="s">
        <v>5478</v>
      </c>
      <c r="L2816" s="6">
        <v>12</v>
      </c>
      <c r="M2816" s="15" t="s">
        <v>11395</v>
      </c>
      <c r="N2816" s="15" t="s">
        <v>164</v>
      </c>
      <c r="O2816" s="28"/>
    </row>
    <row r="2817" spans="1:15" s="1" customFormat="1">
      <c r="A2817" s="3" t="s">
        <v>1043</v>
      </c>
      <c r="B2817" s="3"/>
      <c r="C2817" s="3"/>
      <c r="D2817" s="5" t="s">
        <v>443</v>
      </c>
      <c r="E2817" s="5" t="s">
        <v>7026</v>
      </c>
      <c r="F2817" s="3" t="s">
        <v>11396</v>
      </c>
      <c r="G2817" s="6">
        <f t="shared" si="111"/>
        <v>243.20399999999998</v>
      </c>
      <c r="H2817" s="7">
        <v>41950</v>
      </c>
      <c r="I2817" s="6" t="s">
        <v>178</v>
      </c>
      <c r="J2817" s="6" t="s">
        <v>11397</v>
      </c>
      <c r="K2817" s="6" t="s">
        <v>5478</v>
      </c>
      <c r="L2817" s="6">
        <v>13</v>
      </c>
      <c r="M2817" s="15" t="s">
        <v>11395</v>
      </c>
      <c r="N2817" s="15" t="s">
        <v>167</v>
      </c>
      <c r="O2817" s="28"/>
    </row>
    <row r="2818" spans="1:15" s="1" customFormat="1">
      <c r="A2818" s="3" t="s">
        <v>1043</v>
      </c>
      <c r="B2818" s="3"/>
      <c r="C2818" s="3"/>
      <c r="D2818" s="5" t="s">
        <v>443</v>
      </c>
      <c r="E2818" s="5" t="s">
        <v>7026</v>
      </c>
      <c r="F2818" s="3" t="s">
        <v>11398</v>
      </c>
      <c r="G2818" s="6">
        <f t="shared" si="111"/>
        <v>187.07999999999998</v>
      </c>
      <c r="H2818" s="7">
        <v>41950</v>
      </c>
      <c r="I2818" s="6" t="s">
        <v>178</v>
      </c>
      <c r="J2818" s="6" t="s">
        <v>11399</v>
      </c>
      <c r="K2818" s="6" t="s">
        <v>5478</v>
      </c>
      <c r="L2818" s="6">
        <v>10</v>
      </c>
      <c r="M2818" s="15" t="s">
        <v>11400</v>
      </c>
      <c r="N2818" s="15" t="s">
        <v>4953</v>
      </c>
      <c r="O2818" s="28"/>
    </row>
    <row r="2819" spans="1:15" s="1" customFormat="1">
      <c r="A2819" s="3" t="s">
        <v>1043</v>
      </c>
      <c r="B2819" s="3"/>
      <c r="C2819" s="3"/>
      <c r="D2819" s="5" t="s">
        <v>443</v>
      </c>
      <c r="E2819" s="5" t="s">
        <v>7026</v>
      </c>
      <c r="F2819" s="3" t="s">
        <v>11401</v>
      </c>
      <c r="G2819" s="6">
        <f t="shared" si="111"/>
        <v>224.49599999999998</v>
      </c>
      <c r="H2819" s="7">
        <v>41950</v>
      </c>
      <c r="I2819" s="6" t="s">
        <v>178</v>
      </c>
      <c r="J2819" s="6" t="s">
        <v>11402</v>
      </c>
      <c r="K2819" s="6" t="s">
        <v>5478</v>
      </c>
      <c r="L2819" s="6">
        <v>12</v>
      </c>
      <c r="M2819" s="15" t="s">
        <v>11403</v>
      </c>
      <c r="N2819" s="15" t="s">
        <v>78</v>
      </c>
      <c r="O2819" s="28"/>
    </row>
    <row r="2820" spans="1:15" s="1" customFormat="1">
      <c r="A2820" s="3" t="s">
        <v>1043</v>
      </c>
      <c r="B2820" s="3"/>
      <c r="C2820" s="3"/>
      <c r="D2820" s="5" t="s">
        <v>443</v>
      </c>
      <c r="E2820" s="5" t="s">
        <v>7026</v>
      </c>
      <c r="F2820" s="3" t="s">
        <v>11404</v>
      </c>
      <c r="G2820" s="6">
        <f t="shared" si="111"/>
        <v>243.20399999999998</v>
      </c>
      <c r="H2820" s="7">
        <v>41950</v>
      </c>
      <c r="I2820" s="6" t="s">
        <v>178</v>
      </c>
      <c r="J2820" s="6" t="s">
        <v>11405</v>
      </c>
      <c r="K2820" s="6" t="s">
        <v>5478</v>
      </c>
      <c r="L2820" s="6">
        <v>13</v>
      </c>
      <c r="M2820" s="15" t="s">
        <v>11403</v>
      </c>
      <c r="N2820" s="15" t="s">
        <v>167</v>
      </c>
      <c r="O2820" s="28"/>
    </row>
    <row r="2821" spans="1:15" s="1" customFormat="1">
      <c r="A2821" s="3" t="s">
        <v>627</v>
      </c>
      <c r="B2821" s="3"/>
      <c r="C2821" s="3"/>
      <c r="D2821" s="5" t="s">
        <v>443</v>
      </c>
      <c r="E2821" s="5" t="s">
        <v>7026</v>
      </c>
      <c r="F2821" s="3" t="s">
        <v>11409</v>
      </c>
      <c r="G2821" s="6">
        <f t="shared" si="111"/>
        <v>224.49599999999998</v>
      </c>
      <c r="H2821" s="7">
        <v>41950</v>
      </c>
      <c r="I2821" s="6" t="s">
        <v>265</v>
      </c>
      <c r="J2821" s="6" t="s">
        <v>11410</v>
      </c>
      <c r="K2821" s="6" t="s">
        <v>5478</v>
      </c>
      <c r="L2821" s="6">
        <v>12</v>
      </c>
      <c r="M2821" s="15" t="s">
        <v>11408</v>
      </c>
      <c r="N2821" s="15" t="s">
        <v>1211</v>
      </c>
      <c r="O2821" s="28"/>
    </row>
    <row r="2822" spans="1:15" s="1" customFormat="1">
      <c r="A2822" s="3" t="s">
        <v>1127</v>
      </c>
      <c r="B2822" s="3"/>
      <c r="C2822" s="3"/>
      <c r="D2822" s="5" t="s">
        <v>1128</v>
      </c>
      <c r="E2822" s="5" t="s">
        <v>7026</v>
      </c>
      <c r="F2822" s="3" t="s">
        <v>11371</v>
      </c>
      <c r="G2822" s="6">
        <f>29.101*L2822</f>
        <v>378.31299999999999</v>
      </c>
      <c r="H2822" s="7">
        <v>41950</v>
      </c>
      <c r="I2822" s="6" t="s">
        <v>178</v>
      </c>
      <c r="J2822" s="6" t="s">
        <v>11372</v>
      </c>
      <c r="K2822" s="6" t="s">
        <v>21</v>
      </c>
      <c r="L2822" s="6">
        <v>13</v>
      </c>
      <c r="M2822" s="15" t="s">
        <v>11370</v>
      </c>
      <c r="N2822" s="15" t="s">
        <v>81</v>
      </c>
      <c r="O2822" s="28"/>
    </row>
    <row r="2823" spans="1:15" s="1" customFormat="1">
      <c r="A2823" s="22" t="s">
        <v>5287</v>
      </c>
      <c r="B2823" s="3"/>
      <c r="C2823" s="3"/>
      <c r="D2823" s="5" t="s">
        <v>9080</v>
      </c>
      <c r="E2823" s="5" t="s">
        <v>124</v>
      </c>
      <c r="F2823" s="3" t="s">
        <v>10876</v>
      </c>
      <c r="G2823" s="6">
        <v>39.9</v>
      </c>
      <c r="H2823" s="7">
        <v>41954</v>
      </c>
      <c r="I2823" s="6" t="s">
        <v>209</v>
      </c>
      <c r="J2823" s="6" t="s">
        <v>10877</v>
      </c>
      <c r="K2823" s="6" t="s">
        <v>9082</v>
      </c>
      <c r="L2823" s="6" t="s">
        <v>2968</v>
      </c>
      <c r="M2823" s="15" t="s">
        <v>9083</v>
      </c>
      <c r="N2823" s="15" t="s">
        <v>9084</v>
      </c>
      <c r="O2823" s="28" t="s">
        <v>11767</v>
      </c>
    </row>
    <row r="2824" spans="1:15" s="1" customFormat="1">
      <c r="A2824" s="22" t="s">
        <v>6163</v>
      </c>
      <c r="B2824" s="3"/>
      <c r="C2824" s="3"/>
      <c r="D2824" s="5" t="s">
        <v>9080</v>
      </c>
      <c r="E2824" s="5" t="s">
        <v>124</v>
      </c>
      <c r="F2824" s="3" t="s">
        <v>10878</v>
      </c>
      <c r="G2824" s="6">
        <v>35.9</v>
      </c>
      <c r="H2824" s="7">
        <v>41954</v>
      </c>
      <c r="I2824" s="6" t="s">
        <v>209</v>
      </c>
      <c r="J2824" s="6" t="s">
        <v>10879</v>
      </c>
      <c r="K2824" s="6" t="s">
        <v>12686</v>
      </c>
      <c r="L2824" s="6" t="s">
        <v>9086</v>
      </c>
      <c r="M2824" s="15" t="s">
        <v>9083</v>
      </c>
      <c r="N2824" s="15" t="s">
        <v>9087</v>
      </c>
      <c r="O2824" s="28" t="s">
        <v>11457</v>
      </c>
    </row>
    <row r="2825" spans="1:15" s="1" customFormat="1">
      <c r="A2825" s="3" t="s">
        <v>3870</v>
      </c>
      <c r="B2825" s="3"/>
      <c r="C2825" s="3"/>
      <c r="D2825" s="5" t="s">
        <v>3871</v>
      </c>
      <c r="E2825" s="5" t="s">
        <v>124</v>
      </c>
      <c r="F2825" s="3" t="s">
        <v>10880</v>
      </c>
      <c r="G2825" s="6">
        <f>13.006*L2825</f>
        <v>156.072</v>
      </c>
      <c r="H2825" s="7">
        <v>41954</v>
      </c>
      <c r="I2825" s="6" t="s">
        <v>6676</v>
      </c>
      <c r="J2825" s="6" t="s">
        <v>10881</v>
      </c>
      <c r="K2825" s="6" t="s">
        <v>21</v>
      </c>
      <c r="L2825" s="6">
        <v>12</v>
      </c>
      <c r="M2825" s="15" t="s">
        <v>10882</v>
      </c>
      <c r="N2825" s="15" t="s">
        <v>164</v>
      </c>
      <c r="O2825" s="28" t="s">
        <v>10882</v>
      </c>
    </row>
    <row r="2826" spans="1:15" s="1" customFormat="1">
      <c r="A2826" s="3" t="s">
        <v>3870</v>
      </c>
      <c r="B2826" s="3"/>
      <c r="C2826" s="3"/>
      <c r="D2826" s="5" t="s">
        <v>3871</v>
      </c>
      <c r="E2826" s="5" t="s">
        <v>124</v>
      </c>
      <c r="F2826" s="3" t="s">
        <v>10883</v>
      </c>
      <c r="G2826" s="6">
        <f>13.006*L2826</f>
        <v>169.078</v>
      </c>
      <c r="H2826" s="7">
        <v>41954</v>
      </c>
      <c r="I2826" s="6" t="s">
        <v>6676</v>
      </c>
      <c r="J2826" s="6" t="s">
        <v>10884</v>
      </c>
      <c r="K2826" s="6" t="s">
        <v>21</v>
      </c>
      <c r="L2826" s="6">
        <v>13</v>
      </c>
      <c r="M2826" s="15" t="s">
        <v>10882</v>
      </c>
      <c r="N2826" s="15" t="s">
        <v>167</v>
      </c>
      <c r="O2826" s="28" t="s">
        <v>10885</v>
      </c>
    </row>
    <row r="2827" spans="1:15" s="1" customFormat="1">
      <c r="A2827" s="3" t="s">
        <v>1087</v>
      </c>
      <c r="B2827" s="4" t="s">
        <v>283</v>
      </c>
      <c r="C2827" s="3"/>
      <c r="D2827" s="5" t="s">
        <v>1088</v>
      </c>
      <c r="E2827" s="5" t="s">
        <v>124</v>
      </c>
      <c r="F2827" s="3" t="s">
        <v>10886</v>
      </c>
      <c r="G2827" s="6">
        <f>9.804*L2827</f>
        <v>117.648</v>
      </c>
      <c r="H2827" s="7">
        <v>41954</v>
      </c>
      <c r="I2827" s="6" t="s">
        <v>1090</v>
      </c>
      <c r="J2827" s="6" t="s">
        <v>10887</v>
      </c>
      <c r="K2827" s="6" t="s">
        <v>21</v>
      </c>
      <c r="L2827" s="6">
        <v>12</v>
      </c>
      <c r="M2827" s="15" t="s">
        <v>10888</v>
      </c>
      <c r="N2827" s="15" t="s">
        <v>164</v>
      </c>
      <c r="O2827" s="28" t="s">
        <v>10888</v>
      </c>
    </row>
    <row r="2828" spans="1:15" s="1" customFormat="1">
      <c r="A2828" s="3" t="s">
        <v>1087</v>
      </c>
      <c r="B2828" s="4" t="s">
        <v>283</v>
      </c>
      <c r="C2828" s="3"/>
      <c r="D2828" s="5" t="s">
        <v>1088</v>
      </c>
      <c r="E2828" s="5" t="s">
        <v>124</v>
      </c>
      <c r="F2828" s="3" t="s">
        <v>10891</v>
      </c>
      <c r="G2828" s="6">
        <f>9.804*L2828</f>
        <v>117.648</v>
      </c>
      <c r="H2828" s="7">
        <v>41954</v>
      </c>
      <c r="I2828" s="6" t="s">
        <v>1090</v>
      </c>
      <c r="J2828" s="6" t="s">
        <v>10892</v>
      </c>
      <c r="K2828" s="6" t="s">
        <v>21</v>
      </c>
      <c r="L2828" s="6">
        <v>12</v>
      </c>
      <c r="M2828" s="15" t="s">
        <v>10893</v>
      </c>
      <c r="N2828" s="15" t="s">
        <v>164</v>
      </c>
      <c r="O2828" s="28" t="s">
        <v>10893</v>
      </c>
    </row>
    <row r="2829" spans="1:15" s="1" customFormat="1">
      <c r="A2829" s="3" t="s">
        <v>1087</v>
      </c>
      <c r="B2829" s="4" t="s">
        <v>283</v>
      </c>
      <c r="C2829" s="3"/>
      <c r="D2829" s="5" t="s">
        <v>1088</v>
      </c>
      <c r="E2829" s="5" t="s">
        <v>124</v>
      </c>
      <c r="F2829" s="3" t="s">
        <v>10894</v>
      </c>
      <c r="G2829" s="6">
        <f>9.804*L2829</f>
        <v>127.452</v>
      </c>
      <c r="H2829" s="7">
        <v>41954</v>
      </c>
      <c r="I2829" s="6" t="s">
        <v>1090</v>
      </c>
      <c r="J2829" s="6" t="s">
        <v>10895</v>
      </c>
      <c r="K2829" s="6" t="s">
        <v>21</v>
      </c>
      <c r="L2829" s="6">
        <v>13</v>
      </c>
      <c r="M2829" s="15" t="s">
        <v>10893</v>
      </c>
      <c r="N2829" s="15" t="s">
        <v>167</v>
      </c>
      <c r="O2829" s="28" t="s">
        <v>12131</v>
      </c>
    </row>
    <row r="2830" spans="1:15" s="1" customFormat="1">
      <c r="A2830" s="3" t="s">
        <v>1087</v>
      </c>
      <c r="B2830" s="4" t="s">
        <v>283</v>
      </c>
      <c r="C2830" s="3"/>
      <c r="D2830" s="5" t="s">
        <v>1088</v>
      </c>
      <c r="E2830" s="5" t="s">
        <v>124</v>
      </c>
      <c r="F2830" s="3" t="s">
        <v>10896</v>
      </c>
      <c r="G2830" s="6">
        <f>9.804*L2830</f>
        <v>117.648</v>
      </c>
      <c r="H2830" s="7">
        <v>41954</v>
      </c>
      <c r="I2830" s="6" t="s">
        <v>1090</v>
      </c>
      <c r="J2830" s="6" t="s">
        <v>10897</v>
      </c>
      <c r="K2830" s="6" t="s">
        <v>21</v>
      </c>
      <c r="L2830" s="6">
        <v>12</v>
      </c>
      <c r="M2830" s="15" t="s">
        <v>10898</v>
      </c>
      <c r="N2830" s="15" t="s">
        <v>164</v>
      </c>
      <c r="O2830" s="28" t="s">
        <v>10898</v>
      </c>
    </row>
    <row r="2831" spans="1:15" s="1" customFormat="1">
      <c r="A2831" s="3" t="s">
        <v>1087</v>
      </c>
      <c r="B2831" s="4" t="s">
        <v>283</v>
      </c>
      <c r="C2831" s="3"/>
      <c r="D2831" s="5" t="s">
        <v>1088</v>
      </c>
      <c r="E2831" s="5" t="s">
        <v>124</v>
      </c>
      <c r="F2831" s="3" t="s">
        <v>10899</v>
      </c>
      <c r="G2831" s="6">
        <f>9.804*L2831</f>
        <v>127.452</v>
      </c>
      <c r="H2831" s="7">
        <v>41954</v>
      </c>
      <c r="I2831" s="6" t="s">
        <v>1090</v>
      </c>
      <c r="J2831" s="6" t="s">
        <v>10900</v>
      </c>
      <c r="K2831" s="6" t="s">
        <v>21</v>
      </c>
      <c r="L2831" s="6">
        <v>13</v>
      </c>
      <c r="M2831" s="15" t="s">
        <v>10898</v>
      </c>
      <c r="N2831" s="15" t="s">
        <v>167</v>
      </c>
      <c r="O2831" s="28" t="s">
        <v>12132</v>
      </c>
    </row>
    <row r="2832" spans="1:15" s="1" customFormat="1">
      <c r="A2832" s="3" t="s">
        <v>290</v>
      </c>
      <c r="B2832" s="3"/>
      <c r="C2832" s="3"/>
      <c r="D2832" s="5" t="s">
        <v>291</v>
      </c>
      <c r="E2832" s="5" t="s">
        <v>124</v>
      </c>
      <c r="F2832" s="3" t="s">
        <v>10901</v>
      </c>
      <c r="G2832" s="6">
        <f>17.498*L2832</f>
        <v>209.976</v>
      </c>
      <c r="H2832" s="7">
        <v>41954</v>
      </c>
      <c r="I2832" s="6" t="s">
        <v>265</v>
      </c>
      <c r="J2832" s="6" t="s">
        <v>10902</v>
      </c>
      <c r="K2832" s="6" t="s">
        <v>21</v>
      </c>
      <c r="L2832" s="6">
        <v>12</v>
      </c>
      <c r="M2832" s="15" t="s">
        <v>10903</v>
      </c>
      <c r="N2832" s="15" t="s">
        <v>78</v>
      </c>
      <c r="O2832" s="28" t="s">
        <v>10903</v>
      </c>
    </row>
    <row r="2833" spans="1:15" s="1" customFormat="1">
      <c r="A2833" s="3" t="s">
        <v>290</v>
      </c>
      <c r="B2833" s="3"/>
      <c r="C2833" s="3"/>
      <c r="D2833" s="5" t="s">
        <v>291</v>
      </c>
      <c r="E2833" s="5" t="s">
        <v>124</v>
      </c>
      <c r="F2833" s="3" t="s">
        <v>10904</v>
      </c>
      <c r="G2833" s="6">
        <f>17.498*L2833</f>
        <v>227.47400000000002</v>
      </c>
      <c r="H2833" s="7">
        <v>41954</v>
      </c>
      <c r="I2833" s="6" t="s">
        <v>265</v>
      </c>
      <c r="J2833" s="6" t="s">
        <v>10905</v>
      </c>
      <c r="K2833" s="6" t="s">
        <v>21</v>
      </c>
      <c r="L2833" s="6">
        <v>13</v>
      </c>
      <c r="M2833" s="15" t="s">
        <v>10903</v>
      </c>
      <c r="N2833" s="15" t="s">
        <v>167</v>
      </c>
      <c r="O2833" s="28" t="s">
        <v>10906</v>
      </c>
    </row>
    <row r="2834" spans="1:15" s="1" customFormat="1">
      <c r="A2834" s="3" t="s">
        <v>3870</v>
      </c>
      <c r="B2834" s="3"/>
      <c r="C2834" s="3"/>
      <c r="D2834" s="5" t="s">
        <v>3871</v>
      </c>
      <c r="E2834" s="5" t="s">
        <v>124</v>
      </c>
      <c r="F2834" s="3" t="s">
        <v>10907</v>
      </c>
      <c r="G2834" s="6">
        <f t="shared" ref="G2834:G2843" si="112">13.006*L2834</f>
        <v>156.072</v>
      </c>
      <c r="H2834" s="7">
        <v>41954</v>
      </c>
      <c r="I2834" s="6" t="s">
        <v>6676</v>
      </c>
      <c r="J2834" s="6" t="s">
        <v>10908</v>
      </c>
      <c r="K2834" s="6" t="s">
        <v>21</v>
      </c>
      <c r="L2834" s="6">
        <v>12</v>
      </c>
      <c r="M2834" s="15" t="s">
        <v>10909</v>
      </c>
      <c r="N2834" s="15" t="s">
        <v>164</v>
      </c>
      <c r="O2834" s="28" t="s">
        <v>10909</v>
      </c>
    </row>
    <row r="2835" spans="1:15" s="1" customFormat="1">
      <c r="A2835" s="3" t="s">
        <v>3870</v>
      </c>
      <c r="B2835" s="3"/>
      <c r="C2835" s="3"/>
      <c r="D2835" s="5" t="s">
        <v>3871</v>
      </c>
      <c r="E2835" s="5" t="s">
        <v>124</v>
      </c>
      <c r="F2835" s="3" t="s">
        <v>10910</v>
      </c>
      <c r="G2835" s="6">
        <f t="shared" si="112"/>
        <v>169.078</v>
      </c>
      <c r="H2835" s="7">
        <v>41954</v>
      </c>
      <c r="I2835" s="6" t="s">
        <v>6676</v>
      </c>
      <c r="J2835" s="6" t="s">
        <v>10911</v>
      </c>
      <c r="K2835" s="6" t="s">
        <v>21</v>
      </c>
      <c r="L2835" s="6">
        <v>13</v>
      </c>
      <c r="M2835" s="15" t="s">
        <v>10909</v>
      </c>
      <c r="N2835" s="15" t="s">
        <v>167</v>
      </c>
      <c r="O2835" s="28" t="s">
        <v>10912</v>
      </c>
    </row>
    <row r="2836" spans="1:15" s="1" customFormat="1">
      <c r="A2836" s="3" t="s">
        <v>3870</v>
      </c>
      <c r="B2836" s="3"/>
      <c r="C2836" s="3"/>
      <c r="D2836" s="5" t="s">
        <v>3871</v>
      </c>
      <c r="E2836" s="5" t="s">
        <v>124</v>
      </c>
      <c r="F2836" s="3" t="s">
        <v>10913</v>
      </c>
      <c r="G2836" s="6">
        <f t="shared" si="112"/>
        <v>156.072</v>
      </c>
      <c r="H2836" s="7">
        <v>41954</v>
      </c>
      <c r="I2836" s="6" t="s">
        <v>6676</v>
      </c>
      <c r="J2836" s="6" t="s">
        <v>10914</v>
      </c>
      <c r="K2836" s="6" t="s">
        <v>21</v>
      </c>
      <c r="L2836" s="6">
        <v>12</v>
      </c>
      <c r="M2836" s="15" t="s">
        <v>10915</v>
      </c>
      <c r="N2836" s="15" t="s">
        <v>164</v>
      </c>
      <c r="O2836" s="28" t="s">
        <v>10915</v>
      </c>
    </row>
    <row r="2837" spans="1:15" s="1" customFormat="1">
      <c r="A2837" s="3" t="s">
        <v>3870</v>
      </c>
      <c r="B2837" s="3"/>
      <c r="C2837" s="3"/>
      <c r="D2837" s="5" t="s">
        <v>3871</v>
      </c>
      <c r="E2837" s="5" t="s">
        <v>124</v>
      </c>
      <c r="F2837" s="3" t="s">
        <v>10916</v>
      </c>
      <c r="G2837" s="6">
        <f t="shared" si="112"/>
        <v>169.078</v>
      </c>
      <c r="H2837" s="7">
        <v>41954</v>
      </c>
      <c r="I2837" s="6" t="s">
        <v>6676</v>
      </c>
      <c r="J2837" s="6" t="s">
        <v>10917</v>
      </c>
      <c r="K2837" s="6" t="s">
        <v>21</v>
      </c>
      <c r="L2837" s="6">
        <v>13</v>
      </c>
      <c r="M2837" s="15" t="s">
        <v>10915</v>
      </c>
      <c r="N2837" s="15" t="s">
        <v>167</v>
      </c>
      <c r="O2837" s="28" t="s">
        <v>10918</v>
      </c>
    </row>
    <row r="2838" spans="1:15" s="1" customFormat="1">
      <c r="A2838" s="3" t="s">
        <v>3870</v>
      </c>
      <c r="B2838" s="3"/>
      <c r="C2838" s="3"/>
      <c r="D2838" s="5" t="s">
        <v>3871</v>
      </c>
      <c r="E2838" s="5" t="s">
        <v>124</v>
      </c>
      <c r="F2838" s="3" t="s">
        <v>10919</v>
      </c>
      <c r="G2838" s="6">
        <f t="shared" si="112"/>
        <v>156.072</v>
      </c>
      <c r="H2838" s="7">
        <v>41954</v>
      </c>
      <c r="I2838" s="6" t="s">
        <v>6676</v>
      </c>
      <c r="J2838" s="6" t="s">
        <v>10920</v>
      </c>
      <c r="K2838" s="6" t="s">
        <v>21</v>
      </c>
      <c r="L2838" s="6">
        <v>12</v>
      </c>
      <c r="M2838" s="15" t="s">
        <v>10921</v>
      </c>
      <c r="N2838" s="15" t="s">
        <v>164</v>
      </c>
      <c r="O2838" s="28" t="s">
        <v>10921</v>
      </c>
    </row>
    <row r="2839" spans="1:15" s="1" customFormat="1">
      <c r="A2839" s="3" t="s">
        <v>3870</v>
      </c>
      <c r="B2839" s="3"/>
      <c r="C2839" s="3"/>
      <c r="D2839" s="5" t="s">
        <v>3871</v>
      </c>
      <c r="E2839" s="5" t="s">
        <v>124</v>
      </c>
      <c r="F2839" s="3" t="s">
        <v>10922</v>
      </c>
      <c r="G2839" s="6">
        <f t="shared" si="112"/>
        <v>169.078</v>
      </c>
      <c r="H2839" s="7">
        <v>41954</v>
      </c>
      <c r="I2839" s="6" t="s">
        <v>6676</v>
      </c>
      <c r="J2839" s="6" t="s">
        <v>10923</v>
      </c>
      <c r="K2839" s="6" t="s">
        <v>21</v>
      </c>
      <c r="L2839" s="6">
        <v>13</v>
      </c>
      <c r="M2839" s="15" t="s">
        <v>10921</v>
      </c>
      <c r="N2839" s="15" t="s">
        <v>167</v>
      </c>
      <c r="O2839" s="28" t="s">
        <v>10924</v>
      </c>
    </row>
    <row r="2840" spans="1:15" s="1" customFormat="1">
      <c r="A2840" s="3" t="s">
        <v>3870</v>
      </c>
      <c r="B2840" s="3"/>
      <c r="C2840" s="3"/>
      <c r="D2840" s="5" t="s">
        <v>3871</v>
      </c>
      <c r="E2840" s="5" t="s">
        <v>124</v>
      </c>
      <c r="F2840" s="3" t="s">
        <v>10925</v>
      </c>
      <c r="G2840" s="6">
        <f t="shared" si="112"/>
        <v>143.066</v>
      </c>
      <c r="H2840" s="7">
        <v>41954</v>
      </c>
      <c r="I2840" s="6" t="s">
        <v>6676</v>
      </c>
      <c r="J2840" s="6" t="s">
        <v>10926</v>
      </c>
      <c r="K2840" s="6" t="s">
        <v>21</v>
      </c>
      <c r="L2840" s="6">
        <v>11</v>
      </c>
      <c r="M2840" s="15" t="s">
        <v>10927</v>
      </c>
      <c r="N2840" s="15" t="s">
        <v>10928</v>
      </c>
      <c r="O2840" s="28" t="s">
        <v>10927</v>
      </c>
    </row>
    <row r="2841" spans="1:15" s="1" customFormat="1">
      <c r="A2841" s="3" t="s">
        <v>3870</v>
      </c>
      <c r="B2841" s="3"/>
      <c r="C2841" s="3"/>
      <c r="D2841" s="5" t="s">
        <v>3871</v>
      </c>
      <c r="E2841" s="5" t="s">
        <v>124</v>
      </c>
      <c r="F2841" s="3" t="s">
        <v>10929</v>
      </c>
      <c r="G2841" s="6">
        <f t="shared" si="112"/>
        <v>143.066</v>
      </c>
      <c r="H2841" s="7">
        <v>41954</v>
      </c>
      <c r="I2841" s="6" t="s">
        <v>6676</v>
      </c>
      <c r="J2841" s="6" t="s">
        <v>10930</v>
      </c>
      <c r="K2841" s="6" t="s">
        <v>21</v>
      </c>
      <c r="L2841" s="6">
        <v>11</v>
      </c>
      <c r="M2841" s="15" t="s">
        <v>10927</v>
      </c>
      <c r="N2841" s="15" t="s">
        <v>5088</v>
      </c>
      <c r="O2841" s="28" t="s">
        <v>10931</v>
      </c>
    </row>
    <row r="2842" spans="1:15" s="1" customFormat="1">
      <c r="A2842" s="3" t="s">
        <v>3870</v>
      </c>
      <c r="B2842" s="3"/>
      <c r="C2842" s="3"/>
      <c r="D2842" s="5" t="s">
        <v>3871</v>
      </c>
      <c r="E2842" s="5" t="s">
        <v>124</v>
      </c>
      <c r="F2842" s="3" t="s">
        <v>10932</v>
      </c>
      <c r="G2842" s="6">
        <f t="shared" si="112"/>
        <v>156.072</v>
      </c>
      <c r="H2842" s="7">
        <v>41954</v>
      </c>
      <c r="I2842" s="6" t="s">
        <v>6676</v>
      </c>
      <c r="J2842" s="6" t="s">
        <v>10933</v>
      </c>
      <c r="K2842" s="6" t="s">
        <v>21</v>
      </c>
      <c r="L2842" s="6">
        <v>12</v>
      </c>
      <c r="M2842" s="15" t="s">
        <v>10934</v>
      </c>
      <c r="N2842" s="15" t="s">
        <v>164</v>
      </c>
      <c r="O2842" s="28" t="s">
        <v>10934</v>
      </c>
    </row>
    <row r="2843" spans="1:15" s="1" customFormat="1">
      <c r="A2843" s="3" t="s">
        <v>3870</v>
      </c>
      <c r="B2843" s="3"/>
      <c r="C2843" s="3"/>
      <c r="D2843" s="5" t="s">
        <v>3871</v>
      </c>
      <c r="E2843" s="5" t="s">
        <v>124</v>
      </c>
      <c r="F2843" s="3" t="s">
        <v>10935</v>
      </c>
      <c r="G2843" s="6">
        <f t="shared" si="112"/>
        <v>169.078</v>
      </c>
      <c r="H2843" s="7">
        <v>41954</v>
      </c>
      <c r="I2843" s="6" t="s">
        <v>11518</v>
      </c>
      <c r="J2843" s="6" t="s">
        <v>11519</v>
      </c>
      <c r="K2843" s="6" t="s">
        <v>21</v>
      </c>
      <c r="L2843" s="6">
        <v>13</v>
      </c>
      <c r="M2843" s="15" t="s">
        <v>10934</v>
      </c>
      <c r="N2843" s="15" t="s">
        <v>167</v>
      </c>
      <c r="O2843" s="28" t="s">
        <v>10936</v>
      </c>
    </row>
    <row r="2844" spans="1:15" s="1" customFormat="1">
      <c r="A2844" s="3" t="s">
        <v>1108</v>
      </c>
      <c r="B2844" s="3"/>
      <c r="C2844" s="3"/>
      <c r="D2844" s="5" t="s">
        <v>391</v>
      </c>
      <c r="E2844" s="5" t="s">
        <v>124</v>
      </c>
      <c r="F2844" s="3" t="s">
        <v>10937</v>
      </c>
      <c r="G2844" s="6">
        <f t="shared" ref="G2844:G2850" si="113">17.712*L2844</f>
        <v>194.83199999999999</v>
      </c>
      <c r="H2844" s="7">
        <v>41954</v>
      </c>
      <c r="I2844" s="6" t="s">
        <v>265</v>
      </c>
      <c r="J2844" s="6" t="s">
        <v>10938</v>
      </c>
      <c r="K2844" s="6" t="s">
        <v>21</v>
      </c>
      <c r="L2844" s="6">
        <v>11</v>
      </c>
      <c r="M2844" s="15" t="s">
        <v>10939</v>
      </c>
      <c r="N2844" s="15" t="s">
        <v>10940</v>
      </c>
      <c r="O2844" s="28" t="s">
        <v>10939</v>
      </c>
    </row>
    <row r="2845" spans="1:15" s="1" customFormat="1">
      <c r="A2845" s="3" t="s">
        <v>1108</v>
      </c>
      <c r="B2845" s="3"/>
      <c r="C2845" s="3"/>
      <c r="D2845" s="5" t="s">
        <v>391</v>
      </c>
      <c r="E2845" s="5" t="s">
        <v>124</v>
      </c>
      <c r="F2845" s="3" t="s">
        <v>10941</v>
      </c>
      <c r="G2845" s="6">
        <f t="shared" si="113"/>
        <v>212.54399999999998</v>
      </c>
      <c r="H2845" s="7">
        <v>41954</v>
      </c>
      <c r="I2845" s="6" t="s">
        <v>11809</v>
      </c>
      <c r="J2845" s="6" t="s">
        <v>11810</v>
      </c>
      <c r="K2845" s="6" t="s">
        <v>21</v>
      </c>
      <c r="L2845" s="6">
        <v>12</v>
      </c>
      <c r="M2845" s="15" t="s">
        <v>10939</v>
      </c>
      <c r="N2845" s="15" t="s">
        <v>10942</v>
      </c>
      <c r="O2845" s="28" t="s">
        <v>10943</v>
      </c>
    </row>
    <row r="2846" spans="1:15" s="1" customFormat="1">
      <c r="A2846" s="3" t="s">
        <v>918</v>
      </c>
      <c r="B2846" s="3"/>
      <c r="C2846" s="3"/>
      <c r="D2846" s="5" t="s">
        <v>919</v>
      </c>
      <c r="E2846" s="5" t="s">
        <v>124</v>
      </c>
      <c r="F2846" s="3" t="s">
        <v>10944</v>
      </c>
      <c r="G2846" s="6">
        <f t="shared" si="113"/>
        <v>212.54399999999998</v>
      </c>
      <c r="H2846" s="7">
        <v>41954</v>
      </c>
      <c r="I2846" s="6" t="s">
        <v>265</v>
      </c>
      <c r="J2846" s="6" t="s">
        <v>10945</v>
      </c>
      <c r="K2846" s="6" t="s">
        <v>21</v>
      </c>
      <c r="L2846" s="6">
        <v>12</v>
      </c>
      <c r="M2846" s="15" t="s">
        <v>10946</v>
      </c>
      <c r="N2846" s="15" t="s">
        <v>78</v>
      </c>
      <c r="O2846" s="28" t="s">
        <v>10946</v>
      </c>
    </row>
    <row r="2847" spans="1:15" s="1" customFormat="1">
      <c r="A2847" s="3" t="s">
        <v>918</v>
      </c>
      <c r="B2847" s="3"/>
      <c r="C2847" s="3"/>
      <c r="D2847" s="5" t="s">
        <v>919</v>
      </c>
      <c r="E2847" s="5" t="s">
        <v>124</v>
      </c>
      <c r="F2847" s="3" t="s">
        <v>10947</v>
      </c>
      <c r="G2847" s="6">
        <f t="shared" si="113"/>
        <v>230.256</v>
      </c>
      <c r="H2847" s="7">
        <v>41954</v>
      </c>
      <c r="I2847" s="6" t="s">
        <v>265</v>
      </c>
      <c r="J2847" s="6" t="s">
        <v>10948</v>
      </c>
      <c r="K2847" s="6" t="s">
        <v>21</v>
      </c>
      <c r="L2847" s="6">
        <v>13</v>
      </c>
      <c r="M2847" s="15" t="s">
        <v>10946</v>
      </c>
      <c r="N2847" s="15" t="s">
        <v>167</v>
      </c>
      <c r="O2847" s="28" t="s">
        <v>10949</v>
      </c>
    </row>
    <row r="2848" spans="1:15" s="1" customFormat="1">
      <c r="A2848" s="3" t="s">
        <v>918</v>
      </c>
      <c r="B2848" s="3"/>
      <c r="C2848" s="3"/>
      <c r="D2848" s="5" t="s">
        <v>919</v>
      </c>
      <c r="E2848" s="5" t="s">
        <v>124</v>
      </c>
      <c r="F2848" s="3" t="s">
        <v>10953</v>
      </c>
      <c r="G2848" s="6">
        <f t="shared" si="113"/>
        <v>230.256</v>
      </c>
      <c r="H2848" s="7">
        <v>41954</v>
      </c>
      <c r="I2848" s="6" t="s">
        <v>265</v>
      </c>
      <c r="J2848" s="6" t="s">
        <v>10954</v>
      </c>
      <c r="K2848" s="6" t="s">
        <v>21</v>
      </c>
      <c r="L2848" s="6">
        <v>13</v>
      </c>
      <c r="M2848" s="15" t="s">
        <v>10952</v>
      </c>
      <c r="N2848" s="15" t="s">
        <v>167</v>
      </c>
      <c r="O2848" s="28" t="s">
        <v>10955</v>
      </c>
    </row>
    <row r="2849" spans="1:15" s="1" customFormat="1">
      <c r="A2849" s="3" t="s">
        <v>918</v>
      </c>
      <c r="B2849" s="3"/>
      <c r="C2849" s="3"/>
      <c r="D2849" s="5" t="s">
        <v>919</v>
      </c>
      <c r="E2849" s="5" t="s">
        <v>124</v>
      </c>
      <c r="F2849" s="3" t="s">
        <v>10956</v>
      </c>
      <c r="G2849" s="6">
        <f t="shared" si="113"/>
        <v>212.54399999999998</v>
      </c>
      <c r="H2849" s="7">
        <v>41954</v>
      </c>
      <c r="I2849" s="6" t="s">
        <v>265</v>
      </c>
      <c r="J2849" s="6" t="s">
        <v>10957</v>
      </c>
      <c r="K2849" s="6" t="s">
        <v>21</v>
      </c>
      <c r="L2849" s="6">
        <v>12</v>
      </c>
      <c r="M2849" s="15" t="s">
        <v>10958</v>
      </c>
      <c r="N2849" s="15" t="s">
        <v>12952</v>
      </c>
      <c r="O2849" s="28" t="s">
        <v>10958</v>
      </c>
    </row>
    <row r="2850" spans="1:15" s="1" customFormat="1">
      <c r="A2850" s="3" t="s">
        <v>918</v>
      </c>
      <c r="B2850" s="3"/>
      <c r="C2850" s="3"/>
      <c r="D2850" s="5" t="s">
        <v>919</v>
      </c>
      <c r="E2850" s="5" t="s">
        <v>124</v>
      </c>
      <c r="F2850" s="3" t="s">
        <v>10962</v>
      </c>
      <c r="G2850" s="6">
        <f t="shared" si="113"/>
        <v>265.68</v>
      </c>
      <c r="H2850" s="7">
        <v>41954</v>
      </c>
      <c r="I2850" s="6" t="s">
        <v>265</v>
      </c>
      <c r="J2850" s="6" t="s">
        <v>10963</v>
      </c>
      <c r="K2850" s="6" t="s">
        <v>21</v>
      </c>
      <c r="L2850" s="6">
        <v>15</v>
      </c>
      <c r="M2850" s="15" t="s">
        <v>10964</v>
      </c>
      <c r="N2850" s="15" t="s">
        <v>6186</v>
      </c>
      <c r="O2850" s="28" t="s">
        <v>10964</v>
      </c>
    </row>
    <row r="2851" spans="1:15" s="1" customFormat="1">
      <c r="A2851" s="3" t="s">
        <v>812</v>
      </c>
      <c r="B2851" s="3"/>
      <c r="C2851" s="3"/>
      <c r="D2851" s="5" t="s">
        <v>3759</v>
      </c>
      <c r="E2851" s="5" t="s">
        <v>124</v>
      </c>
      <c r="F2851" s="3" t="s">
        <v>10965</v>
      </c>
      <c r="G2851" s="6">
        <v>30.251000000000001</v>
      </c>
      <c r="H2851" s="7">
        <v>41954</v>
      </c>
      <c r="I2851" s="6" t="s">
        <v>209</v>
      </c>
      <c r="J2851" s="6" t="s">
        <v>10966</v>
      </c>
      <c r="K2851" s="6" t="s">
        <v>128</v>
      </c>
      <c r="L2851" s="6" t="s">
        <v>301</v>
      </c>
      <c r="M2851" s="15" t="s">
        <v>10967</v>
      </c>
      <c r="N2851" s="15" t="s">
        <v>10968</v>
      </c>
      <c r="O2851" s="28" t="s">
        <v>12649</v>
      </c>
    </row>
    <row r="2852" spans="1:15" s="1" customFormat="1">
      <c r="A2852" s="3" t="s">
        <v>1322</v>
      </c>
      <c r="B2852" s="3"/>
      <c r="C2852" s="3"/>
      <c r="D2852" s="5" t="s">
        <v>672</v>
      </c>
      <c r="E2852" s="5" t="s">
        <v>124</v>
      </c>
      <c r="F2852" s="3" t="s">
        <v>10974</v>
      </c>
      <c r="G2852" s="6">
        <v>48.625999999999998</v>
      </c>
      <c r="H2852" s="7">
        <v>41954</v>
      </c>
      <c r="I2852" s="6" t="s">
        <v>209</v>
      </c>
      <c r="J2852" s="6" t="s">
        <v>10975</v>
      </c>
      <c r="K2852" s="6" t="s">
        <v>128</v>
      </c>
      <c r="L2852" s="6" t="s">
        <v>1990</v>
      </c>
      <c r="M2852" s="15" t="s">
        <v>10976</v>
      </c>
      <c r="N2852" s="15" t="s">
        <v>10977</v>
      </c>
      <c r="O2852" s="28" t="s">
        <v>10978</v>
      </c>
    </row>
    <row r="2853" spans="1:15" s="1" customFormat="1">
      <c r="A2853" s="3" t="s">
        <v>1216</v>
      </c>
      <c r="B2853" s="3"/>
      <c r="C2853" s="3"/>
      <c r="D2853" s="5" t="s">
        <v>2117</v>
      </c>
      <c r="E2853" s="5" t="s">
        <v>124</v>
      </c>
      <c r="F2853" s="3" t="s">
        <v>10979</v>
      </c>
      <c r="G2853" s="6">
        <v>232.37200000000001</v>
      </c>
      <c r="H2853" s="7">
        <v>41954</v>
      </c>
      <c r="I2853" s="6" t="s">
        <v>209</v>
      </c>
      <c r="J2853" s="6" t="s">
        <v>10980</v>
      </c>
      <c r="K2853" s="6" t="s">
        <v>128</v>
      </c>
      <c r="L2853" s="6" t="s">
        <v>1226</v>
      </c>
      <c r="M2853" s="15" t="s">
        <v>10981</v>
      </c>
      <c r="N2853" s="15" t="s">
        <v>10982</v>
      </c>
      <c r="O2853" s="28" t="s">
        <v>10983</v>
      </c>
    </row>
    <row r="2854" spans="1:15" s="1" customFormat="1">
      <c r="A2854" s="3" t="s">
        <v>1216</v>
      </c>
      <c r="B2854" s="3"/>
      <c r="C2854" s="3"/>
      <c r="D2854" s="5" t="s">
        <v>2117</v>
      </c>
      <c r="E2854" s="5" t="s">
        <v>124</v>
      </c>
      <c r="F2854" s="3" t="s">
        <v>10984</v>
      </c>
      <c r="G2854" s="6">
        <v>139.696</v>
      </c>
      <c r="H2854" s="7">
        <v>41954</v>
      </c>
      <c r="I2854" s="6" t="s">
        <v>209</v>
      </c>
      <c r="J2854" s="6" t="s">
        <v>10985</v>
      </c>
      <c r="K2854" s="6" t="s">
        <v>128</v>
      </c>
      <c r="L2854" s="6" t="s">
        <v>2183</v>
      </c>
      <c r="M2854" s="15" t="s">
        <v>10981</v>
      </c>
      <c r="N2854" s="15" t="s">
        <v>10986</v>
      </c>
      <c r="O2854" s="28" t="s">
        <v>10987</v>
      </c>
    </row>
    <row r="2855" spans="1:15" s="1" customFormat="1">
      <c r="A2855" s="3" t="s">
        <v>1216</v>
      </c>
      <c r="B2855" s="3"/>
      <c r="C2855" s="3"/>
      <c r="D2855" s="5" t="s">
        <v>2117</v>
      </c>
      <c r="E2855" s="5" t="s">
        <v>124</v>
      </c>
      <c r="F2855" s="3" t="s">
        <v>10988</v>
      </c>
      <c r="G2855" s="6">
        <v>232.98599999999999</v>
      </c>
      <c r="H2855" s="7">
        <v>41954</v>
      </c>
      <c r="I2855" s="6" t="s">
        <v>209</v>
      </c>
      <c r="J2855" s="6" t="s">
        <v>10989</v>
      </c>
      <c r="K2855" s="6" t="s">
        <v>128</v>
      </c>
      <c r="L2855" s="6" t="s">
        <v>1226</v>
      </c>
      <c r="M2855" s="15" t="s">
        <v>10990</v>
      </c>
      <c r="N2855" s="15" t="s">
        <v>5104</v>
      </c>
      <c r="O2855" s="28" t="s">
        <v>10991</v>
      </c>
    </row>
    <row r="2856" spans="1:15" s="1" customFormat="1">
      <c r="A2856" s="3" t="s">
        <v>1216</v>
      </c>
      <c r="B2856" s="3"/>
      <c r="C2856" s="3"/>
      <c r="D2856" s="5" t="s">
        <v>2117</v>
      </c>
      <c r="E2856" s="5" t="s">
        <v>124</v>
      </c>
      <c r="F2856" s="3" t="s">
        <v>10992</v>
      </c>
      <c r="G2856" s="6">
        <v>139.691</v>
      </c>
      <c r="H2856" s="7">
        <v>41954</v>
      </c>
      <c r="I2856" s="6" t="s">
        <v>209</v>
      </c>
      <c r="J2856" s="6" t="s">
        <v>10993</v>
      </c>
      <c r="K2856" s="6" t="s">
        <v>128</v>
      </c>
      <c r="L2856" s="6" t="s">
        <v>2183</v>
      </c>
      <c r="M2856" s="15" t="s">
        <v>10990</v>
      </c>
      <c r="N2856" s="15" t="s">
        <v>10994</v>
      </c>
      <c r="O2856" s="28" t="s">
        <v>10995</v>
      </c>
    </row>
    <row r="2857" spans="1:15" s="1" customFormat="1">
      <c r="A2857" s="3" t="s">
        <v>3996</v>
      </c>
      <c r="B2857" s="3"/>
      <c r="C2857" s="3"/>
      <c r="D2857" s="5" t="s">
        <v>3997</v>
      </c>
      <c r="E2857" s="5" t="s">
        <v>124</v>
      </c>
      <c r="F2857" s="3" t="s">
        <v>10999</v>
      </c>
      <c r="G2857" s="6">
        <f>12.838*L2857</f>
        <v>128.38</v>
      </c>
      <c r="H2857" s="7">
        <v>41954</v>
      </c>
      <c r="I2857" s="6" t="s">
        <v>471</v>
      </c>
      <c r="J2857" s="6" t="s">
        <v>11000</v>
      </c>
      <c r="K2857" s="6" t="s">
        <v>21</v>
      </c>
      <c r="L2857" s="6">
        <v>10</v>
      </c>
      <c r="M2857" s="15" t="s">
        <v>10998</v>
      </c>
      <c r="N2857" s="15" t="s">
        <v>556</v>
      </c>
      <c r="O2857" s="28" t="s">
        <v>11001</v>
      </c>
    </row>
    <row r="2858" spans="1:15" s="1" customFormat="1">
      <c r="A2858" s="3" t="s">
        <v>1087</v>
      </c>
      <c r="B2858" s="4" t="s">
        <v>283</v>
      </c>
      <c r="C2858" s="3"/>
      <c r="D2858" s="5" t="s">
        <v>1088</v>
      </c>
      <c r="E2858" s="5" t="s">
        <v>124</v>
      </c>
      <c r="F2858" s="3" t="s">
        <v>10889</v>
      </c>
      <c r="G2858" s="6">
        <f>9.804*L2858</f>
        <v>127.452</v>
      </c>
      <c r="H2858" s="7">
        <v>41954</v>
      </c>
      <c r="I2858" s="6" t="s">
        <v>1090</v>
      </c>
      <c r="J2858" s="6" t="s">
        <v>10890</v>
      </c>
      <c r="K2858" s="6" t="s">
        <v>21</v>
      </c>
      <c r="L2858" s="6">
        <v>13</v>
      </c>
      <c r="M2858" s="15" t="s">
        <v>10888</v>
      </c>
      <c r="N2858" s="15" t="s">
        <v>167</v>
      </c>
      <c r="O2858" s="28" t="s">
        <v>12130</v>
      </c>
    </row>
    <row r="2859" spans="1:15" s="1" customFormat="1">
      <c r="A2859" s="3" t="s">
        <v>918</v>
      </c>
      <c r="B2859" s="3"/>
      <c r="C2859" s="3"/>
      <c r="D2859" s="5" t="s">
        <v>919</v>
      </c>
      <c r="E2859" s="5" t="s">
        <v>124</v>
      </c>
      <c r="F2859" s="3" t="s">
        <v>10950</v>
      </c>
      <c r="G2859" s="6">
        <f>17.712*L2859</f>
        <v>212.54399999999998</v>
      </c>
      <c r="H2859" s="7">
        <v>41954</v>
      </c>
      <c r="I2859" s="6" t="s">
        <v>265</v>
      </c>
      <c r="J2859" s="6" t="s">
        <v>10951</v>
      </c>
      <c r="K2859" s="6" t="s">
        <v>21</v>
      </c>
      <c r="L2859" s="6">
        <v>12</v>
      </c>
      <c r="M2859" s="15" t="s">
        <v>10952</v>
      </c>
      <c r="N2859" s="15" t="s">
        <v>78</v>
      </c>
      <c r="O2859" s="28" t="s">
        <v>10952</v>
      </c>
    </row>
    <row r="2860" spans="1:15" s="1" customFormat="1">
      <c r="A2860" s="3" t="s">
        <v>5474</v>
      </c>
      <c r="B2860" s="3"/>
      <c r="C2860" s="3"/>
      <c r="D2860" s="5" t="s">
        <v>5475</v>
      </c>
      <c r="E2860" s="5" t="s">
        <v>124</v>
      </c>
      <c r="F2860" s="3" t="s">
        <v>11009</v>
      </c>
      <c r="G2860" s="6">
        <f>17.498*L2860</f>
        <v>209.976</v>
      </c>
      <c r="H2860" s="7">
        <v>41955</v>
      </c>
      <c r="I2860" s="6" t="s">
        <v>265</v>
      </c>
      <c r="J2860" s="6" t="s">
        <v>11010</v>
      </c>
      <c r="K2860" s="6" t="s">
        <v>21</v>
      </c>
      <c r="L2860" s="6">
        <v>12</v>
      </c>
      <c r="M2860" s="15" t="s">
        <v>11011</v>
      </c>
      <c r="N2860" s="15" t="s">
        <v>78</v>
      </c>
      <c r="O2860" s="28" t="s">
        <v>13500</v>
      </c>
    </row>
    <row r="2861" spans="1:15" s="1" customFormat="1">
      <c r="A2861" s="3" t="s">
        <v>1285</v>
      </c>
      <c r="B2861" s="3" t="s">
        <v>283</v>
      </c>
      <c r="C2861" s="3"/>
      <c r="D2861" s="5" t="s">
        <v>1287</v>
      </c>
      <c r="E2861" s="5" t="s">
        <v>124</v>
      </c>
      <c r="F2861" s="3" t="s">
        <v>11014</v>
      </c>
      <c r="G2861" s="6">
        <f t="shared" ref="G2861:G2866" si="114">8.606*L2861</f>
        <v>103.27199999999999</v>
      </c>
      <c r="H2861" s="7">
        <v>41955</v>
      </c>
      <c r="I2861" s="6" t="s">
        <v>272</v>
      </c>
      <c r="J2861" s="6" t="s">
        <v>11015</v>
      </c>
      <c r="K2861" s="6" t="s">
        <v>5478</v>
      </c>
      <c r="L2861" s="6">
        <v>12</v>
      </c>
      <c r="M2861" s="15" t="s">
        <v>11016</v>
      </c>
      <c r="N2861" s="15" t="s">
        <v>78</v>
      </c>
      <c r="O2861" s="28" t="s">
        <v>11016</v>
      </c>
    </row>
    <row r="2862" spans="1:15" s="1" customFormat="1">
      <c r="A2862" s="3" t="s">
        <v>1285</v>
      </c>
      <c r="B2862" s="3" t="s">
        <v>283</v>
      </c>
      <c r="C2862" s="3"/>
      <c r="D2862" s="5" t="s">
        <v>1287</v>
      </c>
      <c r="E2862" s="5" t="s">
        <v>124</v>
      </c>
      <c r="F2862" s="3" t="s">
        <v>11017</v>
      </c>
      <c r="G2862" s="6">
        <f t="shared" si="114"/>
        <v>111.878</v>
      </c>
      <c r="H2862" s="7">
        <v>41955</v>
      </c>
      <c r="I2862" s="6" t="s">
        <v>272</v>
      </c>
      <c r="J2862" s="6" t="s">
        <v>11018</v>
      </c>
      <c r="K2862" s="6" t="s">
        <v>5478</v>
      </c>
      <c r="L2862" s="6">
        <v>13</v>
      </c>
      <c r="M2862" s="15" t="s">
        <v>11016</v>
      </c>
      <c r="N2862" s="15" t="s">
        <v>167</v>
      </c>
      <c r="O2862" s="28" t="s">
        <v>12133</v>
      </c>
    </row>
    <row r="2863" spans="1:15" s="1" customFormat="1">
      <c r="A2863" s="3" t="s">
        <v>1285</v>
      </c>
      <c r="B2863" s="3" t="s">
        <v>283</v>
      </c>
      <c r="C2863" s="3"/>
      <c r="D2863" s="5" t="s">
        <v>1287</v>
      </c>
      <c r="E2863" s="5" t="s">
        <v>124</v>
      </c>
      <c r="F2863" s="3" t="s">
        <v>11019</v>
      </c>
      <c r="G2863" s="6">
        <f t="shared" si="114"/>
        <v>103.27199999999999</v>
      </c>
      <c r="H2863" s="7">
        <v>41955</v>
      </c>
      <c r="I2863" s="6" t="s">
        <v>272</v>
      </c>
      <c r="J2863" s="6" t="s">
        <v>11020</v>
      </c>
      <c r="K2863" s="6" t="s">
        <v>5478</v>
      </c>
      <c r="L2863" s="6">
        <v>12</v>
      </c>
      <c r="M2863" s="15" t="s">
        <v>11021</v>
      </c>
      <c r="N2863" s="15" t="s">
        <v>78</v>
      </c>
      <c r="O2863" s="28" t="s">
        <v>11021</v>
      </c>
    </row>
    <row r="2864" spans="1:15" s="1" customFormat="1">
      <c r="A2864" s="3" t="s">
        <v>1285</v>
      </c>
      <c r="B2864" s="3" t="s">
        <v>283</v>
      </c>
      <c r="C2864" s="3"/>
      <c r="D2864" s="5" t="s">
        <v>1287</v>
      </c>
      <c r="E2864" s="5" t="s">
        <v>124</v>
      </c>
      <c r="F2864" s="3" t="s">
        <v>11022</v>
      </c>
      <c r="G2864" s="6">
        <f t="shared" si="114"/>
        <v>111.878</v>
      </c>
      <c r="H2864" s="7">
        <v>41955</v>
      </c>
      <c r="I2864" s="6" t="s">
        <v>272</v>
      </c>
      <c r="J2864" s="6" t="s">
        <v>11023</v>
      </c>
      <c r="K2864" s="6" t="s">
        <v>5478</v>
      </c>
      <c r="L2864" s="6">
        <v>13</v>
      </c>
      <c r="M2864" s="15" t="s">
        <v>11021</v>
      </c>
      <c r="N2864" s="15" t="s">
        <v>167</v>
      </c>
      <c r="O2864" s="28" t="s">
        <v>12134</v>
      </c>
    </row>
    <row r="2865" spans="1:15" s="1" customFormat="1">
      <c r="A2865" s="3" t="s">
        <v>1285</v>
      </c>
      <c r="B2865" s="3" t="s">
        <v>283</v>
      </c>
      <c r="C2865" s="3"/>
      <c r="D2865" s="5" t="s">
        <v>1287</v>
      </c>
      <c r="E2865" s="5" t="s">
        <v>124</v>
      </c>
      <c r="F2865" s="3" t="s">
        <v>11024</v>
      </c>
      <c r="G2865" s="6">
        <f t="shared" si="114"/>
        <v>94.665999999999997</v>
      </c>
      <c r="H2865" s="7">
        <v>41955</v>
      </c>
      <c r="I2865" s="6" t="s">
        <v>272</v>
      </c>
      <c r="J2865" s="6" t="s">
        <v>11025</v>
      </c>
      <c r="K2865" s="6" t="s">
        <v>5478</v>
      </c>
      <c r="L2865" s="6">
        <v>11</v>
      </c>
      <c r="M2865" s="15" t="s">
        <v>11026</v>
      </c>
      <c r="N2865" s="15" t="s">
        <v>10928</v>
      </c>
      <c r="O2865" s="28" t="s">
        <v>11026</v>
      </c>
    </row>
    <row r="2866" spans="1:15" s="1" customFormat="1">
      <c r="A2866" s="3" t="s">
        <v>13067</v>
      </c>
      <c r="B2866" s="3" t="s">
        <v>283</v>
      </c>
      <c r="C2866" s="3"/>
      <c r="D2866" s="5" t="s">
        <v>1287</v>
      </c>
      <c r="E2866" s="5" t="s">
        <v>124</v>
      </c>
      <c r="F2866" s="3" t="s">
        <v>11027</v>
      </c>
      <c r="G2866" s="6">
        <f t="shared" si="114"/>
        <v>94.665999999999997</v>
      </c>
      <c r="H2866" s="7">
        <v>41955</v>
      </c>
      <c r="I2866" s="6" t="s">
        <v>272</v>
      </c>
      <c r="J2866" s="6" t="s">
        <v>11028</v>
      </c>
      <c r="K2866" s="6" t="s">
        <v>5478</v>
      </c>
      <c r="L2866" s="6">
        <v>11</v>
      </c>
      <c r="M2866" s="15" t="s">
        <v>11026</v>
      </c>
      <c r="N2866" s="15" t="s">
        <v>2199</v>
      </c>
      <c r="O2866" s="28" t="s">
        <v>12135</v>
      </c>
    </row>
    <row r="2867" spans="1:15" s="1" customFormat="1">
      <c r="A2867" s="3" t="s">
        <v>5750</v>
      </c>
      <c r="B2867" s="3"/>
      <c r="C2867" s="3"/>
      <c r="D2867" s="5" t="s">
        <v>5751</v>
      </c>
      <c r="E2867" s="5" t="s">
        <v>124</v>
      </c>
      <c r="F2867" s="3" t="s">
        <v>11029</v>
      </c>
      <c r="G2867" s="6">
        <v>141.59399999999999</v>
      </c>
      <c r="H2867" s="7">
        <v>41955</v>
      </c>
      <c r="I2867" s="6" t="s">
        <v>178</v>
      </c>
      <c r="J2867" s="6" t="s">
        <v>11030</v>
      </c>
      <c r="K2867" s="6" t="s">
        <v>12675</v>
      </c>
      <c r="L2867" s="6" t="s">
        <v>1329</v>
      </c>
      <c r="M2867" s="15" t="s">
        <v>11031</v>
      </c>
      <c r="N2867" s="15" t="s">
        <v>11032</v>
      </c>
      <c r="O2867" s="28" t="s">
        <v>11033</v>
      </c>
    </row>
    <row r="2868" spans="1:15" s="1" customFormat="1">
      <c r="A2868" s="3" t="s">
        <v>5758</v>
      </c>
      <c r="B2868" s="3"/>
      <c r="C2868" s="3"/>
      <c r="D2868" s="5" t="s">
        <v>5751</v>
      </c>
      <c r="E2868" s="5" t="s">
        <v>124</v>
      </c>
      <c r="F2868" s="3" t="s">
        <v>11034</v>
      </c>
      <c r="G2868" s="6">
        <v>111.20699999999999</v>
      </c>
      <c r="H2868" s="7">
        <v>41955</v>
      </c>
      <c r="I2868" s="6" t="s">
        <v>209</v>
      </c>
      <c r="J2868" s="6" t="s">
        <v>11035</v>
      </c>
      <c r="K2868" s="6" t="s">
        <v>12997</v>
      </c>
      <c r="L2868" s="6" t="s">
        <v>1335</v>
      </c>
      <c r="M2868" s="15" t="s">
        <v>11031</v>
      </c>
      <c r="N2868" s="15" t="s">
        <v>11036</v>
      </c>
      <c r="O2868" s="28" t="s">
        <v>11037</v>
      </c>
    </row>
    <row r="2869" spans="1:15" s="1" customFormat="1">
      <c r="A2869" s="3" t="s">
        <v>1285</v>
      </c>
      <c r="B2869" s="3" t="s">
        <v>283</v>
      </c>
      <c r="C2869" s="3"/>
      <c r="D2869" s="5" t="s">
        <v>1287</v>
      </c>
      <c r="E2869" s="5" t="s">
        <v>124</v>
      </c>
      <c r="F2869" s="3" t="s">
        <v>11038</v>
      </c>
      <c r="G2869" s="6">
        <f>8.606*L2869</f>
        <v>103.27199999999999</v>
      </c>
      <c r="H2869" s="7">
        <v>41956</v>
      </c>
      <c r="I2869" s="6" t="s">
        <v>272</v>
      </c>
      <c r="J2869" s="6" t="s">
        <v>11039</v>
      </c>
      <c r="K2869" s="6" t="s">
        <v>5478</v>
      </c>
      <c r="L2869" s="6">
        <v>12</v>
      </c>
      <c r="M2869" s="15" t="s">
        <v>11040</v>
      </c>
      <c r="N2869" s="15" t="s">
        <v>78</v>
      </c>
      <c r="O2869" s="28" t="s">
        <v>11040</v>
      </c>
    </row>
    <row r="2870" spans="1:15" s="1" customFormat="1">
      <c r="A2870" s="3" t="s">
        <v>442</v>
      </c>
      <c r="B2870" s="3"/>
      <c r="C2870" s="3"/>
      <c r="D2870" s="5" t="s">
        <v>443</v>
      </c>
      <c r="E2870" s="5" t="s">
        <v>124</v>
      </c>
      <c r="F2870" s="3" t="s">
        <v>11043</v>
      </c>
      <c r="G2870" s="6">
        <f>18.708*L2870</f>
        <v>224.49599999999998</v>
      </c>
      <c r="H2870" s="7">
        <v>41956</v>
      </c>
      <c r="I2870" s="6" t="s">
        <v>247</v>
      </c>
      <c r="J2870" s="6" t="s">
        <v>11044</v>
      </c>
      <c r="K2870" s="6" t="s">
        <v>5478</v>
      </c>
      <c r="L2870" s="6">
        <v>12</v>
      </c>
      <c r="M2870" s="15" t="s">
        <v>11045</v>
      </c>
      <c r="N2870" s="15" t="s">
        <v>78</v>
      </c>
      <c r="O2870" s="28" t="s">
        <v>11045</v>
      </c>
    </row>
    <row r="2871" spans="1:15" s="1" customFormat="1">
      <c r="A2871" s="3" t="s">
        <v>469</v>
      </c>
      <c r="B2871" s="3"/>
      <c r="C2871" s="3"/>
      <c r="D2871" s="5" t="s">
        <v>276</v>
      </c>
      <c r="E2871" s="5" t="s">
        <v>124</v>
      </c>
      <c r="F2871" s="3" t="s">
        <v>11049</v>
      </c>
      <c r="G2871" s="6">
        <f>6.405*L2871</f>
        <v>64.05</v>
      </c>
      <c r="H2871" s="7">
        <v>41956</v>
      </c>
      <c r="I2871" s="6" t="s">
        <v>471</v>
      </c>
      <c r="J2871" s="6" t="s">
        <v>11050</v>
      </c>
      <c r="K2871" s="6" t="s">
        <v>21</v>
      </c>
      <c r="L2871" s="6">
        <v>10</v>
      </c>
      <c r="M2871" s="15" t="s">
        <v>11051</v>
      </c>
      <c r="N2871" s="15" t="s">
        <v>10041</v>
      </c>
      <c r="O2871" s="28" t="s">
        <v>11051</v>
      </c>
    </row>
    <row r="2872" spans="1:15" s="1" customFormat="1">
      <c r="A2872" s="79" t="s">
        <v>11418</v>
      </c>
      <c r="B2872" s="79"/>
      <c r="C2872" s="79"/>
      <c r="D2872" s="80" t="s">
        <v>3106</v>
      </c>
      <c r="E2872" s="80" t="s">
        <v>11412</v>
      </c>
      <c r="F2872" s="79" t="s">
        <v>11419</v>
      </c>
      <c r="G2872" s="81">
        <f>17.498*L2872</f>
        <v>209.976</v>
      </c>
      <c r="H2872" s="82">
        <v>41956</v>
      </c>
      <c r="I2872" s="81" t="s">
        <v>11420</v>
      </c>
      <c r="J2872" s="81" t="s">
        <v>11421</v>
      </c>
      <c r="K2872" s="81" t="s">
        <v>11422</v>
      </c>
      <c r="L2872" s="6">
        <v>12</v>
      </c>
      <c r="M2872" s="15" t="s">
        <v>11423</v>
      </c>
      <c r="N2872" s="83" t="s">
        <v>11424</v>
      </c>
      <c r="O2872" s="84"/>
    </row>
    <row r="2873" spans="1:15" s="1" customFormat="1">
      <c r="A2873" s="79" t="s">
        <v>11418</v>
      </c>
      <c r="B2873" s="79"/>
      <c r="C2873" s="79"/>
      <c r="D2873" s="80" t="s">
        <v>3106</v>
      </c>
      <c r="E2873" s="80" t="s">
        <v>11412</v>
      </c>
      <c r="F2873" s="79" t="s">
        <v>11425</v>
      </c>
      <c r="G2873" s="81">
        <f>17.498*L2873</f>
        <v>227.47400000000002</v>
      </c>
      <c r="H2873" s="82">
        <v>41956</v>
      </c>
      <c r="I2873" s="81" t="s">
        <v>11420</v>
      </c>
      <c r="J2873" s="81" t="s">
        <v>11426</v>
      </c>
      <c r="K2873" s="81" t="s">
        <v>11422</v>
      </c>
      <c r="L2873" s="6">
        <v>13</v>
      </c>
      <c r="M2873" s="15" t="s">
        <v>11423</v>
      </c>
      <c r="N2873" s="83" t="s">
        <v>81</v>
      </c>
      <c r="O2873" s="84"/>
    </row>
    <row r="2874" spans="1:15" s="1" customFormat="1">
      <c r="A2874" s="22" t="s">
        <v>12636</v>
      </c>
      <c r="B2874" s="3"/>
      <c r="C2874" s="3"/>
      <c r="D2874" s="5" t="s">
        <v>5294</v>
      </c>
      <c r="E2874" s="5" t="s">
        <v>124</v>
      </c>
      <c r="F2874" s="3" t="s">
        <v>11054</v>
      </c>
      <c r="G2874" s="6">
        <f>17.52*L2874</f>
        <v>35.04</v>
      </c>
      <c r="H2874" s="7">
        <v>41956</v>
      </c>
      <c r="I2874" s="6" t="s">
        <v>12638</v>
      </c>
      <c r="J2874" s="6" t="s">
        <v>11055</v>
      </c>
      <c r="K2874" s="6" t="s">
        <v>21</v>
      </c>
      <c r="L2874" s="6">
        <v>2</v>
      </c>
      <c r="M2874" s="15" t="s">
        <v>10830</v>
      </c>
      <c r="N2874" s="15" t="s">
        <v>11056</v>
      </c>
      <c r="O2874" s="28" t="s">
        <v>11460</v>
      </c>
    </row>
    <row r="2875" spans="1:15" s="1" customFormat="1">
      <c r="A2875" s="79" t="s">
        <v>11411</v>
      </c>
      <c r="B2875" s="79"/>
      <c r="C2875" s="79"/>
      <c r="D2875" s="80" t="s">
        <v>1128</v>
      </c>
      <c r="E2875" s="80" t="s">
        <v>11412</v>
      </c>
      <c r="F2875" s="79" t="s">
        <v>11413</v>
      </c>
      <c r="G2875" s="81">
        <f>29.101*L2875</f>
        <v>349.21199999999999</v>
      </c>
      <c r="H2875" s="82">
        <v>41956</v>
      </c>
      <c r="I2875" s="81" t="s">
        <v>11414</v>
      </c>
      <c r="J2875" s="81" t="s">
        <v>11415</v>
      </c>
      <c r="K2875" s="81" t="s">
        <v>11416</v>
      </c>
      <c r="L2875" s="6">
        <v>12</v>
      </c>
      <c r="M2875" s="15" t="s">
        <v>11417</v>
      </c>
      <c r="N2875" s="83" t="s">
        <v>78</v>
      </c>
      <c r="O2875" s="84"/>
    </row>
    <row r="2876" spans="1:15" s="1" customFormat="1">
      <c r="A2876" s="86" t="s">
        <v>11427</v>
      </c>
      <c r="B2876" s="4" t="s">
        <v>11428</v>
      </c>
      <c r="C2876" s="79"/>
      <c r="D2876" s="80" t="s">
        <v>11429</v>
      </c>
      <c r="E2876" s="80" t="s">
        <v>11430</v>
      </c>
      <c r="F2876" s="79" t="s">
        <v>11431</v>
      </c>
      <c r="G2876" s="81">
        <f>10.27*L2876</f>
        <v>10.27</v>
      </c>
      <c r="H2876" s="82">
        <v>41957</v>
      </c>
      <c r="I2876" s="81" t="s">
        <v>11432</v>
      </c>
      <c r="J2876" s="81" t="s">
        <v>11927</v>
      </c>
      <c r="K2876" s="81" t="s">
        <v>11433</v>
      </c>
      <c r="L2876" s="6">
        <v>1</v>
      </c>
      <c r="M2876" s="15" t="s">
        <v>11434</v>
      </c>
      <c r="N2876" s="83" t="s">
        <v>11435</v>
      </c>
      <c r="O2876" s="84"/>
    </row>
    <row r="2877" spans="1:15" s="1" customFormat="1">
      <c r="A2877" s="3" t="s">
        <v>1285</v>
      </c>
      <c r="B2877" s="3" t="s">
        <v>283</v>
      </c>
      <c r="C2877" s="3"/>
      <c r="D2877" s="5" t="s">
        <v>1287</v>
      </c>
      <c r="E2877" s="5" t="s">
        <v>124</v>
      </c>
      <c r="F2877" s="3" t="s">
        <v>11070</v>
      </c>
      <c r="G2877" s="6">
        <f>8.606*L2877</f>
        <v>103.27199999999999</v>
      </c>
      <c r="H2877" s="7">
        <v>41957</v>
      </c>
      <c r="I2877" s="6" t="s">
        <v>272</v>
      </c>
      <c r="J2877" s="6" t="s">
        <v>11071</v>
      </c>
      <c r="K2877" s="6" t="s">
        <v>5478</v>
      </c>
      <c r="L2877" s="6">
        <v>12</v>
      </c>
      <c r="M2877" s="15" t="s">
        <v>11072</v>
      </c>
      <c r="N2877" s="15" t="s">
        <v>78</v>
      </c>
      <c r="O2877" s="28" t="s">
        <v>11072</v>
      </c>
    </row>
    <row r="2878" spans="1:15" s="1" customFormat="1">
      <c r="A2878" s="3" t="s">
        <v>1285</v>
      </c>
      <c r="B2878" s="3" t="s">
        <v>11535</v>
      </c>
      <c r="C2878" s="3"/>
      <c r="D2878" s="5" t="s">
        <v>1287</v>
      </c>
      <c r="E2878" s="5" t="s">
        <v>124</v>
      </c>
      <c r="F2878" s="3" t="s">
        <v>11073</v>
      </c>
      <c r="G2878" s="6">
        <f>8.606*L2878</f>
        <v>111.878</v>
      </c>
      <c r="H2878" s="7">
        <v>41957</v>
      </c>
      <c r="I2878" s="6" t="s">
        <v>11531</v>
      </c>
      <c r="J2878" s="6" t="s">
        <v>11532</v>
      </c>
      <c r="K2878" s="6" t="s">
        <v>5478</v>
      </c>
      <c r="L2878" s="6">
        <v>13</v>
      </c>
      <c r="M2878" s="15" t="s">
        <v>11072</v>
      </c>
      <c r="N2878" s="15" t="s">
        <v>167</v>
      </c>
      <c r="O2878" s="28" t="s">
        <v>12566</v>
      </c>
    </row>
    <row r="2879" spans="1:15" s="1" customFormat="1">
      <c r="A2879" s="3" t="s">
        <v>1216</v>
      </c>
      <c r="B2879" s="3"/>
      <c r="C2879" s="3"/>
      <c r="D2879" s="5" t="s">
        <v>2117</v>
      </c>
      <c r="E2879" s="5" t="s">
        <v>124</v>
      </c>
      <c r="F2879" s="3" t="s">
        <v>11074</v>
      </c>
      <c r="G2879" s="6">
        <v>232.74100000000001</v>
      </c>
      <c r="H2879" s="7">
        <v>41957</v>
      </c>
      <c r="I2879" s="6" t="s">
        <v>209</v>
      </c>
      <c r="J2879" s="6" t="s">
        <v>11075</v>
      </c>
      <c r="K2879" s="6" t="s">
        <v>128</v>
      </c>
      <c r="L2879" s="6" t="s">
        <v>1226</v>
      </c>
      <c r="M2879" s="15" t="s">
        <v>11076</v>
      </c>
      <c r="N2879" s="15" t="s">
        <v>11077</v>
      </c>
      <c r="O2879" s="28" t="s">
        <v>11462</v>
      </c>
    </row>
    <row r="2880" spans="1:15" s="1" customFormat="1">
      <c r="A2880" s="3" t="s">
        <v>1216</v>
      </c>
      <c r="B2880" s="3"/>
      <c r="C2880" s="3"/>
      <c r="D2880" s="5" t="s">
        <v>2117</v>
      </c>
      <c r="E2880" s="5" t="s">
        <v>124</v>
      </c>
      <c r="F2880" s="3" t="s">
        <v>11082</v>
      </c>
      <c r="G2880" s="6">
        <v>139.33199999999999</v>
      </c>
      <c r="H2880" s="7">
        <v>41957</v>
      </c>
      <c r="I2880" s="6" t="s">
        <v>209</v>
      </c>
      <c r="J2880" s="6" t="s">
        <v>11083</v>
      </c>
      <c r="K2880" s="6" t="s">
        <v>128</v>
      </c>
      <c r="L2880" s="6" t="s">
        <v>2183</v>
      </c>
      <c r="M2880" s="15" t="s">
        <v>11084</v>
      </c>
      <c r="N2880" s="15" t="s">
        <v>11085</v>
      </c>
      <c r="O2880" s="28" t="s">
        <v>11464</v>
      </c>
    </row>
    <row r="2881" spans="1:15" s="1" customFormat="1">
      <c r="A2881" s="3" t="s">
        <v>1216</v>
      </c>
      <c r="B2881" s="3"/>
      <c r="C2881" s="3"/>
      <c r="D2881" s="5" t="s">
        <v>2117</v>
      </c>
      <c r="E2881" s="5" t="s">
        <v>124</v>
      </c>
      <c r="F2881" s="3" t="s">
        <v>11086</v>
      </c>
      <c r="G2881" s="6">
        <v>139.63399999999999</v>
      </c>
      <c r="H2881" s="7">
        <v>41957</v>
      </c>
      <c r="I2881" s="6" t="s">
        <v>209</v>
      </c>
      <c r="J2881" s="6" t="s">
        <v>11087</v>
      </c>
      <c r="K2881" s="6" t="s">
        <v>128</v>
      </c>
      <c r="L2881" s="6" t="s">
        <v>2183</v>
      </c>
      <c r="M2881" s="15" t="s">
        <v>11088</v>
      </c>
      <c r="N2881" s="15" t="s">
        <v>11089</v>
      </c>
      <c r="O2881" s="28" t="s">
        <v>11465</v>
      </c>
    </row>
    <row r="2882" spans="1:15" s="1" customFormat="1">
      <c r="A2882" s="22" t="s">
        <v>11066</v>
      </c>
      <c r="B2882" s="3"/>
      <c r="C2882" s="3"/>
      <c r="D2882" s="5" t="s">
        <v>13108</v>
      </c>
      <c r="E2882" s="5" t="s">
        <v>124</v>
      </c>
      <c r="F2882" s="3" t="s">
        <v>11067</v>
      </c>
      <c r="G2882" s="6">
        <f>11.636*L2882</f>
        <v>34.908000000000001</v>
      </c>
      <c r="H2882" s="7">
        <v>41957</v>
      </c>
      <c r="I2882" s="6" t="s">
        <v>193</v>
      </c>
      <c r="J2882" s="6" t="s">
        <v>11068</v>
      </c>
      <c r="K2882" s="6" t="s">
        <v>21</v>
      </c>
      <c r="L2882" s="6">
        <v>3</v>
      </c>
      <c r="M2882" s="15" t="s">
        <v>11069</v>
      </c>
      <c r="N2882" s="15" t="s">
        <v>6587</v>
      </c>
      <c r="O2882" s="28" t="s">
        <v>11069</v>
      </c>
    </row>
    <row r="2883" spans="1:15" s="1" customFormat="1">
      <c r="A2883" s="3" t="s">
        <v>11478</v>
      </c>
      <c r="B2883" s="3"/>
      <c r="C2883" s="3"/>
      <c r="D2883" s="5" t="s">
        <v>2030</v>
      </c>
      <c r="E2883" s="5" t="s">
        <v>11470</v>
      </c>
      <c r="F2883" s="3" t="s">
        <v>11479</v>
      </c>
      <c r="G2883" s="6">
        <f>14.405*L2883</f>
        <v>172.85999999999999</v>
      </c>
      <c r="H2883" s="7">
        <v>41961</v>
      </c>
      <c r="I2883" s="6" t="s">
        <v>11471</v>
      </c>
      <c r="J2883" s="6" t="s">
        <v>11481</v>
      </c>
      <c r="K2883" s="6" t="s">
        <v>11475</v>
      </c>
      <c r="L2883" s="6">
        <v>12</v>
      </c>
      <c r="M2883" s="15" t="s">
        <v>11486</v>
      </c>
      <c r="N2883" s="15" t="s">
        <v>78</v>
      </c>
      <c r="O2883" s="28" t="s">
        <v>11486</v>
      </c>
    </row>
    <row r="2884" spans="1:15" s="1" customFormat="1">
      <c r="A2884" s="3" t="s">
        <v>11478</v>
      </c>
      <c r="B2884" s="3"/>
      <c r="C2884" s="3"/>
      <c r="D2884" s="5" t="s">
        <v>2030</v>
      </c>
      <c r="E2884" s="5" t="s">
        <v>11470</v>
      </c>
      <c r="F2884" s="3" t="s">
        <v>11484</v>
      </c>
      <c r="G2884" s="6">
        <f>14.405*L2884</f>
        <v>187.26499999999999</v>
      </c>
      <c r="H2884" s="7">
        <v>41961</v>
      </c>
      <c r="I2884" s="6" t="s">
        <v>11471</v>
      </c>
      <c r="J2884" s="6" t="s">
        <v>11482</v>
      </c>
      <c r="K2884" s="6" t="s">
        <v>11475</v>
      </c>
      <c r="L2884" s="6">
        <v>13</v>
      </c>
      <c r="M2884" s="15" t="s">
        <v>11486</v>
      </c>
      <c r="N2884" s="15" t="s">
        <v>81</v>
      </c>
      <c r="O2884" s="28" t="s">
        <v>11769</v>
      </c>
    </row>
    <row r="2885" spans="1:15" s="1" customFormat="1">
      <c r="A2885" s="3" t="s">
        <v>11488</v>
      </c>
      <c r="B2885" s="3"/>
      <c r="C2885" s="3"/>
      <c r="D2885" s="5" t="s">
        <v>2030</v>
      </c>
      <c r="E2885" s="5" t="s">
        <v>11470</v>
      </c>
      <c r="F2885" s="3" t="s">
        <v>11485</v>
      </c>
      <c r="G2885" s="6">
        <f>14.405*L2885</f>
        <v>172.85999999999999</v>
      </c>
      <c r="H2885" s="7">
        <v>41961</v>
      </c>
      <c r="I2885" s="6" t="s">
        <v>11472</v>
      </c>
      <c r="J2885" s="6" t="s">
        <v>11483</v>
      </c>
      <c r="K2885" s="6" t="s">
        <v>11475</v>
      </c>
      <c r="L2885" s="6">
        <v>12</v>
      </c>
      <c r="M2885" s="15" t="s">
        <v>11487</v>
      </c>
      <c r="N2885" s="15" t="s">
        <v>78</v>
      </c>
      <c r="O2885" s="28" t="s">
        <v>11487</v>
      </c>
    </row>
    <row r="2886" spans="1:15" s="1" customFormat="1">
      <c r="A2886" s="3" t="s">
        <v>5474</v>
      </c>
      <c r="B2886" s="3"/>
      <c r="C2886" s="3"/>
      <c r="D2886" s="5" t="s">
        <v>5475</v>
      </c>
      <c r="E2886" s="5" t="s">
        <v>11470</v>
      </c>
      <c r="F2886" s="3" t="s">
        <v>11508</v>
      </c>
      <c r="G2886" s="6">
        <f>17.498*L2886</f>
        <v>209.976</v>
      </c>
      <c r="H2886" s="7">
        <v>41961</v>
      </c>
      <c r="I2886" s="6" t="s">
        <v>11471</v>
      </c>
      <c r="J2886" s="6" t="s">
        <v>11511</v>
      </c>
      <c r="K2886" s="6" t="s">
        <v>11475</v>
      </c>
      <c r="L2886" s="6">
        <v>12</v>
      </c>
      <c r="M2886" s="15" t="s">
        <v>11514</v>
      </c>
      <c r="N2886" s="15" t="s">
        <v>78</v>
      </c>
      <c r="O2886" s="28" t="s">
        <v>11514</v>
      </c>
    </row>
    <row r="2887" spans="1:15" s="1" customFormat="1">
      <c r="A2887" s="3" t="s">
        <v>11583</v>
      </c>
      <c r="B2887" s="3"/>
      <c r="C2887" s="3"/>
      <c r="D2887" s="5" t="s">
        <v>3871</v>
      </c>
      <c r="E2887" s="5" t="s">
        <v>11490</v>
      </c>
      <c r="F2887" s="3" t="s">
        <v>11516</v>
      </c>
      <c r="G2887" s="6">
        <f>13.006*L2887</f>
        <v>156.072</v>
      </c>
      <c r="H2887" s="7">
        <v>41961</v>
      </c>
      <c r="I2887" s="6" t="s">
        <v>11517</v>
      </c>
      <c r="J2887" s="6" t="s">
        <v>11520</v>
      </c>
      <c r="K2887" s="6" t="s">
        <v>11475</v>
      </c>
      <c r="L2887" s="6">
        <v>12</v>
      </c>
      <c r="M2887" s="15" t="s">
        <v>11527</v>
      </c>
      <c r="N2887" s="15" t="s">
        <v>164</v>
      </c>
      <c r="O2887" s="28" t="s">
        <v>11527</v>
      </c>
    </row>
    <row r="2888" spans="1:15" s="1" customFormat="1">
      <c r="A2888" s="3" t="s">
        <v>3870</v>
      </c>
      <c r="B2888" s="3"/>
      <c r="C2888" s="3"/>
      <c r="D2888" s="5" t="s">
        <v>3871</v>
      </c>
      <c r="E2888" s="5" t="s">
        <v>11490</v>
      </c>
      <c r="F2888" s="3" t="s">
        <v>11521</v>
      </c>
      <c r="G2888" s="6">
        <f>13.006*L2888</f>
        <v>169.078</v>
      </c>
      <c r="H2888" s="7">
        <v>41961</v>
      </c>
      <c r="I2888" s="6" t="s">
        <v>11517</v>
      </c>
      <c r="J2888" s="6" t="s">
        <v>11524</v>
      </c>
      <c r="K2888" s="6" t="s">
        <v>11475</v>
      </c>
      <c r="L2888" s="6">
        <v>13</v>
      </c>
      <c r="M2888" s="15" t="s">
        <v>11527</v>
      </c>
      <c r="N2888" s="15" t="s">
        <v>167</v>
      </c>
      <c r="O2888" s="28" t="s">
        <v>11774</v>
      </c>
    </row>
    <row r="2889" spans="1:15" s="1" customFormat="1">
      <c r="A2889" s="3" t="s">
        <v>3870</v>
      </c>
      <c r="B2889" s="3"/>
      <c r="C2889" s="3"/>
      <c r="D2889" s="5" t="s">
        <v>3871</v>
      </c>
      <c r="E2889" s="5" t="s">
        <v>11490</v>
      </c>
      <c r="F2889" s="3" t="s">
        <v>11522</v>
      </c>
      <c r="G2889" s="6">
        <f>13.006*L2889</f>
        <v>156.072</v>
      </c>
      <c r="H2889" s="7">
        <v>41961</v>
      </c>
      <c r="I2889" s="6" t="s">
        <v>11517</v>
      </c>
      <c r="J2889" s="6" t="s">
        <v>11525</v>
      </c>
      <c r="K2889" s="6" t="s">
        <v>11475</v>
      </c>
      <c r="L2889" s="6">
        <v>12</v>
      </c>
      <c r="M2889" s="15" t="s">
        <v>11528</v>
      </c>
      <c r="N2889" s="15" t="s">
        <v>164</v>
      </c>
      <c r="O2889" s="28" t="s">
        <v>11528</v>
      </c>
    </row>
    <row r="2890" spans="1:15" s="1" customFormat="1">
      <c r="A2890" s="3" t="s">
        <v>3870</v>
      </c>
      <c r="B2890" s="3"/>
      <c r="C2890" s="3"/>
      <c r="D2890" s="5" t="s">
        <v>3871</v>
      </c>
      <c r="E2890" s="5" t="s">
        <v>11490</v>
      </c>
      <c r="F2890" s="3" t="s">
        <v>11523</v>
      </c>
      <c r="G2890" s="6">
        <f>13.006*L2890</f>
        <v>169.078</v>
      </c>
      <c r="H2890" s="7">
        <v>41961</v>
      </c>
      <c r="I2890" s="6" t="s">
        <v>11584</v>
      </c>
      <c r="J2890" s="6" t="s">
        <v>11526</v>
      </c>
      <c r="K2890" s="6" t="s">
        <v>11475</v>
      </c>
      <c r="L2890" s="6">
        <v>13</v>
      </c>
      <c r="M2890" s="15" t="s">
        <v>11528</v>
      </c>
      <c r="N2890" s="15" t="s">
        <v>167</v>
      </c>
      <c r="O2890" s="28" t="s">
        <v>11775</v>
      </c>
    </row>
    <row r="2891" spans="1:15" s="1" customFormat="1">
      <c r="A2891" s="3" t="s">
        <v>11529</v>
      </c>
      <c r="B2891" s="4" t="s">
        <v>11536</v>
      </c>
      <c r="C2891" s="3"/>
      <c r="D2891" s="5" t="s">
        <v>1287</v>
      </c>
      <c r="E2891" s="5" t="s">
        <v>11490</v>
      </c>
      <c r="F2891" s="3" t="s">
        <v>11530</v>
      </c>
      <c r="G2891" s="6">
        <f>8.606*L2891</f>
        <v>94.665999999999997</v>
      </c>
      <c r="H2891" s="7">
        <v>41961</v>
      </c>
      <c r="I2891" s="6" t="s">
        <v>272</v>
      </c>
      <c r="J2891" s="6" t="s">
        <v>11533</v>
      </c>
      <c r="K2891" s="6" t="s">
        <v>11534</v>
      </c>
      <c r="L2891" s="6">
        <v>11</v>
      </c>
      <c r="M2891" s="15" t="s">
        <v>11543</v>
      </c>
      <c r="N2891" s="15" t="s">
        <v>11585</v>
      </c>
      <c r="O2891" s="28" t="s">
        <v>11543</v>
      </c>
    </row>
    <row r="2892" spans="1:15" s="1" customFormat="1">
      <c r="A2892" s="3" t="s">
        <v>11469</v>
      </c>
      <c r="B2892" s="3"/>
      <c r="C2892" s="3"/>
      <c r="D2892" s="5" t="s">
        <v>377</v>
      </c>
      <c r="E2892" s="5" t="s">
        <v>11470</v>
      </c>
      <c r="F2892" s="3" t="s">
        <v>11477</v>
      </c>
      <c r="G2892" s="6">
        <f>18.708*L2892</f>
        <v>280.62</v>
      </c>
      <c r="H2892" s="7">
        <v>41961</v>
      </c>
      <c r="I2892" s="6" t="s">
        <v>11472</v>
      </c>
      <c r="J2892" s="6" t="s">
        <v>11474</v>
      </c>
      <c r="K2892" s="6" t="s">
        <v>11475</v>
      </c>
      <c r="L2892" s="6">
        <v>15</v>
      </c>
      <c r="M2892" s="15" t="s">
        <v>11476</v>
      </c>
      <c r="N2892" s="15" t="s">
        <v>5066</v>
      </c>
      <c r="O2892" s="28" t="s">
        <v>11476</v>
      </c>
    </row>
    <row r="2893" spans="1:15" s="1" customFormat="1">
      <c r="A2893" s="3" t="s">
        <v>11529</v>
      </c>
      <c r="B2893" s="4" t="s">
        <v>11536</v>
      </c>
      <c r="C2893" s="3"/>
      <c r="D2893" s="5" t="s">
        <v>1287</v>
      </c>
      <c r="E2893" s="5" t="s">
        <v>11490</v>
      </c>
      <c r="F2893" s="3" t="s">
        <v>11537</v>
      </c>
      <c r="G2893" s="6">
        <f>8.606*L2893</f>
        <v>103.27199999999999</v>
      </c>
      <c r="H2893" s="7">
        <v>41961</v>
      </c>
      <c r="I2893" s="6" t="s">
        <v>272</v>
      </c>
      <c r="J2893" s="6" t="s">
        <v>11540</v>
      </c>
      <c r="K2893" s="6" t="s">
        <v>11534</v>
      </c>
      <c r="L2893" s="6">
        <v>12</v>
      </c>
      <c r="M2893" s="15" t="s">
        <v>11543</v>
      </c>
      <c r="N2893" s="15" t="s">
        <v>11545</v>
      </c>
      <c r="O2893" s="28" t="s">
        <v>12750</v>
      </c>
    </row>
    <row r="2894" spans="1:15" s="1" customFormat="1">
      <c r="A2894" s="3" t="s">
        <v>11587</v>
      </c>
      <c r="B2894" s="3"/>
      <c r="C2894" s="3"/>
      <c r="D2894" s="28" t="s">
        <v>2117</v>
      </c>
      <c r="E2894" s="5" t="s">
        <v>11588</v>
      </c>
      <c r="F2894" s="3" t="s">
        <v>11595</v>
      </c>
      <c r="G2894" s="6">
        <v>139.245</v>
      </c>
      <c r="H2894" s="7">
        <v>41963</v>
      </c>
      <c r="I2894" s="6" t="s">
        <v>11592</v>
      </c>
      <c r="J2894" s="6" t="s">
        <v>11596</v>
      </c>
      <c r="K2894" s="6" t="s">
        <v>11591</v>
      </c>
      <c r="L2894" s="6" t="s">
        <v>11597</v>
      </c>
      <c r="M2894" s="15" t="s">
        <v>11598</v>
      </c>
      <c r="N2894" s="15" t="s">
        <v>11599</v>
      </c>
      <c r="O2894" s="28" t="s">
        <v>11838</v>
      </c>
    </row>
    <row r="2895" spans="1:15" s="1" customFormat="1">
      <c r="A2895" s="3" t="s">
        <v>11600</v>
      </c>
      <c r="B2895" s="3"/>
      <c r="C2895" s="3"/>
      <c r="D2895" s="28" t="s">
        <v>2117</v>
      </c>
      <c r="E2895" s="5" t="s">
        <v>11588</v>
      </c>
      <c r="F2895" s="3" t="s">
        <v>11601</v>
      </c>
      <c r="G2895" s="6">
        <v>232.43600000000001</v>
      </c>
      <c r="H2895" s="7">
        <v>41963</v>
      </c>
      <c r="I2895" s="6" t="s">
        <v>209</v>
      </c>
      <c r="J2895" s="6" t="s">
        <v>11602</v>
      </c>
      <c r="K2895" s="6" t="s">
        <v>128</v>
      </c>
      <c r="L2895" s="6" t="s">
        <v>11603</v>
      </c>
      <c r="M2895" s="15" t="s">
        <v>11607</v>
      </c>
      <c r="N2895" s="15" t="s">
        <v>11608</v>
      </c>
      <c r="O2895" s="28" t="s">
        <v>11839</v>
      </c>
    </row>
    <row r="2896" spans="1:15" s="1" customFormat="1">
      <c r="A2896" s="3" t="s">
        <v>11610</v>
      </c>
      <c r="B2896" s="3"/>
      <c r="C2896" s="3"/>
      <c r="D2896" s="28" t="s">
        <v>2128</v>
      </c>
      <c r="E2896" s="5" t="s">
        <v>11588</v>
      </c>
      <c r="F2896" s="3" t="s">
        <v>11611</v>
      </c>
      <c r="G2896" s="6">
        <v>201.86600000000001</v>
      </c>
      <c r="H2896" s="7">
        <v>41963</v>
      </c>
      <c r="I2896" s="6" t="s">
        <v>209</v>
      </c>
      <c r="J2896" s="6" t="s">
        <v>11613</v>
      </c>
      <c r="K2896" s="6" t="s">
        <v>128</v>
      </c>
      <c r="L2896" s="6" t="s">
        <v>11615</v>
      </c>
      <c r="M2896" s="15" t="s">
        <v>11616</v>
      </c>
      <c r="N2896" s="15" t="s">
        <v>11617</v>
      </c>
      <c r="O2896" s="28" t="s">
        <v>11841</v>
      </c>
    </row>
    <row r="2897" spans="1:15" s="1" customFormat="1">
      <c r="A2897" s="3" t="s">
        <v>11610</v>
      </c>
      <c r="B2897" s="3"/>
      <c r="C2897" s="3"/>
      <c r="D2897" s="28" t="s">
        <v>2128</v>
      </c>
      <c r="E2897" s="5" t="s">
        <v>11588</v>
      </c>
      <c r="F2897" s="3" t="s">
        <v>11612</v>
      </c>
      <c r="G2897" s="6">
        <v>284.721</v>
      </c>
      <c r="H2897" s="7">
        <v>41963</v>
      </c>
      <c r="I2897" s="6" t="s">
        <v>209</v>
      </c>
      <c r="J2897" s="6" t="s">
        <v>11614</v>
      </c>
      <c r="K2897" s="6" t="s">
        <v>128</v>
      </c>
      <c r="L2897" s="6" t="s">
        <v>3407</v>
      </c>
      <c r="M2897" s="15" t="s">
        <v>11619</v>
      </c>
      <c r="N2897" s="15" t="s">
        <v>11923</v>
      </c>
      <c r="O2897" s="28" t="s">
        <v>11842</v>
      </c>
    </row>
    <row r="2898" spans="1:15" s="1" customFormat="1">
      <c r="A2898" s="3" t="s">
        <v>11610</v>
      </c>
      <c r="B2898" s="3"/>
      <c r="C2898" s="3"/>
      <c r="D2898" s="28" t="s">
        <v>2128</v>
      </c>
      <c r="E2898" s="5" t="s">
        <v>11588</v>
      </c>
      <c r="F2898" s="3" t="s">
        <v>11621</v>
      </c>
      <c r="G2898" s="6">
        <v>177.77600000000001</v>
      </c>
      <c r="H2898" s="7">
        <v>41963</v>
      </c>
      <c r="I2898" s="6" t="s">
        <v>209</v>
      </c>
      <c r="J2898" s="6" t="s">
        <v>11622</v>
      </c>
      <c r="K2898" s="6" t="s">
        <v>128</v>
      </c>
      <c r="L2898" s="6" t="s">
        <v>11623</v>
      </c>
      <c r="M2898" s="15" t="s">
        <v>11624</v>
      </c>
      <c r="N2898" s="15" t="s">
        <v>11625</v>
      </c>
      <c r="O2898" s="28" t="s">
        <v>11843</v>
      </c>
    </row>
    <row r="2899" spans="1:15" s="1" customFormat="1">
      <c r="A2899" s="3" t="s">
        <v>11610</v>
      </c>
      <c r="B2899" s="3"/>
      <c r="C2899" s="3"/>
      <c r="D2899" s="28" t="s">
        <v>2128</v>
      </c>
      <c r="E2899" s="5" t="s">
        <v>11588</v>
      </c>
      <c r="F2899" s="3" t="s">
        <v>11626</v>
      </c>
      <c r="G2899" s="6">
        <v>284.39600000000002</v>
      </c>
      <c r="H2899" s="7">
        <v>41963</v>
      </c>
      <c r="I2899" s="6" t="s">
        <v>209</v>
      </c>
      <c r="J2899" s="6" t="s">
        <v>11628</v>
      </c>
      <c r="K2899" s="6" t="s">
        <v>11591</v>
      </c>
      <c r="L2899" s="6" t="s">
        <v>11618</v>
      </c>
      <c r="M2899" s="15" t="s">
        <v>11627</v>
      </c>
      <c r="N2899" s="15" t="s">
        <v>11620</v>
      </c>
      <c r="O2899" s="28" t="s">
        <v>11844</v>
      </c>
    </row>
    <row r="2900" spans="1:15" s="1" customFormat="1">
      <c r="A2900" s="3" t="s">
        <v>11629</v>
      </c>
      <c r="B2900" s="3"/>
      <c r="C2900" s="3"/>
      <c r="D2900" s="28" t="s">
        <v>5892</v>
      </c>
      <c r="E2900" s="5" t="s">
        <v>11630</v>
      </c>
      <c r="F2900" s="3" t="s">
        <v>11631</v>
      </c>
      <c r="G2900" s="6">
        <v>251.34200000000001</v>
      </c>
      <c r="H2900" s="7">
        <v>41963</v>
      </c>
      <c r="I2900" s="6" t="s">
        <v>209</v>
      </c>
      <c r="J2900" s="6" t="s">
        <v>11632</v>
      </c>
      <c r="K2900" s="6" t="s">
        <v>128</v>
      </c>
      <c r="L2900" s="6" t="s">
        <v>808</v>
      </c>
      <c r="M2900" s="15" t="s">
        <v>11633</v>
      </c>
      <c r="N2900" s="15" t="s">
        <v>11634</v>
      </c>
      <c r="O2900" s="28" t="s">
        <v>11845</v>
      </c>
    </row>
    <row r="2901" spans="1:15" s="1" customFormat="1">
      <c r="A2901" s="3" t="s">
        <v>11640</v>
      </c>
      <c r="B2901" s="3"/>
      <c r="C2901" s="3"/>
      <c r="D2901" s="28" t="s">
        <v>5751</v>
      </c>
      <c r="E2901" s="5" t="s">
        <v>11588</v>
      </c>
      <c r="F2901" s="3" t="s">
        <v>11641</v>
      </c>
      <c r="G2901" s="6">
        <v>201.57499999999999</v>
      </c>
      <c r="H2901" s="7">
        <v>41963</v>
      </c>
      <c r="I2901" s="6" t="s">
        <v>11606</v>
      </c>
      <c r="J2901" s="6" t="s">
        <v>11642</v>
      </c>
      <c r="K2901" s="6" t="s">
        <v>12675</v>
      </c>
      <c r="L2901" s="6" t="s">
        <v>2483</v>
      </c>
      <c r="M2901" s="15" t="s">
        <v>11643</v>
      </c>
      <c r="N2901" s="15" t="s">
        <v>11644</v>
      </c>
      <c r="O2901" s="28" t="s">
        <v>11847</v>
      </c>
    </row>
    <row r="2902" spans="1:15" s="1" customFormat="1">
      <c r="A2902" s="3" t="s">
        <v>1285</v>
      </c>
      <c r="B2902" s="4" t="s">
        <v>11536</v>
      </c>
      <c r="C2902" s="3"/>
      <c r="D2902" s="28" t="s">
        <v>1287</v>
      </c>
      <c r="E2902" s="5" t="s">
        <v>11588</v>
      </c>
      <c r="F2902" s="3" t="s">
        <v>11659</v>
      </c>
      <c r="G2902" s="6">
        <f>8.606*L2902</f>
        <v>111.878</v>
      </c>
      <c r="H2902" s="7">
        <v>41963</v>
      </c>
      <c r="I2902" s="6" t="s">
        <v>272</v>
      </c>
      <c r="J2902" s="6" t="s">
        <v>11663</v>
      </c>
      <c r="K2902" s="6" t="s">
        <v>11534</v>
      </c>
      <c r="L2902" s="6">
        <v>13</v>
      </c>
      <c r="M2902" s="15" t="s">
        <v>11666</v>
      </c>
      <c r="N2902" s="15" t="s">
        <v>11669</v>
      </c>
      <c r="O2902" s="28" t="s">
        <v>11666</v>
      </c>
    </row>
    <row r="2903" spans="1:15" s="1" customFormat="1">
      <c r="A2903" s="3" t="s">
        <v>11807</v>
      </c>
      <c r="B2903" s="3"/>
      <c r="C2903" s="3"/>
      <c r="D2903" s="28" t="s">
        <v>391</v>
      </c>
      <c r="E2903" s="5" t="s">
        <v>11777</v>
      </c>
      <c r="F2903" s="3" t="s">
        <v>11808</v>
      </c>
      <c r="G2903" s="6">
        <f>17.712*L2903</f>
        <v>212.54399999999998</v>
      </c>
      <c r="H2903" s="7">
        <v>41964</v>
      </c>
      <c r="I2903" s="6" t="s">
        <v>11471</v>
      </c>
      <c r="J2903" s="6" t="s">
        <v>11811</v>
      </c>
      <c r="K2903" s="6" t="s">
        <v>11782</v>
      </c>
      <c r="L2903" s="6">
        <v>12</v>
      </c>
      <c r="M2903" s="15" t="s">
        <v>11818</v>
      </c>
      <c r="N2903" s="15" t="s">
        <v>78</v>
      </c>
      <c r="O2903" s="28" t="s">
        <v>11818</v>
      </c>
    </row>
    <row r="2904" spans="1:15" s="1" customFormat="1">
      <c r="A2904" s="3" t="s">
        <v>11807</v>
      </c>
      <c r="B2904" s="3"/>
      <c r="C2904" s="3"/>
      <c r="D2904" s="28" t="s">
        <v>391</v>
      </c>
      <c r="E2904" s="5" t="s">
        <v>11777</v>
      </c>
      <c r="F2904" s="3" t="s">
        <v>11812</v>
      </c>
      <c r="G2904" s="6">
        <f>17.712*L2904</f>
        <v>230.256</v>
      </c>
      <c r="H2904" s="7">
        <v>41964</v>
      </c>
      <c r="I2904" s="6" t="s">
        <v>11471</v>
      </c>
      <c r="J2904" s="6" t="s">
        <v>11815</v>
      </c>
      <c r="K2904" s="6" t="s">
        <v>11782</v>
      </c>
      <c r="L2904" s="6">
        <v>13</v>
      </c>
      <c r="M2904" s="15" t="s">
        <v>11818</v>
      </c>
      <c r="N2904" s="15" t="s">
        <v>81</v>
      </c>
      <c r="O2904" s="28" t="s">
        <v>12186</v>
      </c>
    </row>
    <row r="2905" spans="1:15" s="1" customFormat="1">
      <c r="A2905" s="3" t="s">
        <v>11807</v>
      </c>
      <c r="B2905" s="3"/>
      <c r="C2905" s="3"/>
      <c r="D2905" s="28" t="s">
        <v>391</v>
      </c>
      <c r="E2905" s="5" t="s">
        <v>11777</v>
      </c>
      <c r="F2905" s="3" t="s">
        <v>11813</v>
      </c>
      <c r="G2905" s="6">
        <f>17.712*L2905</f>
        <v>212.54399999999998</v>
      </c>
      <c r="H2905" s="7">
        <v>41964</v>
      </c>
      <c r="I2905" s="6" t="s">
        <v>11471</v>
      </c>
      <c r="J2905" s="6" t="s">
        <v>11816</v>
      </c>
      <c r="K2905" s="6" t="s">
        <v>11782</v>
      </c>
      <c r="L2905" s="6">
        <v>12</v>
      </c>
      <c r="M2905" s="15" t="s">
        <v>11819</v>
      </c>
      <c r="N2905" s="15" t="s">
        <v>78</v>
      </c>
      <c r="O2905" s="28" t="s">
        <v>11819</v>
      </c>
    </row>
    <row r="2906" spans="1:15" s="1" customFormat="1">
      <c r="A2906" s="3" t="s">
        <v>11807</v>
      </c>
      <c r="B2906" s="3"/>
      <c r="C2906" s="3"/>
      <c r="D2906" s="28" t="s">
        <v>391</v>
      </c>
      <c r="E2906" s="5" t="s">
        <v>11777</v>
      </c>
      <c r="F2906" s="3" t="s">
        <v>11814</v>
      </c>
      <c r="G2906" s="6">
        <f>17.712*L2906</f>
        <v>230.256</v>
      </c>
      <c r="H2906" s="7">
        <v>41964</v>
      </c>
      <c r="I2906" s="6" t="s">
        <v>11809</v>
      </c>
      <c r="J2906" s="6" t="s">
        <v>11817</v>
      </c>
      <c r="K2906" s="6" t="s">
        <v>11782</v>
      </c>
      <c r="L2906" s="6">
        <v>13</v>
      </c>
      <c r="M2906" s="15" t="s">
        <v>11819</v>
      </c>
      <c r="N2906" s="15" t="s">
        <v>81</v>
      </c>
      <c r="O2906" s="28" t="s">
        <v>12187</v>
      </c>
    </row>
    <row r="2907" spans="1:15" s="1" customFormat="1">
      <c r="A2907" s="3" t="s">
        <v>11673</v>
      </c>
      <c r="B2907" s="3"/>
      <c r="C2907" s="3"/>
      <c r="D2907" s="28" t="s">
        <v>443</v>
      </c>
      <c r="E2907" s="5" t="s">
        <v>11674</v>
      </c>
      <c r="F2907" s="3" t="s">
        <v>11675</v>
      </c>
      <c r="G2907" s="6">
        <f>18.708*L2907</f>
        <v>224.49599999999998</v>
      </c>
      <c r="H2907" s="7">
        <v>41964</v>
      </c>
      <c r="I2907" s="6" t="s">
        <v>178</v>
      </c>
      <c r="J2907" s="6" t="s">
        <v>11697</v>
      </c>
      <c r="K2907" s="6" t="s">
        <v>5478</v>
      </c>
      <c r="L2907" s="6">
        <v>12</v>
      </c>
      <c r="M2907" s="15" t="s">
        <v>11690</v>
      </c>
      <c r="N2907" s="15" t="s">
        <v>78</v>
      </c>
      <c r="O2907" s="28"/>
    </row>
    <row r="2908" spans="1:15" s="1" customFormat="1">
      <c r="A2908" s="3" t="s">
        <v>11718</v>
      </c>
      <c r="B2908" s="3"/>
      <c r="C2908" s="3"/>
      <c r="D2908" s="28" t="s">
        <v>170</v>
      </c>
      <c r="E2908" s="5" t="s">
        <v>11412</v>
      </c>
      <c r="F2908" s="3" t="s">
        <v>11719</v>
      </c>
      <c r="G2908" s="6">
        <f t="shared" ref="G2908:G2918" si="115">17.498*L2908</f>
        <v>227.47400000000002</v>
      </c>
      <c r="H2908" s="7">
        <v>41964</v>
      </c>
      <c r="I2908" s="6" t="s">
        <v>265</v>
      </c>
      <c r="J2908" s="6" t="s">
        <v>11729</v>
      </c>
      <c r="K2908" s="6" t="s">
        <v>21</v>
      </c>
      <c r="L2908" s="6">
        <v>13</v>
      </c>
      <c r="M2908" s="15" t="s">
        <v>11738</v>
      </c>
      <c r="N2908" s="15" t="s">
        <v>81</v>
      </c>
      <c r="O2908" s="28"/>
    </row>
    <row r="2909" spans="1:15" s="1" customFormat="1">
      <c r="A2909" s="3" t="s">
        <v>11718</v>
      </c>
      <c r="B2909" s="3"/>
      <c r="C2909" s="3"/>
      <c r="D2909" s="28" t="s">
        <v>170</v>
      </c>
      <c r="E2909" s="5" t="s">
        <v>11412</v>
      </c>
      <c r="F2909" s="3" t="s">
        <v>11720</v>
      </c>
      <c r="G2909" s="6">
        <f t="shared" si="115"/>
        <v>209.976</v>
      </c>
      <c r="H2909" s="7">
        <v>41964</v>
      </c>
      <c r="I2909" s="6" t="s">
        <v>265</v>
      </c>
      <c r="J2909" s="6" t="s">
        <v>11730</v>
      </c>
      <c r="K2909" s="6" t="s">
        <v>21</v>
      </c>
      <c r="L2909" s="6">
        <v>12</v>
      </c>
      <c r="M2909" s="15" t="s">
        <v>11739</v>
      </c>
      <c r="N2909" s="15" t="s">
        <v>78</v>
      </c>
      <c r="O2909" s="28"/>
    </row>
    <row r="2910" spans="1:15" s="1" customFormat="1">
      <c r="A2910" s="3" t="s">
        <v>11718</v>
      </c>
      <c r="B2910" s="3"/>
      <c r="C2910" s="3"/>
      <c r="D2910" s="28" t="s">
        <v>170</v>
      </c>
      <c r="E2910" s="5" t="s">
        <v>11412</v>
      </c>
      <c r="F2910" s="3" t="s">
        <v>11721</v>
      </c>
      <c r="G2910" s="6">
        <f t="shared" si="115"/>
        <v>227.47400000000002</v>
      </c>
      <c r="H2910" s="7">
        <v>41964</v>
      </c>
      <c r="I2910" s="6" t="s">
        <v>265</v>
      </c>
      <c r="J2910" s="6" t="s">
        <v>11731</v>
      </c>
      <c r="K2910" s="6" t="s">
        <v>21</v>
      </c>
      <c r="L2910" s="6">
        <v>13</v>
      </c>
      <c r="M2910" s="15" t="s">
        <v>11739</v>
      </c>
      <c r="N2910" s="15" t="s">
        <v>81</v>
      </c>
      <c r="O2910" s="28"/>
    </row>
    <row r="2911" spans="1:15" s="1" customFormat="1">
      <c r="A2911" s="3" t="s">
        <v>11718</v>
      </c>
      <c r="B2911" s="3"/>
      <c r="C2911" s="3"/>
      <c r="D2911" s="28" t="s">
        <v>170</v>
      </c>
      <c r="E2911" s="5" t="s">
        <v>11412</v>
      </c>
      <c r="F2911" s="3" t="s">
        <v>11723</v>
      </c>
      <c r="G2911" s="6">
        <f t="shared" si="115"/>
        <v>227.47400000000002</v>
      </c>
      <c r="H2911" s="7">
        <v>41964</v>
      </c>
      <c r="I2911" s="6" t="s">
        <v>265</v>
      </c>
      <c r="J2911" s="6" t="s">
        <v>11733</v>
      </c>
      <c r="K2911" s="6" t="s">
        <v>21</v>
      </c>
      <c r="L2911" s="6">
        <v>13</v>
      </c>
      <c r="M2911" s="15" t="s">
        <v>11740</v>
      </c>
      <c r="N2911" s="15" t="s">
        <v>81</v>
      </c>
      <c r="O2911" s="28"/>
    </row>
    <row r="2912" spans="1:15" s="1" customFormat="1">
      <c r="A2912" s="3" t="s">
        <v>11718</v>
      </c>
      <c r="B2912" s="3"/>
      <c r="C2912" s="3"/>
      <c r="D2912" s="28" t="s">
        <v>170</v>
      </c>
      <c r="E2912" s="5" t="s">
        <v>11412</v>
      </c>
      <c r="F2912" s="3" t="s">
        <v>11724</v>
      </c>
      <c r="G2912" s="6">
        <f t="shared" si="115"/>
        <v>209.976</v>
      </c>
      <c r="H2912" s="7">
        <v>41964</v>
      </c>
      <c r="I2912" s="6" t="s">
        <v>265</v>
      </c>
      <c r="J2912" s="6" t="s">
        <v>11734</v>
      </c>
      <c r="K2912" s="6" t="s">
        <v>21</v>
      </c>
      <c r="L2912" s="6">
        <v>12</v>
      </c>
      <c r="M2912" s="15" t="s">
        <v>11741</v>
      </c>
      <c r="N2912" s="15" t="s">
        <v>11743</v>
      </c>
      <c r="O2912" s="28"/>
    </row>
    <row r="2913" spans="1:15" s="1" customFormat="1">
      <c r="A2913" s="3" t="s">
        <v>11718</v>
      </c>
      <c r="B2913" s="3"/>
      <c r="C2913" s="3"/>
      <c r="D2913" s="28" t="s">
        <v>170</v>
      </c>
      <c r="E2913" s="5" t="s">
        <v>11412</v>
      </c>
      <c r="F2913" s="3" t="s">
        <v>11725</v>
      </c>
      <c r="G2913" s="6">
        <f t="shared" si="115"/>
        <v>227.47400000000002</v>
      </c>
      <c r="H2913" s="7">
        <v>41964</v>
      </c>
      <c r="I2913" s="6" t="s">
        <v>265</v>
      </c>
      <c r="J2913" s="6" t="s">
        <v>11735</v>
      </c>
      <c r="K2913" s="6" t="s">
        <v>21</v>
      </c>
      <c r="L2913" s="6">
        <v>13</v>
      </c>
      <c r="M2913" s="15" t="s">
        <v>11741</v>
      </c>
      <c r="N2913" s="15" t="s">
        <v>81</v>
      </c>
      <c r="O2913" s="28"/>
    </row>
    <row r="2914" spans="1:15" s="1" customFormat="1">
      <c r="A2914" s="3" t="s">
        <v>11718</v>
      </c>
      <c r="B2914" s="3"/>
      <c r="C2914" s="3"/>
      <c r="D2914" s="28" t="s">
        <v>170</v>
      </c>
      <c r="E2914" s="5" t="s">
        <v>11412</v>
      </c>
      <c r="F2914" s="3" t="s">
        <v>11726</v>
      </c>
      <c r="G2914" s="6">
        <f t="shared" si="115"/>
        <v>209.976</v>
      </c>
      <c r="H2914" s="7">
        <v>41964</v>
      </c>
      <c r="I2914" s="6" t="s">
        <v>265</v>
      </c>
      <c r="J2914" s="6" t="s">
        <v>11736</v>
      </c>
      <c r="K2914" s="6" t="s">
        <v>21</v>
      </c>
      <c r="L2914" s="6">
        <v>12</v>
      </c>
      <c r="M2914" s="15" t="s">
        <v>11742</v>
      </c>
      <c r="N2914" s="15" t="s">
        <v>11744</v>
      </c>
      <c r="O2914" s="28"/>
    </row>
    <row r="2915" spans="1:15" s="1" customFormat="1">
      <c r="A2915" s="3" t="s">
        <v>11746</v>
      </c>
      <c r="B2915" s="3"/>
      <c r="C2915" s="3"/>
      <c r="D2915" s="28" t="s">
        <v>170</v>
      </c>
      <c r="E2915" s="5" t="s">
        <v>11412</v>
      </c>
      <c r="F2915" s="3" t="s">
        <v>11727</v>
      </c>
      <c r="G2915" s="6">
        <f t="shared" si="115"/>
        <v>192.47800000000001</v>
      </c>
      <c r="H2915" s="7">
        <v>41964</v>
      </c>
      <c r="I2915" s="6" t="s">
        <v>11717</v>
      </c>
      <c r="J2915" s="6" t="s">
        <v>11737</v>
      </c>
      <c r="K2915" s="6" t="s">
        <v>21</v>
      </c>
      <c r="L2915" s="6">
        <v>11</v>
      </c>
      <c r="M2915" s="15" t="s">
        <v>11742</v>
      </c>
      <c r="N2915" s="15" t="s">
        <v>11745</v>
      </c>
      <c r="O2915" s="28"/>
    </row>
    <row r="2916" spans="1:15" s="1" customFormat="1">
      <c r="A2916" s="3" t="s">
        <v>11748</v>
      </c>
      <c r="B2916" s="3"/>
      <c r="C2916" s="3"/>
      <c r="D2916" s="28" t="s">
        <v>170</v>
      </c>
      <c r="E2916" s="5" t="s">
        <v>11749</v>
      </c>
      <c r="F2916" s="3" t="s">
        <v>11751</v>
      </c>
      <c r="G2916" s="6">
        <f t="shared" si="115"/>
        <v>227.47400000000002</v>
      </c>
      <c r="H2916" s="7">
        <v>41964</v>
      </c>
      <c r="I2916" s="6" t="s">
        <v>265</v>
      </c>
      <c r="J2916" s="6" t="s">
        <v>11755</v>
      </c>
      <c r="K2916" s="6" t="s">
        <v>11716</v>
      </c>
      <c r="L2916" s="6">
        <v>13</v>
      </c>
      <c r="M2916" s="15" t="s">
        <v>11752</v>
      </c>
      <c r="N2916" s="15" t="s">
        <v>11753</v>
      </c>
      <c r="O2916" s="28"/>
    </row>
    <row r="2917" spans="1:15" s="1" customFormat="1">
      <c r="A2917" s="3" t="s">
        <v>11756</v>
      </c>
      <c r="B2917" s="3"/>
      <c r="C2917" s="3"/>
      <c r="D2917" s="28" t="s">
        <v>270</v>
      </c>
      <c r="E2917" s="5" t="s">
        <v>11749</v>
      </c>
      <c r="F2917" s="3" t="s">
        <v>11766</v>
      </c>
      <c r="G2917" s="6">
        <f t="shared" si="115"/>
        <v>174.98000000000002</v>
      </c>
      <c r="H2917" s="7">
        <v>41964</v>
      </c>
      <c r="I2917" s="6" t="s">
        <v>913</v>
      </c>
      <c r="J2917" s="6" t="s">
        <v>11759</v>
      </c>
      <c r="K2917" s="6" t="s">
        <v>11762</v>
      </c>
      <c r="L2917" s="6">
        <v>10</v>
      </c>
      <c r="M2917" s="15" t="s">
        <v>11763</v>
      </c>
      <c r="N2917" s="15" t="s">
        <v>10359</v>
      </c>
      <c r="O2917" s="28"/>
    </row>
    <row r="2918" spans="1:15" s="1" customFormat="1">
      <c r="A2918" s="3" t="s">
        <v>11756</v>
      </c>
      <c r="B2918" s="3"/>
      <c r="C2918" s="3"/>
      <c r="D2918" s="28" t="s">
        <v>270</v>
      </c>
      <c r="E2918" s="5" t="s">
        <v>11749</v>
      </c>
      <c r="F2918" s="3" t="s">
        <v>11757</v>
      </c>
      <c r="G2918" s="6">
        <f t="shared" si="115"/>
        <v>157.482</v>
      </c>
      <c r="H2918" s="7">
        <v>41964</v>
      </c>
      <c r="I2918" s="6" t="s">
        <v>913</v>
      </c>
      <c r="J2918" s="6" t="s">
        <v>11760</v>
      </c>
      <c r="K2918" s="6" t="s">
        <v>11762</v>
      </c>
      <c r="L2918" s="6">
        <v>9</v>
      </c>
      <c r="M2918" s="15" t="s">
        <v>11763</v>
      </c>
      <c r="N2918" s="15" t="s">
        <v>11764</v>
      </c>
      <c r="O2918" s="28"/>
    </row>
    <row r="2919" spans="1:15" s="1" customFormat="1">
      <c r="A2919" s="3" t="s">
        <v>11776</v>
      </c>
      <c r="B2919" s="3"/>
      <c r="C2919" s="3"/>
      <c r="D2919" s="28" t="s">
        <v>191</v>
      </c>
      <c r="E2919" s="5" t="s">
        <v>11777</v>
      </c>
      <c r="F2919" s="3" t="s">
        <v>11778</v>
      </c>
      <c r="G2919" s="6">
        <f>18.708*L2919</f>
        <v>224.49599999999998</v>
      </c>
      <c r="H2919" s="7">
        <v>41964</v>
      </c>
      <c r="I2919" s="6" t="s">
        <v>247</v>
      </c>
      <c r="J2919" s="6" t="s">
        <v>11781</v>
      </c>
      <c r="K2919" s="6" t="s">
        <v>11782</v>
      </c>
      <c r="L2919" s="6">
        <v>12</v>
      </c>
      <c r="M2919" s="15" t="s">
        <v>11785</v>
      </c>
      <c r="N2919" s="15" t="s">
        <v>78</v>
      </c>
      <c r="O2919" s="28" t="s">
        <v>11785</v>
      </c>
    </row>
    <row r="2920" spans="1:15" s="1" customFormat="1">
      <c r="A2920" s="3" t="s">
        <v>11673</v>
      </c>
      <c r="B2920" s="3"/>
      <c r="C2920" s="3"/>
      <c r="D2920" s="28" t="s">
        <v>443</v>
      </c>
      <c r="E2920" s="5" t="s">
        <v>11674</v>
      </c>
      <c r="F2920" s="3" t="s">
        <v>11676</v>
      </c>
      <c r="G2920" s="6">
        <f>18.708*L2920</f>
        <v>243.20399999999998</v>
      </c>
      <c r="H2920" s="7">
        <v>41964</v>
      </c>
      <c r="I2920" s="6" t="s">
        <v>178</v>
      </c>
      <c r="J2920" s="6" t="s">
        <v>11698</v>
      </c>
      <c r="K2920" s="6" t="s">
        <v>5478</v>
      </c>
      <c r="L2920" s="6">
        <v>13</v>
      </c>
      <c r="M2920" s="15" t="s">
        <v>11690</v>
      </c>
      <c r="N2920" s="15" t="s">
        <v>167</v>
      </c>
      <c r="O2920" s="28"/>
    </row>
    <row r="2921" spans="1:15" s="1" customFormat="1">
      <c r="A2921" s="3" t="s">
        <v>11673</v>
      </c>
      <c r="B2921" s="3"/>
      <c r="C2921" s="3"/>
      <c r="D2921" s="28" t="s">
        <v>443</v>
      </c>
      <c r="E2921" s="5" t="s">
        <v>11674</v>
      </c>
      <c r="F2921" s="3" t="s">
        <v>11684</v>
      </c>
      <c r="G2921" s="6">
        <f>18.708*L2921</f>
        <v>243.20399999999998</v>
      </c>
      <c r="H2921" s="7">
        <v>41964</v>
      </c>
      <c r="I2921" s="6" t="s">
        <v>178</v>
      </c>
      <c r="J2921" s="6" t="s">
        <v>11706</v>
      </c>
      <c r="K2921" s="6" t="s">
        <v>5478</v>
      </c>
      <c r="L2921" s="6">
        <v>13</v>
      </c>
      <c r="M2921" s="15" t="s">
        <v>11694</v>
      </c>
      <c r="N2921" s="15" t="s">
        <v>167</v>
      </c>
      <c r="O2921" s="28"/>
    </row>
    <row r="2922" spans="1:15" s="1" customFormat="1">
      <c r="A2922" s="3" t="s">
        <v>11718</v>
      </c>
      <c r="B2922" s="3"/>
      <c r="C2922" s="3"/>
      <c r="D2922" s="28" t="s">
        <v>170</v>
      </c>
      <c r="E2922" s="5" t="s">
        <v>11412</v>
      </c>
      <c r="F2922" s="3" t="s">
        <v>11747</v>
      </c>
      <c r="G2922" s="6">
        <f>17.498*L2922</f>
        <v>209.976</v>
      </c>
      <c r="H2922" s="7">
        <v>41964</v>
      </c>
      <c r="I2922" s="6" t="s">
        <v>265</v>
      </c>
      <c r="J2922" s="6" t="s">
        <v>11728</v>
      </c>
      <c r="K2922" s="6" t="s">
        <v>21</v>
      </c>
      <c r="L2922" s="6">
        <v>12</v>
      </c>
      <c r="M2922" s="15" t="s">
        <v>11738</v>
      </c>
      <c r="N2922" s="15" t="s">
        <v>78</v>
      </c>
      <c r="O2922" s="28"/>
    </row>
    <row r="2923" spans="1:15" s="1" customFormat="1">
      <c r="A2923" s="3" t="s">
        <v>11718</v>
      </c>
      <c r="B2923" s="3"/>
      <c r="C2923" s="3"/>
      <c r="D2923" s="28" t="s">
        <v>170</v>
      </c>
      <c r="E2923" s="5" t="s">
        <v>11412</v>
      </c>
      <c r="F2923" s="3" t="s">
        <v>11722</v>
      </c>
      <c r="G2923" s="6">
        <f>17.498*L2923</f>
        <v>209.976</v>
      </c>
      <c r="H2923" s="7">
        <v>41964</v>
      </c>
      <c r="I2923" s="6" t="s">
        <v>265</v>
      </c>
      <c r="J2923" s="6" t="s">
        <v>11732</v>
      </c>
      <c r="K2923" s="6" t="s">
        <v>21</v>
      </c>
      <c r="L2923" s="6">
        <v>12</v>
      </c>
      <c r="M2923" s="15" t="s">
        <v>11740</v>
      </c>
      <c r="N2923" s="15" t="s">
        <v>78</v>
      </c>
      <c r="O2923" s="28"/>
    </row>
    <row r="2924" spans="1:15" s="1" customFormat="1">
      <c r="A2924" s="3" t="s">
        <v>11849</v>
      </c>
      <c r="B2924" s="3"/>
      <c r="C2924" s="3"/>
      <c r="D2924" s="28" t="s">
        <v>1128</v>
      </c>
      <c r="E2924" s="5" t="s">
        <v>11850</v>
      </c>
      <c r="F2924" s="3" t="s">
        <v>11884</v>
      </c>
      <c r="G2924" s="81">
        <f>29.101*L2924</f>
        <v>349.21199999999999</v>
      </c>
      <c r="H2924" s="7">
        <v>41967</v>
      </c>
      <c r="I2924" s="81" t="s">
        <v>11414</v>
      </c>
      <c r="J2924" s="6" t="s">
        <v>11853</v>
      </c>
      <c r="K2924" s="81" t="s">
        <v>11416</v>
      </c>
      <c r="L2924" s="6">
        <v>12</v>
      </c>
      <c r="M2924" s="15" t="s">
        <v>11873</v>
      </c>
      <c r="N2924" s="15" t="s">
        <v>78</v>
      </c>
      <c r="O2924" s="28"/>
    </row>
    <row r="2925" spans="1:15" s="1" customFormat="1">
      <c r="A2925" s="3" t="s">
        <v>11849</v>
      </c>
      <c r="B2925" s="3"/>
      <c r="C2925" s="3"/>
      <c r="D2925" s="28" t="s">
        <v>1128</v>
      </c>
      <c r="E2925" s="5" t="s">
        <v>11850</v>
      </c>
      <c r="F2925" s="3" t="s">
        <v>11887</v>
      </c>
      <c r="G2925" s="81">
        <f>29.101*L2925</f>
        <v>378.31299999999999</v>
      </c>
      <c r="H2925" s="7">
        <v>41967</v>
      </c>
      <c r="I2925" s="81" t="s">
        <v>11414</v>
      </c>
      <c r="J2925" s="6" t="s">
        <v>11856</v>
      </c>
      <c r="K2925" s="81" t="s">
        <v>11416</v>
      </c>
      <c r="L2925" s="6">
        <v>13</v>
      </c>
      <c r="M2925" s="15" t="s">
        <v>11874</v>
      </c>
      <c r="N2925" s="15" t="s">
        <v>81</v>
      </c>
      <c r="O2925" s="28"/>
    </row>
    <row r="2926" spans="1:15" s="1" customFormat="1">
      <c r="A2926" s="3" t="s">
        <v>11849</v>
      </c>
      <c r="B2926" s="3"/>
      <c r="C2926" s="3"/>
      <c r="D2926" s="28" t="s">
        <v>1128</v>
      </c>
      <c r="E2926" s="5" t="s">
        <v>11850</v>
      </c>
      <c r="F2926" s="3" t="s">
        <v>11893</v>
      </c>
      <c r="G2926" s="81">
        <f>29.101*L2926</f>
        <v>378.31299999999999</v>
      </c>
      <c r="H2926" s="7">
        <v>41967</v>
      </c>
      <c r="I2926" s="81" t="s">
        <v>11414</v>
      </c>
      <c r="J2926" s="6" t="s">
        <v>11862</v>
      </c>
      <c r="K2926" s="81" t="s">
        <v>11416</v>
      </c>
      <c r="L2926" s="6">
        <v>13</v>
      </c>
      <c r="M2926" s="15" t="s">
        <v>11877</v>
      </c>
      <c r="N2926" s="15" t="s">
        <v>81</v>
      </c>
      <c r="O2926" s="28"/>
    </row>
    <row r="2927" spans="1:15" s="1" customFormat="1">
      <c r="A2927" s="3" t="s">
        <v>11849</v>
      </c>
      <c r="B2927" s="3"/>
      <c r="C2927" s="3"/>
      <c r="D2927" s="28" t="s">
        <v>1128</v>
      </c>
      <c r="E2927" s="5" t="s">
        <v>11850</v>
      </c>
      <c r="F2927" s="3" t="s">
        <v>11900</v>
      </c>
      <c r="G2927" s="81">
        <f>29.101*L2927</f>
        <v>349.21199999999999</v>
      </c>
      <c r="H2927" s="7">
        <v>41967</v>
      </c>
      <c r="I2927" s="81" t="s">
        <v>11414</v>
      </c>
      <c r="J2927" s="6" t="s">
        <v>11869</v>
      </c>
      <c r="K2927" s="81" t="s">
        <v>11416</v>
      </c>
      <c r="L2927" s="6">
        <v>12</v>
      </c>
      <c r="M2927" s="15" t="s">
        <v>11881</v>
      </c>
      <c r="N2927" s="15" t="s">
        <v>78</v>
      </c>
      <c r="O2927" s="28"/>
    </row>
    <row r="2928" spans="1:15" s="1" customFormat="1">
      <c r="A2928" s="3" t="s">
        <v>11915</v>
      </c>
      <c r="B2928" s="3"/>
      <c r="C2928" s="3"/>
      <c r="D2928" s="28" t="s">
        <v>270</v>
      </c>
      <c r="E2928" s="5" t="s">
        <v>11850</v>
      </c>
      <c r="F2928" s="3" t="s">
        <v>11916</v>
      </c>
      <c r="G2928" s="6">
        <f>17.498*L2928</f>
        <v>209.976</v>
      </c>
      <c r="H2928" s="7">
        <v>41967</v>
      </c>
      <c r="I2928" s="6" t="s">
        <v>913</v>
      </c>
      <c r="J2928" s="6" t="s">
        <v>11917</v>
      </c>
      <c r="K2928" s="6" t="s">
        <v>11534</v>
      </c>
      <c r="L2928" s="6">
        <v>12</v>
      </c>
      <c r="M2928" s="15" t="s">
        <v>11918</v>
      </c>
      <c r="N2928" s="15" t="s">
        <v>5860</v>
      </c>
      <c r="O2928" s="28"/>
    </row>
    <row r="2929" spans="1:15" s="1" customFormat="1">
      <c r="A2929" s="3" t="s">
        <v>11849</v>
      </c>
      <c r="B2929" s="3"/>
      <c r="C2929" s="3"/>
      <c r="D2929" s="28" t="s">
        <v>1128</v>
      </c>
      <c r="E2929" s="5" t="s">
        <v>11850</v>
      </c>
      <c r="F2929" s="3" t="s">
        <v>11851</v>
      </c>
      <c r="G2929" s="81">
        <f t="shared" ref="G2929:G2940" si="116">29.101*L2929</f>
        <v>378.31299999999999</v>
      </c>
      <c r="H2929" s="7">
        <v>41967</v>
      </c>
      <c r="I2929" s="81" t="s">
        <v>11414</v>
      </c>
      <c r="J2929" s="6" t="s">
        <v>11852</v>
      </c>
      <c r="K2929" s="81" t="s">
        <v>11416</v>
      </c>
      <c r="L2929" s="6">
        <v>13</v>
      </c>
      <c r="M2929" s="15" t="s">
        <v>11883</v>
      </c>
      <c r="N2929" s="15" t="s">
        <v>81</v>
      </c>
      <c r="O2929" s="28"/>
    </row>
    <row r="2930" spans="1:15" s="1" customFormat="1">
      <c r="A2930" s="3" t="s">
        <v>11849</v>
      </c>
      <c r="B2930" s="3"/>
      <c r="C2930" s="3"/>
      <c r="D2930" s="28" t="s">
        <v>1128</v>
      </c>
      <c r="E2930" s="5" t="s">
        <v>11850</v>
      </c>
      <c r="F2930" s="3" t="s">
        <v>11888</v>
      </c>
      <c r="G2930" s="81">
        <f t="shared" si="116"/>
        <v>349.21199999999999</v>
      </c>
      <c r="H2930" s="7">
        <v>41967</v>
      </c>
      <c r="I2930" s="81" t="s">
        <v>11414</v>
      </c>
      <c r="J2930" s="6" t="s">
        <v>11857</v>
      </c>
      <c r="K2930" s="81" t="s">
        <v>11416</v>
      </c>
      <c r="L2930" s="6">
        <v>12</v>
      </c>
      <c r="M2930" s="15" t="s">
        <v>11875</v>
      </c>
      <c r="N2930" s="15" t="s">
        <v>78</v>
      </c>
      <c r="O2930" s="28"/>
    </row>
    <row r="2931" spans="1:15" s="1" customFormat="1">
      <c r="A2931" s="3" t="s">
        <v>11849</v>
      </c>
      <c r="B2931" s="3"/>
      <c r="C2931" s="3"/>
      <c r="D2931" s="28" t="s">
        <v>1128</v>
      </c>
      <c r="E2931" s="5" t="s">
        <v>11850</v>
      </c>
      <c r="F2931" s="3" t="s">
        <v>11889</v>
      </c>
      <c r="G2931" s="81">
        <f t="shared" si="116"/>
        <v>378.31299999999999</v>
      </c>
      <c r="H2931" s="7">
        <v>41967</v>
      </c>
      <c r="I2931" s="81" t="s">
        <v>11414</v>
      </c>
      <c r="J2931" s="6" t="s">
        <v>11858</v>
      </c>
      <c r="K2931" s="81" t="s">
        <v>11416</v>
      </c>
      <c r="L2931" s="6">
        <v>13</v>
      </c>
      <c r="M2931" s="15" t="s">
        <v>11875</v>
      </c>
      <c r="N2931" s="15" t="s">
        <v>81</v>
      </c>
      <c r="O2931" s="28"/>
    </row>
    <row r="2932" spans="1:15" s="1" customFormat="1">
      <c r="A2932" s="3" t="s">
        <v>11849</v>
      </c>
      <c r="B2932" s="3"/>
      <c r="C2932" s="3"/>
      <c r="D2932" s="28" t="s">
        <v>1128</v>
      </c>
      <c r="E2932" s="5" t="s">
        <v>11850</v>
      </c>
      <c r="F2932" s="3" t="s">
        <v>11890</v>
      </c>
      <c r="G2932" s="81">
        <f t="shared" si="116"/>
        <v>349.21199999999999</v>
      </c>
      <c r="H2932" s="7">
        <v>41967</v>
      </c>
      <c r="I2932" s="81" t="s">
        <v>11414</v>
      </c>
      <c r="J2932" s="6" t="s">
        <v>11859</v>
      </c>
      <c r="K2932" s="81" t="s">
        <v>11416</v>
      </c>
      <c r="L2932" s="6">
        <v>12</v>
      </c>
      <c r="M2932" s="15" t="s">
        <v>11876</v>
      </c>
      <c r="N2932" s="83" t="s">
        <v>78</v>
      </c>
      <c r="O2932" s="28"/>
    </row>
    <row r="2933" spans="1:15" s="1" customFormat="1">
      <c r="A2933" s="3" t="s">
        <v>11849</v>
      </c>
      <c r="B2933" s="3"/>
      <c r="C2933" s="3"/>
      <c r="D2933" s="28" t="s">
        <v>1128</v>
      </c>
      <c r="E2933" s="5" t="s">
        <v>11850</v>
      </c>
      <c r="F2933" s="3" t="s">
        <v>11891</v>
      </c>
      <c r="G2933" s="81">
        <f t="shared" si="116"/>
        <v>378.31299999999999</v>
      </c>
      <c r="H2933" s="7">
        <v>41967</v>
      </c>
      <c r="I2933" s="81" t="s">
        <v>11414</v>
      </c>
      <c r="J2933" s="6" t="s">
        <v>11860</v>
      </c>
      <c r="K2933" s="81" t="s">
        <v>11416</v>
      </c>
      <c r="L2933" s="6">
        <v>13</v>
      </c>
      <c r="M2933" s="15" t="s">
        <v>11876</v>
      </c>
      <c r="N2933" s="15" t="s">
        <v>81</v>
      </c>
      <c r="O2933" s="28"/>
    </row>
    <row r="2934" spans="1:15" s="1" customFormat="1">
      <c r="A2934" s="3" t="s">
        <v>11849</v>
      </c>
      <c r="B2934" s="3"/>
      <c r="C2934" s="3"/>
      <c r="D2934" s="28" t="s">
        <v>1128</v>
      </c>
      <c r="E2934" s="5" t="s">
        <v>11850</v>
      </c>
      <c r="F2934" s="3" t="s">
        <v>11892</v>
      </c>
      <c r="G2934" s="81">
        <f t="shared" si="116"/>
        <v>349.21199999999999</v>
      </c>
      <c r="H2934" s="7">
        <v>41967</v>
      </c>
      <c r="I2934" s="81" t="s">
        <v>11414</v>
      </c>
      <c r="J2934" s="6" t="s">
        <v>11861</v>
      </c>
      <c r="K2934" s="81" t="s">
        <v>11416</v>
      </c>
      <c r="L2934" s="6">
        <v>12</v>
      </c>
      <c r="M2934" s="15" t="s">
        <v>11877</v>
      </c>
      <c r="N2934" s="15" t="s">
        <v>78</v>
      </c>
      <c r="O2934" s="28"/>
    </row>
    <row r="2935" spans="1:15" s="1" customFormat="1">
      <c r="A2935" s="3" t="s">
        <v>11849</v>
      </c>
      <c r="B2935" s="3"/>
      <c r="C2935" s="3"/>
      <c r="D2935" s="28" t="s">
        <v>1128</v>
      </c>
      <c r="E2935" s="5" t="s">
        <v>11850</v>
      </c>
      <c r="F2935" s="3" t="s">
        <v>11895</v>
      </c>
      <c r="G2935" s="81">
        <f t="shared" si="116"/>
        <v>378.31299999999999</v>
      </c>
      <c r="H2935" s="7">
        <v>41967</v>
      </c>
      <c r="I2935" s="81" t="s">
        <v>11414</v>
      </c>
      <c r="J2935" s="6" t="s">
        <v>11864</v>
      </c>
      <c r="K2935" s="81" t="s">
        <v>11416</v>
      </c>
      <c r="L2935" s="6">
        <v>13</v>
      </c>
      <c r="M2935" s="15" t="s">
        <v>11878</v>
      </c>
      <c r="N2935" s="15" t="s">
        <v>81</v>
      </c>
      <c r="O2935" s="28"/>
    </row>
    <row r="2936" spans="1:15" s="1" customFormat="1">
      <c r="A2936" s="3" t="s">
        <v>11849</v>
      </c>
      <c r="B2936" s="3"/>
      <c r="C2936" s="3"/>
      <c r="D2936" s="28" t="s">
        <v>1128</v>
      </c>
      <c r="E2936" s="5" t="s">
        <v>11850</v>
      </c>
      <c r="F2936" s="3" t="s">
        <v>11897</v>
      </c>
      <c r="G2936" s="81">
        <f t="shared" si="116"/>
        <v>378.31299999999999</v>
      </c>
      <c r="H2936" s="7">
        <v>41967</v>
      </c>
      <c r="I2936" s="81" t="s">
        <v>11414</v>
      </c>
      <c r="J2936" s="6" t="s">
        <v>11866</v>
      </c>
      <c r="K2936" s="81" t="s">
        <v>11416</v>
      </c>
      <c r="L2936" s="6">
        <v>13</v>
      </c>
      <c r="M2936" s="15" t="s">
        <v>11879</v>
      </c>
      <c r="N2936" s="15" t="s">
        <v>81</v>
      </c>
      <c r="O2936" s="28"/>
    </row>
    <row r="2937" spans="1:15" s="1" customFormat="1">
      <c r="A2937" s="3" t="s">
        <v>11849</v>
      </c>
      <c r="B2937" s="3"/>
      <c r="C2937" s="3"/>
      <c r="D2937" s="28" t="s">
        <v>1128</v>
      </c>
      <c r="E2937" s="5" t="s">
        <v>11850</v>
      </c>
      <c r="F2937" s="3" t="s">
        <v>11898</v>
      </c>
      <c r="G2937" s="81">
        <f t="shared" si="116"/>
        <v>349.21199999999999</v>
      </c>
      <c r="H2937" s="7">
        <v>41967</v>
      </c>
      <c r="I2937" s="81" t="s">
        <v>11414</v>
      </c>
      <c r="J2937" s="6" t="s">
        <v>11867</v>
      </c>
      <c r="K2937" s="81" t="s">
        <v>11416</v>
      </c>
      <c r="L2937" s="6">
        <v>12</v>
      </c>
      <c r="M2937" s="15" t="s">
        <v>11880</v>
      </c>
      <c r="N2937" s="83" t="s">
        <v>78</v>
      </c>
      <c r="O2937" s="28"/>
    </row>
    <row r="2938" spans="1:15" s="1" customFormat="1">
      <c r="A2938" s="3" t="s">
        <v>11849</v>
      </c>
      <c r="B2938" s="3"/>
      <c r="C2938" s="3"/>
      <c r="D2938" s="28" t="s">
        <v>1128</v>
      </c>
      <c r="E2938" s="5" t="s">
        <v>11850</v>
      </c>
      <c r="F2938" s="3" t="s">
        <v>11901</v>
      </c>
      <c r="G2938" s="81">
        <f t="shared" si="116"/>
        <v>378.31299999999999</v>
      </c>
      <c r="H2938" s="7">
        <v>41967</v>
      </c>
      <c r="I2938" s="81" t="s">
        <v>11414</v>
      </c>
      <c r="J2938" s="6" t="s">
        <v>11870</v>
      </c>
      <c r="K2938" s="81" t="s">
        <v>11416</v>
      </c>
      <c r="L2938" s="6">
        <v>13</v>
      </c>
      <c r="M2938" s="15" t="s">
        <v>11881</v>
      </c>
      <c r="N2938" s="15" t="s">
        <v>81</v>
      </c>
      <c r="O2938" s="28"/>
    </row>
    <row r="2939" spans="1:15" s="1" customFormat="1">
      <c r="A2939" s="3" t="s">
        <v>11849</v>
      </c>
      <c r="B2939" s="3"/>
      <c r="C2939" s="3"/>
      <c r="D2939" s="28" t="s">
        <v>1128</v>
      </c>
      <c r="E2939" s="5" t="s">
        <v>11850</v>
      </c>
      <c r="F2939" s="3" t="s">
        <v>11902</v>
      </c>
      <c r="G2939" s="81">
        <f t="shared" si="116"/>
        <v>349.21199999999999</v>
      </c>
      <c r="H2939" s="7">
        <v>41967</v>
      </c>
      <c r="I2939" s="81" t="s">
        <v>11414</v>
      </c>
      <c r="J2939" s="6" t="s">
        <v>11871</v>
      </c>
      <c r="K2939" s="81" t="s">
        <v>11416</v>
      </c>
      <c r="L2939" s="6">
        <v>12</v>
      </c>
      <c r="M2939" s="15" t="s">
        <v>11882</v>
      </c>
      <c r="N2939" s="83" t="s">
        <v>78</v>
      </c>
      <c r="O2939" s="28"/>
    </row>
    <row r="2940" spans="1:15" s="1" customFormat="1">
      <c r="A2940" s="3" t="s">
        <v>11958</v>
      </c>
      <c r="B2940" s="3"/>
      <c r="C2940" s="3"/>
      <c r="D2940" s="28" t="s">
        <v>417</v>
      </c>
      <c r="E2940" s="5" t="s">
        <v>11940</v>
      </c>
      <c r="F2940" s="3" t="s">
        <v>11959</v>
      </c>
      <c r="G2940" s="6">
        <f t="shared" si="116"/>
        <v>145.505</v>
      </c>
      <c r="H2940" s="7">
        <v>41968</v>
      </c>
      <c r="I2940" s="6" t="s">
        <v>419</v>
      </c>
      <c r="J2940" s="6" t="s">
        <v>11962</v>
      </c>
      <c r="K2940" s="6" t="s">
        <v>5478</v>
      </c>
      <c r="L2940" s="6">
        <v>5</v>
      </c>
      <c r="M2940" s="15" t="s">
        <v>11965</v>
      </c>
      <c r="N2940" s="15" t="s">
        <v>11966</v>
      </c>
      <c r="O2940" s="28" t="s">
        <v>12138</v>
      </c>
    </row>
    <row r="2941" spans="1:15" s="1" customFormat="1">
      <c r="A2941" s="3" t="s">
        <v>11969</v>
      </c>
      <c r="B2941" s="3"/>
      <c r="C2941" s="3"/>
      <c r="D2941" s="28" t="s">
        <v>377</v>
      </c>
      <c r="E2941" s="5" t="s">
        <v>11948</v>
      </c>
      <c r="F2941" s="3" t="s">
        <v>11976</v>
      </c>
      <c r="G2941" s="6">
        <f>18.708*L2941</f>
        <v>224.49599999999998</v>
      </c>
      <c r="H2941" s="7">
        <v>41968</v>
      </c>
      <c r="I2941" s="6" t="s">
        <v>379</v>
      </c>
      <c r="J2941" s="6" t="s">
        <v>11973</v>
      </c>
      <c r="K2941" s="6" t="s">
        <v>21</v>
      </c>
      <c r="L2941" s="6">
        <v>12</v>
      </c>
      <c r="M2941" s="15" t="s">
        <v>11970</v>
      </c>
      <c r="N2941" s="15" t="s">
        <v>78</v>
      </c>
      <c r="O2941" s="28" t="s">
        <v>12141</v>
      </c>
    </row>
    <row r="2942" spans="1:15" s="1" customFormat="1">
      <c r="A2942" s="3" t="s">
        <v>11958</v>
      </c>
      <c r="B2942" s="3"/>
      <c r="C2942" s="3"/>
      <c r="D2942" s="28" t="s">
        <v>417</v>
      </c>
      <c r="E2942" s="5" t="s">
        <v>11940</v>
      </c>
      <c r="F2942" s="3" t="s">
        <v>11960</v>
      </c>
      <c r="G2942" s="6">
        <f>29.101*L2942</f>
        <v>232.80799999999999</v>
      </c>
      <c r="H2942" s="7">
        <v>41968</v>
      </c>
      <c r="I2942" s="6" t="s">
        <v>419</v>
      </c>
      <c r="J2942" s="6" t="s">
        <v>11963</v>
      </c>
      <c r="K2942" s="6" t="s">
        <v>5478</v>
      </c>
      <c r="L2942" s="6">
        <v>8</v>
      </c>
      <c r="M2942" s="15" t="s">
        <v>11967</v>
      </c>
      <c r="N2942" s="15" t="s">
        <v>5844</v>
      </c>
      <c r="O2942" s="28" t="s">
        <v>12139</v>
      </c>
    </row>
    <row r="2943" spans="1:15" s="1" customFormat="1">
      <c r="A2943" s="3" t="s">
        <v>11969</v>
      </c>
      <c r="B2943" s="3"/>
      <c r="C2943" s="3"/>
      <c r="D2943" s="28" t="s">
        <v>377</v>
      </c>
      <c r="E2943" s="5" t="s">
        <v>11948</v>
      </c>
      <c r="F2943" s="3" t="s">
        <v>11972</v>
      </c>
      <c r="G2943" s="6">
        <f>18.708*L2943</f>
        <v>243.20399999999998</v>
      </c>
      <c r="H2943" s="7">
        <v>41968</v>
      </c>
      <c r="I2943" s="6" t="s">
        <v>11975</v>
      </c>
      <c r="J2943" s="6" t="s">
        <v>11974</v>
      </c>
      <c r="K2943" s="6" t="s">
        <v>21</v>
      </c>
      <c r="L2943" s="6">
        <v>13</v>
      </c>
      <c r="M2943" s="15" t="s">
        <v>11970</v>
      </c>
      <c r="N2943" s="15" t="s">
        <v>11971</v>
      </c>
      <c r="O2943" s="28" t="s">
        <v>12142</v>
      </c>
    </row>
    <row r="2944" spans="1:15" s="1" customFormat="1">
      <c r="A2944" s="3" t="s">
        <v>11977</v>
      </c>
      <c r="B2944" s="3"/>
      <c r="C2944" s="3"/>
      <c r="D2944" s="28" t="s">
        <v>11978</v>
      </c>
      <c r="E2944" s="5" t="s">
        <v>11979</v>
      </c>
      <c r="F2944" s="3" t="s">
        <v>11980</v>
      </c>
      <c r="G2944" s="6">
        <f>14.405*L2944</f>
        <v>187.26499999999999</v>
      </c>
      <c r="H2944" s="7">
        <v>41969</v>
      </c>
      <c r="I2944" s="6" t="s">
        <v>11472</v>
      </c>
      <c r="J2944" s="6" t="s">
        <v>11987</v>
      </c>
      <c r="K2944" s="6" t="s">
        <v>11475</v>
      </c>
      <c r="L2944" s="6">
        <v>13</v>
      </c>
      <c r="M2944" s="15" t="s">
        <v>11487</v>
      </c>
      <c r="N2944" s="15" t="s">
        <v>81</v>
      </c>
      <c r="O2944" s="28" t="s">
        <v>12143</v>
      </c>
    </row>
    <row r="2945" spans="1:15" s="1" customFormat="1">
      <c r="A2945" s="3" t="s">
        <v>11977</v>
      </c>
      <c r="B2945" s="3"/>
      <c r="C2945" s="3"/>
      <c r="D2945" s="28" t="s">
        <v>11978</v>
      </c>
      <c r="E2945" s="5" t="s">
        <v>11979</v>
      </c>
      <c r="F2945" s="3" t="s">
        <v>11982</v>
      </c>
      <c r="G2945" s="6">
        <f>14.405*L2945</f>
        <v>187.26499999999999</v>
      </c>
      <c r="H2945" s="7">
        <v>41969</v>
      </c>
      <c r="I2945" s="6" t="s">
        <v>11472</v>
      </c>
      <c r="J2945" s="6" t="s">
        <v>11989</v>
      </c>
      <c r="K2945" s="6" t="s">
        <v>11475</v>
      </c>
      <c r="L2945" s="6">
        <v>13</v>
      </c>
      <c r="M2945" s="15" t="s">
        <v>11994</v>
      </c>
      <c r="N2945" s="15" t="s">
        <v>81</v>
      </c>
      <c r="O2945" s="28" t="s">
        <v>12144</v>
      </c>
    </row>
    <row r="2946" spans="1:15" s="1" customFormat="1">
      <c r="A2946" s="3" t="s">
        <v>11977</v>
      </c>
      <c r="B2946" s="3"/>
      <c r="C2946" s="3"/>
      <c r="D2946" s="28" t="s">
        <v>11978</v>
      </c>
      <c r="E2946" s="5" t="s">
        <v>11979</v>
      </c>
      <c r="F2946" s="3" t="s">
        <v>11983</v>
      </c>
      <c r="G2946" s="6">
        <f>14.405*L2946</f>
        <v>172.85999999999999</v>
      </c>
      <c r="H2946" s="7">
        <v>41969</v>
      </c>
      <c r="I2946" s="6" t="s">
        <v>11472</v>
      </c>
      <c r="J2946" s="6" t="s">
        <v>11990</v>
      </c>
      <c r="K2946" s="6" t="s">
        <v>11475</v>
      </c>
      <c r="L2946" s="6">
        <v>12</v>
      </c>
      <c r="M2946" s="15" t="s">
        <v>11995</v>
      </c>
      <c r="N2946" s="15" t="s">
        <v>78</v>
      </c>
      <c r="O2946" s="28" t="s">
        <v>11995</v>
      </c>
    </row>
    <row r="2947" spans="1:15" s="1" customFormat="1">
      <c r="A2947" s="3" t="s">
        <v>11977</v>
      </c>
      <c r="B2947" s="3"/>
      <c r="C2947" s="3"/>
      <c r="D2947" s="28" t="s">
        <v>11978</v>
      </c>
      <c r="E2947" s="5" t="s">
        <v>11979</v>
      </c>
      <c r="F2947" s="3" t="s">
        <v>11985</v>
      </c>
      <c r="G2947" s="6">
        <f>14.405*L2947</f>
        <v>144.04999999999998</v>
      </c>
      <c r="H2947" s="7">
        <v>41969</v>
      </c>
      <c r="I2947" s="6" t="s">
        <v>11472</v>
      </c>
      <c r="J2947" s="6" t="s">
        <v>11992</v>
      </c>
      <c r="K2947" s="6" t="s">
        <v>11475</v>
      </c>
      <c r="L2947" s="6">
        <v>10</v>
      </c>
      <c r="M2947" s="15" t="s">
        <v>11996</v>
      </c>
      <c r="N2947" s="15" t="s">
        <v>4872</v>
      </c>
      <c r="O2947" s="28" t="s">
        <v>11996</v>
      </c>
    </row>
    <row r="2948" spans="1:15" s="1" customFormat="1">
      <c r="A2948" s="3" t="s">
        <v>12072</v>
      </c>
      <c r="B2948" s="3"/>
      <c r="C2948" s="3"/>
      <c r="D2948" s="28" t="s">
        <v>919</v>
      </c>
      <c r="E2948" s="5" t="s">
        <v>11979</v>
      </c>
      <c r="F2948" s="3" t="s">
        <v>12073</v>
      </c>
      <c r="G2948" s="6">
        <f>17.712*L2948</f>
        <v>35.423999999999999</v>
      </c>
      <c r="H2948" s="7">
        <v>41969</v>
      </c>
      <c r="I2948" s="6" t="s">
        <v>265</v>
      </c>
      <c r="J2948" s="6" t="s">
        <v>12076</v>
      </c>
      <c r="K2948" s="6" t="s">
        <v>21</v>
      </c>
      <c r="L2948" s="6">
        <v>2</v>
      </c>
      <c r="M2948" s="15" t="s">
        <v>12079</v>
      </c>
      <c r="N2948" s="15" t="s">
        <v>836</v>
      </c>
      <c r="O2948" s="28" t="s">
        <v>12155</v>
      </c>
    </row>
    <row r="2949" spans="1:15" s="1" customFormat="1">
      <c r="A2949" s="3" t="s">
        <v>12072</v>
      </c>
      <c r="B2949" s="3"/>
      <c r="C2949" s="3"/>
      <c r="D2949" s="28" t="s">
        <v>919</v>
      </c>
      <c r="E2949" s="5" t="s">
        <v>11979</v>
      </c>
      <c r="F2949" s="3" t="s">
        <v>12074</v>
      </c>
      <c r="G2949" s="6">
        <f>17.712*L2949</f>
        <v>35.423999999999999</v>
      </c>
      <c r="H2949" s="7">
        <v>41969</v>
      </c>
      <c r="I2949" s="6" t="s">
        <v>265</v>
      </c>
      <c r="J2949" s="6" t="s">
        <v>12077</v>
      </c>
      <c r="K2949" s="6" t="s">
        <v>21</v>
      </c>
      <c r="L2949" s="6">
        <v>2</v>
      </c>
      <c r="M2949" s="15" t="s">
        <v>12080</v>
      </c>
      <c r="N2949" s="15" t="s">
        <v>836</v>
      </c>
      <c r="O2949" s="28" t="s">
        <v>12156</v>
      </c>
    </row>
    <row r="2950" spans="1:15" s="1" customFormat="1">
      <c r="A2950" s="3" t="s">
        <v>12082</v>
      </c>
      <c r="B2950" s="3"/>
      <c r="C2950" s="3"/>
      <c r="D2950" s="28" t="s">
        <v>191</v>
      </c>
      <c r="E2950" s="5" t="s">
        <v>12000</v>
      </c>
      <c r="F2950" s="3" t="s">
        <v>12085</v>
      </c>
      <c r="G2950" s="6">
        <f>18.708*L2950</f>
        <v>243.20399999999998</v>
      </c>
      <c r="H2950" s="7">
        <v>41969</v>
      </c>
      <c r="I2950" s="6" t="s">
        <v>247</v>
      </c>
      <c r="J2950" s="6" t="s">
        <v>12091</v>
      </c>
      <c r="K2950" s="6" t="s">
        <v>11475</v>
      </c>
      <c r="L2950" s="6">
        <v>13</v>
      </c>
      <c r="M2950" s="15" t="s">
        <v>12095</v>
      </c>
      <c r="N2950" s="15" t="s">
        <v>81</v>
      </c>
      <c r="O2950" s="28" t="s">
        <v>12160</v>
      </c>
    </row>
    <row r="2951" spans="1:15" s="1" customFormat="1">
      <c r="A2951" s="3" t="s">
        <v>12105</v>
      </c>
      <c r="B2951" s="3"/>
      <c r="C2951" s="3"/>
      <c r="D2951" s="28" t="s">
        <v>2117</v>
      </c>
      <c r="E2951" s="5" t="s">
        <v>12106</v>
      </c>
      <c r="F2951" s="3" t="s">
        <v>12115</v>
      </c>
      <c r="G2951" s="6">
        <v>248.07599999999999</v>
      </c>
      <c r="H2951" s="7">
        <v>41969</v>
      </c>
      <c r="I2951" s="6" t="s">
        <v>11592</v>
      </c>
      <c r="J2951" s="6" t="s">
        <v>12117</v>
      </c>
      <c r="K2951" s="6" t="s">
        <v>11591</v>
      </c>
      <c r="L2951" s="6" t="s">
        <v>5428</v>
      </c>
      <c r="M2951" s="15" t="s">
        <v>12120</v>
      </c>
      <c r="N2951" s="15" t="s">
        <v>12119</v>
      </c>
      <c r="O2951" s="28" t="s">
        <v>12165</v>
      </c>
    </row>
    <row r="2952" spans="1:15" s="1" customFormat="1">
      <c r="A2952" s="3" t="s">
        <v>12055</v>
      </c>
      <c r="B2952" s="3"/>
      <c r="C2952" s="3"/>
      <c r="D2952" s="28" t="s">
        <v>3997</v>
      </c>
      <c r="E2952" s="5" t="s">
        <v>12000</v>
      </c>
      <c r="F2952" s="3" t="s">
        <v>12056</v>
      </c>
      <c r="G2952" s="6">
        <f>12.838*L2952</f>
        <v>64.19</v>
      </c>
      <c r="H2952" s="7">
        <v>41969</v>
      </c>
      <c r="I2952" s="6" t="s">
        <v>471</v>
      </c>
      <c r="J2952" s="6" t="s">
        <v>12059</v>
      </c>
      <c r="K2952" s="6" t="s">
        <v>21</v>
      </c>
      <c r="L2952" s="6">
        <v>5</v>
      </c>
      <c r="M2952" s="15" t="s">
        <v>10998</v>
      </c>
      <c r="N2952" s="15" t="s">
        <v>5969</v>
      </c>
      <c r="O2952" s="28" t="s">
        <v>12151</v>
      </c>
    </row>
    <row r="2953" spans="1:15" s="1" customFormat="1">
      <c r="A2953" s="3" t="s">
        <v>12082</v>
      </c>
      <c r="B2953" s="3"/>
      <c r="C2953" s="3"/>
      <c r="D2953" s="28" t="s">
        <v>191</v>
      </c>
      <c r="E2953" s="5" t="s">
        <v>12000</v>
      </c>
      <c r="F2953" s="3" t="s">
        <v>12086</v>
      </c>
      <c r="G2953" s="6">
        <f>18.708*L2953</f>
        <v>224.49599999999998</v>
      </c>
      <c r="H2953" s="7">
        <v>41969</v>
      </c>
      <c r="I2953" s="6" t="s">
        <v>247</v>
      </c>
      <c r="J2953" s="6" t="s">
        <v>12092</v>
      </c>
      <c r="K2953" s="6" t="s">
        <v>11475</v>
      </c>
      <c r="L2953" s="6">
        <v>12</v>
      </c>
      <c r="M2953" s="15" t="s">
        <v>12096</v>
      </c>
      <c r="N2953" s="15" t="s">
        <v>78</v>
      </c>
      <c r="O2953" s="28" t="s">
        <v>12096</v>
      </c>
    </row>
    <row r="2954" spans="1:15" s="1" customFormat="1">
      <c r="A2954" s="3" t="s">
        <v>12082</v>
      </c>
      <c r="B2954" s="3"/>
      <c r="C2954" s="3"/>
      <c r="D2954" s="28" t="s">
        <v>191</v>
      </c>
      <c r="E2954" s="5" t="s">
        <v>12000</v>
      </c>
      <c r="F2954" s="3" t="s">
        <v>12087</v>
      </c>
      <c r="G2954" s="6">
        <f>18.708*L2954</f>
        <v>243.20399999999998</v>
      </c>
      <c r="H2954" s="7">
        <v>41969</v>
      </c>
      <c r="I2954" s="6" t="s">
        <v>12097</v>
      </c>
      <c r="J2954" s="6" t="s">
        <v>12093</v>
      </c>
      <c r="K2954" s="6" t="s">
        <v>11475</v>
      </c>
      <c r="L2954" s="6">
        <v>13</v>
      </c>
      <c r="M2954" s="15" t="s">
        <v>12096</v>
      </c>
      <c r="N2954" s="15" t="s">
        <v>81</v>
      </c>
      <c r="O2954" s="28" t="s">
        <v>12161</v>
      </c>
    </row>
    <row r="2955" spans="1:15" s="1" customFormat="1">
      <c r="A2955" s="3" t="s">
        <v>12100</v>
      </c>
      <c r="B2955" s="3"/>
      <c r="C2955" s="3"/>
      <c r="D2955" s="28" t="s">
        <v>291</v>
      </c>
      <c r="E2955" s="5" t="s">
        <v>12000</v>
      </c>
      <c r="F2955" s="3" t="s">
        <v>12099</v>
      </c>
      <c r="G2955" s="6">
        <f>17.498*L2955</f>
        <v>209.976</v>
      </c>
      <c r="H2955" s="7">
        <v>41969</v>
      </c>
      <c r="I2955" s="6" t="s">
        <v>265</v>
      </c>
      <c r="J2955" s="6" t="s">
        <v>12102</v>
      </c>
      <c r="K2955" s="6" t="s">
        <v>21</v>
      </c>
      <c r="L2955" s="6">
        <v>12</v>
      </c>
      <c r="M2955" s="15" t="s">
        <v>12104</v>
      </c>
      <c r="N2955" s="15" t="s">
        <v>78</v>
      </c>
      <c r="O2955" s="28" t="s">
        <v>12104</v>
      </c>
    </row>
    <row r="2956" spans="1:15" s="1" customFormat="1">
      <c r="A2956" s="3" t="s">
        <v>12168</v>
      </c>
      <c r="B2956" s="3"/>
      <c r="C2956" s="3"/>
      <c r="D2956" s="28" t="s">
        <v>3871</v>
      </c>
      <c r="E2956" s="5" t="s">
        <v>12169</v>
      </c>
      <c r="F2956" s="3" t="s">
        <v>12170</v>
      </c>
      <c r="G2956" s="6">
        <f>13.006*L2956</f>
        <v>156.072</v>
      </c>
      <c r="H2956" s="7">
        <v>41971</v>
      </c>
      <c r="I2956" s="6" t="s">
        <v>11517</v>
      </c>
      <c r="J2956" s="6" t="s">
        <v>12171</v>
      </c>
      <c r="K2956" s="6" t="s">
        <v>12172</v>
      </c>
      <c r="L2956" s="6">
        <v>12</v>
      </c>
      <c r="M2956" s="15" t="s">
        <v>12173</v>
      </c>
      <c r="N2956" s="15" t="s">
        <v>164</v>
      </c>
      <c r="O2956" s="28" t="s">
        <v>12173</v>
      </c>
    </row>
    <row r="2957" spans="1:15" s="1" customFormat="1">
      <c r="A2957" s="86" t="s">
        <v>12177</v>
      </c>
      <c r="B2957" s="4" t="s">
        <v>12178</v>
      </c>
      <c r="C2957" s="3"/>
      <c r="D2957" s="28" t="s">
        <v>586</v>
      </c>
      <c r="E2957" s="5" t="s">
        <v>12169</v>
      </c>
      <c r="F2957" s="3" t="s">
        <v>12179</v>
      </c>
      <c r="G2957" s="81">
        <f>17.52*L2957</f>
        <v>105.12</v>
      </c>
      <c r="H2957" s="7">
        <v>41971</v>
      </c>
      <c r="I2957" s="81" t="s">
        <v>12180</v>
      </c>
      <c r="J2957" s="6" t="s">
        <v>12181</v>
      </c>
      <c r="K2957" s="6" t="s">
        <v>12172</v>
      </c>
      <c r="L2957" s="6">
        <v>6</v>
      </c>
      <c r="M2957" s="15" t="s">
        <v>12182</v>
      </c>
      <c r="N2957" s="15" t="s">
        <v>11103</v>
      </c>
      <c r="O2957" s="28" t="s">
        <v>12568</v>
      </c>
    </row>
    <row r="2958" spans="1:15" s="1" customFormat="1">
      <c r="A2958" s="3" t="s">
        <v>11583</v>
      </c>
      <c r="B2958" s="3"/>
      <c r="C2958" s="3"/>
      <c r="D2958" s="28" t="s">
        <v>3871</v>
      </c>
      <c r="E2958" s="5" t="s">
        <v>11470</v>
      </c>
      <c r="F2958" s="3" t="s">
        <v>12224</v>
      </c>
      <c r="G2958" s="6">
        <f>13.006*L2958</f>
        <v>156.072</v>
      </c>
      <c r="H2958" s="7">
        <v>41974</v>
      </c>
      <c r="I2958" s="6" t="s">
        <v>11518</v>
      </c>
      <c r="J2958" s="6" t="s">
        <v>12219</v>
      </c>
      <c r="K2958" s="6" t="s">
        <v>11475</v>
      </c>
      <c r="L2958" s="6">
        <v>12</v>
      </c>
      <c r="M2958" s="15" t="s">
        <v>12225</v>
      </c>
      <c r="N2958" s="15" t="s">
        <v>164</v>
      </c>
      <c r="O2958" s="28" t="s">
        <v>12225</v>
      </c>
    </row>
    <row r="2959" spans="1:15" s="1" customFormat="1">
      <c r="A2959" s="3" t="s">
        <v>11583</v>
      </c>
      <c r="B2959" s="3"/>
      <c r="C2959" s="3"/>
      <c r="D2959" s="28" t="s">
        <v>3871</v>
      </c>
      <c r="E2959" s="5" t="s">
        <v>11470</v>
      </c>
      <c r="F2959" s="3" t="s">
        <v>12218</v>
      </c>
      <c r="G2959" s="6">
        <f>13.006*L2959</f>
        <v>169.078</v>
      </c>
      <c r="H2959" s="7">
        <v>41974</v>
      </c>
      <c r="I2959" s="6" t="s">
        <v>12223</v>
      </c>
      <c r="J2959" s="6" t="s">
        <v>12222</v>
      </c>
      <c r="K2959" s="6" t="s">
        <v>11475</v>
      </c>
      <c r="L2959" s="6">
        <v>13</v>
      </c>
      <c r="M2959" s="15" t="s">
        <v>12226</v>
      </c>
      <c r="N2959" s="15" t="s">
        <v>167</v>
      </c>
      <c r="O2959" s="28" t="s">
        <v>12570</v>
      </c>
    </row>
    <row r="2960" spans="1:15" s="1" customFormat="1">
      <c r="A2960" s="3" t="s">
        <v>12329</v>
      </c>
      <c r="B2960" s="3"/>
      <c r="C2960" s="3"/>
      <c r="D2960" s="28" t="s">
        <v>5294</v>
      </c>
      <c r="E2960" s="5" t="s">
        <v>12330</v>
      </c>
      <c r="F2960" s="3" t="s">
        <v>12331</v>
      </c>
      <c r="G2960" s="6">
        <f>17.52*L2960</f>
        <v>52.56</v>
      </c>
      <c r="H2960" s="7">
        <v>41975</v>
      </c>
      <c r="I2960" s="6" t="s">
        <v>209</v>
      </c>
      <c r="J2960" s="6" t="s">
        <v>12334</v>
      </c>
      <c r="K2960" s="6" t="s">
        <v>21</v>
      </c>
      <c r="L2960" s="6">
        <v>3</v>
      </c>
      <c r="M2960" s="15" t="s">
        <v>12337</v>
      </c>
      <c r="N2960" s="15" t="s">
        <v>8983</v>
      </c>
      <c r="O2960" s="28" t="s">
        <v>12687</v>
      </c>
    </row>
    <row r="2961" spans="1:15" s="1" customFormat="1">
      <c r="A2961" s="3" t="s">
        <v>12329</v>
      </c>
      <c r="B2961" s="3"/>
      <c r="C2961" s="3"/>
      <c r="D2961" s="28" t="s">
        <v>5294</v>
      </c>
      <c r="E2961" s="5" t="s">
        <v>12330</v>
      </c>
      <c r="F2961" s="3" t="s">
        <v>12332</v>
      </c>
      <c r="G2961" s="6">
        <f>17.52*L2961</f>
        <v>175.2</v>
      </c>
      <c r="H2961" s="7">
        <v>41975</v>
      </c>
      <c r="I2961" s="6" t="s">
        <v>209</v>
      </c>
      <c r="J2961" s="6" t="s">
        <v>12335</v>
      </c>
      <c r="K2961" s="6" t="s">
        <v>21</v>
      </c>
      <c r="L2961" s="6">
        <v>10</v>
      </c>
      <c r="M2961" s="15" t="s">
        <v>12338</v>
      </c>
      <c r="N2961" s="15" t="s">
        <v>4953</v>
      </c>
      <c r="O2961" s="28" t="s">
        <v>12688</v>
      </c>
    </row>
    <row r="2962" spans="1:15" s="1" customFormat="1">
      <c r="A2962" s="3" t="s">
        <v>12329</v>
      </c>
      <c r="B2962" s="3"/>
      <c r="C2962" s="3"/>
      <c r="D2962" s="28" t="s">
        <v>5294</v>
      </c>
      <c r="E2962" s="5" t="s">
        <v>12330</v>
      </c>
      <c r="F2962" s="3" t="s">
        <v>12333</v>
      </c>
      <c r="G2962" s="6">
        <f>17.52*L2962</f>
        <v>157.68</v>
      </c>
      <c r="H2962" s="7">
        <v>41975</v>
      </c>
      <c r="I2962" s="6" t="s">
        <v>209</v>
      </c>
      <c r="J2962" s="6" t="s">
        <v>12336</v>
      </c>
      <c r="K2962" s="6" t="s">
        <v>21</v>
      </c>
      <c r="L2962" s="6">
        <v>9</v>
      </c>
      <c r="M2962" s="15" t="s">
        <v>12338</v>
      </c>
      <c r="N2962" s="15" t="s">
        <v>6338</v>
      </c>
      <c r="O2962" s="28" t="s">
        <v>12689</v>
      </c>
    </row>
    <row r="2963" spans="1:15" s="1" customFormat="1">
      <c r="A2963" s="3" t="s">
        <v>12391</v>
      </c>
      <c r="B2963" s="3"/>
      <c r="C2963" s="3"/>
      <c r="D2963" s="28" t="s">
        <v>377</v>
      </c>
      <c r="E2963" s="5" t="s">
        <v>12330</v>
      </c>
      <c r="F2963" s="3" t="s">
        <v>12392</v>
      </c>
      <c r="G2963" s="6">
        <f>18.708*L2963</f>
        <v>187.07999999999998</v>
      </c>
      <c r="H2963" s="7">
        <v>41975</v>
      </c>
      <c r="I2963" s="6" t="s">
        <v>379</v>
      </c>
      <c r="J2963" s="6" t="s">
        <v>12394</v>
      </c>
      <c r="K2963" s="6" t="s">
        <v>21</v>
      </c>
      <c r="L2963" s="6">
        <v>10</v>
      </c>
      <c r="M2963" s="15" t="s">
        <v>12396</v>
      </c>
      <c r="N2963" s="15" t="s">
        <v>4872</v>
      </c>
      <c r="O2963" s="28" t="s">
        <v>12699</v>
      </c>
    </row>
    <row r="2964" spans="1:15" s="1" customFormat="1">
      <c r="A2964" s="8" t="s">
        <v>7064</v>
      </c>
      <c r="B2964" s="8"/>
      <c r="C2964" s="8"/>
      <c r="D2964" s="13" t="s">
        <v>12460</v>
      </c>
      <c r="E2964" s="9" t="s">
        <v>12459</v>
      </c>
      <c r="F2964" s="8" t="s">
        <v>13494</v>
      </c>
      <c r="G2964" s="61">
        <f>17.498*L2964</f>
        <v>209.976</v>
      </c>
      <c r="H2964" s="11">
        <v>41975</v>
      </c>
      <c r="I2964" s="61" t="s">
        <v>12467</v>
      </c>
      <c r="J2964" s="10" t="s">
        <v>12463</v>
      </c>
      <c r="K2964" s="61" t="s">
        <v>5478</v>
      </c>
      <c r="L2964" s="10">
        <v>12</v>
      </c>
      <c r="M2964" s="16" t="s">
        <v>12462</v>
      </c>
      <c r="N2964" s="16" t="s">
        <v>78</v>
      </c>
      <c r="O2964" s="13" t="s">
        <v>13495</v>
      </c>
    </row>
    <row r="2965" spans="1:15" s="1" customFormat="1">
      <c r="A2965" s="86" t="s">
        <v>12359</v>
      </c>
      <c r="B2965" s="3"/>
      <c r="C2965" s="3"/>
      <c r="D2965" s="28" t="s">
        <v>12364</v>
      </c>
      <c r="E2965" s="5" t="s">
        <v>12330</v>
      </c>
      <c r="F2965" s="3" t="s">
        <v>12361</v>
      </c>
      <c r="G2965" s="81">
        <f>28.374*L2965</f>
        <v>141.87</v>
      </c>
      <c r="H2965" s="7">
        <v>41975</v>
      </c>
      <c r="I2965" s="6" t="s">
        <v>12363</v>
      </c>
      <c r="J2965" s="6" t="s">
        <v>12362</v>
      </c>
      <c r="K2965" s="81" t="s">
        <v>11416</v>
      </c>
      <c r="L2965" s="6">
        <v>5</v>
      </c>
      <c r="M2965" s="15" t="s">
        <v>12367</v>
      </c>
      <c r="N2965" s="15" t="s">
        <v>12368</v>
      </c>
      <c r="O2965" s="28" t="s">
        <v>12694</v>
      </c>
    </row>
    <row r="2966" spans="1:15" s="1" customFormat="1">
      <c r="A2966" s="3" t="s">
        <v>12379</v>
      </c>
      <c r="B2966" s="3"/>
      <c r="C2966" s="3"/>
      <c r="D2966" s="28" t="s">
        <v>377</v>
      </c>
      <c r="E2966" s="5" t="s">
        <v>12330</v>
      </c>
      <c r="F2966" s="3" t="s">
        <v>12380</v>
      </c>
      <c r="G2966" s="6">
        <f>18.708*L2966</f>
        <v>224.49599999999998</v>
      </c>
      <c r="H2966" s="7">
        <v>41975</v>
      </c>
      <c r="I2966" s="6" t="s">
        <v>11472</v>
      </c>
      <c r="J2966" s="6" t="s">
        <v>12384</v>
      </c>
      <c r="K2966" s="6" t="s">
        <v>11475</v>
      </c>
      <c r="L2966" s="6">
        <v>12</v>
      </c>
      <c r="M2966" s="15" t="s">
        <v>12389</v>
      </c>
      <c r="N2966" s="15" t="s">
        <v>164</v>
      </c>
      <c r="O2966" s="28" t="s">
        <v>12389</v>
      </c>
    </row>
    <row r="2967" spans="1:15" s="1" customFormat="1">
      <c r="A2967" s="3" t="s">
        <v>12444</v>
      </c>
      <c r="B2967" s="3"/>
      <c r="C2967" s="3"/>
      <c r="D2967" s="28" t="s">
        <v>3871</v>
      </c>
      <c r="E2967" s="5" t="s">
        <v>12445</v>
      </c>
      <c r="F2967" s="3" t="s">
        <v>12446</v>
      </c>
      <c r="G2967" s="6">
        <f>13.006*L2967</f>
        <v>156.072</v>
      </c>
      <c r="H2967" s="7">
        <v>41975</v>
      </c>
      <c r="I2967" s="6" t="s">
        <v>11518</v>
      </c>
      <c r="J2967" s="6" t="s">
        <v>12450</v>
      </c>
      <c r="K2967" s="6" t="s">
        <v>11475</v>
      </c>
      <c r="L2967" s="6">
        <v>12</v>
      </c>
      <c r="M2967" s="15" t="s">
        <v>12454</v>
      </c>
      <c r="N2967" s="15" t="s">
        <v>164</v>
      </c>
      <c r="O2967" s="28" t="s">
        <v>12454</v>
      </c>
    </row>
    <row r="2968" spans="1:15" s="1" customFormat="1">
      <c r="A2968" s="3" t="s">
        <v>12444</v>
      </c>
      <c r="B2968" s="3"/>
      <c r="C2968" s="3"/>
      <c r="D2968" s="28" t="s">
        <v>3871</v>
      </c>
      <c r="E2968" s="5" t="s">
        <v>12445</v>
      </c>
      <c r="F2968" s="3" t="s">
        <v>12447</v>
      </c>
      <c r="G2968" s="6">
        <f>13.006*L2968</f>
        <v>169.078</v>
      </c>
      <c r="H2968" s="7">
        <v>41975</v>
      </c>
      <c r="I2968" s="6" t="s">
        <v>11518</v>
      </c>
      <c r="J2968" s="6" t="s">
        <v>12451</v>
      </c>
      <c r="K2968" s="6" t="s">
        <v>11475</v>
      </c>
      <c r="L2968" s="6">
        <v>13</v>
      </c>
      <c r="M2968" s="15" t="s">
        <v>12454</v>
      </c>
      <c r="N2968" s="15" t="s">
        <v>167</v>
      </c>
      <c r="O2968" s="28" t="s">
        <v>12704</v>
      </c>
    </row>
    <row r="2969" spans="1:15" s="1" customFormat="1">
      <c r="A2969" s="3" t="s">
        <v>11411</v>
      </c>
      <c r="B2969" s="3"/>
      <c r="C2969" s="3"/>
      <c r="D2969" s="28" t="s">
        <v>1128</v>
      </c>
      <c r="E2969" s="5" t="s">
        <v>11674</v>
      </c>
      <c r="F2969" s="3" t="s">
        <v>12238</v>
      </c>
      <c r="G2969" s="81">
        <f>29.101*L2969</f>
        <v>378.31299999999999</v>
      </c>
      <c r="H2969" s="7">
        <v>41975</v>
      </c>
      <c r="I2969" s="81" t="s">
        <v>11414</v>
      </c>
      <c r="J2969" s="6" t="s">
        <v>12269</v>
      </c>
      <c r="K2969" s="81" t="s">
        <v>11416</v>
      </c>
      <c r="L2969" s="6">
        <v>13</v>
      </c>
      <c r="M2969" s="15" t="s">
        <v>12239</v>
      </c>
      <c r="N2969" s="15" t="s">
        <v>81</v>
      </c>
      <c r="O2969" s="28"/>
    </row>
    <row r="2970" spans="1:15" s="1" customFormat="1">
      <c r="A2970" s="3" t="s">
        <v>11411</v>
      </c>
      <c r="B2970" s="3"/>
      <c r="C2970" s="3"/>
      <c r="D2970" s="28" t="s">
        <v>1128</v>
      </c>
      <c r="E2970" s="5" t="s">
        <v>11674</v>
      </c>
      <c r="F2970" s="3" t="s">
        <v>12240</v>
      </c>
      <c r="G2970" s="81">
        <f>29.101*L2970</f>
        <v>349.21199999999999</v>
      </c>
      <c r="H2970" s="7">
        <v>41975</v>
      </c>
      <c r="I2970" s="81" t="s">
        <v>11414</v>
      </c>
      <c r="J2970" s="6" t="s">
        <v>12270</v>
      </c>
      <c r="K2970" s="81" t="s">
        <v>11416</v>
      </c>
      <c r="L2970" s="6">
        <v>12</v>
      </c>
      <c r="M2970" s="15" t="s">
        <v>12242</v>
      </c>
      <c r="N2970" s="15" t="s">
        <v>78</v>
      </c>
      <c r="O2970" s="28"/>
    </row>
    <row r="2971" spans="1:15" s="1" customFormat="1">
      <c r="A2971" s="3" t="s">
        <v>1043</v>
      </c>
      <c r="B2971" s="3"/>
      <c r="C2971" s="3"/>
      <c r="D2971" s="28" t="s">
        <v>443</v>
      </c>
      <c r="E2971" s="5" t="s">
        <v>11674</v>
      </c>
      <c r="F2971" s="3" t="s">
        <v>12293</v>
      </c>
      <c r="G2971" s="81">
        <f>18.708*L2971</f>
        <v>224.49599999999998</v>
      </c>
      <c r="H2971" s="7">
        <v>41975</v>
      </c>
      <c r="I2971" s="6" t="s">
        <v>11592</v>
      </c>
      <c r="J2971" s="6" t="s">
        <v>12296</v>
      </c>
      <c r="K2971" s="81" t="s">
        <v>12288</v>
      </c>
      <c r="L2971" s="6">
        <v>12</v>
      </c>
      <c r="M2971" s="15" t="s">
        <v>12295</v>
      </c>
      <c r="N2971" s="15" t="s">
        <v>78</v>
      </c>
      <c r="O2971" s="28"/>
    </row>
    <row r="2972" spans="1:15" s="1" customFormat="1">
      <c r="A2972" s="3" t="s">
        <v>7024</v>
      </c>
      <c r="B2972" s="3"/>
      <c r="C2972" s="3"/>
      <c r="D2972" s="28" t="s">
        <v>12460</v>
      </c>
      <c r="E2972" s="5" t="s">
        <v>12459</v>
      </c>
      <c r="F2972" s="3" t="s">
        <v>12461</v>
      </c>
      <c r="G2972" s="81">
        <f t="shared" ref="G2972:G2977" si="117">17.498*L2972</f>
        <v>227.47400000000002</v>
      </c>
      <c r="H2972" s="7">
        <v>41975</v>
      </c>
      <c r="I2972" s="6" t="s">
        <v>265</v>
      </c>
      <c r="J2972" s="6" t="s">
        <v>12464</v>
      </c>
      <c r="K2972" s="6" t="s">
        <v>5478</v>
      </c>
      <c r="L2972" s="6">
        <v>13</v>
      </c>
      <c r="M2972" s="15" t="s">
        <v>12462</v>
      </c>
      <c r="N2972" s="15" t="s">
        <v>81</v>
      </c>
      <c r="O2972" s="28"/>
    </row>
    <row r="2973" spans="1:15" s="1" customFormat="1">
      <c r="A2973" s="3" t="s">
        <v>1259</v>
      </c>
      <c r="B2973" s="3"/>
      <c r="C2973" s="3"/>
      <c r="D2973" s="28" t="s">
        <v>12469</v>
      </c>
      <c r="E2973" s="5" t="s">
        <v>12470</v>
      </c>
      <c r="F2973" s="3" t="s">
        <v>12468</v>
      </c>
      <c r="G2973" s="81">
        <f t="shared" si="117"/>
        <v>262.47000000000003</v>
      </c>
      <c r="H2973" s="7">
        <v>41975</v>
      </c>
      <c r="I2973" s="6" t="s">
        <v>12467</v>
      </c>
      <c r="J2973" s="6" t="s">
        <v>12474</v>
      </c>
      <c r="K2973" s="6" t="s">
        <v>11716</v>
      </c>
      <c r="L2973" s="6">
        <v>15</v>
      </c>
      <c r="M2973" s="15" t="s">
        <v>12477</v>
      </c>
      <c r="N2973" s="15" t="s">
        <v>12478</v>
      </c>
      <c r="O2973" s="28"/>
    </row>
    <row r="2974" spans="1:15" s="1" customFormat="1">
      <c r="A2974" s="3" t="s">
        <v>1259</v>
      </c>
      <c r="B2974" s="3"/>
      <c r="C2974" s="3"/>
      <c r="D2974" s="28" t="s">
        <v>12469</v>
      </c>
      <c r="E2974" s="5" t="s">
        <v>12473</v>
      </c>
      <c r="F2974" s="3" t="s">
        <v>12471</v>
      </c>
      <c r="G2974" s="81">
        <f t="shared" si="117"/>
        <v>209.976</v>
      </c>
      <c r="H2974" s="7">
        <v>41975</v>
      </c>
      <c r="I2974" s="6" t="s">
        <v>265</v>
      </c>
      <c r="J2974" s="6" t="s">
        <v>12475</v>
      </c>
      <c r="K2974" s="6" t="s">
        <v>11716</v>
      </c>
      <c r="L2974" s="6">
        <v>12</v>
      </c>
      <c r="M2974" s="15" t="s">
        <v>12479</v>
      </c>
      <c r="N2974" s="15" t="s">
        <v>78</v>
      </c>
      <c r="O2974" s="28"/>
    </row>
    <row r="2975" spans="1:15" s="1" customFormat="1">
      <c r="A2975" s="3" t="s">
        <v>1259</v>
      </c>
      <c r="B2975" s="3"/>
      <c r="C2975" s="3"/>
      <c r="D2975" s="28" t="s">
        <v>12469</v>
      </c>
      <c r="E2975" s="5" t="s">
        <v>12473</v>
      </c>
      <c r="F2975" s="3" t="s">
        <v>12472</v>
      </c>
      <c r="G2975" s="81">
        <f t="shared" si="117"/>
        <v>227.47400000000002</v>
      </c>
      <c r="H2975" s="7">
        <v>41975</v>
      </c>
      <c r="I2975" s="6" t="s">
        <v>265</v>
      </c>
      <c r="J2975" s="6" t="s">
        <v>12476</v>
      </c>
      <c r="K2975" s="6" t="s">
        <v>11716</v>
      </c>
      <c r="L2975" s="6">
        <v>13</v>
      </c>
      <c r="M2975" s="15" t="s">
        <v>12479</v>
      </c>
      <c r="N2975" s="15" t="s">
        <v>11753</v>
      </c>
      <c r="O2975" s="28"/>
    </row>
    <row r="2976" spans="1:15" s="1" customFormat="1">
      <c r="A2976" s="3" t="s">
        <v>4453</v>
      </c>
      <c r="B2976" s="3"/>
      <c r="C2976" s="3"/>
      <c r="D2976" s="28" t="s">
        <v>12481</v>
      </c>
      <c r="E2976" s="5" t="s">
        <v>11674</v>
      </c>
      <c r="F2976" s="3" t="s">
        <v>12480</v>
      </c>
      <c r="G2976" s="81">
        <f t="shared" si="117"/>
        <v>209.976</v>
      </c>
      <c r="H2976" s="7">
        <v>41975</v>
      </c>
      <c r="I2976" s="6" t="s">
        <v>11912</v>
      </c>
      <c r="J2976" s="6" t="s">
        <v>12484</v>
      </c>
      <c r="K2976" s="6" t="s">
        <v>11475</v>
      </c>
      <c r="L2976" s="6">
        <v>12</v>
      </c>
      <c r="M2976" s="15" t="s">
        <v>12483</v>
      </c>
      <c r="N2976" s="83" t="s">
        <v>11424</v>
      </c>
      <c r="O2976" s="28"/>
    </row>
    <row r="2977" spans="1:15" s="1" customFormat="1">
      <c r="A2977" s="3" t="s">
        <v>4453</v>
      </c>
      <c r="B2977" s="3"/>
      <c r="C2977" s="3"/>
      <c r="D2977" s="28" t="s">
        <v>12481</v>
      </c>
      <c r="E2977" s="5" t="s">
        <v>11674</v>
      </c>
      <c r="F2977" s="3" t="s">
        <v>12482</v>
      </c>
      <c r="G2977" s="81">
        <f t="shared" si="117"/>
        <v>227.47400000000002</v>
      </c>
      <c r="H2977" s="7">
        <v>41975</v>
      </c>
      <c r="I2977" s="6" t="s">
        <v>11912</v>
      </c>
      <c r="J2977" s="6" t="s">
        <v>12485</v>
      </c>
      <c r="K2977" s="6" t="s">
        <v>11475</v>
      </c>
      <c r="L2977" s="6">
        <v>13</v>
      </c>
      <c r="M2977" s="15" t="s">
        <v>12483</v>
      </c>
      <c r="N2977" s="83" t="s">
        <v>81</v>
      </c>
      <c r="O2977" s="28"/>
    </row>
    <row r="2978" spans="1:15" s="1" customFormat="1">
      <c r="A2978" s="3" t="s">
        <v>12546</v>
      </c>
      <c r="B2978" s="3"/>
      <c r="C2978" s="3"/>
      <c r="D2978" s="28" t="s">
        <v>12547</v>
      </c>
      <c r="E2978" s="5" t="s">
        <v>12518</v>
      </c>
      <c r="F2978" s="3" t="s">
        <v>12553</v>
      </c>
      <c r="G2978" s="81">
        <v>68.575000000000003</v>
      </c>
      <c r="H2978" s="7">
        <v>41976</v>
      </c>
      <c r="I2978" s="6" t="s">
        <v>12558</v>
      </c>
      <c r="J2978" s="6" t="s">
        <v>12554</v>
      </c>
      <c r="K2978" s="6" t="s">
        <v>128</v>
      </c>
      <c r="L2978" s="6" t="s">
        <v>12555</v>
      </c>
      <c r="M2978" s="15" t="s">
        <v>12556</v>
      </c>
      <c r="N2978" s="15" t="s">
        <v>12557</v>
      </c>
      <c r="O2978" s="28" t="s">
        <v>12755</v>
      </c>
    </row>
    <row r="2979" spans="1:15" s="1" customFormat="1">
      <c r="A2979" s="3" t="s">
        <v>12630</v>
      </c>
      <c r="B2979" s="3"/>
      <c r="C2979" s="3"/>
      <c r="D2979" s="5" t="s">
        <v>391</v>
      </c>
      <c r="E2979" s="5" t="s">
        <v>12624</v>
      </c>
      <c r="F2979" s="3" t="s">
        <v>12631</v>
      </c>
      <c r="G2979" s="6">
        <f>17.712*L2979</f>
        <v>212.54399999999998</v>
      </c>
      <c r="H2979" s="7">
        <v>41977</v>
      </c>
      <c r="I2979" s="6" t="s">
        <v>11471</v>
      </c>
      <c r="J2979" s="6" t="s">
        <v>12633</v>
      </c>
      <c r="K2979" s="6" t="s">
        <v>11475</v>
      </c>
      <c r="L2979" s="6">
        <v>12</v>
      </c>
      <c r="M2979" s="15" t="s">
        <v>12635</v>
      </c>
      <c r="N2979" s="15" t="s">
        <v>78</v>
      </c>
      <c r="O2979" s="28" t="s">
        <v>12635</v>
      </c>
    </row>
    <row r="2980" spans="1:15" s="1" customFormat="1">
      <c r="A2980" s="3" t="s">
        <v>12630</v>
      </c>
      <c r="B2980" s="3"/>
      <c r="C2980" s="3"/>
      <c r="D2980" s="5" t="s">
        <v>391</v>
      </c>
      <c r="E2980" s="5" t="s">
        <v>12624</v>
      </c>
      <c r="F2980" s="3" t="s">
        <v>12632</v>
      </c>
      <c r="G2980" s="6">
        <f>17.712*L2980</f>
        <v>230.256</v>
      </c>
      <c r="H2980" s="7">
        <v>41977</v>
      </c>
      <c r="I2980" s="6" t="s">
        <v>11717</v>
      </c>
      <c r="J2980" s="6" t="s">
        <v>12634</v>
      </c>
      <c r="K2980" s="6" t="s">
        <v>11475</v>
      </c>
      <c r="L2980" s="6">
        <v>13</v>
      </c>
      <c r="M2980" s="15" t="s">
        <v>12635</v>
      </c>
      <c r="N2980" s="15" t="s">
        <v>81</v>
      </c>
      <c r="O2980" s="28" t="s">
        <v>12757</v>
      </c>
    </row>
    <row r="2981" spans="1:15" s="1" customFormat="1">
      <c r="A2981" s="3" t="s">
        <v>12636</v>
      </c>
      <c r="B2981" s="3"/>
      <c r="C2981" s="3"/>
      <c r="D2981" s="5" t="s">
        <v>5294</v>
      </c>
      <c r="E2981" s="5" t="s">
        <v>12624</v>
      </c>
      <c r="F2981" s="3" t="s">
        <v>12637</v>
      </c>
      <c r="G2981" s="81">
        <f>17.52*L2981</f>
        <v>35.04</v>
      </c>
      <c r="H2981" s="7">
        <v>41977</v>
      </c>
      <c r="I2981" s="6" t="s">
        <v>12638</v>
      </c>
      <c r="J2981" s="6" t="s">
        <v>12640</v>
      </c>
      <c r="K2981" s="6" t="s">
        <v>12639</v>
      </c>
      <c r="L2981" s="6">
        <v>2</v>
      </c>
      <c r="M2981" s="15" t="s">
        <v>12641</v>
      </c>
      <c r="N2981" s="15" t="s">
        <v>5185</v>
      </c>
      <c r="O2981" s="28" t="s">
        <v>12758</v>
      </c>
    </row>
    <row r="2982" spans="1:15" s="1" customFormat="1">
      <c r="A2982" s="3" t="s">
        <v>12618</v>
      </c>
      <c r="B2982" s="3"/>
      <c r="C2982" s="3"/>
      <c r="D2982" s="5" t="s">
        <v>7025</v>
      </c>
      <c r="E2982" s="5" t="s">
        <v>12616</v>
      </c>
      <c r="F2982" s="3" t="s">
        <v>12615</v>
      </c>
      <c r="G2982" s="81">
        <f>17.498*L2982</f>
        <v>209.976</v>
      </c>
      <c r="H2982" s="7">
        <v>41977</v>
      </c>
      <c r="I2982" s="6" t="s">
        <v>12622</v>
      </c>
      <c r="J2982" s="6" t="s">
        <v>12619</v>
      </c>
      <c r="K2982" s="6" t="s">
        <v>5478</v>
      </c>
      <c r="L2982" s="6">
        <v>12</v>
      </c>
      <c r="M2982" s="15" t="s">
        <v>12621</v>
      </c>
      <c r="N2982" s="15" t="s">
        <v>11424</v>
      </c>
      <c r="O2982" s="28"/>
    </row>
    <row r="2983" spans="1:15" s="1" customFormat="1">
      <c r="A2983" s="22" t="s">
        <v>9166</v>
      </c>
      <c r="B2983" s="3"/>
      <c r="C2983" s="3"/>
      <c r="D2983" s="5" t="s">
        <v>1312</v>
      </c>
      <c r="E2983" s="5" t="s">
        <v>124</v>
      </c>
      <c r="F2983" s="3" t="s">
        <v>9167</v>
      </c>
      <c r="G2983" s="6">
        <v>50.448</v>
      </c>
      <c r="H2983" s="7">
        <v>41731</v>
      </c>
      <c r="I2983" s="6" t="s">
        <v>209</v>
      </c>
      <c r="J2983" s="6" t="s">
        <v>9168</v>
      </c>
      <c r="K2983" s="6" t="s">
        <v>128</v>
      </c>
      <c r="L2983" s="6" t="s">
        <v>1652</v>
      </c>
      <c r="M2983" s="15" t="s">
        <v>9169</v>
      </c>
      <c r="N2983" s="15" t="s">
        <v>9170</v>
      </c>
      <c r="O2983" s="15" t="s">
        <v>9171</v>
      </c>
    </row>
    <row r="2984" spans="1:15" s="1" customFormat="1">
      <c r="A2984" s="45" t="s">
        <v>1534</v>
      </c>
      <c r="B2984" s="45"/>
      <c r="C2984" s="45"/>
      <c r="D2984" s="46" t="s">
        <v>2128</v>
      </c>
      <c r="E2984" s="46" t="s">
        <v>124</v>
      </c>
      <c r="F2984" s="45" t="s">
        <v>9049</v>
      </c>
      <c r="G2984" s="47">
        <v>291.74</v>
      </c>
      <c r="H2984" s="48">
        <v>41702</v>
      </c>
      <c r="I2984" s="47" t="s">
        <v>209</v>
      </c>
      <c r="J2984" s="47" t="s">
        <v>9050</v>
      </c>
      <c r="K2984" s="47" t="s">
        <v>128</v>
      </c>
      <c r="L2984" s="47" t="s">
        <v>2319</v>
      </c>
      <c r="M2984" s="53" t="s">
        <v>9051</v>
      </c>
      <c r="N2984" s="53" t="s">
        <v>2326</v>
      </c>
      <c r="O2984" s="54" t="s">
        <v>9052</v>
      </c>
    </row>
    <row r="2985" spans="1:15" s="1" customFormat="1">
      <c r="A2985" s="45" t="s">
        <v>1534</v>
      </c>
      <c r="B2985" s="45"/>
      <c r="C2985" s="45"/>
      <c r="D2985" s="46" t="s">
        <v>2128</v>
      </c>
      <c r="E2985" s="46" t="s">
        <v>124</v>
      </c>
      <c r="F2985" s="45" t="s">
        <v>9053</v>
      </c>
      <c r="G2985" s="47">
        <v>58.384</v>
      </c>
      <c r="H2985" s="48">
        <v>41711</v>
      </c>
      <c r="I2985" s="47" t="s">
        <v>209</v>
      </c>
      <c r="J2985" s="47" t="s">
        <v>9054</v>
      </c>
      <c r="K2985" s="47" t="s">
        <v>128</v>
      </c>
      <c r="L2985" s="47" t="s">
        <v>301</v>
      </c>
      <c r="M2985" s="53" t="s">
        <v>9055</v>
      </c>
      <c r="N2985" s="53" t="s">
        <v>9056</v>
      </c>
      <c r="O2985" s="55" t="s">
        <v>9057</v>
      </c>
    </row>
    <row r="2986" spans="1:15" s="1" customFormat="1">
      <c r="A2986" s="45" t="s">
        <v>4375</v>
      </c>
      <c r="B2986" s="49"/>
      <c r="C2986" s="45"/>
      <c r="D2986" s="46" t="s">
        <v>1963</v>
      </c>
      <c r="E2986" s="46" t="s">
        <v>124</v>
      </c>
      <c r="F2986" s="45" t="s">
        <v>9058</v>
      </c>
      <c r="G2986" s="47">
        <f>17.712*L2986</f>
        <v>212.54399999999998</v>
      </c>
      <c r="H2986" s="48">
        <v>41779</v>
      </c>
      <c r="I2986" s="47" t="s">
        <v>419</v>
      </c>
      <c r="J2986" s="47" t="s">
        <v>9059</v>
      </c>
      <c r="K2986" s="47" t="s">
        <v>21</v>
      </c>
      <c r="L2986" s="47">
        <v>12</v>
      </c>
      <c r="M2986" s="53" t="s">
        <v>4703</v>
      </c>
      <c r="N2986" s="53" t="s">
        <v>164</v>
      </c>
      <c r="O2986" s="56" t="s">
        <v>9060</v>
      </c>
    </row>
    <row r="2987" spans="1:15" s="1" customFormat="1">
      <c r="A2987" s="45" t="s">
        <v>812</v>
      </c>
      <c r="B2987" s="49" t="s">
        <v>9061</v>
      </c>
      <c r="C2987" s="45"/>
      <c r="D2987" s="46" t="s">
        <v>813</v>
      </c>
      <c r="E2987" s="46" t="s">
        <v>124</v>
      </c>
      <c r="F2987" s="45" t="s">
        <v>9062</v>
      </c>
      <c r="G2987" s="47">
        <v>67.177000000000007</v>
      </c>
      <c r="H2987" s="48">
        <v>41822</v>
      </c>
      <c r="I2987" s="47" t="s">
        <v>209</v>
      </c>
      <c r="J2987" s="47" t="s">
        <v>9063</v>
      </c>
      <c r="K2987" s="47" t="s">
        <v>128</v>
      </c>
      <c r="L2987" s="47" t="s">
        <v>1335</v>
      </c>
      <c r="M2987" s="53" t="s">
        <v>9064</v>
      </c>
      <c r="N2987" s="53" t="s">
        <v>9065</v>
      </c>
      <c r="O2987" s="56" t="s">
        <v>1918</v>
      </c>
    </row>
    <row r="2988" spans="1:15" s="1" customFormat="1">
      <c r="A2988" s="45" t="s">
        <v>854</v>
      </c>
      <c r="B2988" s="49" t="s">
        <v>9061</v>
      </c>
      <c r="C2988" s="45"/>
      <c r="D2988" s="46" t="s">
        <v>5294</v>
      </c>
      <c r="E2988" s="46" t="s">
        <v>124</v>
      </c>
      <c r="F2988" s="45" t="s">
        <v>9066</v>
      </c>
      <c r="G2988" s="47">
        <v>17.52</v>
      </c>
      <c r="H2988" s="48">
        <v>41822</v>
      </c>
      <c r="I2988" s="47" t="s">
        <v>209</v>
      </c>
      <c r="J2988" s="53" t="s">
        <v>9067</v>
      </c>
      <c r="K2988" s="47" t="s">
        <v>21</v>
      </c>
      <c r="L2988" s="47">
        <v>1</v>
      </c>
      <c r="M2988" s="53" t="s">
        <v>5297</v>
      </c>
      <c r="N2988" s="53" t="s">
        <v>315</v>
      </c>
      <c r="O2988" s="56" t="s">
        <v>1918</v>
      </c>
    </row>
    <row r="2989" spans="1:15" s="1" customFormat="1">
      <c r="A2989" s="45" t="s">
        <v>654</v>
      </c>
      <c r="B2989" s="49" t="s">
        <v>9068</v>
      </c>
      <c r="C2989" s="45"/>
      <c r="D2989" s="46" t="s">
        <v>5294</v>
      </c>
      <c r="E2989" s="46" t="s">
        <v>124</v>
      </c>
      <c r="F2989" s="45" t="s">
        <v>9069</v>
      </c>
      <c r="G2989" s="47">
        <f>17.52*L2989</f>
        <v>17.52</v>
      </c>
      <c r="H2989" s="48">
        <v>41855</v>
      </c>
      <c r="I2989" s="47" t="s">
        <v>209</v>
      </c>
      <c r="J2989" s="47" t="s">
        <v>9070</v>
      </c>
      <c r="K2989" s="47" t="s">
        <v>21</v>
      </c>
      <c r="L2989" s="47">
        <v>1</v>
      </c>
      <c r="M2989" s="53" t="s">
        <v>5297</v>
      </c>
      <c r="N2989" s="53" t="s">
        <v>9071</v>
      </c>
      <c r="O2989" s="54" t="s">
        <v>9072</v>
      </c>
    </row>
    <row r="2990" spans="1:15" s="1" customFormat="1">
      <c r="A2990" s="45" t="s">
        <v>1087</v>
      </c>
      <c r="B2990" s="50" t="s">
        <v>9073</v>
      </c>
      <c r="C2990" s="45"/>
      <c r="D2990" s="46" t="s">
        <v>1088</v>
      </c>
      <c r="E2990" s="46" t="s">
        <v>124</v>
      </c>
      <c r="F2990" s="45" t="s">
        <v>9074</v>
      </c>
      <c r="G2990" s="47">
        <f>9.804*L2990</f>
        <v>58.823999999999998</v>
      </c>
      <c r="H2990" s="48">
        <v>41866</v>
      </c>
      <c r="I2990" s="47" t="s">
        <v>1090</v>
      </c>
      <c r="J2990" s="47" t="s">
        <v>9075</v>
      </c>
      <c r="K2990" s="47" t="s">
        <v>21</v>
      </c>
      <c r="L2990" s="47">
        <v>6</v>
      </c>
      <c r="M2990" s="53" t="s">
        <v>9076</v>
      </c>
      <c r="N2990" s="53" t="s">
        <v>9077</v>
      </c>
      <c r="O2990" s="54" t="s">
        <v>9078</v>
      </c>
    </row>
    <row r="2991" spans="1:15" s="1" customFormat="1">
      <c r="A2991" s="51" t="s">
        <v>5287</v>
      </c>
      <c r="B2991" s="49" t="s">
        <v>9079</v>
      </c>
      <c r="C2991" s="45"/>
      <c r="D2991" s="46" t="s">
        <v>9080</v>
      </c>
      <c r="E2991" s="46" t="s">
        <v>7026</v>
      </c>
      <c r="F2991" s="45" t="s">
        <v>9081</v>
      </c>
      <c r="G2991" s="47">
        <v>39.9</v>
      </c>
      <c r="H2991" s="48">
        <v>41946</v>
      </c>
      <c r="I2991" s="47" t="s">
        <v>209</v>
      </c>
      <c r="J2991" s="47" t="s">
        <v>67</v>
      </c>
      <c r="K2991" s="47" t="s">
        <v>9082</v>
      </c>
      <c r="L2991" s="47" t="s">
        <v>2968</v>
      </c>
      <c r="M2991" s="16" t="s">
        <v>9083</v>
      </c>
      <c r="N2991" s="53" t="s">
        <v>9084</v>
      </c>
      <c r="O2991" s="56"/>
    </row>
    <row r="2992" spans="1:15" s="1" customFormat="1">
      <c r="A2992" s="51" t="s">
        <v>6163</v>
      </c>
      <c r="B2992" s="49" t="s">
        <v>9079</v>
      </c>
      <c r="C2992" s="45"/>
      <c r="D2992" s="46" t="s">
        <v>9080</v>
      </c>
      <c r="E2992" s="46" t="s">
        <v>7026</v>
      </c>
      <c r="F2992" s="45" t="s">
        <v>9085</v>
      </c>
      <c r="G2992" s="47">
        <v>35.9</v>
      </c>
      <c r="H2992" s="48">
        <v>41946</v>
      </c>
      <c r="I2992" s="47" t="s">
        <v>209</v>
      </c>
      <c r="J2992" s="47" t="s">
        <v>67</v>
      </c>
      <c r="K2992" s="47" t="s">
        <v>9082</v>
      </c>
      <c r="L2992" s="47" t="s">
        <v>9086</v>
      </c>
      <c r="M2992" s="16" t="s">
        <v>9083</v>
      </c>
      <c r="N2992" s="53" t="s">
        <v>9087</v>
      </c>
      <c r="O2992" s="56"/>
    </row>
    <row r="2993" spans="1:15" s="1" customFormat="1">
      <c r="A2993" s="51" t="s">
        <v>11061</v>
      </c>
      <c r="B2993" s="49" t="s">
        <v>11436</v>
      </c>
      <c r="C2993" s="45"/>
      <c r="D2993" s="46" t="s">
        <v>11062</v>
      </c>
      <c r="E2993" s="46" t="s">
        <v>124</v>
      </c>
      <c r="F2993" s="45" t="s">
        <v>11063</v>
      </c>
      <c r="G2993" s="47">
        <f>10.27*L2993</f>
        <v>10.27</v>
      </c>
      <c r="H2993" s="48">
        <v>41957</v>
      </c>
      <c r="I2993" s="47" t="s">
        <v>11064</v>
      </c>
      <c r="J2993" s="47" t="s">
        <v>12899</v>
      </c>
      <c r="K2993" s="47" t="s">
        <v>21</v>
      </c>
      <c r="L2993" s="47">
        <v>1</v>
      </c>
      <c r="M2993" s="53" t="s">
        <v>11065</v>
      </c>
      <c r="N2993" s="53" t="s">
        <v>39</v>
      </c>
      <c r="O2993" s="56"/>
    </row>
    <row r="2994" spans="1:15" s="1" customFormat="1">
      <c r="A2994" s="12" t="s">
        <v>9189</v>
      </c>
      <c r="B2994" s="8"/>
      <c r="C2994" s="8"/>
      <c r="D2994" s="9" t="s">
        <v>9190</v>
      </c>
      <c r="E2994" s="9" t="s">
        <v>124</v>
      </c>
      <c r="F2994" s="8" t="s">
        <v>9191</v>
      </c>
      <c r="G2994" s="10">
        <f>17.52*L2994</f>
        <v>87.6</v>
      </c>
      <c r="H2994" s="11">
        <v>41764</v>
      </c>
      <c r="I2994" s="10" t="s">
        <v>209</v>
      </c>
      <c r="J2994" s="10" t="s">
        <v>9192</v>
      </c>
      <c r="K2994" s="10" t="s">
        <v>21</v>
      </c>
      <c r="L2994" s="10">
        <v>5</v>
      </c>
      <c r="M2994" s="16" t="s">
        <v>9193</v>
      </c>
      <c r="N2994" s="16" t="s">
        <v>1284</v>
      </c>
      <c r="O2994" s="16" t="s">
        <v>9193</v>
      </c>
    </row>
    <row r="2995" spans="1:15" s="1" customFormat="1">
      <c r="A2995" s="3" t="s">
        <v>3331</v>
      </c>
      <c r="B2995" s="3"/>
      <c r="C2995" s="3"/>
      <c r="D2995" s="5" t="s">
        <v>3332</v>
      </c>
      <c r="E2995" s="5" t="s">
        <v>124</v>
      </c>
      <c r="F2995" s="3" t="s">
        <v>9201</v>
      </c>
      <c r="G2995" s="6">
        <v>17.350999999999999</v>
      </c>
      <c r="H2995" s="7">
        <v>41766</v>
      </c>
      <c r="I2995" s="6" t="s">
        <v>209</v>
      </c>
      <c r="J2995" s="6" t="s">
        <v>9202</v>
      </c>
      <c r="K2995" s="6" t="s">
        <v>21</v>
      </c>
      <c r="L2995" s="6" t="s">
        <v>743</v>
      </c>
      <c r="M2995" s="15" t="s">
        <v>9203</v>
      </c>
      <c r="N2995" s="15" t="s">
        <v>9204</v>
      </c>
      <c r="O2995" s="15" t="s">
        <v>9205</v>
      </c>
    </row>
    <row r="2996" spans="1:15" s="1" customFormat="1">
      <c r="A2996" s="3" t="s">
        <v>1854</v>
      </c>
      <c r="B2996" s="3"/>
      <c r="C2996" s="3"/>
      <c r="D2996" s="5" t="s">
        <v>1855</v>
      </c>
      <c r="E2996" s="5" t="s">
        <v>124</v>
      </c>
      <c r="F2996" s="3" t="s">
        <v>9206</v>
      </c>
      <c r="G2996" s="6">
        <v>85.102000000000004</v>
      </c>
      <c r="H2996" s="7">
        <v>41768</v>
      </c>
      <c r="I2996" s="6" t="s">
        <v>209</v>
      </c>
      <c r="J2996" s="6" t="s">
        <v>9207</v>
      </c>
      <c r="K2996" s="6" t="s">
        <v>128</v>
      </c>
      <c r="L2996" s="6" t="s">
        <v>9208</v>
      </c>
      <c r="M2996" s="15" t="s">
        <v>9209</v>
      </c>
      <c r="N2996" s="15" t="s">
        <v>9210</v>
      </c>
      <c r="O2996" s="15" t="s">
        <v>9211</v>
      </c>
    </row>
    <row r="2997" spans="1:15" s="1" customFormat="1">
      <c r="A2997" s="3" t="s">
        <v>4051</v>
      </c>
      <c r="B2997" s="3"/>
      <c r="C2997" s="3"/>
      <c r="D2997" s="5" t="s">
        <v>4052</v>
      </c>
      <c r="E2997" s="5" t="s">
        <v>124</v>
      </c>
      <c r="F2997" s="3" t="s">
        <v>13480</v>
      </c>
      <c r="G2997" s="6">
        <v>297.46600000000001</v>
      </c>
      <c r="H2997" s="7">
        <v>41775</v>
      </c>
      <c r="I2997" s="6" t="s">
        <v>471</v>
      </c>
      <c r="J2997" s="6" t="s">
        <v>9215</v>
      </c>
      <c r="K2997" s="6" t="s">
        <v>21</v>
      </c>
      <c r="L2997" s="6" t="s">
        <v>9216</v>
      </c>
      <c r="M2997" s="15" t="s">
        <v>9217</v>
      </c>
      <c r="N2997" s="15" t="s">
        <v>9218</v>
      </c>
      <c r="O2997" s="15" t="s">
        <v>9219</v>
      </c>
    </row>
    <row r="2998" spans="1:15" s="1" customFormat="1">
      <c r="A2998" s="3" t="s">
        <v>1773</v>
      </c>
      <c r="B2998" s="3"/>
      <c r="C2998" s="3"/>
      <c r="D2998" s="5" t="s">
        <v>552</v>
      </c>
      <c r="E2998" s="5" t="s">
        <v>124</v>
      </c>
      <c r="F2998" s="3" t="s">
        <v>13421</v>
      </c>
      <c r="G2998" s="6">
        <f>17.52*L2998</f>
        <v>122.64</v>
      </c>
      <c r="H2998" s="7">
        <v>41794</v>
      </c>
      <c r="I2998" s="6" t="s">
        <v>265</v>
      </c>
      <c r="J2998" s="6" t="s">
        <v>9236</v>
      </c>
      <c r="K2998" s="6" t="s">
        <v>21</v>
      </c>
      <c r="L2998" s="6">
        <v>7</v>
      </c>
      <c r="M2998" s="15" t="s">
        <v>4124</v>
      </c>
      <c r="N2998" s="15" t="s">
        <v>9237</v>
      </c>
      <c r="O2998" s="15" t="s">
        <v>9238</v>
      </c>
    </row>
    <row r="2999" spans="1:15" s="1" customFormat="1">
      <c r="A2999" s="3" t="s">
        <v>678</v>
      </c>
      <c r="B2999" s="3"/>
      <c r="C2999" s="3"/>
      <c r="D2999" s="5" t="s">
        <v>679</v>
      </c>
      <c r="E2999" s="5" t="s">
        <v>124</v>
      </c>
      <c r="F2999" s="3" t="s">
        <v>13422</v>
      </c>
      <c r="G2999" s="6">
        <v>70.08</v>
      </c>
      <c r="H2999" s="7">
        <v>41794</v>
      </c>
      <c r="I2999" s="6" t="s">
        <v>209</v>
      </c>
      <c r="J2999" s="6" t="s">
        <v>9239</v>
      </c>
      <c r="K2999" s="6" t="s">
        <v>128</v>
      </c>
      <c r="L2999" s="6" t="s">
        <v>2956</v>
      </c>
      <c r="M2999" s="15" t="s">
        <v>2957</v>
      </c>
      <c r="N2999" s="15" t="s">
        <v>9240</v>
      </c>
      <c r="O2999" s="15" t="s">
        <v>9241</v>
      </c>
    </row>
    <row r="3000" spans="1:15" s="1" customFormat="1">
      <c r="A3000" s="3" t="s">
        <v>3622</v>
      </c>
      <c r="B3000" s="3" t="s">
        <v>15</v>
      </c>
      <c r="C3000" s="3"/>
      <c r="D3000" s="5" t="s">
        <v>5176</v>
      </c>
      <c r="E3000" s="5" t="s">
        <v>124</v>
      </c>
      <c r="F3000" s="3" t="s">
        <v>13418</v>
      </c>
      <c r="G3000" s="6">
        <v>20</v>
      </c>
      <c r="H3000" s="7">
        <v>41809</v>
      </c>
      <c r="I3000" s="6" t="s">
        <v>209</v>
      </c>
      <c r="J3000" s="6" t="s">
        <v>9246</v>
      </c>
      <c r="K3000" s="6" t="s">
        <v>21</v>
      </c>
      <c r="L3000" s="6">
        <v>1</v>
      </c>
      <c r="M3000" s="15" t="s">
        <v>5179</v>
      </c>
      <c r="N3000" s="15" t="s">
        <v>9247</v>
      </c>
      <c r="O3000" s="15" t="s">
        <v>9248</v>
      </c>
    </row>
    <row r="3001" spans="1:15" s="1" customFormat="1">
      <c r="A3001" s="22" t="s">
        <v>9249</v>
      </c>
      <c r="B3001" s="3"/>
      <c r="C3001" s="3"/>
      <c r="D3001" s="5" t="s">
        <v>9250</v>
      </c>
      <c r="E3001" s="5" t="s">
        <v>124</v>
      </c>
      <c r="F3001" s="3" t="s">
        <v>9251</v>
      </c>
      <c r="G3001" s="6">
        <v>17.52</v>
      </c>
      <c r="H3001" s="7">
        <v>41815</v>
      </c>
      <c r="I3001" s="6" t="s">
        <v>126</v>
      </c>
      <c r="J3001" s="6" t="s">
        <v>9252</v>
      </c>
      <c r="K3001" s="6" t="s">
        <v>21</v>
      </c>
      <c r="L3001" s="6">
        <v>1</v>
      </c>
      <c r="M3001" s="15" t="s">
        <v>9253</v>
      </c>
      <c r="N3001" s="15" t="s">
        <v>315</v>
      </c>
      <c r="O3001" s="15" t="s">
        <v>9253</v>
      </c>
    </row>
    <row r="3002" spans="1:15" s="1" customFormat="1">
      <c r="A3002" s="8" t="s">
        <v>1006</v>
      </c>
      <c r="B3002" s="8"/>
      <c r="C3002" s="8"/>
      <c r="D3002" s="9" t="s">
        <v>383</v>
      </c>
      <c r="E3002" s="9" t="s">
        <v>124</v>
      </c>
      <c r="F3002" s="8" t="s">
        <v>9260</v>
      </c>
      <c r="G3002" s="10">
        <v>198.78</v>
      </c>
      <c r="H3002" s="11">
        <v>41821</v>
      </c>
      <c r="I3002" s="10" t="s">
        <v>209</v>
      </c>
      <c r="J3002" s="10" t="s">
        <v>9261</v>
      </c>
      <c r="K3002" s="10" t="s">
        <v>128</v>
      </c>
      <c r="L3002" s="10" t="s">
        <v>2732</v>
      </c>
      <c r="M3002" s="16" t="s">
        <v>9262</v>
      </c>
      <c r="N3002" s="16" t="s">
        <v>9263</v>
      </c>
      <c r="O3002" s="16" t="s">
        <v>9264</v>
      </c>
    </row>
    <row r="3003" spans="1:15" s="1" customFormat="1">
      <c r="A3003" s="8" t="s">
        <v>1006</v>
      </c>
      <c r="B3003" s="8"/>
      <c r="C3003" s="8"/>
      <c r="D3003" s="9" t="s">
        <v>383</v>
      </c>
      <c r="E3003" s="9" t="s">
        <v>124</v>
      </c>
      <c r="F3003" s="8" t="s">
        <v>9265</v>
      </c>
      <c r="G3003" s="10">
        <v>217.26300000000001</v>
      </c>
      <c r="H3003" s="11">
        <v>41821</v>
      </c>
      <c r="I3003" s="10" t="s">
        <v>209</v>
      </c>
      <c r="J3003" s="10" t="s">
        <v>9266</v>
      </c>
      <c r="K3003" s="10" t="s">
        <v>128</v>
      </c>
      <c r="L3003" s="10" t="s">
        <v>5496</v>
      </c>
      <c r="M3003" s="16" t="s">
        <v>9267</v>
      </c>
      <c r="N3003" s="16" t="s">
        <v>9268</v>
      </c>
      <c r="O3003" s="16" t="s">
        <v>9269</v>
      </c>
    </row>
    <row r="3004" spans="1:15" s="1" customFormat="1">
      <c r="A3004" s="8" t="s">
        <v>402</v>
      </c>
      <c r="B3004" s="8"/>
      <c r="C3004" s="8"/>
      <c r="D3004" s="9" t="s">
        <v>403</v>
      </c>
      <c r="E3004" s="9" t="s">
        <v>124</v>
      </c>
      <c r="F3004" s="8" t="s">
        <v>9273</v>
      </c>
      <c r="G3004" s="10">
        <f>17.498*L3004</f>
        <v>34.996000000000002</v>
      </c>
      <c r="H3004" s="11">
        <v>41822</v>
      </c>
      <c r="I3004" s="10" t="s">
        <v>471</v>
      </c>
      <c r="J3004" s="10" t="s">
        <v>9274</v>
      </c>
      <c r="K3004" s="10" t="s">
        <v>21</v>
      </c>
      <c r="L3004" s="10">
        <v>2</v>
      </c>
      <c r="M3004" s="16" t="s">
        <v>4259</v>
      </c>
      <c r="N3004" s="16" t="s">
        <v>607</v>
      </c>
      <c r="O3004" s="16" t="s">
        <v>9275</v>
      </c>
    </row>
    <row r="3005" spans="1:15" s="1" customFormat="1">
      <c r="A3005" s="12" t="s">
        <v>6285</v>
      </c>
      <c r="B3005" s="8"/>
      <c r="C3005" s="8"/>
      <c r="D3005" s="9" t="s">
        <v>9293</v>
      </c>
      <c r="E3005" s="9" t="s">
        <v>124</v>
      </c>
      <c r="F3005" s="8" t="s">
        <v>9294</v>
      </c>
      <c r="G3005" s="10">
        <v>14.944000000000001</v>
      </c>
      <c r="H3005" s="11">
        <v>41829</v>
      </c>
      <c r="I3005" s="58" t="s">
        <v>5682</v>
      </c>
      <c r="J3005" s="10" t="s">
        <v>9295</v>
      </c>
      <c r="K3005" s="10" t="s">
        <v>21</v>
      </c>
      <c r="L3005" s="10" t="s">
        <v>743</v>
      </c>
      <c r="M3005" s="16" t="s">
        <v>9296</v>
      </c>
      <c r="N3005" s="16" t="s">
        <v>9297</v>
      </c>
      <c r="O3005" s="16" t="s">
        <v>9298</v>
      </c>
    </row>
    <row r="3006" spans="1:15" s="1" customFormat="1">
      <c r="A3006" s="12" t="s">
        <v>9301</v>
      </c>
      <c r="B3006" s="16" t="s">
        <v>1380</v>
      </c>
      <c r="C3006" s="8"/>
      <c r="D3006" s="13" t="s">
        <v>9302</v>
      </c>
      <c r="E3006" s="9" t="s">
        <v>124</v>
      </c>
      <c r="F3006" s="8" t="s">
        <v>9303</v>
      </c>
      <c r="G3006" s="10">
        <f>29.101*L3006</f>
        <v>29.100999999999999</v>
      </c>
      <c r="H3006" s="11">
        <v>41834</v>
      </c>
      <c r="I3006" s="58" t="s">
        <v>4341</v>
      </c>
      <c r="J3006" s="10" t="s">
        <v>9304</v>
      </c>
      <c r="K3006" s="10" t="s">
        <v>21</v>
      </c>
      <c r="L3006" s="10">
        <v>1</v>
      </c>
      <c r="M3006" s="16" t="s">
        <v>9305</v>
      </c>
      <c r="N3006" s="16" t="s">
        <v>1913</v>
      </c>
      <c r="O3006" s="16" t="s">
        <v>9306</v>
      </c>
    </row>
    <row r="3007" spans="1:15" s="1" customFormat="1">
      <c r="A3007" s="57" t="s">
        <v>9180</v>
      </c>
      <c r="B3007" s="8" t="s">
        <v>4059</v>
      </c>
      <c r="C3007" s="8"/>
      <c r="D3007" s="13" t="s">
        <v>9181</v>
      </c>
      <c r="E3007" s="9" t="s">
        <v>124</v>
      </c>
      <c r="F3007" s="8" t="s">
        <v>9307</v>
      </c>
      <c r="G3007" s="10">
        <f>29.101*L3007</f>
        <v>116.404</v>
      </c>
      <c r="H3007" s="11">
        <v>41835</v>
      </c>
      <c r="I3007" s="10" t="s">
        <v>4341</v>
      </c>
      <c r="J3007" s="10" t="s">
        <v>9308</v>
      </c>
      <c r="K3007" s="10" t="s">
        <v>21</v>
      </c>
      <c r="L3007" s="10">
        <v>4</v>
      </c>
      <c r="M3007" s="16" t="s">
        <v>9309</v>
      </c>
      <c r="N3007" s="16" t="s">
        <v>910</v>
      </c>
      <c r="O3007" s="16" t="s">
        <v>9310</v>
      </c>
    </row>
    <row r="3008" spans="1:15" s="1" customFormat="1">
      <c r="A3008" s="8" t="s">
        <v>68</v>
      </c>
      <c r="B3008" s="8" t="s">
        <v>82</v>
      </c>
      <c r="C3008" s="8"/>
      <c r="D3008" s="9" t="s">
        <v>69</v>
      </c>
      <c r="E3008" s="9" t="s">
        <v>17</v>
      </c>
      <c r="F3008" s="8" t="s">
        <v>9088</v>
      </c>
      <c r="G3008" s="10">
        <f>9.175*L3008</f>
        <v>110.10000000000001</v>
      </c>
      <c r="H3008" s="11">
        <v>41837</v>
      </c>
      <c r="I3008" s="10" t="s">
        <v>71</v>
      </c>
      <c r="J3008" s="10" t="s">
        <v>9089</v>
      </c>
      <c r="K3008" s="10" t="s">
        <v>21</v>
      </c>
      <c r="L3008" s="10">
        <v>12</v>
      </c>
      <c r="M3008" s="16" t="s">
        <v>9090</v>
      </c>
      <c r="N3008" s="16" t="s">
        <v>78</v>
      </c>
      <c r="O3008" s="16"/>
    </row>
    <row r="3009" spans="1:15" s="1" customFormat="1">
      <c r="A3009" s="52" t="s">
        <v>88</v>
      </c>
      <c r="B3009" s="8"/>
      <c r="C3009" s="8"/>
      <c r="D3009" s="9" t="s">
        <v>55</v>
      </c>
      <c r="E3009" s="9" t="s">
        <v>17</v>
      </c>
      <c r="F3009" s="8" t="s">
        <v>9091</v>
      </c>
      <c r="G3009" s="10">
        <f>8.926*L3009</f>
        <v>107.11199999999999</v>
      </c>
      <c r="H3009" s="11">
        <v>41843</v>
      </c>
      <c r="I3009" s="10" t="s">
        <v>50</v>
      </c>
      <c r="J3009" s="10" t="s">
        <v>9092</v>
      </c>
      <c r="K3009" s="10" t="s">
        <v>21</v>
      </c>
      <c r="L3009" s="10">
        <v>12</v>
      </c>
      <c r="M3009" s="16" t="s">
        <v>9093</v>
      </c>
      <c r="N3009" s="16" t="s">
        <v>78</v>
      </c>
      <c r="O3009" s="16"/>
    </row>
    <row r="3010" spans="1:15" s="1" customFormat="1">
      <c r="A3010" s="52" t="s">
        <v>96</v>
      </c>
      <c r="B3010" s="8"/>
      <c r="C3010" s="8"/>
      <c r="D3010" s="9" t="s">
        <v>48</v>
      </c>
      <c r="E3010" s="9" t="s">
        <v>17</v>
      </c>
      <c r="F3010" s="8" t="s">
        <v>9094</v>
      </c>
      <c r="G3010" s="10">
        <f>8.926*L3010</f>
        <v>116.038</v>
      </c>
      <c r="H3010" s="11">
        <v>41843</v>
      </c>
      <c r="I3010" s="10" t="s">
        <v>98</v>
      </c>
      <c r="J3010" s="10" t="s">
        <v>9095</v>
      </c>
      <c r="K3010" s="10" t="s">
        <v>21</v>
      </c>
      <c r="L3010" s="10">
        <v>13</v>
      </c>
      <c r="M3010" s="16" t="s">
        <v>9096</v>
      </c>
      <c r="N3010" s="16" t="s">
        <v>81</v>
      </c>
      <c r="O3010" s="16"/>
    </row>
    <row r="3011" spans="1:15" s="1" customFormat="1">
      <c r="A3011" s="8" t="s">
        <v>5890</v>
      </c>
      <c r="B3011" s="16" t="s">
        <v>5891</v>
      </c>
      <c r="C3011" s="8"/>
      <c r="D3011" s="9" t="s">
        <v>5892</v>
      </c>
      <c r="E3011" s="9" t="s">
        <v>124</v>
      </c>
      <c r="F3011" s="8" t="s">
        <v>9326</v>
      </c>
      <c r="G3011" s="10">
        <v>222.59299999999999</v>
      </c>
      <c r="H3011" s="11">
        <v>41850</v>
      </c>
      <c r="I3011" s="10" t="s">
        <v>178</v>
      </c>
      <c r="J3011" s="10" t="s">
        <v>9327</v>
      </c>
      <c r="K3011" s="10" t="s">
        <v>128</v>
      </c>
      <c r="L3011" s="10" t="s">
        <v>5895</v>
      </c>
      <c r="M3011" s="16" t="s">
        <v>9328</v>
      </c>
      <c r="N3011" s="16" t="s">
        <v>9329</v>
      </c>
      <c r="O3011" s="16" t="s">
        <v>9330</v>
      </c>
    </row>
    <row r="3012" spans="1:15" s="1" customFormat="1">
      <c r="A3012" s="8" t="s">
        <v>1773</v>
      </c>
      <c r="B3012" s="8"/>
      <c r="C3012" s="8"/>
      <c r="D3012" s="9" t="s">
        <v>552</v>
      </c>
      <c r="E3012" s="9" t="s">
        <v>124</v>
      </c>
      <c r="F3012" s="8" t="s">
        <v>9336</v>
      </c>
      <c r="G3012" s="10">
        <f>17.52*L3012</f>
        <v>175.2</v>
      </c>
      <c r="H3012" s="11">
        <v>41850</v>
      </c>
      <c r="I3012" s="10" t="s">
        <v>265</v>
      </c>
      <c r="J3012" s="10" t="s">
        <v>9337</v>
      </c>
      <c r="K3012" s="10" t="s">
        <v>21</v>
      </c>
      <c r="L3012" s="10">
        <v>10</v>
      </c>
      <c r="M3012" s="16" t="s">
        <v>5942</v>
      </c>
      <c r="N3012" s="16" t="s">
        <v>4953</v>
      </c>
      <c r="O3012" s="16" t="s">
        <v>9336</v>
      </c>
    </row>
    <row r="3013" spans="1:15" s="1" customFormat="1">
      <c r="A3013" s="8" t="s">
        <v>5181</v>
      </c>
      <c r="B3013" s="8"/>
      <c r="C3013" s="8"/>
      <c r="D3013" s="9" t="s">
        <v>3106</v>
      </c>
      <c r="E3013" s="9" t="s">
        <v>124</v>
      </c>
      <c r="F3013" s="8" t="s">
        <v>9340</v>
      </c>
      <c r="G3013" s="10">
        <f>17.498*L3013</f>
        <v>244.97200000000001</v>
      </c>
      <c r="H3013" s="11">
        <v>41850</v>
      </c>
      <c r="I3013" s="10" t="s">
        <v>471</v>
      </c>
      <c r="J3013" s="10" t="s">
        <v>9341</v>
      </c>
      <c r="K3013" s="10" t="s">
        <v>5478</v>
      </c>
      <c r="L3013" s="10">
        <v>14</v>
      </c>
      <c r="M3013" s="16" t="s">
        <v>5975</v>
      </c>
      <c r="N3013" s="16" t="s">
        <v>9342</v>
      </c>
      <c r="O3013" s="16" t="s">
        <v>9343</v>
      </c>
    </row>
    <row r="3014" spans="1:15" s="1" customFormat="1">
      <c r="A3014" s="8" t="s">
        <v>494</v>
      </c>
      <c r="B3014" s="8"/>
      <c r="C3014" s="8"/>
      <c r="D3014" s="9" t="s">
        <v>495</v>
      </c>
      <c r="E3014" s="9" t="s">
        <v>124</v>
      </c>
      <c r="F3014" s="8" t="s">
        <v>9346</v>
      </c>
      <c r="G3014" s="10">
        <f>12.838*L3014</f>
        <v>128.38</v>
      </c>
      <c r="H3014" s="11">
        <v>41850</v>
      </c>
      <c r="I3014" s="10" t="s">
        <v>471</v>
      </c>
      <c r="J3014" s="10" t="s">
        <v>9347</v>
      </c>
      <c r="K3014" s="10" t="s">
        <v>21</v>
      </c>
      <c r="L3014" s="10">
        <v>10</v>
      </c>
      <c r="M3014" s="16" t="s">
        <v>5988</v>
      </c>
      <c r="N3014" s="16" t="s">
        <v>35</v>
      </c>
      <c r="O3014" s="16" t="s">
        <v>9346</v>
      </c>
    </row>
    <row r="3015" spans="1:15" s="1" customFormat="1">
      <c r="A3015" s="8" t="s">
        <v>5890</v>
      </c>
      <c r="B3015" s="16" t="s">
        <v>5891</v>
      </c>
      <c r="C3015" s="8"/>
      <c r="D3015" s="9" t="s">
        <v>5892</v>
      </c>
      <c r="E3015" s="9" t="s">
        <v>124</v>
      </c>
      <c r="F3015" s="8" t="s">
        <v>9350</v>
      </c>
      <c r="G3015" s="10">
        <v>50.646999999999998</v>
      </c>
      <c r="H3015" s="11">
        <v>41851</v>
      </c>
      <c r="I3015" s="10" t="s">
        <v>178</v>
      </c>
      <c r="J3015" s="10" t="s">
        <v>9351</v>
      </c>
      <c r="K3015" s="10" t="s">
        <v>128</v>
      </c>
      <c r="L3015" s="10" t="s">
        <v>301</v>
      </c>
      <c r="M3015" s="16" t="s">
        <v>9352</v>
      </c>
      <c r="N3015" s="16" t="s">
        <v>9353</v>
      </c>
      <c r="O3015" s="16" t="s">
        <v>9354</v>
      </c>
    </row>
    <row r="3016" spans="1:15" s="1" customFormat="1">
      <c r="A3016" s="8" t="s">
        <v>275</v>
      </c>
      <c r="B3016" s="8"/>
      <c r="C3016" s="8"/>
      <c r="D3016" s="9" t="s">
        <v>276</v>
      </c>
      <c r="E3016" s="9" t="s">
        <v>124</v>
      </c>
      <c r="F3016" s="8" t="s">
        <v>9355</v>
      </c>
      <c r="G3016" s="10">
        <f>6.405*L3016</f>
        <v>83.265000000000001</v>
      </c>
      <c r="H3016" s="11">
        <v>41851</v>
      </c>
      <c r="I3016" s="10" t="s">
        <v>471</v>
      </c>
      <c r="J3016" s="10" t="s">
        <v>9356</v>
      </c>
      <c r="K3016" s="10" t="s">
        <v>21</v>
      </c>
      <c r="L3016" s="10">
        <v>13</v>
      </c>
      <c r="M3016" s="16" t="s">
        <v>6003</v>
      </c>
      <c r="N3016" s="16" t="s">
        <v>167</v>
      </c>
      <c r="O3016" s="16" t="s">
        <v>9355</v>
      </c>
    </row>
    <row r="3017" spans="1:15" s="1" customFormat="1">
      <c r="A3017" s="8" t="s">
        <v>765</v>
      </c>
      <c r="B3017" s="8"/>
      <c r="C3017" s="8"/>
      <c r="D3017" s="9" t="s">
        <v>207</v>
      </c>
      <c r="E3017" s="9" t="s">
        <v>124</v>
      </c>
      <c r="F3017" s="8" t="s">
        <v>9361</v>
      </c>
      <c r="G3017" s="10">
        <v>206.52099999999999</v>
      </c>
      <c r="H3017" s="11">
        <v>41851</v>
      </c>
      <c r="I3017" s="10" t="s">
        <v>209</v>
      </c>
      <c r="J3017" s="10" t="s">
        <v>9362</v>
      </c>
      <c r="K3017" s="10" t="s">
        <v>128</v>
      </c>
      <c r="L3017" s="10" t="s">
        <v>948</v>
      </c>
      <c r="M3017" s="16" t="s">
        <v>9363</v>
      </c>
      <c r="N3017" s="16" t="s">
        <v>9364</v>
      </c>
      <c r="O3017" s="16" t="s">
        <v>9365</v>
      </c>
    </row>
    <row r="3018" spans="1:15" s="1" customFormat="1">
      <c r="A3018" s="8" t="s">
        <v>5572</v>
      </c>
      <c r="B3018" s="8"/>
      <c r="C3018" s="8"/>
      <c r="D3018" s="9" t="s">
        <v>5573</v>
      </c>
      <c r="E3018" s="9" t="s">
        <v>124</v>
      </c>
      <c r="F3018" s="8" t="s">
        <v>9368</v>
      </c>
      <c r="G3018" s="10">
        <v>81.817999999999998</v>
      </c>
      <c r="H3018" s="11">
        <v>41852</v>
      </c>
      <c r="I3018" s="10" t="s">
        <v>5437</v>
      </c>
      <c r="J3018" s="10" t="s">
        <v>9369</v>
      </c>
      <c r="K3018" s="10" t="s">
        <v>21</v>
      </c>
      <c r="L3018" s="10" t="s">
        <v>2788</v>
      </c>
      <c r="M3018" s="16" t="s">
        <v>9370</v>
      </c>
      <c r="N3018" s="16" t="s">
        <v>9371</v>
      </c>
      <c r="O3018" s="16" t="s">
        <v>9372</v>
      </c>
    </row>
    <row r="3019" spans="1:15" s="1" customFormat="1">
      <c r="A3019" s="3" t="s">
        <v>596</v>
      </c>
      <c r="B3019" s="3"/>
      <c r="C3019" s="3"/>
      <c r="D3019" s="5" t="s">
        <v>598</v>
      </c>
      <c r="E3019" s="5" t="s">
        <v>124</v>
      </c>
      <c r="F3019" s="3" t="s">
        <v>9373</v>
      </c>
      <c r="G3019" s="6">
        <f>17.52*L3019</f>
        <v>87.6</v>
      </c>
      <c r="H3019" s="7">
        <v>41856</v>
      </c>
      <c r="I3019" s="6" t="s">
        <v>265</v>
      </c>
      <c r="J3019" s="6" t="s">
        <v>9374</v>
      </c>
      <c r="K3019" s="6" t="s">
        <v>21</v>
      </c>
      <c r="L3019" s="6">
        <v>5</v>
      </c>
      <c r="M3019" s="15" t="s">
        <v>9375</v>
      </c>
      <c r="N3019" s="15" t="s">
        <v>4602</v>
      </c>
      <c r="O3019" s="15" t="s">
        <v>9375</v>
      </c>
    </row>
    <row r="3020" spans="1:15" s="1" customFormat="1">
      <c r="A3020" s="8" t="s">
        <v>96</v>
      </c>
      <c r="B3020" s="8"/>
      <c r="C3020" s="8"/>
      <c r="D3020" s="9" t="s">
        <v>48</v>
      </c>
      <c r="E3020" s="9" t="s">
        <v>17</v>
      </c>
      <c r="F3020" s="8" t="s">
        <v>9097</v>
      </c>
      <c r="G3020" s="10">
        <f>8.926*L3020</f>
        <v>107.11199999999999</v>
      </c>
      <c r="H3020" s="11">
        <v>41858</v>
      </c>
      <c r="I3020" s="10" t="s">
        <v>98</v>
      </c>
      <c r="J3020" s="10" t="s">
        <v>9098</v>
      </c>
      <c r="K3020" s="10" t="s">
        <v>21</v>
      </c>
      <c r="L3020" s="10">
        <v>12</v>
      </c>
      <c r="M3020" s="16" t="s">
        <v>100</v>
      </c>
      <c r="N3020" s="16" t="s">
        <v>78</v>
      </c>
      <c r="O3020" s="16"/>
    </row>
    <row r="3021" spans="1:15" s="1" customFormat="1">
      <c r="A3021" s="22" t="s">
        <v>9391</v>
      </c>
      <c r="B3021" s="15"/>
      <c r="C3021" s="3"/>
      <c r="D3021" s="28" t="s">
        <v>598</v>
      </c>
      <c r="E3021" s="5" t="s">
        <v>124</v>
      </c>
      <c r="F3021" s="3" t="s">
        <v>9392</v>
      </c>
      <c r="G3021" s="6">
        <f>17.52*L3021</f>
        <v>122.64</v>
      </c>
      <c r="H3021" s="7">
        <v>41863</v>
      </c>
      <c r="I3021" s="40" t="s">
        <v>265</v>
      </c>
      <c r="J3021" s="6" t="s">
        <v>9393</v>
      </c>
      <c r="K3021" s="6" t="s">
        <v>21</v>
      </c>
      <c r="L3021" s="6">
        <v>7</v>
      </c>
      <c r="M3021" s="15" t="s">
        <v>9375</v>
      </c>
      <c r="N3021" s="15" t="s">
        <v>6876</v>
      </c>
      <c r="O3021" s="15" t="s">
        <v>9394</v>
      </c>
    </row>
    <row r="3022" spans="1:15" s="1" customFormat="1">
      <c r="A3022" s="8" t="s">
        <v>3664</v>
      </c>
      <c r="B3022" s="8"/>
      <c r="C3022" s="8"/>
      <c r="D3022" s="9" t="s">
        <v>672</v>
      </c>
      <c r="E3022" s="9" t="s">
        <v>124</v>
      </c>
      <c r="F3022" s="8" t="s">
        <v>9402</v>
      </c>
      <c r="G3022" s="10">
        <v>49.22</v>
      </c>
      <c r="H3022" s="11">
        <v>41866</v>
      </c>
      <c r="I3022" s="10" t="s">
        <v>209</v>
      </c>
      <c r="J3022" s="10" t="s">
        <v>9403</v>
      </c>
      <c r="K3022" s="10" t="s">
        <v>128</v>
      </c>
      <c r="L3022" s="10" t="s">
        <v>1990</v>
      </c>
      <c r="M3022" s="16" t="s">
        <v>9404</v>
      </c>
      <c r="N3022" s="16" t="s">
        <v>9405</v>
      </c>
      <c r="O3022" s="16" t="s">
        <v>9406</v>
      </c>
    </row>
    <row r="3023" spans="1:15" s="1" customFormat="1">
      <c r="A3023" s="3" t="s">
        <v>501</v>
      </c>
      <c r="B3023" s="3"/>
      <c r="C3023" s="3"/>
      <c r="D3023" s="5" t="s">
        <v>502</v>
      </c>
      <c r="E3023" s="5" t="s">
        <v>124</v>
      </c>
      <c r="F3023" s="3" t="s">
        <v>9416</v>
      </c>
      <c r="G3023" s="6">
        <f>14.405*L3023</f>
        <v>28.81</v>
      </c>
      <c r="H3023" s="7">
        <v>41870</v>
      </c>
      <c r="I3023" s="6" t="s">
        <v>504</v>
      </c>
      <c r="J3023" s="6" t="s">
        <v>9417</v>
      </c>
      <c r="K3023" s="6" t="s">
        <v>21</v>
      </c>
      <c r="L3023" s="6">
        <v>2</v>
      </c>
      <c r="M3023" s="15" t="s">
        <v>9418</v>
      </c>
      <c r="N3023" s="15" t="s">
        <v>9419</v>
      </c>
      <c r="O3023" s="15" t="s">
        <v>9418</v>
      </c>
    </row>
    <row r="3024" spans="1:15" s="1" customFormat="1">
      <c r="A3024" s="8" t="s">
        <v>5881</v>
      </c>
      <c r="B3024" s="8" t="s">
        <v>82</v>
      </c>
      <c r="C3024" s="8"/>
      <c r="D3024" s="9" t="s">
        <v>5883</v>
      </c>
      <c r="E3024" s="9" t="s">
        <v>124</v>
      </c>
      <c r="F3024" s="8" t="s">
        <v>9430</v>
      </c>
      <c r="G3024" s="10">
        <v>139.69</v>
      </c>
      <c r="H3024" s="11">
        <v>41873</v>
      </c>
      <c r="I3024" s="10" t="s">
        <v>209</v>
      </c>
      <c r="J3024" s="10" t="s">
        <v>9431</v>
      </c>
      <c r="K3024" s="10" t="s">
        <v>128</v>
      </c>
      <c r="L3024" s="10" t="s">
        <v>9432</v>
      </c>
      <c r="M3024" s="16" t="s">
        <v>9433</v>
      </c>
      <c r="N3024" s="16" t="s">
        <v>9434</v>
      </c>
      <c r="O3024" s="13" t="s">
        <v>9435</v>
      </c>
    </row>
    <row r="3025" spans="1:15" s="1" customFormat="1">
      <c r="A3025" s="8" t="s">
        <v>5572</v>
      </c>
      <c r="B3025" s="8"/>
      <c r="C3025" s="8"/>
      <c r="D3025" s="9" t="s">
        <v>5573</v>
      </c>
      <c r="E3025" s="9" t="s">
        <v>124</v>
      </c>
      <c r="F3025" s="8" t="s">
        <v>9436</v>
      </c>
      <c r="G3025" s="10">
        <v>46.512</v>
      </c>
      <c r="H3025" s="11">
        <v>41876</v>
      </c>
      <c r="I3025" s="10" t="s">
        <v>5437</v>
      </c>
      <c r="J3025" s="10" t="s">
        <v>9437</v>
      </c>
      <c r="K3025" s="10" t="s">
        <v>21</v>
      </c>
      <c r="L3025" s="10" t="s">
        <v>9438</v>
      </c>
      <c r="M3025" s="16" t="s">
        <v>9439</v>
      </c>
      <c r="N3025" s="16" t="s">
        <v>9440</v>
      </c>
      <c r="O3025" s="13" t="s">
        <v>9441</v>
      </c>
    </row>
    <row r="3026" spans="1:15" s="1" customFormat="1">
      <c r="A3026" s="12" t="s">
        <v>6080</v>
      </c>
      <c r="B3026" s="8"/>
      <c r="C3026" s="8"/>
      <c r="D3026" s="9" t="s">
        <v>2117</v>
      </c>
      <c r="E3026" s="9" t="s">
        <v>124</v>
      </c>
      <c r="F3026" s="8" t="s">
        <v>9450</v>
      </c>
      <c r="G3026" s="10">
        <v>108.66</v>
      </c>
      <c r="H3026" s="11">
        <v>41879</v>
      </c>
      <c r="I3026" s="10" t="s">
        <v>209</v>
      </c>
      <c r="J3026" s="10" t="s">
        <v>9451</v>
      </c>
      <c r="K3026" s="10" t="s">
        <v>128</v>
      </c>
      <c r="L3026" s="10" t="s">
        <v>6475</v>
      </c>
      <c r="M3026" s="16" t="s">
        <v>9452</v>
      </c>
      <c r="N3026" s="16" t="s">
        <v>9453</v>
      </c>
      <c r="O3026" s="13" t="s">
        <v>9454</v>
      </c>
    </row>
    <row r="3027" spans="1:15" s="1" customFormat="1">
      <c r="A3027" s="12" t="s">
        <v>9472</v>
      </c>
      <c r="B3027" s="8"/>
      <c r="C3027" s="8"/>
      <c r="D3027" s="9" t="s">
        <v>9473</v>
      </c>
      <c r="E3027" s="9" t="s">
        <v>124</v>
      </c>
      <c r="F3027" s="8" t="s">
        <v>9474</v>
      </c>
      <c r="G3027" s="10">
        <v>32.991999999999997</v>
      </c>
      <c r="H3027" s="11">
        <v>41884</v>
      </c>
      <c r="I3027" s="10" t="s">
        <v>209</v>
      </c>
      <c r="J3027" s="10" t="s">
        <v>9475</v>
      </c>
      <c r="K3027" s="10" t="s">
        <v>21</v>
      </c>
      <c r="L3027" s="10">
        <v>2</v>
      </c>
      <c r="M3027" s="16" t="s">
        <v>9476</v>
      </c>
      <c r="N3027" s="16" t="s">
        <v>189</v>
      </c>
      <c r="O3027" s="13" t="s">
        <v>9476</v>
      </c>
    </row>
    <row r="3028" spans="1:15" s="1" customFormat="1">
      <c r="A3028" s="3" t="s">
        <v>5758</v>
      </c>
      <c r="B3028" s="3"/>
      <c r="C3028" s="3"/>
      <c r="D3028" s="5" t="s">
        <v>5751</v>
      </c>
      <c r="E3028" s="5" t="s">
        <v>124</v>
      </c>
      <c r="F3028" s="3" t="s">
        <v>13419</v>
      </c>
      <c r="G3028" s="6">
        <v>202.06899999999999</v>
      </c>
      <c r="H3028" s="7">
        <v>41884</v>
      </c>
      <c r="I3028" s="6" t="s">
        <v>209</v>
      </c>
      <c r="J3028" s="6" t="s">
        <v>9497</v>
      </c>
      <c r="K3028" s="6" t="s">
        <v>12997</v>
      </c>
      <c r="L3028" s="6" t="s">
        <v>2483</v>
      </c>
      <c r="M3028" s="15" t="s">
        <v>9498</v>
      </c>
      <c r="N3028" s="15" t="s">
        <v>9499</v>
      </c>
      <c r="O3028" s="28" t="s">
        <v>9500</v>
      </c>
    </row>
    <row r="3029" spans="1:15" s="1" customFormat="1">
      <c r="A3029" s="8" t="s">
        <v>6334</v>
      </c>
      <c r="B3029" s="8"/>
      <c r="C3029" s="8"/>
      <c r="D3029" s="9" t="s">
        <v>245</v>
      </c>
      <c r="E3029" s="9" t="s">
        <v>124</v>
      </c>
      <c r="F3029" s="8" t="s">
        <v>9503</v>
      </c>
      <c r="G3029" s="10">
        <f>18.708*L3029</f>
        <v>74.831999999999994</v>
      </c>
      <c r="H3029" s="11">
        <v>41885</v>
      </c>
      <c r="I3029" s="10" t="s">
        <v>247</v>
      </c>
      <c r="J3029" s="10" t="s">
        <v>9504</v>
      </c>
      <c r="K3029" s="10" t="s">
        <v>21</v>
      </c>
      <c r="L3029" s="10">
        <v>4</v>
      </c>
      <c r="M3029" s="16" t="s">
        <v>6681</v>
      </c>
      <c r="N3029" s="16" t="s">
        <v>8831</v>
      </c>
      <c r="O3029" s="13" t="s">
        <v>9505</v>
      </c>
    </row>
    <row r="3030" spans="1:15" s="1" customFormat="1">
      <c r="A3030" s="8" t="s">
        <v>4453</v>
      </c>
      <c r="B3030" s="8"/>
      <c r="C3030" s="8"/>
      <c r="D3030" s="9" t="s">
        <v>3106</v>
      </c>
      <c r="E3030" s="9" t="s">
        <v>124</v>
      </c>
      <c r="F3030" s="8" t="s">
        <v>9509</v>
      </c>
      <c r="G3030" s="10">
        <f>17.498*L3030</f>
        <v>262.47000000000003</v>
      </c>
      <c r="H3030" s="11">
        <v>41885</v>
      </c>
      <c r="I3030" s="10" t="s">
        <v>265</v>
      </c>
      <c r="J3030" s="10" t="s">
        <v>9510</v>
      </c>
      <c r="K3030" s="10" t="s">
        <v>21</v>
      </c>
      <c r="L3030" s="10">
        <v>15</v>
      </c>
      <c r="M3030" s="16" t="s">
        <v>9511</v>
      </c>
      <c r="N3030" s="16" t="s">
        <v>5066</v>
      </c>
      <c r="O3030" s="13" t="s">
        <v>9511</v>
      </c>
    </row>
    <row r="3031" spans="1:15" s="1" customFormat="1">
      <c r="A3031" s="8" t="s">
        <v>5604</v>
      </c>
      <c r="B3031" s="8"/>
      <c r="C3031" s="8"/>
      <c r="D3031" s="9" t="s">
        <v>3106</v>
      </c>
      <c r="E3031" s="9" t="s">
        <v>124</v>
      </c>
      <c r="F3031" s="8" t="s">
        <v>9512</v>
      </c>
      <c r="G3031" s="10">
        <f>17.498*L3031</f>
        <v>69.992000000000004</v>
      </c>
      <c r="H3031" s="11">
        <v>41885</v>
      </c>
      <c r="I3031" s="10" t="s">
        <v>172</v>
      </c>
      <c r="J3031" s="10" t="s">
        <v>9513</v>
      </c>
      <c r="K3031" s="10" t="s">
        <v>21</v>
      </c>
      <c r="L3031" s="10">
        <v>4</v>
      </c>
      <c r="M3031" s="16" t="s">
        <v>9514</v>
      </c>
      <c r="N3031" s="16" t="s">
        <v>9515</v>
      </c>
      <c r="O3031" s="13" t="s">
        <v>9514</v>
      </c>
    </row>
    <row r="3032" spans="1:15" s="1" customFormat="1">
      <c r="A3032" s="8" t="s">
        <v>5351</v>
      </c>
      <c r="B3032" s="8" t="s">
        <v>67</v>
      </c>
      <c r="C3032" s="8"/>
      <c r="D3032" s="9" t="s">
        <v>364</v>
      </c>
      <c r="E3032" s="9" t="s">
        <v>124</v>
      </c>
      <c r="F3032" s="8" t="s">
        <v>9524</v>
      </c>
      <c r="G3032" s="10">
        <f>12.838*L3032</f>
        <v>154.05599999999998</v>
      </c>
      <c r="H3032" s="11">
        <v>41891</v>
      </c>
      <c r="I3032" s="10" t="s">
        <v>126</v>
      </c>
      <c r="J3032" s="10" t="s">
        <v>9525</v>
      </c>
      <c r="K3032" s="10" t="s">
        <v>21</v>
      </c>
      <c r="L3032" s="10">
        <v>12</v>
      </c>
      <c r="M3032" s="16" t="s">
        <v>9526</v>
      </c>
      <c r="N3032" s="16" t="s">
        <v>164</v>
      </c>
      <c r="O3032" s="13" t="s">
        <v>9526</v>
      </c>
    </row>
    <row r="3033" spans="1:15" s="1" customFormat="1">
      <c r="A3033" s="8" t="s">
        <v>469</v>
      </c>
      <c r="B3033" s="8"/>
      <c r="C3033" s="8"/>
      <c r="D3033" s="9" t="s">
        <v>276</v>
      </c>
      <c r="E3033" s="9" t="s">
        <v>124</v>
      </c>
      <c r="F3033" s="8" t="s">
        <v>9530</v>
      </c>
      <c r="G3033" s="10">
        <f>6.405*L3033</f>
        <v>64.05</v>
      </c>
      <c r="H3033" s="11">
        <v>41891</v>
      </c>
      <c r="I3033" s="10" t="s">
        <v>471</v>
      </c>
      <c r="J3033" s="10" t="s">
        <v>9531</v>
      </c>
      <c r="K3033" s="10" t="s">
        <v>21</v>
      </c>
      <c r="L3033" s="10">
        <v>10</v>
      </c>
      <c r="M3033" s="16" t="s">
        <v>9449</v>
      </c>
      <c r="N3033" s="16" t="s">
        <v>4872</v>
      </c>
      <c r="O3033" s="13" t="s">
        <v>9532</v>
      </c>
    </row>
    <row r="3034" spans="1:15" s="1" customFormat="1">
      <c r="A3034" s="8" t="s">
        <v>5304</v>
      </c>
      <c r="B3034" s="8"/>
      <c r="C3034" s="8"/>
      <c r="D3034" s="9" t="s">
        <v>6309</v>
      </c>
      <c r="E3034" s="9" t="s">
        <v>124</v>
      </c>
      <c r="F3034" s="8" t="s">
        <v>9533</v>
      </c>
      <c r="G3034" s="10">
        <f>27.688*L3034</f>
        <v>110.752</v>
      </c>
      <c r="H3034" s="11">
        <v>41891</v>
      </c>
      <c r="I3034" s="10" t="s">
        <v>265</v>
      </c>
      <c r="J3034" s="10" t="s">
        <v>9534</v>
      </c>
      <c r="K3034" s="10" t="s">
        <v>21</v>
      </c>
      <c r="L3034" s="10">
        <v>4</v>
      </c>
      <c r="M3034" s="16" t="s">
        <v>9535</v>
      </c>
      <c r="N3034" s="16" t="s">
        <v>9515</v>
      </c>
      <c r="O3034" s="13" t="s">
        <v>9535</v>
      </c>
    </row>
    <row r="3035" spans="1:15" s="1" customFormat="1">
      <c r="A3035" s="8" t="s">
        <v>1854</v>
      </c>
      <c r="B3035" s="8"/>
      <c r="C3035" s="8"/>
      <c r="D3035" s="9" t="s">
        <v>1855</v>
      </c>
      <c r="E3035" s="9" t="s">
        <v>124</v>
      </c>
      <c r="F3035" s="8" t="s">
        <v>9554</v>
      </c>
      <c r="G3035" s="10">
        <v>85.338999999999999</v>
      </c>
      <c r="H3035" s="11">
        <v>41891</v>
      </c>
      <c r="I3035" s="10" t="s">
        <v>209</v>
      </c>
      <c r="J3035" s="10" t="s">
        <v>9555</v>
      </c>
      <c r="K3035" s="10" t="s">
        <v>128</v>
      </c>
      <c r="L3035" s="10" t="s">
        <v>9208</v>
      </c>
      <c r="M3035" s="16" t="s">
        <v>9556</v>
      </c>
      <c r="N3035" s="16" t="s">
        <v>9557</v>
      </c>
      <c r="O3035" s="13" t="s">
        <v>9558</v>
      </c>
    </row>
    <row r="3036" spans="1:15" s="1" customFormat="1">
      <c r="A3036" s="3" t="s">
        <v>1311</v>
      </c>
      <c r="B3036" s="3"/>
      <c r="C3036" s="3"/>
      <c r="D3036" s="5" t="s">
        <v>1312</v>
      </c>
      <c r="E3036" s="5" t="s">
        <v>124</v>
      </c>
      <c r="F3036" s="3" t="s">
        <v>9559</v>
      </c>
      <c r="G3036" s="6">
        <v>33.537999999999997</v>
      </c>
      <c r="H3036" s="7">
        <v>41891</v>
      </c>
      <c r="I3036" s="6" t="s">
        <v>209</v>
      </c>
      <c r="J3036" s="6" t="s">
        <v>9560</v>
      </c>
      <c r="K3036" s="6" t="s">
        <v>128</v>
      </c>
      <c r="L3036" s="6" t="s">
        <v>2968</v>
      </c>
      <c r="M3036" s="15" t="s">
        <v>9561</v>
      </c>
      <c r="N3036" s="15" t="s">
        <v>9562</v>
      </c>
      <c r="O3036" s="28" t="s">
        <v>9563</v>
      </c>
    </row>
    <row r="3037" spans="1:15" s="1" customFormat="1">
      <c r="A3037" s="8" t="s">
        <v>825</v>
      </c>
      <c r="B3037" s="8"/>
      <c r="C3037" s="8"/>
      <c r="D3037" s="9" t="s">
        <v>826</v>
      </c>
      <c r="E3037" s="9" t="s">
        <v>124</v>
      </c>
      <c r="F3037" s="8" t="s">
        <v>9564</v>
      </c>
      <c r="G3037" s="10">
        <v>169.32599999999999</v>
      </c>
      <c r="H3037" s="11">
        <v>41891</v>
      </c>
      <c r="I3037" s="10" t="s">
        <v>209</v>
      </c>
      <c r="J3037" s="10" t="s">
        <v>9565</v>
      </c>
      <c r="K3037" s="10" t="s">
        <v>128</v>
      </c>
      <c r="L3037" s="10" t="s">
        <v>1009</v>
      </c>
      <c r="M3037" s="16" t="s">
        <v>9566</v>
      </c>
      <c r="N3037" s="16" t="s">
        <v>9567</v>
      </c>
      <c r="O3037" s="13" t="s">
        <v>9568</v>
      </c>
    </row>
    <row r="3038" spans="1:15" s="1" customFormat="1">
      <c r="A3038" s="8" t="s">
        <v>5572</v>
      </c>
      <c r="B3038" s="8"/>
      <c r="C3038" s="8"/>
      <c r="D3038" s="9" t="s">
        <v>5573</v>
      </c>
      <c r="E3038" s="9" t="s">
        <v>124</v>
      </c>
      <c r="F3038" s="8" t="s">
        <v>9571</v>
      </c>
      <c r="G3038" s="10">
        <v>81.123999999999995</v>
      </c>
      <c r="H3038" s="11">
        <v>41892</v>
      </c>
      <c r="I3038" s="10" t="s">
        <v>5437</v>
      </c>
      <c r="J3038" s="10" t="s">
        <v>9572</v>
      </c>
      <c r="K3038" s="10" t="s">
        <v>21</v>
      </c>
      <c r="L3038" s="10" t="s">
        <v>2788</v>
      </c>
      <c r="M3038" s="16" t="s">
        <v>9573</v>
      </c>
      <c r="N3038" s="16" t="s">
        <v>9574</v>
      </c>
      <c r="O3038" s="13" t="s">
        <v>9575</v>
      </c>
    </row>
    <row r="3039" spans="1:15" s="1" customFormat="1">
      <c r="A3039" s="8" t="s">
        <v>6648</v>
      </c>
      <c r="B3039" s="8"/>
      <c r="C3039" s="8"/>
      <c r="D3039" s="9" t="s">
        <v>207</v>
      </c>
      <c r="E3039" s="9" t="s">
        <v>124</v>
      </c>
      <c r="F3039" s="8" t="s">
        <v>9581</v>
      </c>
      <c r="G3039" s="10">
        <v>34.591999999999999</v>
      </c>
      <c r="H3039" s="11">
        <v>41892</v>
      </c>
      <c r="I3039" s="10" t="s">
        <v>209</v>
      </c>
      <c r="J3039" s="10" t="s">
        <v>9582</v>
      </c>
      <c r="K3039" s="10" t="s">
        <v>128</v>
      </c>
      <c r="L3039" s="10" t="s">
        <v>1635</v>
      </c>
      <c r="M3039" s="16" t="s">
        <v>9583</v>
      </c>
      <c r="N3039" s="16" t="s">
        <v>9584</v>
      </c>
      <c r="O3039" s="13" t="s">
        <v>9585</v>
      </c>
    </row>
    <row r="3040" spans="1:15" s="1" customFormat="1">
      <c r="A3040" s="8" t="s">
        <v>543</v>
      </c>
      <c r="B3040" s="8"/>
      <c r="C3040" s="8"/>
      <c r="D3040" s="9" t="s">
        <v>544</v>
      </c>
      <c r="E3040" s="9" t="s">
        <v>124</v>
      </c>
      <c r="F3040" s="8" t="s">
        <v>9591</v>
      </c>
      <c r="G3040" s="10">
        <v>50.371000000000002</v>
      </c>
      <c r="H3040" s="11">
        <v>41892</v>
      </c>
      <c r="I3040" s="10" t="s">
        <v>209</v>
      </c>
      <c r="J3040" s="10" t="s">
        <v>9592</v>
      </c>
      <c r="K3040" s="10" t="s">
        <v>128</v>
      </c>
      <c r="L3040" s="10" t="s">
        <v>1652</v>
      </c>
      <c r="M3040" s="16" t="s">
        <v>9593</v>
      </c>
      <c r="N3040" s="16" t="s">
        <v>9594</v>
      </c>
      <c r="O3040" s="13" t="s">
        <v>9595</v>
      </c>
    </row>
    <row r="3041" spans="1:15" s="1" customFormat="1">
      <c r="A3041" s="8" t="s">
        <v>543</v>
      </c>
      <c r="B3041" s="8"/>
      <c r="C3041" s="8"/>
      <c r="D3041" s="9" t="s">
        <v>544</v>
      </c>
      <c r="E3041" s="9" t="s">
        <v>124</v>
      </c>
      <c r="F3041" s="8" t="s">
        <v>9596</v>
      </c>
      <c r="G3041" s="10">
        <v>83.57</v>
      </c>
      <c r="H3041" s="11">
        <v>41892</v>
      </c>
      <c r="I3041" s="10" t="s">
        <v>209</v>
      </c>
      <c r="J3041" s="10" t="s">
        <v>9597</v>
      </c>
      <c r="K3041" s="10" t="s">
        <v>128</v>
      </c>
      <c r="L3041" s="10" t="s">
        <v>2788</v>
      </c>
      <c r="M3041" s="16" t="s">
        <v>9598</v>
      </c>
      <c r="N3041" s="16" t="s">
        <v>9599</v>
      </c>
      <c r="O3041" s="13" t="s">
        <v>9600</v>
      </c>
    </row>
    <row r="3042" spans="1:15" s="1" customFormat="1">
      <c r="A3042" s="57" t="s">
        <v>9180</v>
      </c>
      <c r="B3042" s="8" t="s">
        <v>4059</v>
      </c>
      <c r="C3042" s="8"/>
      <c r="D3042" s="13" t="s">
        <v>9181</v>
      </c>
      <c r="E3042" s="9" t="s">
        <v>124</v>
      </c>
      <c r="F3042" s="8" t="s">
        <v>9606</v>
      </c>
      <c r="G3042" s="10">
        <f>29.101*L3042</f>
        <v>174.60599999999999</v>
      </c>
      <c r="H3042" s="11">
        <v>41893</v>
      </c>
      <c r="I3042" s="10" t="s">
        <v>4341</v>
      </c>
      <c r="J3042" s="10" t="s">
        <v>9607</v>
      </c>
      <c r="K3042" s="10" t="s">
        <v>21</v>
      </c>
      <c r="L3042" s="10">
        <v>6</v>
      </c>
      <c r="M3042" s="16" t="s">
        <v>9309</v>
      </c>
      <c r="N3042" s="16" t="s">
        <v>1070</v>
      </c>
      <c r="O3042" s="16" t="s">
        <v>13470</v>
      </c>
    </row>
    <row r="3043" spans="1:15" s="1" customFormat="1">
      <c r="A3043" s="12" t="s">
        <v>9608</v>
      </c>
      <c r="B3043" s="16" t="s">
        <v>11567</v>
      </c>
      <c r="C3043" s="8"/>
      <c r="D3043" s="13" t="s">
        <v>9609</v>
      </c>
      <c r="E3043" s="9" t="s">
        <v>124</v>
      </c>
      <c r="F3043" s="8" t="s">
        <v>9610</v>
      </c>
      <c r="G3043" s="10">
        <v>58.201999999999998</v>
      </c>
      <c r="H3043" s="11">
        <v>41893</v>
      </c>
      <c r="I3043" s="10" t="s">
        <v>4341</v>
      </c>
      <c r="J3043" s="10" t="s">
        <v>9611</v>
      </c>
      <c r="K3043" s="10" t="s">
        <v>5478</v>
      </c>
      <c r="L3043" s="10">
        <v>2</v>
      </c>
      <c r="M3043" s="16" t="s">
        <v>9612</v>
      </c>
      <c r="N3043" s="16" t="s">
        <v>9613</v>
      </c>
      <c r="O3043" s="13" t="s">
        <v>9614</v>
      </c>
    </row>
    <row r="3044" spans="1:15" s="1" customFormat="1">
      <c r="A3044" s="8" t="s">
        <v>9301</v>
      </c>
      <c r="B3044" s="8" t="s">
        <v>11573</v>
      </c>
      <c r="C3044" s="8"/>
      <c r="D3044" s="13" t="s">
        <v>9302</v>
      </c>
      <c r="E3044" s="9" t="s">
        <v>124</v>
      </c>
      <c r="F3044" s="8" t="s">
        <v>9615</v>
      </c>
      <c r="G3044" s="10">
        <f>29.101*L3044</f>
        <v>174.60599999999999</v>
      </c>
      <c r="H3044" s="11">
        <v>41893</v>
      </c>
      <c r="I3044" s="58" t="s">
        <v>4341</v>
      </c>
      <c r="J3044" s="10" t="s">
        <v>9616</v>
      </c>
      <c r="K3044" s="10" t="s">
        <v>21</v>
      </c>
      <c r="L3044" s="10">
        <v>6</v>
      </c>
      <c r="M3044" s="16" t="s">
        <v>9617</v>
      </c>
      <c r="N3044" s="16" t="s">
        <v>74</v>
      </c>
      <c r="O3044" s="13" t="s">
        <v>9618</v>
      </c>
    </row>
    <row r="3045" spans="1:15" s="1" customFormat="1">
      <c r="A3045" s="12" t="s">
        <v>9619</v>
      </c>
      <c r="B3045" s="8" t="s">
        <v>9620</v>
      </c>
      <c r="C3045" s="8"/>
      <c r="D3045" s="13" t="s">
        <v>9621</v>
      </c>
      <c r="E3045" s="9" t="s">
        <v>124</v>
      </c>
      <c r="F3045" s="8" t="s">
        <v>9622</v>
      </c>
      <c r="G3045" s="10">
        <f>29.101*L3045</f>
        <v>58.201999999999998</v>
      </c>
      <c r="H3045" s="11">
        <v>41893</v>
      </c>
      <c r="I3045" s="10" t="s">
        <v>4341</v>
      </c>
      <c r="J3045" s="10" t="s">
        <v>9623</v>
      </c>
      <c r="K3045" s="10" t="s">
        <v>21</v>
      </c>
      <c r="L3045" s="10">
        <v>2</v>
      </c>
      <c r="M3045" s="16" t="s">
        <v>9624</v>
      </c>
      <c r="N3045" s="16" t="s">
        <v>6533</v>
      </c>
      <c r="O3045" s="13" t="s">
        <v>9625</v>
      </c>
    </row>
    <row r="3046" spans="1:15" s="1" customFormat="1">
      <c r="A3046" s="8" t="s">
        <v>551</v>
      </c>
      <c r="B3046" s="8"/>
      <c r="C3046" s="8"/>
      <c r="D3046" s="9" t="s">
        <v>552</v>
      </c>
      <c r="E3046" s="9" t="s">
        <v>124</v>
      </c>
      <c r="F3046" s="8" t="s">
        <v>9629</v>
      </c>
      <c r="G3046" s="10">
        <f>17.52*L3046</f>
        <v>87.6</v>
      </c>
      <c r="H3046" s="11">
        <v>41893</v>
      </c>
      <c r="I3046" s="10" t="s">
        <v>265</v>
      </c>
      <c r="J3046" s="10" t="s">
        <v>9630</v>
      </c>
      <c r="K3046" s="10" t="s">
        <v>21</v>
      </c>
      <c r="L3046" s="10">
        <v>5</v>
      </c>
      <c r="M3046" s="16" t="s">
        <v>6875</v>
      </c>
      <c r="N3046" s="16" t="s">
        <v>4602</v>
      </c>
      <c r="O3046" s="13" t="s">
        <v>6875</v>
      </c>
    </row>
    <row r="3047" spans="1:15" s="1" customFormat="1">
      <c r="A3047" s="8" t="s">
        <v>257</v>
      </c>
      <c r="B3047" s="8"/>
      <c r="C3047" s="8"/>
      <c r="D3047" s="9" t="s">
        <v>245</v>
      </c>
      <c r="E3047" s="9" t="s">
        <v>124</v>
      </c>
      <c r="F3047" s="8" t="s">
        <v>9634</v>
      </c>
      <c r="G3047" s="10">
        <f>18.708*L3047</f>
        <v>224.49599999999998</v>
      </c>
      <c r="H3047" s="11">
        <v>41893</v>
      </c>
      <c r="I3047" s="10" t="s">
        <v>178</v>
      </c>
      <c r="J3047" s="10" t="s">
        <v>9635</v>
      </c>
      <c r="K3047" s="10" t="s">
        <v>21</v>
      </c>
      <c r="L3047" s="10">
        <v>12</v>
      </c>
      <c r="M3047" s="16" t="s">
        <v>9636</v>
      </c>
      <c r="N3047" s="16" t="s">
        <v>78</v>
      </c>
      <c r="O3047" s="13" t="s">
        <v>9636</v>
      </c>
    </row>
    <row r="3048" spans="1:15" s="1" customFormat="1">
      <c r="A3048" s="3" t="s">
        <v>1087</v>
      </c>
      <c r="B3048" s="3" t="s">
        <v>4520</v>
      </c>
      <c r="C3048" s="3"/>
      <c r="D3048" s="5" t="s">
        <v>1088</v>
      </c>
      <c r="E3048" s="5" t="s">
        <v>124</v>
      </c>
      <c r="F3048" s="3" t="s">
        <v>9640</v>
      </c>
      <c r="G3048" s="6">
        <f>9.804*L3048</f>
        <v>127.452</v>
      </c>
      <c r="H3048" s="7">
        <v>41893</v>
      </c>
      <c r="I3048" s="6" t="s">
        <v>1090</v>
      </c>
      <c r="J3048" s="6" t="s">
        <v>9641</v>
      </c>
      <c r="K3048" s="6" t="s">
        <v>21</v>
      </c>
      <c r="L3048" s="6">
        <v>13</v>
      </c>
      <c r="M3048" s="15" t="s">
        <v>6685</v>
      </c>
      <c r="N3048" s="15" t="s">
        <v>167</v>
      </c>
      <c r="O3048" s="28" t="s">
        <v>9642</v>
      </c>
    </row>
    <row r="3049" spans="1:15" s="1" customFormat="1">
      <c r="A3049" s="8" t="s">
        <v>465</v>
      </c>
      <c r="B3049" s="8"/>
      <c r="C3049" s="8"/>
      <c r="D3049" s="9" t="s">
        <v>391</v>
      </c>
      <c r="E3049" s="9" t="s">
        <v>124</v>
      </c>
      <c r="F3049" s="8" t="s">
        <v>9658</v>
      </c>
      <c r="G3049" s="10">
        <f>17.712*L3049</f>
        <v>106.27199999999999</v>
      </c>
      <c r="H3049" s="11">
        <v>41897</v>
      </c>
      <c r="I3049" s="10" t="s">
        <v>265</v>
      </c>
      <c r="J3049" s="10" t="s">
        <v>9659</v>
      </c>
      <c r="K3049" s="10" t="s">
        <v>21</v>
      </c>
      <c r="L3049" s="10">
        <v>6</v>
      </c>
      <c r="M3049" s="16" t="s">
        <v>5632</v>
      </c>
      <c r="N3049" s="16" t="s">
        <v>1070</v>
      </c>
      <c r="O3049" s="13" t="s">
        <v>9660</v>
      </c>
    </row>
    <row r="3050" spans="1:15" s="1" customFormat="1">
      <c r="A3050" s="8" t="s">
        <v>654</v>
      </c>
      <c r="B3050" s="8"/>
      <c r="C3050" s="8"/>
      <c r="D3050" s="9" t="s">
        <v>5294</v>
      </c>
      <c r="E3050" s="9" t="s">
        <v>124</v>
      </c>
      <c r="F3050" s="8" t="s">
        <v>9663</v>
      </c>
      <c r="G3050" s="10">
        <f>17.52*L3050</f>
        <v>157.68</v>
      </c>
      <c r="H3050" s="11">
        <v>41897</v>
      </c>
      <c r="I3050" s="10" t="s">
        <v>209</v>
      </c>
      <c r="J3050" s="10" t="s">
        <v>9664</v>
      </c>
      <c r="K3050" s="10" t="s">
        <v>21</v>
      </c>
      <c r="L3050" s="10">
        <v>9</v>
      </c>
      <c r="M3050" s="16" t="s">
        <v>6727</v>
      </c>
      <c r="N3050" s="16" t="s">
        <v>896</v>
      </c>
      <c r="O3050" s="13" t="s">
        <v>9665</v>
      </c>
    </row>
    <row r="3051" spans="1:15" s="1" customFormat="1">
      <c r="A3051" s="12" t="s">
        <v>9666</v>
      </c>
      <c r="B3051" s="8"/>
      <c r="C3051" s="8"/>
      <c r="D3051" s="9" t="s">
        <v>495</v>
      </c>
      <c r="E3051" s="9" t="s">
        <v>124</v>
      </c>
      <c r="F3051" s="8" t="s">
        <v>9667</v>
      </c>
      <c r="G3051" s="10">
        <f>12.838*L3051</f>
        <v>128.38</v>
      </c>
      <c r="H3051" s="11">
        <v>41897</v>
      </c>
      <c r="I3051" s="10" t="s">
        <v>193</v>
      </c>
      <c r="J3051" s="10" t="s">
        <v>9668</v>
      </c>
      <c r="K3051" s="10" t="s">
        <v>5478</v>
      </c>
      <c r="L3051" s="10">
        <v>10</v>
      </c>
      <c r="M3051" s="16" t="s">
        <v>9523</v>
      </c>
      <c r="N3051" s="16" t="s">
        <v>6836</v>
      </c>
      <c r="O3051" s="13" t="s">
        <v>9669</v>
      </c>
    </row>
    <row r="3052" spans="1:15" s="1" customFormat="1">
      <c r="A3052" s="8" t="s">
        <v>376</v>
      </c>
      <c r="B3052" s="8"/>
      <c r="C3052" s="8"/>
      <c r="D3052" s="9" t="s">
        <v>377</v>
      </c>
      <c r="E3052" s="9" t="s">
        <v>124</v>
      </c>
      <c r="F3052" s="8" t="s">
        <v>9687</v>
      </c>
      <c r="G3052" s="10">
        <f>18.708*L3052</f>
        <v>187.07999999999998</v>
      </c>
      <c r="H3052" s="11">
        <v>41899</v>
      </c>
      <c r="I3052" s="10" t="s">
        <v>379</v>
      </c>
      <c r="J3052" s="10" t="s">
        <v>9688</v>
      </c>
      <c r="K3052" s="10" t="s">
        <v>21</v>
      </c>
      <c r="L3052" s="10">
        <v>10</v>
      </c>
      <c r="M3052" s="16" t="s">
        <v>6771</v>
      </c>
      <c r="N3052" s="16" t="s">
        <v>35</v>
      </c>
      <c r="O3052" s="13" t="s">
        <v>9689</v>
      </c>
    </row>
    <row r="3053" spans="1:15" s="1" customFormat="1">
      <c r="A3053" s="8" t="s">
        <v>5572</v>
      </c>
      <c r="B3053" s="8"/>
      <c r="C3053" s="8"/>
      <c r="D3053" s="9" t="s">
        <v>5573</v>
      </c>
      <c r="E3053" s="9" t="s">
        <v>124</v>
      </c>
      <c r="F3053" s="8" t="s">
        <v>9716</v>
      </c>
      <c r="G3053" s="10">
        <v>83.805999999999997</v>
      </c>
      <c r="H3053" s="11">
        <v>41904</v>
      </c>
      <c r="I3053" s="10" t="s">
        <v>5437</v>
      </c>
      <c r="J3053" s="10" t="s">
        <v>9717</v>
      </c>
      <c r="K3053" s="10" t="s">
        <v>21</v>
      </c>
      <c r="L3053" s="10" t="s">
        <v>2788</v>
      </c>
      <c r="M3053" s="16" t="s">
        <v>9718</v>
      </c>
      <c r="N3053" s="16" t="s">
        <v>9719</v>
      </c>
      <c r="O3053" s="13" t="s">
        <v>9720</v>
      </c>
    </row>
    <row r="3054" spans="1:15" s="1" customFormat="1">
      <c r="A3054" s="8" t="s">
        <v>1349</v>
      </c>
      <c r="B3054" s="8"/>
      <c r="C3054" s="8"/>
      <c r="D3054" s="9" t="s">
        <v>2117</v>
      </c>
      <c r="E3054" s="9" t="s">
        <v>124</v>
      </c>
      <c r="F3054" s="8" t="s">
        <v>9730</v>
      </c>
      <c r="G3054" s="10">
        <v>138.90799999999999</v>
      </c>
      <c r="H3054" s="11">
        <v>41905</v>
      </c>
      <c r="I3054" s="10" t="s">
        <v>178</v>
      </c>
      <c r="J3054" s="10" t="s">
        <v>9731</v>
      </c>
      <c r="K3054" s="10" t="s">
        <v>128</v>
      </c>
      <c r="L3054" s="10" t="s">
        <v>2183</v>
      </c>
      <c r="M3054" s="16" t="s">
        <v>6852</v>
      </c>
      <c r="N3054" s="16" t="s">
        <v>9732</v>
      </c>
      <c r="O3054" s="13" t="s">
        <v>9733</v>
      </c>
    </row>
    <row r="3055" spans="1:15" s="1" customFormat="1">
      <c r="A3055" s="8" t="s">
        <v>5931</v>
      </c>
      <c r="B3055" s="8"/>
      <c r="C3055" s="8"/>
      <c r="D3055" s="9" t="s">
        <v>586</v>
      </c>
      <c r="E3055" s="9" t="s">
        <v>124</v>
      </c>
      <c r="F3055" s="8" t="s">
        <v>9741</v>
      </c>
      <c r="G3055" s="10">
        <f>17.52*L3055</f>
        <v>70.08</v>
      </c>
      <c r="H3055" s="11">
        <v>41911</v>
      </c>
      <c r="I3055" s="10" t="s">
        <v>5437</v>
      </c>
      <c r="J3055" s="10" t="s">
        <v>9742</v>
      </c>
      <c r="K3055" s="10" t="s">
        <v>5478</v>
      </c>
      <c r="L3055" s="10">
        <v>4</v>
      </c>
      <c r="M3055" s="16" t="s">
        <v>5934</v>
      </c>
      <c r="N3055" s="16" t="s">
        <v>5972</v>
      </c>
      <c r="O3055" s="13" t="s">
        <v>9743</v>
      </c>
    </row>
    <row r="3056" spans="1:15" s="1" customFormat="1">
      <c r="A3056" s="8" t="s">
        <v>772</v>
      </c>
      <c r="B3056" s="8"/>
      <c r="C3056" s="8"/>
      <c r="D3056" s="9" t="s">
        <v>773</v>
      </c>
      <c r="E3056" s="9" t="s">
        <v>124</v>
      </c>
      <c r="F3056" s="8" t="s">
        <v>9751</v>
      </c>
      <c r="G3056" s="10">
        <f>18.708*L3056</f>
        <v>224.49599999999998</v>
      </c>
      <c r="H3056" s="11">
        <v>41911</v>
      </c>
      <c r="I3056" s="10" t="s">
        <v>265</v>
      </c>
      <c r="J3056" s="10" t="s">
        <v>9752</v>
      </c>
      <c r="K3056" s="10" t="s">
        <v>21</v>
      </c>
      <c r="L3056" s="10">
        <v>12</v>
      </c>
      <c r="M3056" s="16" t="s">
        <v>6893</v>
      </c>
      <c r="N3056" s="16" t="s">
        <v>78</v>
      </c>
      <c r="O3056" s="13" t="s">
        <v>6893</v>
      </c>
    </row>
    <row r="3057" spans="1:15" s="1" customFormat="1">
      <c r="A3057" s="8" t="s">
        <v>898</v>
      </c>
      <c r="B3057" s="8"/>
      <c r="C3057" s="8"/>
      <c r="D3057" s="9" t="s">
        <v>899</v>
      </c>
      <c r="E3057" s="9" t="s">
        <v>124</v>
      </c>
      <c r="F3057" s="8" t="s">
        <v>9753</v>
      </c>
      <c r="G3057" s="10">
        <f>18.708*L3057</f>
        <v>187.07999999999998</v>
      </c>
      <c r="H3057" s="11">
        <v>41911</v>
      </c>
      <c r="I3057" s="10" t="s">
        <v>209</v>
      </c>
      <c r="J3057" s="10" t="s">
        <v>9754</v>
      </c>
      <c r="K3057" s="10" t="s">
        <v>21</v>
      </c>
      <c r="L3057" s="10">
        <v>10</v>
      </c>
      <c r="M3057" s="16" t="s">
        <v>6897</v>
      </c>
      <c r="N3057" s="16" t="s">
        <v>4953</v>
      </c>
      <c r="O3057" s="13" t="s">
        <v>6897</v>
      </c>
    </row>
    <row r="3058" spans="1:15" s="1" customFormat="1">
      <c r="A3058" s="8" t="s">
        <v>469</v>
      </c>
      <c r="B3058" s="8"/>
      <c r="C3058" s="8"/>
      <c r="D3058" s="9" t="s">
        <v>276</v>
      </c>
      <c r="E3058" s="9" t="s">
        <v>124</v>
      </c>
      <c r="F3058" s="8" t="s">
        <v>9773</v>
      </c>
      <c r="G3058" s="10">
        <f>6.405*L3058</f>
        <v>64.05</v>
      </c>
      <c r="H3058" s="11">
        <v>41911</v>
      </c>
      <c r="I3058" s="10" t="s">
        <v>471</v>
      </c>
      <c r="J3058" s="10" t="s">
        <v>9774</v>
      </c>
      <c r="K3058" s="10" t="s">
        <v>21</v>
      </c>
      <c r="L3058" s="10">
        <v>10</v>
      </c>
      <c r="M3058" s="16" t="s">
        <v>6688</v>
      </c>
      <c r="N3058" s="16" t="s">
        <v>4872</v>
      </c>
      <c r="O3058" s="13" t="s">
        <v>9775</v>
      </c>
    </row>
    <row r="3059" spans="1:15" s="1" customFormat="1">
      <c r="A3059" s="12" t="s">
        <v>9815</v>
      </c>
      <c r="B3059" s="14" t="s">
        <v>283</v>
      </c>
      <c r="C3059" s="8"/>
      <c r="D3059" s="9" t="s">
        <v>9816</v>
      </c>
      <c r="E3059" s="9" t="s">
        <v>124</v>
      </c>
      <c r="F3059" s="8" t="s">
        <v>9817</v>
      </c>
      <c r="G3059" s="10">
        <f>3.586*L3059</f>
        <v>14.343999999999999</v>
      </c>
      <c r="H3059" s="11">
        <v>41920</v>
      </c>
      <c r="I3059" s="10" t="s">
        <v>9818</v>
      </c>
      <c r="J3059" s="10" t="s">
        <v>9819</v>
      </c>
      <c r="K3059" s="10" t="s">
        <v>21</v>
      </c>
      <c r="L3059" s="10">
        <v>4</v>
      </c>
      <c r="M3059" s="16" t="s">
        <v>9820</v>
      </c>
      <c r="N3059" s="16" t="s">
        <v>3740</v>
      </c>
      <c r="O3059" s="13" t="s">
        <v>9820</v>
      </c>
    </row>
    <row r="3060" spans="1:15" s="1" customFormat="1">
      <c r="A3060" s="8" t="s">
        <v>9815</v>
      </c>
      <c r="B3060" s="14" t="s">
        <v>283</v>
      </c>
      <c r="C3060" s="8"/>
      <c r="D3060" s="9" t="s">
        <v>9816</v>
      </c>
      <c r="E3060" s="9" t="s">
        <v>124</v>
      </c>
      <c r="F3060" s="8" t="s">
        <v>9821</v>
      </c>
      <c r="G3060" s="10">
        <f>3.586*L3060</f>
        <v>43.031999999999996</v>
      </c>
      <c r="H3060" s="11">
        <v>41920</v>
      </c>
      <c r="I3060" s="10" t="s">
        <v>9818</v>
      </c>
      <c r="J3060" s="10" t="s">
        <v>9822</v>
      </c>
      <c r="K3060" s="10" t="s">
        <v>21</v>
      </c>
      <c r="L3060" s="10">
        <v>12</v>
      </c>
      <c r="M3060" s="16" t="s">
        <v>9823</v>
      </c>
      <c r="N3060" s="16" t="s">
        <v>5860</v>
      </c>
      <c r="O3060" s="13" t="s">
        <v>9823</v>
      </c>
    </row>
    <row r="3061" spans="1:15" s="1" customFormat="1">
      <c r="A3061" s="8" t="s">
        <v>68</v>
      </c>
      <c r="B3061" s="8"/>
      <c r="C3061" s="8"/>
      <c r="D3061" s="9" t="s">
        <v>69</v>
      </c>
      <c r="E3061" s="9" t="s">
        <v>17</v>
      </c>
      <c r="F3061" s="8" t="s">
        <v>9115</v>
      </c>
      <c r="G3061" s="10">
        <f>9.175*L3061</f>
        <v>91.75</v>
      </c>
      <c r="H3061" s="11">
        <v>41921</v>
      </c>
      <c r="I3061" s="10" t="s">
        <v>71</v>
      </c>
      <c r="J3061" s="10" t="s">
        <v>9116</v>
      </c>
      <c r="K3061" s="10" t="s">
        <v>21</v>
      </c>
      <c r="L3061" s="10">
        <v>10</v>
      </c>
      <c r="M3061" s="16" t="s">
        <v>9117</v>
      </c>
      <c r="N3061" s="16" t="s">
        <v>4953</v>
      </c>
      <c r="O3061" s="13"/>
    </row>
    <row r="3062" spans="1:15" s="1" customFormat="1">
      <c r="A3062" s="8" t="s">
        <v>68</v>
      </c>
      <c r="B3062" s="8"/>
      <c r="C3062" s="8"/>
      <c r="D3062" s="9" t="s">
        <v>69</v>
      </c>
      <c r="E3062" s="9" t="s">
        <v>17</v>
      </c>
      <c r="F3062" s="8" t="s">
        <v>9118</v>
      </c>
      <c r="G3062" s="10">
        <f>9.175*L3062</f>
        <v>73.400000000000006</v>
      </c>
      <c r="H3062" s="11">
        <v>41921</v>
      </c>
      <c r="I3062" s="10" t="s">
        <v>71</v>
      </c>
      <c r="J3062" s="10" t="s">
        <v>9119</v>
      </c>
      <c r="K3062" s="10" t="s">
        <v>21</v>
      </c>
      <c r="L3062" s="10">
        <v>8</v>
      </c>
      <c r="M3062" s="16" t="s">
        <v>9117</v>
      </c>
      <c r="N3062" s="16" t="s">
        <v>4961</v>
      </c>
      <c r="O3062" s="13"/>
    </row>
    <row r="3063" spans="1:15" s="1" customFormat="1">
      <c r="A3063" s="8" t="s">
        <v>310</v>
      </c>
      <c r="B3063" s="8"/>
      <c r="C3063" s="8"/>
      <c r="D3063" s="9" t="s">
        <v>5651</v>
      </c>
      <c r="E3063" s="9" t="s">
        <v>124</v>
      </c>
      <c r="F3063" s="8" t="s">
        <v>9830</v>
      </c>
      <c r="G3063" s="10">
        <f>17.52*L3063</f>
        <v>262.8</v>
      </c>
      <c r="H3063" s="11">
        <v>41922</v>
      </c>
      <c r="I3063" s="10" t="s">
        <v>265</v>
      </c>
      <c r="J3063" s="10" t="s">
        <v>9831</v>
      </c>
      <c r="K3063" s="10" t="s">
        <v>21</v>
      </c>
      <c r="L3063" s="10">
        <v>15</v>
      </c>
      <c r="M3063" s="16" t="s">
        <v>9832</v>
      </c>
      <c r="N3063" s="16" t="s">
        <v>6186</v>
      </c>
      <c r="O3063" s="13" t="s">
        <v>9832</v>
      </c>
    </row>
    <row r="3064" spans="1:15" s="1" customFormat="1">
      <c r="A3064" s="8" t="s">
        <v>4431</v>
      </c>
      <c r="B3064" s="8"/>
      <c r="C3064" s="8"/>
      <c r="D3064" s="9" t="s">
        <v>4432</v>
      </c>
      <c r="E3064" s="9" t="s">
        <v>124</v>
      </c>
      <c r="F3064" s="8" t="s">
        <v>9839</v>
      </c>
      <c r="G3064" s="10">
        <f>17.52*L3064</f>
        <v>17.52</v>
      </c>
      <c r="H3064" s="11">
        <v>41922</v>
      </c>
      <c r="I3064" s="10" t="s">
        <v>265</v>
      </c>
      <c r="J3064" s="10" t="s">
        <v>9840</v>
      </c>
      <c r="K3064" s="10" t="s">
        <v>21</v>
      </c>
      <c r="L3064" s="10">
        <v>1</v>
      </c>
      <c r="M3064" s="16" t="s">
        <v>6245</v>
      </c>
      <c r="N3064" s="16" t="s">
        <v>758</v>
      </c>
      <c r="O3064" s="13" t="s">
        <v>9841</v>
      </c>
    </row>
    <row r="3065" spans="1:15" s="1" customFormat="1">
      <c r="A3065" s="8" t="s">
        <v>711</v>
      </c>
      <c r="B3065" s="8"/>
      <c r="C3065" s="8"/>
      <c r="D3065" s="9" t="s">
        <v>712</v>
      </c>
      <c r="E3065" s="9" t="s">
        <v>124</v>
      </c>
      <c r="F3065" s="8" t="s">
        <v>9842</v>
      </c>
      <c r="G3065" s="10">
        <f>17.52*L3065</f>
        <v>87.6</v>
      </c>
      <c r="H3065" s="11">
        <v>41922</v>
      </c>
      <c r="I3065" s="10" t="s">
        <v>126</v>
      </c>
      <c r="J3065" s="10" t="s">
        <v>9843</v>
      </c>
      <c r="K3065" s="10" t="s">
        <v>21</v>
      </c>
      <c r="L3065" s="10">
        <v>5</v>
      </c>
      <c r="M3065" s="16" t="s">
        <v>9844</v>
      </c>
      <c r="N3065" s="16" t="s">
        <v>5969</v>
      </c>
      <c r="O3065" s="13" t="s">
        <v>9844</v>
      </c>
    </row>
    <row r="3066" spans="1:15" s="1" customFormat="1">
      <c r="A3066" s="8" t="s">
        <v>884</v>
      </c>
      <c r="B3066" s="8" t="s">
        <v>134</v>
      </c>
      <c r="C3066" s="8"/>
      <c r="D3066" s="9" t="s">
        <v>135</v>
      </c>
      <c r="E3066" s="9" t="s">
        <v>124</v>
      </c>
      <c r="F3066" s="8" t="s">
        <v>9845</v>
      </c>
      <c r="G3066" s="10">
        <f>29.101*L3066/2</f>
        <v>116.404</v>
      </c>
      <c r="H3066" s="11">
        <v>41922</v>
      </c>
      <c r="I3066" s="10" t="s">
        <v>886</v>
      </c>
      <c r="J3066" s="10" t="s">
        <v>9846</v>
      </c>
      <c r="K3066" s="10" t="s">
        <v>21</v>
      </c>
      <c r="L3066" s="10">
        <v>8</v>
      </c>
      <c r="M3066" s="16" t="s">
        <v>9847</v>
      </c>
      <c r="N3066" s="16" t="s">
        <v>5844</v>
      </c>
      <c r="O3066" s="13" t="s">
        <v>9847</v>
      </c>
    </row>
    <row r="3067" spans="1:15" s="1" customFormat="1">
      <c r="A3067" s="8" t="s">
        <v>1087</v>
      </c>
      <c r="B3067" s="8" t="s">
        <v>4520</v>
      </c>
      <c r="C3067" s="8"/>
      <c r="D3067" s="9" t="s">
        <v>1088</v>
      </c>
      <c r="E3067" s="9" t="s">
        <v>124</v>
      </c>
      <c r="F3067" s="8" t="s">
        <v>9854</v>
      </c>
      <c r="G3067" s="10">
        <f t="shared" ref="G3067:G3072" si="118">9.804*L3067</f>
        <v>127.452</v>
      </c>
      <c r="H3067" s="11">
        <v>41922</v>
      </c>
      <c r="I3067" s="10" t="s">
        <v>1090</v>
      </c>
      <c r="J3067" s="10" t="s">
        <v>9855</v>
      </c>
      <c r="K3067" s="10" t="s">
        <v>21</v>
      </c>
      <c r="L3067" s="10">
        <v>13</v>
      </c>
      <c r="M3067" s="16" t="s">
        <v>9853</v>
      </c>
      <c r="N3067" s="16" t="s">
        <v>167</v>
      </c>
      <c r="O3067" s="13" t="s">
        <v>9856</v>
      </c>
    </row>
    <row r="3068" spans="1:15" s="1" customFormat="1">
      <c r="A3068" s="8" t="s">
        <v>1087</v>
      </c>
      <c r="B3068" s="8" t="s">
        <v>4520</v>
      </c>
      <c r="C3068" s="8"/>
      <c r="D3068" s="9" t="s">
        <v>1088</v>
      </c>
      <c r="E3068" s="9" t="s">
        <v>124</v>
      </c>
      <c r="F3068" s="8" t="s">
        <v>9857</v>
      </c>
      <c r="G3068" s="10">
        <f t="shared" si="118"/>
        <v>117.648</v>
      </c>
      <c r="H3068" s="11">
        <v>41922</v>
      </c>
      <c r="I3068" s="10" t="s">
        <v>1090</v>
      </c>
      <c r="J3068" s="10" t="s">
        <v>9858</v>
      </c>
      <c r="K3068" s="10" t="s">
        <v>21</v>
      </c>
      <c r="L3068" s="10">
        <v>12</v>
      </c>
      <c r="M3068" s="16" t="s">
        <v>9859</v>
      </c>
      <c r="N3068" s="16" t="s">
        <v>164</v>
      </c>
      <c r="O3068" s="13" t="s">
        <v>9859</v>
      </c>
    </row>
    <row r="3069" spans="1:15" s="1" customFormat="1">
      <c r="A3069" s="8" t="s">
        <v>1087</v>
      </c>
      <c r="B3069" s="8" t="s">
        <v>4520</v>
      </c>
      <c r="C3069" s="8"/>
      <c r="D3069" s="9" t="s">
        <v>1088</v>
      </c>
      <c r="E3069" s="9" t="s">
        <v>124</v>
      </c>
      <c r="F3069" s="8" t="s">
        <v>9860</v>
      </c>
      <c r="G3069" s="10">
        <f t="shared" si="118"/>
        <v>127.452</v>
      </c>
      <c r="H3069" s="11">
        <v>41922</v>
      </c>
      <c r="I3069" s="10" t="s">
        <v>1090</v>
      </c>
      <c r="J3069" s="10" t="s">
        <v>9861</v>
      </c>
      <c r="K3069" s="10" t="s">
        <v>21</v>
      </c>
      <c r="L3069" s="10">
        <v>13</v>
      </c>
      <c r="M3069" s="16" t="s">
        <v>9859</v>
      </c>
      <c r="N3069" s="16" t="s">
        <v>167</v>
      </c>
      <c r="O3069" s="13" t="s">
        <v>9862</v>
      </c>
    </row>
    <row r="3070" spans="1:15" s="1" customFormat="1">
      <c r="A3070" s="8" t="s">
        <v>1087</v>
      </c>
      <c r="B3070" s="8" t="s">
        <v>4520</v>
      </c>
      <c r="C3070" s="8"/>
      <c r="D3070" s="9" t="s">
        <v>1088</v>
      </c>
      <c r="E3070" s="9" t="s">
        <v>124</v>
      </c>
      <c r="F3070" s="8" t="s">
        <v>9863</v>
      </c>
      <c r="G3070" s="10">
        <f t="shared" si="118"/>
        <v>117.648</v>
      </c>
      <c r="H3070" s="11">
        <v>41922</v>
      </c>
      <c r="I3070" s="10" t="s">
        <v>1090</v>
      </c>
      <c r="J3070" s="10" t="s">
        <v>9864</v>
      </c>
      <c r="K3070" s="10" t="s">
        <v>21</v>
      </c>
      <c r="L3070" s="10">
        <v>12</v>
      </c>
      <c r="M3070" s="16" t="s">
        <v>9865</v>
      </c>
      <c r="N3070" s="16" t="s">
        <v>164</v>
      </c>
      <c r="O3070" s="13" t="s">
        <v>9865</v>
      </c>
    </row>
    <row r="3071" spans="1:15" s="1" customFormat="1">
      <c r="A3071" s="8" t="s">
        <v>1087</v>
      </c>
      <c r="B3071" s="8" t="s">
        <v>4520</v>
      </c>
      <c r="C3071" s="8"/>
      <c r="D3071" s="9" t="s">
        <v>1088</v>
      </c>
      <c r="E3071" s="9" t="s">
        <v>124</v>
      </c>
      <c r="F3071" s="8" t="s">
        <v>9869</v>
      </c>
      <c r="G3071" s="10">
        <f t="shared" si="118"/>
        <v>117.648</v>
      </c>
      <c r="H3071" s="11">
        <v>41922</v>
      </c>
      <c r="I3071" s="10" t="s">
        <v>1090</v>
      </c>
      <c r="J3071" s="10" t="s">
        <v>9870</v>
      </c>
      <c r="K3071" s="10" t="s">
        <v>21</v>
      </c>
      <c r="L3071" s="10">
        <v>12</v>
      </c>
      <c r="M3071" s="16" t="s">
        <v>9871</v>
      </c>
      <c r="N3071" s="16" t="s">
        <v>164</v>
      </c>
      <c r="O3071" s="13" t="s">
        <v>9871</v>
      </c>
    </row>
    <row r="3072" spans="1:15" s="1" customFormat="1">
      <c r="A3072" s="8" t="s">
        <v>1087</v>
      </c>
      <c r="B3072" s="8" t="s">
        <v>4520</v>
      </c>
      <c r="C3072" s="8"/>
      <c r="D3072" s="9" t="s">
        <v>1088</v>
      </c>
      <c r="E3072" s="9" t="s">
        <v>124</v>
      </c>
      <c r="F3072" s="8" t="s">
        <v>9872</v>
      </c>
      <c r="G3072" s="10">
        <f t="shared" si="118"/>
        <v>127.452</v>
      </c>
      <c r="H3072" s="11">
        <v>41922</v>
      </c>
      <c r="I3072" s="10" t="s">
        <v>1090</v>
      </c>
      <c r="J3072" s="10" t="s">
        <v>9873</v>
      </c>
      <c r="K3072" s="10" t="s">
        <v>21</v>
      </c>
      <c r="L3072" s="10">
        <v>13</v>
      </c>
      <c r="M3072" s="16" t="s">
        <v>9871</v>
      </c>
      <c r="N3072" s="16" t="s">
        <v>167</v>
      </c>
      <c r="O3072" s="13" t="s">
        <v>9874</v>
      </c>
    </row>
    <row r="3073" spans="1:15" s="1" customFormat="1">
      <c r="A3073" s="12" t="s">
        <v>9879</v>
      </c>
      <c r="B3073" s="8"/>
      <c r="C3073" s="8"/>
      <c r="D3073" s="9" t="s">
        <v>9880</v>
      </c>
      <c r="E3073" s="9" t="s">
        <v>124</v>
      </c>
      <c r="F3073" s="8" t="s">
        <v>9881</v>
      </c>
      <c r="G3073" s="10">
        <v>23.952999999999999</v>
      </c>
      <c r="H3073" s="11">
        <v>41922</v>
      </c>
      <c r="I3073" s="10" t="s">
        <v>126</v>
      </c>
      <c r="J3073" s="10" t="s">
        <v>9882</v>
      </c>
      <c r="K3073" s="10" t="s">
        <v>9883</v>
      </c>
      <c r="L3073" s="10" t="s">
        <v>9884</v>
      </c>
      <c r="M3073" s="16" t="s">
        <v>9885</v>
      </c>
      <c r="N3073" s="16" t="s">
        <v>9886</v>
      </c>
      <c r="O3073" s="13" t="s">
        <v>9887</v>
      </c>
    </row>
    <row r="3074" spans="1:15" s="1" customFormat="1">
      <c r="A3074" s="12" t="s">
        <v>9888</v>
      </c>
      <c r="B3074" s="8"/>
      <c r="C3074" s="8"/>
      <c r="D3074" s="9" t="s">
        <v>9889</v>
      </c>
      <c r="E3074" s="9" t="s">
        <v>124</v>
      </c>
      <c r="F3074" s="8" t="s">
        <v>9890</v>
      </c>
      <c r="G3074" s="10">
        <v>23.946000000000002</v>
      </c>
      <c r="H3074" s="11">
        <v>41922</v>
      </c>
      <c r="I3074" s="10" t="s">
        <v>126</v>
      </c>
      <c r="J3074" s="10" t="s">
        <v>9891</v>
      </c>
      <c r="K3074" s="10" t="s">
        <v>6918</v>
      </c>
      <c r="L3074" s="10" t="s">
        <v>9884</v>
      </c>
      <c r="M3074" s="16" t="s">
        <v>9892</v>
      </c>
      <c r="N3074" s="16" t="s">
        <v>9893</v>
      </c>
      <c r="O3074" s="13" t="s">
        <v>9894</v>
      </c>
    </row>
    <row r="3075" spans="1:15" s="1" customFormat="1">
      <c r="A3075" s="8" t="s">
        <v>788</v>
      </c>
      <c r="B3075" s="8" t="s">
        <v>4059</v>
      </c>
      <c r="C3075" s="16" t="s">
        <v>12707</v>
      </c>
      <c r="D3075" s="9" t="s">
        <v>789</v>
      </c>
      <c r="E3075" s="9" t="s">
        <v>124</v>
      </c>
      <c r="F3075" s="8" t="s">
        <v>9922</v>
      </c>
      <c r="G3075" s="10">
        <f>8.606*L3075</f>
        <v>86.06</v>
      </c>
      <c r="H3075" s="11">
        <v>41923</v>
      </c>
      <c r="I3075" s="10" t="s">
        <v>272</v>
      </c>
      <c r="J3075" s="10" t="s">
        <v>9923</v>
      </c>
      <c r="K3075" s="10" t="s">
        <v>21</v>
      </c>
      <c r="L3075" s="10">
        <v>10</v>
      </c>
      <c r="M3075" s="16" t="s">
        <v>9924</v>
      </c>
      <c r="N3075" s="16" t="s">
        <v>35</v>
      </c>
      <c r="O3075" s="13" t="s">
        <v>9925</v>
      </c>
    </row>
    <row r="3076" spans="1:15" s="1" customFormat="1">
      <c r="A3076" s="8" t="s">
        <v>9930</v>
      </c>
      <c r="B3076" s="14" t="s">
        <v>283</v>
      </c>
      <c r="C3076" s="8"/>
      <c r="D3076" s="9" t="s">
        <v>789</v>
      </c>
      <c r="E3076" s="9" t="s">
        <v>124</v>
      </c>
      <c r="F3076" s="8" t="s">
        <v>9933</v>
      </c>
      <c r="G3076" s="10">
        <f>8.606*L3076</f>
        <v>17.212</v>
      </c>
      <c r="H3076" s="11">
        <v>41923</v>
      </c>
      <c r="I3076" s="10" t="s">
        <v>272</v>
      </c>
      <c r="J3076" s="10" t="s">
        <v>9934</v>
      </c>
      <c r="K3076" s="10" t="s">
        <v>21</v>
      </c>
      <c r="L3076" s="10">
        <v>2</v>
      </c>
      <c r="M3076" s="16" t="s">
        <v>9935</v>
      </c>
      <c r="N3076" s="16" t="s">
        <v>6313</v>
      </c>
      <c r="O3076" s="13" t="s">
        <v>9935</v>
      </c>
    </row>
    <row r="3077" spans="1:15" s="1" customFormat="1">
      <c r="A3077" s="12" t="s">
        <v>9936</v>
      </c>
      <c r="B3077" s="8"/>
      <c r="C3077" s="8"/>
      <c r="D3077" s="9" t="s">
        <v>9937</v>
      </c>
      <c r="E3077" s="9" t="s">
        <v>124</v>
      </c>
      <c r="F3077" s="8" t="s">
        <v>13496</v>
      </c>
      <c r="G3077" s="10">
        <f>6.405*L3077</f>
        <v>32.024999999999999</v>
      </c>
      <c r="H3077" s="11">
        <v>41923</v>
      </c>
      <c r="I3077" s="10" t="s">
        <v>471</v>
      </c>
      <c r="J3077" s="10" t="s">
        <v>9938</v>
      </c>
      <c r="K3077" s="10" t="s">
        <v>21</v>
      </c>
      <c r="L3077" s="10">
        <v>5</v>
      </c>
      <c r="M3077" s="16" t="s">
        <v>13497</v>
      </c>
      <c r="N3077" s="16" t="s">
        <v>6488</v>
      </c>
      <c r="O3077" s="13" t="s">
        <v>9939</v>
      </c>
    </row>
    <row r="3078" spans="1:15" s="1" customFormat="1">
      <c r="A3078" s="8" t="s">
        <v>1739</v>
      </c>
      <c r="B3078" s="8"/>
      <c r="C3078" s="8"/>
      <c r="D3078" s="9" t="s">
        <v>383</v>
      </c>
      <c r="E3078" s="9" t="s">
        <v>124</v>
      </c>
      <c r="F3078" s="8" t="s">
        <v>9940</v>
      </c>
      <c r="G3078" s="10">
        <v>46.601999999999997</v>
      </c>
      <c r="H3078" s="11">
        <v>41925</v>
      </c>
      <c r="I3078" s="10" t="s">
        <v>209</v>
      </c>
      <c r="J3078" s="10" t="s">
        <v>9941</v>
      </c>
      <c r="K3078" s="10" t="s">
        <v>128</v>
      </c>
      <c r="L3078" s="10" t="s">
        <v>3350</v>
      </c>
      <c r="M3078" s="16" t="s">
        <v>9942</v>
      </c>
      <c r="N3078" s="16" t="s">
        <v>9943</v>
      </c>
      <c r="O3078" s="13" t="s">
        <v>9944</v>
      </c>
    </row>
    <row r="3079" spans="1:15" s="1" customFormat="1">
      <c r="A3079" s="8" t="s">
        <v>205</v>
      </c>
      <c r="B3079" s="8"/>
      <c r="C3079" s="8"/>
      <c r="D3079" s="9" t="s">
        <v>207</v>
      </c>
      <c r="E3079" s="9" t="s">
        <v>124</v>
      </c>
      <c r="F3079" s="8" t="s">
        <v>9963</v>
      </c>
      <c r="G3079" s="10">
        <v>137.614</v>
      </c>
      <c r="H3079" s="11">
        <v>41925</v>
      </c>
      <c r="I3079" s="10" t="s">
        <v>209</v>
      </c>
      <c r="J3079" s="10" t="s">
        <v>9964</v>
      </c>
      <c r="K3079" s="10" t="s">
        <v>128</v>
      </c>
      <c r="L3079" s="10" t="s">
        <v>998</v>
      </c>
      <c r="M3079" s="16" t="s">
        <v>9965</v>
      </c>
      <c r="N3079" s="16" t="s">
        <v>5748</v>
      </c>
      <c r="O3079" s="13" t="s">
        <v>9966</v>
      </c>
    </row>
    <row r="3080" spans="1:15" s="1" customFormat="1">
      <c r="A3080" s="8" t="s">
        <v>6157</v>
      </c>
      <c r="B3080" s="8"/>
      <c r="C3080" s="8"/>
      <c r="D3080" s="9" t="s">
        <v>6158</v>
      </c>
      <c r="E3080" s="9" t="s">
        <v>124</v>
      </c>
      <c r="F3080" s="8" t="s">
        <v>9990</v>
      </c>
      <c r="G3080" s="10">
        <v>46.381</v>
      </c>
      <c r="H3080" s="11">
        <v>41925</v>
      </c>
      <c r="I3080" s="10" t="s">
        <v>209</v>
      </c>
      <c r="J3080" s="10" t="s">
        <v>9991</v>
      </c>
      <c r="K3080" s="10" t="s">
        <v>5478</v>
      </c>
      <c r="L3080" s="10" t="s">
        <v>3350</v>
      </c>
      <c r="M3080" s="16" t="s">
        <v>9992</v>
      </c>
      <c r="N3080" s="16" t="s">
        <v>9993</v>
      </c>
      <c r="O3080" s="13" t="s">
        <v>9994</v>
      </c>
    </row>
    <row r="3081" spans="1:15" s="1" customFormat="1">
      <c r="A3081" s="12" t="s">
        <v>10018</v>
      </c>
      <c r="B3081" s="8"/>
      <c r="C3081" s="8"/>
      <c r="D3081" s="9" t="s">
        <v>10019</v>
      </c>
      <c r="E3081" s="9" t="s">
        <v>124</v>
      </c>
      <c r="F3081" s="8" t="s">
        <v>10020</v>
      </c>
      <c r="G3081" s="10">
        <v>24.655000000000001</v>
      </c>
      <c r="H3081" s="11">
        <v>41925</v>
      </c>
      <c r="I3081" s="10" t="s">
        <v>13345</v>
      </c>
      <c r="J3081" s="10" t="s">
        <v>13380</v>
      </c>
      <c r="K3081" s="10" t="s">
        <v>128</v>
      </c>
      <c r="L3081" s="10" t="s">
        <v>539</v>
      </c>
      <c r="M3081" s="16" t="s">
        <v>10021</v>
      </c>
      <c r="N3081" s="16" t="s">
        <v>10022</v>
      </c>
      <c r="O3081" s="13" t="s">
        <v>10023</v>
      </c>
    </row>
    <row r="3082" spans="1:15" s="1" customFormat="1">
      <c r="A3082" s="8" t="s">
        <v>96</v>
      </c>
      <c r="B3082" s="8"/>
      <c r="C3082" s="8"/>
      <c r="D3082" s="9" t="s">
        <v>48</v>
      </c>
      <c r="E3082" s="9" t="s">
        <v>17</v>
      </c>
      <c r="F3082" s="8" t="s">
        <v>9125</v>
      </c>
      <c r="G3082" s="10">
        <f>8.926*L3082</f>
        <v>116.038</v>
      </c>
      <c r="H3082" s="11">
        <v>41926</v>
      </c>
      <c r="I3082" s="10" t="s">
        <v>98</v>
      </c>
      <c r="J3082" s="10" t="s">
        <v>9126</v>
      </c>
      <c r="K3082" s="10" t="s">
        <v>21</v>
      </c>
      <c r="L3082" s="10">
        <v>13</v>
      </c>
      <c r="M3082" s="16" t="s">
        <v>9127</v>
      </c>
      <c r="N3082" s="16" t="s">
        <v>1215</v>
      </c>
      <c r="O3082" s="13"/>
    </row>
    <row r="3083" spans="1:15" s="1" customFormat="1">
      <c r="A3083" s="8" t="s">
        <v>1066</v>
      </c>
      <c r="B3083" s="8"/>
      <c r="C3083" s="8"/>
      <c r="D3083" s="9" t="s">
        <v>391</v>
      </c>
      <c r="E3083" s="9" t="s">
        <v>124</v>
      </c>
      <c r="F3083" s="8" t="s">
        <v>10071</v>
      </c>
      <c r="G3083" s="10">
        <f>17.712*L3083</f>
        <v>212.54399999999998</v>
      </c>
      <c r="H3083" s="11">
        <v>41926</v>
      </c>
      <c r="I3083" s="10" t="s">
        <v>265</v>
      </c>
      <c r="J3083" s="10" t="s">
        <v>10072</v>
      </c>
      <c r="K3083" s="10" t="s">
        <v>21</v>
      </c>
      <c r="L3083" s="10">
        <v>12</v>
      </c>
      <c r="M3083" s="16" t="s">
        <v>10073</v>
      </c>
      <c r="N3083" s="16" t="s">
        <v>10074</v>
      </c>
      <c r="O3083" s="13" t="s">
        <v>10073</v>
      </c>
    </row>
    <row r="3084" spans="1:15" s="1" customFormat="1">
      <c r="A3084" s="8" t="s">
        <v>5304</v>
      </c>
      <c r="B3084" s="8"/>
      <c r="C3084" s="8"/>
      <c r="D3084" s="9" t="s">
        <v>6309</v>
      </c>
      <c r="E3084" s="9" t="s">
        <v>124</v>
      </c>
      <c r="F3084" s="8" t="s">
        <v>10078</v>
      </c>
      <c r="G3084" s="10">
        <f>27.688*L3084</f>
        <v>249.19199999999998</v>
      </c>
      <c r="H3084" s="11">
        <v>41926</v>
      </c>
      <c r="I3084" s="10" t="s">
        <v>265</v>
      </c>
      <c r="J3084" s="10" t="s">
        <v>10079</v>
      </c>
      <c r="K3084" s="10" t="s">
        <v>21</v>
      </c>
      <c r="L3084" s="10">
        <v>9</v>
      </c>
      <c r="M3084" s="16" t="s">
        <v>10080</v>
      </c>
      <c r="N3084" s="16" t="s">
        <v>798</v>
      </c>
      <c r="O3084" s="13" t="s">
        <v>10080</v>
      </c>
    </row>
    <row r="3085" spans="1:15" s="1" customFormat="1">
      <c r="A3085" s="8" t="s">
        <v>215</v>
      </c>
      <c r="B3085" s="8"/>
      <c r="C3085" s="8"/>
      <c r="D3085" s="9" t="s">
        <v>216</v>
      </c>
      <c r="E3085" s="9" t="s">
        <v>124</v>
      </c>
      <c r="F3085" s="8" t="s">
        <v>10081</v>
      </c>
      <c r="G3085" s="10">
        <v>171.00200000000001</v>
      </c>
      <c r="H3085" s="11">
        <v>41926</v>
      </c>
      <c r="I3085" s="10" t="s">
        <v>209</v>
      </c>
      <c r="J3085" s="10" t="s">
        <v>10082</v>
      </c>
      <c r="K3085" s="10" t="s">
        <v>10004</v>
      </c>
      <c r="L3085" s="10" t="s">
        <v>1708</v>
      </c>
      <c r="M3085" s="16" t="s">
        <v>10083</v>
      </c>
      <c r="N3085" s="16" t="s">
        <v>10084</v>
      </c>
      <c r="O3085" s="13" t="s">
        <v>10085</v>
      </c>
    </row>
    <row r="3086" spans="1:15" s="1" customFormat="1">
      <c r="A3086" s="12" t="s">
        <v>10091</v>
      </c>
      <c r="B3086" s="8"/>
      <c r="C3086" s="8"/>
      <c r="D3086" s="9" t="s">
        <v>10092</v>
      </c>
      <c r="E3086" s="9" t="s">
        <v>124</v>
      </c>
      <c r="F3086" s="8" t="s">
        <v>10093</v>
      </c>
      <c r="G3086" s="10">
        <v>22.367999999999999</v>
      </c>
      <c r="H3086" s="11">
        <v>41927</v>
      </c>
      <c r="I3086" s="10" t="s">
        <v>209</v>
      </c>
      <c r="J3086" s="10" t="s">
        <v>10094</v>
      </c>
      <c r="K3086" s="10" t="s">
        <v>10004</v>
      </c>
      <c r="L3086" s="10" t="s">
        <v>735</v>
      </c>
      <c r="M3086" s="16" t="s">
        <v>10095</v>
      </c>
      <c r="N3086" s="16" t="s">
        <v>10096</v>
      </c>
      <c r="O3086" s="13" t="s">
        <v>10097</v>
      </c>
    </row>
    <row r="3087" spans="1:15" s="1" customFormat="1">
      <c r="A3087" s="12" t="s">
        <v>10098</v>
      </c>
      <c r="B3087" s="8"/>
      <c r="C3087" s="8"/>
      <c r="D3087" s="9" t="s">
        <v>10099</v>
      </c>
      <c r="E3087" s="9" t="s">
        <v>124</v>
      </c>
      <c r="F3087" s="8" t="s">
        <v>10100</v>
      </c>
      <c r="G3087" s="10">
        <v>22.317</v>
      </c>
      <c r="H3087" s="11">
        <v>41927</v>
      </c>
      <c r="I3087" s="10" t="s">
        <v>209</v>
      </c>
      <c r="J3087" s="10" t="s">
        <v>10101</v>
      </c>
      <c r="K3087" s="10" t="s">
        <v>10004</v>
      </c>
      <c r="L3087" s="10" t="s">
        <v>735</v>
      </c>
      <c r="M3087" s="16" t="s">
        <v>10102</v>
      </c>
      <c r="N3087" s="16" t="s">
        <v>10103</v>
      </c>
      <c r="O3087" s="13" t="s">
        <v>10104</v>
      </c>
    </row>
    <row r="3088" spans="1:15" s="1" customFormat="1">
      <c r="A3088" s="12" t="s">
        <v>6628</v>
      </c>
      <c r="B3088" s="8"/>
      <c r="C3088" s="8"/>
      <c r="D3088" s="9" t="s">
        <v>10105</v>
      </c>
      <c r="E3088" s="9" t="s">
        <v>124</v>
      </c>
      <c r="F3088" s="8" t="s">
        <v>10106</v>
      </c>
      <c r="G3088" s="10">
        <f>17.52*L3088</f>
        <v>192.72</v>
      </c>
      <c r="H3088" s="11">
        <v>41928</v>
      </c>
      <c r="I3088" s="10" t="s">
        <v>126</v>
      </c>
      <c r="J3088" s="10" t="s">
        <v>10107</v>
      </c>
      <c r="K3088" s="10" t="s">
        <v>5478</v>
      </c>
      <c r="L3088" s="10">
        <v>11</v>
      </c>
      <c r="M3088" s="16" t="s">
        <v>10108</v>
      </c>
      <c r="N3088" s="16" t="s">
        <v>5794</v>
      </c>
      <c r="O3088" s="13" t="s">
        <v>10109</v>
      </c>
    </row>
    <row r="3089" spans="1:15" s="1" customFormat="1">
      <c r="A3089" s="8" t="s">
        <v>6170</v>
      </c>
      <c r="B3089" s="8"/>
      <c r="C3089" s="8"/>
      <c r="D3089" s="9" t="s">
        <v>1128</v>
      </c>
      <c r="E3089" s="9" t="s">
        <v>124</v>
      </c>
      <c r="F3089" s="8" t="s">
        <v>10116</v>
      </c>
      <c r="G3089" s="10">
        <f>29.101*L3089</f>
        <v>349.21199999999999</v>
      </c>
      <c r="H3089" s="11">
        <v>41928</v>
      </c>
      <c r="I3089" s="10" t="s">
        <v>6172</v>
      </c>
      <c r="J3089" s="10" t="s">
        <v>10117</v>
      </c>
      <c r="K3089" s="10" t="s">
        <v>5478</v>
      </c>
      <c r="L3089" s="10">
        <v>12</v>
      </c>
      <c r="M3089" s="16" t="s">
        <v>10118</v>
      </c>
      <c r="N3089" s="16" t="s">
        <v>164</v>
      </c>
      <c r="O3089" s="13" t="s">
        <v>10118</v>
      </c>
    </row>
    <row r="3090" spans="1:15" s="1" customFormat="1">
      <c r="A3090" s="8" t="s">
        <v>442</v>
      </c>
      <c r="B3090" s="8"/>
      <c r="C3090" s="8"/>
      <c r="D3090" s="9" t="s">
        <v>443</v>
      </c>
      <c r="E3090" s="9" t="s">
        <v>124</v>
      </c>
      <c r="F3090" s="8" t="s">
        <v>10128</v>
      </c>
      <c r="G3090" s="10">
        <f>18.708*L3090</f>
        <v>168.37199999999999</v>
      </c>
      <c r="H3090" s="11">
        <v>41928</v>
      </c>
      <c r="I3090" s="10" t="s">
        <v>247</v>
      </c>
      <c r="J3090" s="10" t="s">
        <v>10129</v>
      </c>
      <c r="K3090" s="10" t="s">
        <v>5478</v>
      </c>
      <c r="L3090" s="10">
        <v>9</v>
      </c>
      <c r="M3090" s="16" t="s">
        <v>9750</v>
      </c>
      <c r="N3090" s="16" t="s">
        <v>896</v>
      </c>
      <c r="O3090" s="13" t="s">
        <v>10130</v>
      </c>
    </row>
    <row r="3091" spans="1:15" s="1" customFormat="1">
      <c r="A3091" s="8" t="s">
        <v>5964</v>
      </c>
      <c r="B3091" s="8"/>
      <c r="C3091" s="8"/>
      <c r="D3091" s="9" t="s">
        <v>5965</v>
      </c>
      <c r="E3091" s="9" t="s">
        <v>124</v>
      </c>
      <c r="F3091" s="8" t="s">
        <v>10134</v>
      </c>
      <c r="G3091" s="10">
        <f>14.405*L3091</f>
        <v>28.81</v>
      </c>
      <c r="H3091" s="11">
        <v>41928</v>
      </c>
      <c r="I3091" s="10" t="s">
        <v>278</v>
      </c>
      <c r="J3091" s="10" t="s">
        <v>10135</v>
      </c>
      <c r="K3091" s="10" t="s">
        <v>5478</v>
      </c>
      <c r="L3091" s="10">
        <v>2</v>
      </c>
      <c r="M3091" s="16" t="s">
        <v>10136</v>
      </c>
      <c r="N3091" s="16" t="s">
        <v>4418</v>
      </c>
      <c r="O3091" s="13" t="s">
        <v>10136</v>
      </c>
    </row>
    <row r="3092" spans="1:15" s="1" customFormat="1">
      <c r="A3092" s="8" t="s">
        <v>4051</v>
      </c>
      <c r="B3092" s="8"/>
      <c r="C3092" s="8"/>
      <c r="D3092" s="9" t="s">
        <v>4052</v>
      </c>
      <c r="E3092" s="9" t="s">
        <v>124</v>
      </c>
      <c r="F3092" s="8" t="s">
        <v>10142</v>
      </c>
      <c r="G3092" s="10">
        <f>14.405*6</f>
        <v>86.429999999999993</v>
      </c>
      <c r="H3092" s="11">
        <v>41928</v>
      </c>
      <c r="I3092" s="10" t="s">
        <v>471</v>
      </c>
      <c r="J3092" s="10" t="s">
        <v>10143</v>
      </c>
      <c r="K3092" s="10" t="s">
        <v>5478</v>
      </c>
      <c r="L3092" s="10" t="s">
        <v>9313</v>
      </c>
      <c r="M3092" s="16" t="s">
        <v>10144</v>
      </c>
      <c r="N3092" s="16" t="s">
        <v>10145</v>
      </c>
      <c r="O3092" s="13" t="s">
        <v>10146</v>
      </c>
    </row>
    <row r="3093" spans="1:15" s="1" customFormat="1">
      <c r="A3093" s="8" t="s">
        <v>579</v>
      </c>
      <c r="B3093" s="14" t="s">
        <v>283</v>
      </c>
      <c r="C3093" s="8"/>
      <c r="D3093" s="9" t="s">
        <v>580</v>
      </c>
      <c r="E3093" s="9" t="s">
        <v>124</v>
      </c>
      <c r="F3093" s="8" t="s">
        <v>10147</v>
      </c>
      <c r="G3093" s="10">
        <f>9.871*L3093</f>
        <v>49.355000000000004</v>
      </c>
      <c r="H3093" s="11">
        <v>41928</v>
      </c>
      <c r="I3093" s="10" t="s">
        <v>161</v>
      </c>
      <c r="J3093" s="10" t="s">
        <v>10148</v>
      </c>
      <c r="K3093" s="10" t="s">
        <v>5478</v>
      </c>
      <c r="L3093" s="10">
        <v>5</v>
      </c>
      <c r="M3093" s="16" t="s">
        <v>10149</v>
      </c>
      <c r="N3093" s="16" t="s">
        <v>6000</v>
      </c>
      <c r="O3093" s="13" t="s">
        <v>12828</v>
      </c>
    </row>
    <row r="3094" spans="1:15" s="1" customFormat="1">
      <c r="A3094" s="8" t="s">
        <v>793</v>
      </c>
      <c r="B3094" s="8"/>
      <c r="C3094" s="8"/>
      <c r="D3094" s="9" t="s">
        <v>794</v>
      </c>
      <c r="E3094" s="9" t="s">
        <v>124</v>
      </c>
      <c r="F3094" s="8" t="s">
        <v>10161</v>
      </c>
      <c r="G3094" s="10">
        <f>8.137*L3094</f>
        <v>65.096000000000004</v>
      </c>
      <c r="H3094" s="11">
        <v>41928</v>
      </c>
      <c r="I3094" s="10" t="s">
        <v>186</v>
      </c>
      <c r="J3094" s="10" t="s">
        <v>10162</v>
      </c>
      <c r="K3094" s="10" t="s">
        <v>5478</v>
      </c>
      <c r="L3094" s="10">
        <v>8</v>
      </c>
      <c r="M3094" s="16" t="s">
        <v>10163</v>
      </c>
      <c r="N3094" s="16" t="s">
        <v>10164</v>
      </c>
      <c r="O3094" s="13" t="s">
        <v>10163</v>
      </c>
    </row>
    <row r="3095" spans="1:15" s="1" customFormat="1">
      <c r="A3095" s="8" t="s">
        <v>1626</v>
      </c>
      <c r="B3095" s="8"/>
      <c r="C3095" s="8"/>
      <c r="D3095" s="9" t="s">
        <v>1627</v>
      </c>
      <c r="E3095" s="9" t="s">
        <v>124</v>
      </c>
      <c r="F3095" s="8" t="s">
        <v>10170</v>
      </c>
      <c r="G3095" s="10">
        <v>51.351999999999997</v>
      </c>
      <c r="H3095" s="11">
        <v>41929</v>
      </c>
      <c r="I3095" s="10" t="s">
        <v>209</v>
      </c>
      <c r="J3095" s="10" t="s">
        <v>10171</v>
      </c>
      <c r="K3095" s="10" t="s">
        <v>128</v>
      </c>
      <c r="L3095" s="10" t="s">
        <v>2068</v>
      </c>
      <c r="M3095" s="16" t="s">
        <v>10172</v>
      </c>
      <c r="N3095" s="16" t="s">
        <v>10173</v>
      </c>
      <c r="O3095" s="13" t="s">
        <v>10174</v>
      </c>
    </row>
    <row r="3096" spans="1:15" s="1" customFormat="1">
      <c r="A3096" s="8" t="s">
        <v>664</v>
      </c>
      <c r="B3096" s="8"/>
      <c r="C3096" s="8"/>
      <c r="D3096" s="9" t="s">
        <v>665</v>
      </c>
      <c r="E3096" s="9" t="s">
        <v>124</v>
      </c>
      <c r="F3096" s="8" t="s">
        <v>10175</v>
      </c>
      <c r="G3096" s="10">
        <v>154.81</v>
      </c>
      <c r="H3096" s="11">
        <v>41929</v>
      </c>
      <c r="I3096" s="10" t="s">
        <v>209</v>
      </c>
      <c r="J3096" s="10" t="s">
        <v>10176</v>
      </c>
      <c r="K3096" s="10" t="s">
        <v>128</v>
      </c>
      <c r="L3096" s="10" t="s">
        <v>808</v>
      </c>
      <c r="M3096" s="16" t="s">
        <v>10177</v>
      </c>
      <c r="N3096" s="16" t="s">
        <v>10178</v>
      </c>
      <c r="O3096" s="13" t="s">
        <v>10179</v>
      </c>
    </row>
    <row r="3097" spans="1:15" s="1" customFormat="1">
      <c r="A3097" s="8" t="s">
        <v>5196</v>
      </c>
      <c r="B3097" s="8"/>
      <c r="C3097" s="8"/>
      <c r="D3097" s="9" t="s">
        <v>5197</v>
      </c>
      <c r="E3097" s="9" t="s">
        <v>124</v>
      </c>
      <c r="F3097" s="8" t="s">
        <v>10180</v>
      </c>
      <c r="G3097" s="10">
        <v>46.536000000000001</v>
      </c>
      <c r="H3097" s="11">
        <v>41929</v>
      </c>
      <c r="I3097" s="10" t="s">
        <v>178</v>
      </c>
      <c r="J3097" s="10" t="s">
        <v>10181</v>
      </c>
      <c r="K3097" s="10" t="s">
        <v>128</v>
      </c>
      <c r="L3097" s="10" t="s">
        <v>682</v>
      </c>
      <c r="M3097" s="16" t="s">
        <v>10182</v>
      </c>
      <c r="N3097" s="16" t="s">
        <v>10183</v>
      </c>
      <c r="O3097" s="13" t="s">
        <v>10184</v>
      </c>
    </row>
    <row r="3098" spans="1:15" s="1" customFormat="1">
      <c r="A3098" s="8" t="s">
        <v>5196</v>
      </c>
      <c r="B3098" s="8"/>
      <c r="C3098" s="8"/>
      <c r="D3098" s="9" t="s">
        <v>5197</v>
      </c>
      <c r="E3098" s="9" t="s">
        <v>124</v>
      </c>
      <c r="F3098" s="8" t="s">
        <v>10185</v>
      </c>
      <c r="G3098" s="10">
        <v>46.356000000000002</v>
      </c>
      <c r="H3098" s="11">
        <v>41929</v>
      </c>
      <c r="I3098" s="10" t="s">
        <v>178</v>
      </c>
      <c r="J3098" s="10" t="s">
        <v>10186</v>
      </c>
      <c r="K3098" s="10" t="s">
        <v>128</v>
      </c>
      <c r="L3098" s="10" t="s">
        <v>682</v>
      </c>
      <c r="M3098" s="16" t="s">
        <v>10187</v>
      </c>
      <c r="N3098" s="16" t="s">
        <v>10188</v>
      </c>
      <c r="O3098" s="13" t="s">
        <v>10189</v>
      </c>
    </row>
    <row r="3099" spans="1:15" s="1" customFormat="1">
      <c r="A3099" s="8" t="s">
        <v>686</v>
      </c>
      <c r="B3099" s="8"/>
      <c r="C3099" s="8"/>
      <c r="D3099" s="9" t="s">
        <v>687</v>
      </c>
      <c r="E3099" s="9" t="s">
        <v>124</v>
      </c>
      <c r="F3099" s="8" t="s">
        <v>10205</v>
      </c>
      <c r="G3099" s="10">
        <v>83.605000000000004</v>
      </c>
      <c r="H3099" s="11">
        <v>41929</v>
      </c>
      <c r="I3099" s="10" t="s">
        <v>209</v>
      </c>
      <c r="J3099" s="10" t="s">
        <v>10206</v>
      </c>
      <c r="K3099" s="10" t="s">
        <v>128</v>
      </c>
      <c r="L3099" s="10" t="s">
        <v>1039</v>
      </c>
      <c r="M3099" s="16" t="s">
        <v>10207</v>
      </c>
      <c r="N3099" s="16" t="s">
        <v>10208</v>
      </c>
      <c r="O3099" s="13" t="s">
        <v>6027</v>
      </c>
    </row>
    <row r="3100" spans="1:15" s="1" customFormat="1">
      <c r="A3100" s="8" t="s">
        <v>724</v>
      </c>
      <c r="B3100" s="8"/>
      <c r="C3100" s="8"/>
      <c r="D3100" s="9" t="s">
        <v>725</v>
      </c>
      <c r="E3100" s="9" t="s">
        <v>124</v>
      </c>
      <c r="F3100" s="8" t="s">
        <v>10223</v>
      </c>
      <c r="G3100" s="10">
        <v>85.218000000000004</v>
      </c>
      <c r="H3100" s="11">
        <v>41929</v>
      </c>
      <c r="I3100" s="10" t="s">
        <v>209</v>
      </c>
      <c r="J3100" s="10" t="s">
        <v>10224</v>
      </c>
      <c r="K3100" s="10" t="s">
        <v>128</v>
      </c>
      <c r="L3100" s="10" t="s">
        <v>2788</v>
      </c>
      <c r="M3100" s="16" t="s">
        <v>10225</v>
      </c>
      <c r="N3100" s="16" t="s">
        <v>10226</v>
      </c>
      <c r="O3100" s="13" t="s">
        <v>10227</v>
      </c>
    </row>
    <row r="3101" spans="1:15" s="1" customFormat="1">
      <c r="A3101" s="8" t="s">
        <v>10237</v>
      </c>
      <c r="B3101" s="8"/>
      <c r="C3101" s="8"/>
      <c r="D3101" s="9" t="s">
        <v>5892</v>
      </c>
      <c r="E3101" s="9" t="s">
        <v>124</v>
      </c>
      <c r="F3101" s="8" t="s">
        <v>10238</v>
      </c>
      <c r="G3101" s="10">
        <v>80.430000000000007</v>
      </c>
      <c r="H3101" s="11">
        <v>41929</v>
      </c>
      <c r="I3101" s="10" t="s">
        <v>178</v>
      </c>
      <c r="J3101" s="10" t="s">
        <v>10239</v>
      </c>
      <c r="K3101" s="10" t="s">
        <v>128</v>
      </c>
      <c r="L3101" s="10" t="s">
        <v>1990</v>
      </c>
      <c r="M3101" s="16" t="s">
        <v>10240</v>
      </c>
      <c r="N3101" s="16" t="s">
        <v>10241</v>
      </c>
      <c r="O3101" s="13" t="s">
        <v>10242</v>
      </c>
    </row>
    <row r="3102" spans="1:15" s="1" customFormat="1">
      <c r="A3102" s="8" t="s">
        <v>1986</v>
      </c>
      <c r="B3102" s="8"/>
      <c r="C3102" s="8"/>
      <c r="D3102" s="9" t="s">
        <v>1987</v>
      </c>
      <c r="E3102" s="9" t="s">
        <v>124</v>
      </c>
      <c r="F3102" s="8" t="s">
        <v>10257</v>
      </c>
      <c r="G3102" s="10">
        <v>68.106999999999999</v>
      </c>
      <c r="H3102" s="11">
        <v>41929</v>
      </c>
      <c r="I3102" s="10" t="s">
        <v>209</v>
      </c>
      <c r="J3102" s="10" t="s">
        <v>10258</v>
      </c>
      <c r="K3102" s="10" t="s">
        <v>128</v>
      </c>
      <c r="L3102" s="10" t="s">
        <v>1335</v>
      </c>
      <c r="M3102" s="16" t="s">
        <v>10259</v>
      </c>
      <c r="N3102" s="16" t="s">
        <v>10260</v>
      </c>
      <c r="O3102" s="13" t="s">
        <v>10261</v>
      </c>
    </row>
    <row r="3103" spans="1:15" s="1" customFormat="1">
      <c r="A3103" s="8" t="s">
        <v>772</v>
      </c>
      <c r="B3103" s="8"/>
      <c r="C3103" s="8"/>
      <c r="D3103" s="9" t="s">
        <v>773</v>
      </c>
      <c r="E3103" s="9" t="s">
        <v>7026</v>
      </c>
      <c r="F3103" s="8" t="s">
        <v>11149</v>
      </c>
      <c r="G3103" s="10">
        <f>18.708*L3103</f>
        <v>243.20399999999998</v>
      </c>
      <c r="H3103" s="11">
        <v>41932</v>
      </c>
      <c r="I3103" s="10" t="s">
        <v>265</v>
      </c>
      <c r="J3103" s="10" t="s">
        <v>11150</v>
      </c>
      <c r="K3103" s="10" t="s">
        <v>5478</v>
      </c>
      <c r="L3103" s="10">
        <v>13</v>
      </c>
      <c r="M3103" s="16" t="s">
        <v>11151</v>
      </c>
      <c r="N3103" s="16" t="s">
        <v>9038</v>
      </c>
      <c r="O3103" s="13"/>
    </row>
    <row r="3104" spans="1:15" s="1" customFormat="1">
      <c r="A3104" s="8" t="s">
        <v>772</v>
      </c>
      <c r="B3104" s="8"/>
      <c r="C3104" s="8"/>
      <c r="D3104" s="9" t="s">
        <v>773</v>
      </c>
      <c r="E3104" s="9" t="s">
        <v>7026</v>
      </c>
      <c r="F3104" s="8" t="s">
        <v>11152</v>
      </c>
      <c r="G3104" s="10">
        <f>18.708*L3104</f>
        <v>224.49599999999998</v>
      </c>
      <c r="H3104" s="11">
        <v>41932</v>
      </c>
      <c r="I3104" s="10" t="s">
        <v>265</v>
      </c>
      <c r="J3104" s="10" t="s">
        <v>11153</v>
      </c>
      <c r="K3104" s="10" t="s">
        <v>5478</v>
      </c>
      <c r="L3104" s="10">
        <v>12</v>
      </c>
      <c r="M3104" s="16" t="s">
        <v>11154</v>
      </c>
      <c r="N3104" s="16" t="s">
        <v>6799</v>
      </c>
      <c r="O3104" s="13"/>
    </row>
    <row r="3105" spans="1:15" s="1" customFormat="1">
      <c r="A3105" s="8" t="s">
        <v>88</v>
      </c>
      <c r="B3105" s="8"/>
      <c r="C3105" s="8"/>
      <c r="D3105" s="9" t="s">
        <v>55</v>
      </c>
      <c r="E3105" s="9" t="s">
        <v>17</v>
      </c>
      <c r="F3105" s="8" t="s">
        <v>9134</v>
      </c>
      <c r="G3105" s="10">
        <f>8.926*L3105</f>
        <v>133.89000000000001</v>
      </c>
      <c r="H3105" s="11">
        <v>41933</v>
      </c>
      <c r="I3105" s="10" t="s">
        <v>50</v>
      </c>
      <c r="J3105" s="10" t="s">
        <v>9135</v>
      </c>
      <c r="K3105" s="10" t="s">
        <v>21</v>
      </c>
      <c r="L3105" s="10">
        <v>15</v>
      </c>
      <c r="M3105" s="16" t="s">
        <v>9136</v>
      </c>
      <c r="N3105" s="16" t="s">
        <v>6186</v>
      </c>
      <c r="O3105" s="13"/>
    </row>
    <row r="3106" spans="1:15" s="1" customFormat="1">
      <c r="A3106" s="8" t="s">
        <v>777</v>
      </c>
      <c r="B3106" s="8"/>
      <c r="C3106" s="8"/>
      <c r="D3106" s="9" t="s">
        <v>778</v>
      </c>
      <c r="E3106" s="9" t="s">
        <v>124</v>
      </c>
      <c r="F3106" s="8" t="s">
        <v>10274</v>
      </c>
      <c r="G3106" s="10">
        <f>17.52*L3106</f>
        <v>262.8</v>
      </c>
      <c r="H3106" s="11">
        <v>41933</v>
      </c>
      <c r="I3106" s="10" t="s">
        <v>265</v>
      </c>
      <c r="J3106" s="10" t="s">
        <v>10275</v>
      </c>
      <c r="K3106" s="10" t="s">
        <v>21</v>
      </c>
      <c r="L3106" s="10">
        <v>15</v>
      </c>
      <c r="M3106" s="16" t="s">
        <v>10276</v>
      </c>
      <c r="N3106" s="16" t="s">
        <v>295</v>
      </c>
      <c r="O3106" s="13" t="s">
        <v>10276</v>
      </c>
    </row>
    <row r="3107" spans="1:15" s="1" customFormat="1">
      <c r="A3107" s="8" t="s">
        <v>409</v>
      </c>
      <c r="B3107" s="8"/>
      <c r="C3107" s="8"/>
      <c r="D3107" s="9" t="s">
        <v>410</v>
      </c>
      <c r="E3107" s="9" t="s">
        <v>124</v>
      </c>
      <c r="F3107" s="8" t="s">
        <v>10329</v>
      </c>
      <c r="G3107" s="10">
        <f>17.52*L3107</f>
        <v>105.12</v>
      </c>
      <c r="H3107" s="11">
        <v>41933</v>
      </c>
      <c r="I3107" s="10" t="s">
        <v>209</v>
      </c>
      <c r="J3107" s="10" t="s">
        <v>10330</v>
      </c>
      <c r="K3107" s="10" t="s">
        <v>21</v>
      </c>
      <c r="L3107" s="10">
        <v>6</v>
      </c>
      <c r="M3107" s="16" t="s">
        <v>10331</v>
      </c>
      <c r="N3107" s="16" t="s">
        <v>74</v>
      </c>
      <c r="O3107" s="13" t="s">
        <v>10331</v>
      </c>
    </row>
    <row r="3108" spans="1:15" s="1" customFormat="1">
      <c r="A3108" s="8" t="s">
        <v>659</v>
      </c>
      <c r="B3108" s="8"/>
      <c r="C3108" s="8"/>
      <c r="D3108" s="9" t="s">
        <v>191</v>
      </c>
      <c r="E3108" s="9" t="s">
        <v>124</v>
      </c>
      <c r="F3108" s="8" t="s">
        <v>10335</v>
      </c>
      <c r="G3108" s="10">
        <f>18.708*L3108</f>
        <v>93.539999999999992</v>
      </c>
      <c r="H3108" s="11">
        <v>41933</v>
      </c>
      <c r="I3108" s="10" t="s">
        <v>178</v>
      </c>
      <c r="J3108" s="10" t="s">
        <v>10336</v>
      </c>
      <c r="K3108" s="10" t="s">
        <v>21</v>
      </c>
      <c r="L3108" s="10">
        <v>5</v>
      </c>
      <c r="M3108" s="16" t="s">
        <v>10337</v>
      </c>
      <c r="N3108" s="16" t="s">
        <v>4602</v>
      </c>
      <c r="O3108" s="13" t="s">
        <v>10337</v>
      </c>
    </row>
    <row r="3109" spans="1:15" s="1" customFormat="1">
      <c r="A3109" s="8" t="s">
        <v>5680</v>
      </c>
      <c r="B3109" s="8"/>
      <c r="C3109" s="8"/>
      <c r="D3109" s="9" t="s">
        <v>410</v>
      </c>
      <c r="E3109" s="9" t="s">
        <v>124</v>
      </c>
      <c r="F3109" s="8" t="s">
        <v>10353</v>
      </c>
      <c r="G3109" s="10">
        <f>17.52*L3109</f>
        <v>35.04</v>
      </c>
      <c r="H3109" s="11">
        <v>41933</v>
      </c>
      <c r="I3109" s="10" t="s">
        <v>209</v>
      </c>
      <c r="J3109" s="10" t="s">
        <v>10354</v>
      </c>
      <c r="K3109" s="10" t="s">
        <v>21</v>
      </c>
      <c r="L3109" s="10">
        <v>2</v>
      </c>
      <c r="M3109" s="16" t="s">
        <v>10331</v>
      </c>
      <c r="N3109" s="16" t="s">
        <v>9613</v>
      </c>
      <c r="O3109" s="13" t="s">
        <v>10355</v>
      </c>
    </row>
    <row r="3110" spans="1:15" s="1" customFormat="1">
      <c r="A3110" s="8" t="s">
        <v>6772</v>
      </c>
      <c r="B3110" s="8"/>
      <c r="C3110" s="8"/>
      <c r="D3110" s="9" t="s">
        <v>6773</v>
      </c>
      <c r="E3110" s="9" t="s">
        <v>124</v>
      </c>
      <c r="F3110" s="8" t="s">
        <v>10363</v>
      </c>
      <c r="G3110" s="10">
        <f>17.52*L3110</f>
        <v>87.6</v>
      </c>
      <c r="H3110" s="11">
        <v>41934</v>
      </c>
      <c r="I3110" s="10" t="s">
        <v>265</v>
      </c>
      <c r="J3110" s="10" t="s">
        <v>10364</v>
      </c>
      <c r="K3110" s="10" t="s">
        <v>21</v>
      </c>
      <c r="L3110" s="10">
        <v>5</v>
      </c>
      <c r="M3110" s="16" t="s">
        <v>10365</v>
      </c>
      <c r="N3110" s="16" t="s">
        <v>9280</v>
      </c>
      <c r="O3110" s="13" t="s">
        <v>10365</v>
      </c>
    </row>
    <row r="3111" spans="1:15" s="1" customFormat="1">
      <c r="A3111" s="8" t="s">
        <v>5890</v>
      </c>
      <c r="B3111" s="8"/>
      <c r="C3111" s="8"/>
      <c r="D3111" s="9" t="s">
        <v>5892</v>
      </c>
      <c r="E3111" s="9" t="s">
        <v>124</v>
      </c>
      <c r="F3111" s="8" t="s">
        <v>10385</v>
      </c>
      <c r="G3111" s="10">
        <v>251.66200000000001</v>
      </c>
      <c r="H3111" s="11">
        <v>41934</v>
      </c>
      <c r="I3111" s="10" t="s">
        <v>178</v>
      </c>
      <c r="J3111" s="10" t="s">
        <v>10386</v>
      </c>
      <c r="K3111" s="10" t="s">
        <v>128</v>
      </c>
      <c r="L3111" s="10" t="s">
        <v>808</v>
      </c>
      <c r="M3111" s="16" t="s">
        <v>10387</v>
      </c>
      <c r="N3111" s="16" t="s">
        <v>5154</v>
      </c>
      <c r="O3111" s="13" t="s">
        <v>10388</v>
      </c>
    </row>
    <row r="3112" spans="1:15" s="1" customFormat="1">
      <c r="A3112" s="8" t="s">
        <v>25</v>
      </c>
      <c r="B3112" s="8"/>
      <c r="C3112" s="8"/>
      <c r="D3112" s="9" t="s">
        <v>26</v>
      </c>
      <c r="E3112" s="9" t="s">
        <v>17</v>
      </c>
      <c r="F3112" s="8" t="s">
        <v>9137</v>
      </c>
      <c r="G3112" s="10">
        <f>8.063*L3112</f>
        <v>80.63000000000001</v>
      </c>
      <c r="H3112" s="11">
        <v>41935</v>
      </c>
      <c r="I3112" s="10" t="s">
        <v>28</v>
      </c>
      <c r="J3112" s="10" t="s">
        <v>9138</v>
      </c>
      <c r="K3112" s="10" t="s">
        <v>21</v>
      </c>
      <c r="L3112" s="10">
        <v>10</v>
      </c>
      <c r="M3112" s="16" t="s">
        <v>9139</v>
      </c>
      <c r="N3112" s="16" t="s">
        <v>35</v>
      </c>
      <c r="O3112" s="13"/>
    </row>
    <row r="3113" spans="1:15" s="1" customFormat="1">
      <c r="A3113" s="8" t="s">
        <v>25</v>
      </c>
      <c r="B3113" s="8"/>
      <c r="C3113" s="8"/>
      <c r="D3113" s="9" t="s">
        <v>26</v>
      </c>
      <c r="E3113" s="9" t="s">
        <v>17</v>
      </c>
      <c r="F3113" s="8" t="s">
        <v>9145</v>
      </c>
      <c r="G3113" s="10">
        <f>8.063*L3113</f>
        <v>104.819</v>
      </c>
      <c r="H3113" s="11">
        <v>41935</v>
      </c>
      <c r="I3113" s="10" t="s">
        <v>28</v>
      </c>
      <c r="J3113" s="10" t="s">
        <v>9146</v>
      </c>
      <c r="K3113" s="10" t="s">
        <v>21</v>
      </c>
      <c r="L3113" s="10">
        <v>13</v>
      </c>
      <c r="M3113" s="16" t="s">
        <v>9144</v>
      </c>
      <c r="N3113" s="16" t="s">
        <v>167</v>
      </c>
      <c r="O3113" s="13"/>
    </row>
    <row r="3114" spans="1:15" s="1" customFormat="1">
      <c r="A3114" s="8" t="s">
        <v>777</v>
      </c>
      <c r="B3114" s="8"/>
      <c r="C3114" s="8"/>
      <c r="D3114" s="9" t="s">
        <v>778</v>
      </c>
      <c r="E3114" s="9" t="s">
        <v>124</v>
      </c>
      <c r="F3114" s="8" t="s">
        <v>10428</v>
      </c>
      <c r="G3114" s="10">
        <f>17.52*L3114</f>
        <v>210.24</v>
      </c>
      <c r="H3114" s="11">
        <v>41939</v>
      </c>
      <c r="I3114" s="10" t="s">
        <v>265</v>
      </c>
      <c r="J3114" s="10" t="s">
        <v>10429</v>
      </c>
      <c r="K3114" s="10" t="s">
        <v>21</v>
      </c>
      <c r="L3114" s="10">
        <v>12</v>
      </c>
      <c r="M3114" s="16" t="s">
        <v>10430</v>
      </c>
      <c r="N3114" s="16" t="s">
        <v>78</v>
      </c>
      <c r="O3114" s="13" t="s">
        <v>10430</v>
      </c>
    </row>
    <row r="3115" spans="1:15" s="1" customFormat="1">
      <c r="A3115" s="8" t="s">
        <v>825</v>
      </c>
      <c r="B3115" s="8"/>
      <c r="C3115" s="8"/>
      <c r="D3115" s="9" t="s">
        <v>826</v>
      </c>
      <c r="E3115" s="9" t="s">
        <v>124</v>
      </c>
      <c r="F3115" s="8" t="s">
        <v>10450</v>
      </c>
      <c r="G3115" s="10">
        <v>185.054</v>
      </c>
      <c r="H3115" s="11">
        <v>41940</v>
      </c>
      <c r="I3115" s="10" t="s">
        <v>209</v>
      </c>
      <c r="J3115" s="10" t="s">
        <v>10451</v>
      </c>
      <c r="K3115" s="10" t="s">
        <v>128</v>
      </c>
      <c r="L3115" s="10" t="s">
        <v>2597</v>
      </c>
      <c r="M3115" s="16" t="s">
        <v>10452</v>
      </c>
      <c r="N3115" s="16" t="s">
        <v>10453</v>
      </c>
      <c r="O3115" s="13" t="s">
        <v>10454</v>
      </c>
    </row>
    <row r="3116" spans="1:15" s="1" customFormat="1">
      <c r="A3116" s="8" t="s">
        <v>5304</v>
      </c>
      <c r="B3116" s="8"/>
      <c r="C3116" s="8"/>
      <c r="D3116" s="9" t="s">
        <v>6309</v>
      </c>
      <c r="E3116" s="9" t="s">
        <v>124</v>
      </c>
      <c r="F3116" s="8" t="s">
        <v>10496</v>
      </c>
      <c r="G3116" s="10">
        <f>27.688*L3116</f>
        <v>193.816</v>
      </c>
      <c r="H3116" s="11">
        <v>41940</v>
      </c>
      <c r="I3116" s="10" t="s">
        <v>265</v>
      </c>
      <c r="J3116" s="10" t="s">
        <v>10497</v>
      </c>
      <c r="K3116" s="10" t="s">
        <v>21</v>
      </c>
      <c r="L3116" s="10">
        <v>7</v>
      </c>
      <c r="M3116" s="16" t="s">
        <v>10492</v>
      </c>
      <c r="N3116" s="16" t="s">
        <v>1141</v>
      </c>
      <c r="O3116" s="13" t="s">
        <v>10498</v>
      </c>
    </row>
    <row r="3117" spans="1:15" s="1" customFormat="1">
      <c r="A3117" s="8" t="s">
        <v>854</v>
      </c>
      <c r="B3117" s="8"/>
      <c r="C3117" s="8"/>
      <c r="D3117" s="9" t="s">
        <v>5294</v>
      </c>
      <c r="E3117" s="9" t="s">
        <v>124</v>
      </c>
      <c r="F3117" s="8" t="s">
        <v>10527</v>
      </c>
      <c r="G3117" s="10">
        <f>17.52*L3117</f>
        <v>52.56</v>
      </c>
      <c r="H3117" s="11">
        <v>41941</v>
      </c>
      <c r="I3117" s="10" t="s">
        <v>209</v>
      </c>
      <c r="J3117" s="10" t="s">
        <v>10528</v>
      </c>
      <c r="K3117" s="10" t="s">
        <v>21</v>
      </c>
      <c r="L3117" s="10">
        <v>3</v>
      </c>
      <c r="M3117" s="16" t="s">
        <v>10522</v>
      </c>
      <c r="N3117" s="16" t="s">
        <v>8983</v>
      </c>
      <c r="O3117" s="13" t="s">
        <v>10529</v>
      </c>
    </row>
    <row r="3118" spans="1:15" s="1" customFormat="1">
      <c r="A3118" s="8" t="s">
        <v>777</v>
      </c>
      <c r="B3118" s="8"/>
      <c r="C3118" s="8"/>
      <c r="D3118" s="9" t="s">
        <v>778</v>
      </c>
      <c r="E3118" s="9" t="s">
        <v>124</v>
      </c>
      <c r="F3118" s="8" t="s">
        <v>10533</v>
      </c>
      <c r="G3118" s="10">
        <f>17.52*L3118</f>
        <v>210.24</v>
      </c>
      <c r="H3118" s="11">
        <v>41941</v>
      </c>
      <c r="I3118" s="10" t="s">
        <v>265</v>
      </c>
      <c r="J3118" s="10" t="s">
        <v>10534</v>
      </c>
      <c r="K3118" s="10" t="s">
        <v>21</v>
      </c>
      <c r="L3118" s="10">
        <v>12</v>
      </c>
      <c r="M3118" s="16" t="s">
        <v>10535</v>
      </c>
      <c r="N3118" s="16" t="s">
        <v>78</v>
      </c>
      <c r="O3118" s="13" t="s">
        <v>10535</v>
      </c>
    </row>
    <row r="3119" spans="1:15" s="1" customFormat="1">
      <c r="A3119" s="8" t="s">
        <v>772</v>
      </c>
      <c r="B3119" s="8"/>
      <c r="C3119" s="8"/>
      <c r="D3119" s="9" t="s">
        <v>773</v>
      </c>
      <c r="E3119" s="9" t="s">
        <v>7026</v>
      </c>
      <c r="F3119" s="8" t="s">
        <v>11234</v>
      </c>
      <c r="G3119" s="10">
        <v>224.49600000000001</v>
      </c>
      <c r="H3119" s="11">
        <v>41941</v>
      </c>
      <c r="I3119" s="10" t="s">
        <v>265</v>
      </c>
      <c r="J3119" s="10" t="s">
        <v>11235</v>
      </c>
      <c r="K3119" s="10" t="s">
        <v>21</v>
      </c>
      <c r="L3119" s="10">
        <v>12</v>
      </c>
      <c r="M3119" s="16" t="s">
        <v>11236</v>
      </c>
      <c r="N3119" s="16" t="s">
        <v>78</v>
      </c>
      <c r="O3119" s="13"/>
    </row>
    <row r="3120" spans="1:15" s="1" customFormat="1">
      <c r="A3120" s="8" t="s">
        <v>772</v>
      </c>
      <c r="B3120" s="8"/>
      <c r="C3120" s="8"/>
      <c r="D3120" s="9" t="s">
        <v>773</v>
      </c>
      <c r="E3120" s="9" t="s">
        <v>7026</v>
      </c>
      <c r="F3120" s="8" t="s">
        <v>11237</v>
      </c>
      <c r="G3120" s="10">
        <v>243.20400000000001</v>
      </c>
      <c r="H3120" s="11">
        <v>41941</v>
      </c>
      <c r="I3120" s="10" t="s">
        <v>265</v>
      </c>
      <c r="J3120" s="10" t="s">
        <v>11238</v>
      </c>
      <c r="K3120" s="10" t="s">
        <v>21</v>
      </c>
      <c r="L3120" s="10">
        <v>13</v>
      </c>
      <c r="M3120" s="16" t="s">
        <v>11236</v>
      </c>
      <c r="N3120" s="16" t="s">
        <v>167</v>
      </c>
      <c r="O3120" s="13"/>
    </row>
    <row r="3121" spans="1:15" s="1" customFormat="1">
      <c r="A3121" s="8" t="s">
        <v>5768</v>
      </c>
      <c r="B3121" s="8"/>
      <c r="C3121" s="8"/>
      <c r="D3121" s="9" t="s">
        <v>552</v>
      </c>
      <c r="E3121" s="9" t="s">
        <v>124</v>
      </c>
      <c r="F3121" s="8" t="s">
        <v>10573</v>
      </c>
      <c r="G3121" s="10">
        <f>17.52*L3121</f>
        <v>227.76</v>
      </c>
      <c r="H3121" s="11">
        <v>41943</v>
      </c>
      <c r="I3121" s="10" t="s">
        <v>265</v>
      </c>
      <c r="J3121" s="10" t="s">
        <v>10574</v>
      </c>
      <c r="K3121" s="10" t="s">
        <v>5478</v>
      </c>
      <c r="L3121" s="10">
        <v>13</v>
      </c>
      <c r="M3121" s="16" t="s">
        <v>10575</v>
      </c>
      <c r="N3121" s="16" t="s">
        <v>8866</v>
      </c>
      <c r="O3121" s="13" t="s">
        <v>10575</v>
      </c>
    </row>
    <row r="3122" spans="1:15" s="1" customFormat="1">
      <c r="A3122" s="8" t="s">
        <v>884</v>
      </c>
      <c r="B3122" s="8" t="s">
        <v>134</v>
      </c>
      <c r="C3122" s="8"/>
      <c r="D3122" s="9" t="s">
        <v>135</v>
      </c>
      <c r="E3122" s="9" t="s">
        <v>124</v>
      </c>
      <c r="F3122" s="8" t="s">
        <v>10580</v>
      </c>
      <c r="G3122" s="10">
        <f>29.101*L3122/2</f>
        <v>87.302999999999997</v>
      </c>
      <c r="H3122" s="11">
        <v>41943</v>
      </c>
      <c r="I3122" s="10" t="s">
        <v>886</v>
      </c>
      <c r="J3122" s="10" t="s">
        <v>10581</v>
      </c>
      <c r="K3122" s="10" t="s">
        <v>21</v>
      </c>
      <c r="L3122" s="10">
        <v>6</v>
      </c>
      <c r="M3122" s="16" t="s">
        <v>10582</v>
      </c>
      <c r="N3122" s="16" t="s">
        <v>10583</v>
      </c>
      <c r="O3122" s="13" t="s">
        <v>10582</v>
      </c>
    </row>
    <row r="3123" spans="1:15" s="1" customFormat="1">
      <c r="A3123" s="12" t="s">
        <v>6621</v>
      </c>
      <c r="B3123" s="8"/>
      <c r="C3123" s="8"/>
      <c r="D3123" s="9" t="s">
        <v>6622</v>
      </c>
      <c r="E3123" s="9" t="s">
        <v>124</v>
      </c>
      <c r="F3123" s="8" t="s">
        <v>10584</v>
      </c>
      <c r="G3123" s="10">
        <f>27.621*L3123</f>
        <v>110.48399999999999</v>
      </c>
      <c r="H3123" s="11">
        <v>41943</v>
      </c>
      <c r="I3123" s="10" t="s">
        <v>6624</v>
      </c>
      <c r="J3123" s="10" t="s">
        <v>10585</v>
      </c>
      <c r="K3123" s="10" t="s">
        <v>21</v>
      </c>
      <c r="L3123" s="10">
        <v>4</v>
      </c>
      <c r="M3123" s="16" t="s">
        <v>10586</v>
      </c>
      <c r="N3123" s="16" t="s">
        <v>4685</v>
      </c>
      <c r="O3123" s="13" t="s">
        <v>10586</v>
      </c>
    </row>
    <row r="3124" spans="1:15" s="1" customFormat="1">
      <c r="A3124" s="8" t="s">
        <v>1187</v>
      </c>
      <c r="B3124" s="8"/>
      <c r="C3124" s="8"/>
      <c r="D3124" s="9" t="s">
        <v>1188</v>
      </c>
      <c r="E3124" s="9" t="s">
        <v>124</v>
      </c>
      <c r="F3124" s="8" t="s">
        <v>10590</v>
      </c>
      <c r="G3124" s="10">
        <f>29.101*L3124</f>
        <v>174.60599999999999</v>
      </c>
      <c r="H3124" s="11">
        <v>41943</v>
      </c>
      <c r="I3124" s="10" t="s">
        <v>178</v>
      </c>
      <c r="J3124" s="10" t="s">
        <v>10591</v>
      </c>
      <c r="K3124" s="10" t="s">
        <v>21</v>
      </c>
      <c r="L3124" s="10">
        <v>6</v>
      </c>
      <c r="M3124" s="16" t="s">
        <v>10592</v>
      </c>
      <c r="N3124" s="16" t="s">
        <v>10583</v>
      </c>
      <c r="O3124" s="13" t="s">
        <v>10592</v>
      </c>
    </row>
    <row r="3125" spans="1:15" s="1" customFormat="1">
      <c r="A3125" s="8" t="s">
        <v>525</v>
      </c>
      <c r="B3125" s="8"/>
      <c r="C3125" s="8"/>
      <c r="D3125" s="9" t="s">
        <v>526</v>
      </c>
      <c r="E3125" s="9" t="s">
        <v>124</v>
      </c>
      <c r="F3125" s="8" t="s">
        <v>10612</v>
      </c>
      <c r="G3125" s="10">
        <f>17.498*L3125</f>
        <v>174.98000000000002</v>
      </c>
      <c r="H3125" s="11">
        <v>41943</v>
      </c>
      <c r="I3125" s="10" t="s">
        <v>913</v>
      </c>
      <c r="J3125" s="10" t="s">
        <v>10613</v>
      </c>
      <c r="K3125" s="10" t="s">
        <v>21</v>
      </c>
      <c r="L3125" s="10">
        <v>10</v>
      </c>
      <c r="M3125" s="16" t="s">
        <v>9400</v>
      </c>
      <c r="N3125" s="16" t="s">
        <v>10614</v>
      </c>
      <c r="O3125" s="13" t="s">
        <v>10615</v>
      </c>
    </row>
    <row r="3126" spans="1:15" s="1" customFormat="1">
      <c r="A3126" s="8" t="s">
        <v>3653</v>
      </c>
      <c r="B3126" s="8"/>
      <c r="C3126" s="8"/>
      <c r="D3126" s="9" t="s">
        <v>495</v>
      </c>
      <c r="E3126" s="9" t="s">
        <v>124</v>
      </c>
      <c r="F3126" s="8" t="s">
        <v>10622</v>
      </c>
      <c r="G3126" s="10">
        <f>12.838*L3126</f>
        <v>166.89399999999998</v>
      </c>
      <c r="H3126" s="11">
        <v>41943</v>
      </c>
      <c r="I3126" s="10" t="s">
        <v>471</v>
      </c>
      <c r="J3126" s="10" t="s">
        <v>10623</v>
      </c>
      <c r="K3126" s="10" t="s">
        <v>21</v>
      </c>
      <c r="L3126" s="10">
        <v>13</v>
      </c>
      <c r="M3126" s="16" t="s">
        <v>10624</v>
      </c>
      <c r="N3126" s="16" t="s">
        <v>8866</v>
      </c>
      <c r="O3126" s="13" t="s">
        <v>10624</v>
      </c>
    </row>
    <row r="3127" spans="1:15" s="1" customFormat="1">
      <c r="A3127" s="8" t="s">
        <v>6006</v>
      </c>
      <c r="B3127" s="8"/>
      <c r="C3127" s="8"/>
      <c r="D3127" s="9" t="s">
        <v>276</v>
      </c>
      <c r="E3127" s="9" t="s">
        <v>124</v>
      </c>
      <c r="F3127" s="8" t="s">
        <v>10628</v>
      </c>
      <c r="G3127" s="10">
        <f>6.405*L3127</f>
        <v>32.024999999999999</v>
      </c>
      <c r="H3127" s="11">
        <v>41943</v>
      </c>
      <c r="I3127" s="10" t="s">
        <v>6008</v>
      </c>
      <c r="J3127" s="10" t="s">
        <v>10629</v>
      </c>
      <c r="K3127" s="10" t="s">
        <v>5478</v>
      </c>
      <c r="L3127" s="10">
        <v>5</v>
      </c>
      <c r="M3127" s="16" t="s">
        <v>10630</v>
      </c>
      <c r="N3127" s="16" t="s">
        <v>4602</v>
      </c>
      <c r="O3127" s="13" t="s">
        <v>10631</v>
      </c>
    </row>
    <row r="3128" spans="1:15" s="1" customFormat="1">
      <c r="A3128" s="8" t="s">
        <v>4413</v>
      </c>
      <c r="B3128" s="8"/>
      <c r="C3128" s="8"/>
      <c r="D3128" s="9" t="s">
        <v>4414</v>
      </c>
      <c r="E3128" s="9" t="s">
        <v>124</v>
      </c>
      <c r="F3128" s="8" t="s">
        <v>10637</v>
      </c>
      <c r="G3128" s="10">
        <f>20.142*L3128</f>
        <v>40.283999999999999</v>
      </c>
      <c r="H3128" s="11">
        <v>41943</v>
      </c>
      <c r="I3128" s="10" t="s">
        <v>265</v>
      </c>
      <c r="J3128" s="10" t="s">
        <v>10638</v>
      </c>
      <c r="K3128" s="10" t="s">
        <v>21</v>
      </c>
      <c r="L3128" s="10">
        <v>2</v>
      </c>
      <c r="M3128" s="16" t="s">
        <v>10639</v>
      </c>
      <c r="N3128" s="16" t="s">
        <v>6533</v>
      </c>
      <c r="O3128" s="13" t="s">
        <v>10639</v>
      </c>
    </row>
    <row r="3129" spans="1:15" s="1" customFormat="1">
      <c r="A3129" s="8" t="s">
        <v>1311</v>
      </c>
      <c r="B3129" s="8"/>
      <c r="C3129" s="8"/>
      <c r="D3129" s="9" t="s">
        <v>1312</v>
      </c>
      <c r="E3129" s="9" t="s">
        <v>124</v>
      </c>
      <c r="F3129" s="8" t="s">
        <v>10640</v>
      </c>
      <c r="G3129" s="10">
        <v>80.826999999999998</v>
      </c>
      <c r="H3129" s="11">
        <v>41943</v>
      </c>
      <c r="I3129" s="10" t="s">
        <v>209</v>
      </c>
      <c r="J3129" s="10" t="s">
        <v>10641</v>
      </c>
      <c r="K3129" s="10" t="s">
        <v>128</v>
      </c>
      <c r="L3129" s="10" t="s">
        <v>2788</v>
      </c>
      <c r="M3129" s="16" t="s">
        <v>10642</v>
      </c>
      <c r="N3129" s="16" t="s">
        <v>10643</v>
      </c>
      <c r="O3129" s="13" t="s">
        <v>10644</v>
      </c>
    </row>
    <row r="3130" spans="1:15" s="1" customFormat="1">
      <c r="A3130" s="8" t="s">
        <v>1311</v>
      </c>
      <c r="B3130" s="8"/>
      <c r="C3130" s="8"/>
      <c r="D3130" s="9" t="s">
        <v>1312</v>
      </c>
      <c r="E3130" s="9" t="s">
        <v>124</v>
      </c>
      <c r="F3130" s="8" t="s">
        <v>10645</v>
      </c>
      <c r="G3130" s="10">
        <v>81.741</v>
      </c>
      <c r="H3130" s="11">
        <v>41943</v>
      </c>
      <c r="I3130" s="10" t="s">
        <v>209</v>
      </c>
      <c r="J3130" s="10" t="s">
        <v>10646</v>
      </c>
      <c r="K3130" s="10" t="s">
        <v>128</v>
      </c>
      <c r="L3130" s="10" t="s">
        <v>2788</v>
      </c>
      <c r="M3130" s="16" t="s">
        <v>10647</v>
      </c>
      <c r="N3130" s="16" t="s">
        <v>10648</v>
      </c>
      <c r="O3130" s="13" t="s">
        <v>10649</v>
      </c>
    </row>
    <row r="3131" spans="1:15" s="1" customFormat="1">
      <c r="A3131" s="12" t="s">
        <v>10655</v>
      </c>
      <c r="B3131" s="8"/>
      <c r="C3131" s="8"/>
      <c r="D3131" s="9" t="s">
        <v>10656</v>
      </c>
      <c r="E3131" s="9" t="s">
        <v>124</v>
      </c>
      <c r="F3131" s="8" t="s">
        <v>10657</v>
      </c>
      <c r="G3131" s="10">
        <f>18.321*L3131</f>
        <v>18.321000000000002</v>
      </c>
      <c r="H3131" s="11">
        <v>41943</v>
      </c>
      <c r="I3131" s="10" t="s">
        <v>265</v>
      </c>
      <c r="J3131" s="10" t="s">
        <v>10658</v>
      </c>
      <c r="K3131" s="10" t="s">
        <v>5478</v>
      </c>
      <c r="L3131" s="10">
        <v>1</v>
      </c>
      <c r="M3131" s="16" t="s">
        <v>10659</v>
      </c>
      <c r="N3131" s="16" t="s">
        <v>334</v>
      </c>
      <c r="O3131" s="13" t="s">
        <v>10660</v>
      </c>
    </row>
    <row r="3132" spans="1:15" s="1" customFormat="1">
      <c r="A3132" s="12" t="s">
        <v>10661</v>
      </c>
      <c r="B3132" s="8"/>
      <c r="C3132" s="8"/>
      <c r="D3132" s="9" t="s">
        <v>10662</v>
      </c>
      <c r="E3132" s="9" t="s">
        <v>124</v>
      </c>
      <c r="F3132" s="8" t="s">
        <v>10663</v>
      </c>
      <c r="G3132" s="10">
        <f>20.545*L3132</f>
        <v>41.09</v>
      </c>
      <c r="H3132" s="11">
        <v>41946</v>
      </c>
      <c r="I3132" s="10" t="s">
        <v>265</v>
      </c>
      <c r="J3132" s="10" t="s">
        <v>10664</v>
      </c>
      <c r="K3132" s="10" t="s">
        <v>5478</v>
      </c>
      <c r="L3132" s="10">
        <v>2</v>
      </c>
      <c r="M3132" s="16" t="s">
        <v>10665</v>
      </c>
      <c r="N3132" s="16" t="s">
        <v>10666</v>
      </c>
      <c r="O3132" s="13" t="s">
        <v>10665</v>
      </c>
    </row>
    <row r="3133" spans="1:15" s="1" customFormat="1">
      <c r="A3133" s="8" t="s">
        <v>1498</v>
      </c>
      <c r="B3133" s="8"/>
      <c r="C3133" s="8"/>
      <c r="D3133" s="9" t="s">
        <v>1499</v>
      </c>
      <c r="E3133" s="9" t="s">
        <v>124</v>
      </c>
      <c r="F3133" s="8" t="s">
        <v>10667</v>
      </c>
      <c r="G3133" s="10">
        <f>17.52*L3133</f>
        <v>227.76</v>
      </c>
      <c r="H3133" s="11">
        <v>41946</v>
      </c>
      <c r="I3133" s="10" t="s">
        <v>265</v>
      </c>
      <c r="J3133" s="10" t="s">
        <v>10668</v>
      </c>
      <c r="K3133" s="10" t="s">
        <v>21</v>
      </c>
      <c r="L3133" s="10">
        <v>13</v>
      </c>
      <c r="M3133" s="16" t="s">
        <v>10669</v>
      </c>
      <c r="N3133" s="16" t="s">
        <v>8866</v>
      </c>
      <c r="O3133" s="13" t="s">
        <v>10669</v>
      </c>
    </row>
    <row r="3134" spans="1:15" s="1" customFormat="1">
      <c r="A3134" s="12" t="s">
        <v>10676</v>
      </c>
      <c r="B3134" s="8"/>
      <c r="C3134" s="8"/>
      <c r="D3134" s="9" t="s">
        <v>237</v>
      </c>
      <c r="E3134" s="9" t="s">
        <v>124</v>
      </c>
      <c r="F3134" s="8" t="s">
        <v>10677</v>
      </c>
      <c r="G3134" s="10">
        <v>68.340999999999994</v>
      </c>
      <c r="H3134" s="11">
        <v>41947</v>
      </c>
      <c r="I3134" s="10" t="s">
        <v>209</v>
      </c>
      <c r="J3134" s="10" t="s">
        <v>10678</v>
      </c>
      <c r="K3134" s="10" t="s">
        <v>128</v>
      </c>
      <c r="L3134" s="10" t="s">
        <v>1335</v>
      </c>
      <c r="M3134" s="16" t="s">
        <v>10679</v>
      </c>
      <c r="N3134" s="16" t="s">
        <v>10680</v>
      </c>
      <c r="O3134" s="13" t="s">
        <v>10681</v>
      </c>
    </row>
    <row r="3135" spans="1:15" s="1" customFormat="1">
      <c r="A3135" s="8" t="s">
        <v>2059</v>
      </c>
      <c r="B3135" s="8"/>
      <c r="C3135" s="8"/>
      <c r="D3135" s="9" t="s">
        <v>2060</v>
      </c>
      <c r="E3135" s="9" t="s">
        <v>124</v>
      </c>
      <c r="F3135" s="8" t="s">
        <v>10690</v>
      </c>
      <c r="G3135" s="10">
        <v>137.56899999999999</v>
      </c>
      <c r="H3135" s="11">
        <v>41947</v>
      </c>
      <c r="I3135" s="10" t="s">
        <v>209</v>
      </c>
      <c r="J3135" s="10" t="s">
        <v>10691</v>
      </c>
      <c r="K3135" s="10" t="s">
        <v>128</v>
      </c>
      <c r="L3135" s="10" t="s">
        <v>998</v>
      </c>
      <c r="M3135" s="16" t="s">
        <v>10692</v>
      </c>
      <c r="N3135" s="16" t="s">
        <v>10693</v>
      </c>
      <c r="O3135" s="13" t="s">
        <v>10694</v>
      </c>
    </row>
    <row r="3136" spans="1:15" s="1" customFormat="1">
      <c r="A3136" s="8" t="s">
        <v>739</v>
      </c>
      <c r="B3136" s="8"/>
      <c r="C3136" s="8"/>
      <c r="D3136" s="9" t="s">
        <v>740</v>
      </c>
      <c r="E3136" s="9" t="s">
        <v>124</v>
      </c>
      <c r="F3136" s="8" t="s">
        <v>10695</v>
      </c>
      <c r="G3136" s="10">
        <v>13.547000000000001</v>
      </c>
      <c r="H3136" s="11">
        <v>41947</v>
      </c>
      <c r="I3136" s="10" t="s">
        <v>209</v>
      </c>
      <c r="J3136" s="10" t="s">
        <v>10696</v>
      </c>
      <c r="K3136" s="10" t="s">
        <v>128</v>
      </c>
      <c r="L3136" s="10" t="s">
        <v>539</v>
      </c>
      <c r="M3136" s="16" t="s">
        <v>10697</v>
      </c>
      <c r="N3136" s="16" t="s">
        <v>10698</v>
      </c>
      <c r="O3136" s="13" t="s">
        <v>10699</v>
      </c>
    </row>
    <row r="3137" spans="1:15" s="1" customFormat="1">
      <c r="A3137" s="8" t="s">
        <v>10000</v>
      </c>
      <c r="B3137" s="8"/>
      <c r="C3137" s="8"/>
      <c r="D3137" s="9" t="s">
        <v>10001</v>
      </c>
      <c r="E3137" s="9" t="s">
        <v>124</v>
      </c>
      <c r="F3137" s="8" t="s">
        <v>10723</v>
      </c>
      <c r="G3137" s="10">
        <v>80.582999999999998</v>
      </c>
      <c r="H3137" s="11">
        <v>41947</v>
      </c>
      <c r="I3137" s="10" t="s">
        <v>178</v>
      </c>
      <c r="J3137" s="10" t="s">
        <v>10724</v>
      </c>
      <c r="K3137" s="10" t="s">
        <v>128</v>
      </c>
      <c r="L3137" s="10" t="s">
        <v>1990</v>
      </c>
      <c r="M3137" s="16" t="s">
        <v>10725</v>
      </c>
      <c r="N3137" s="16" t="s">
        <v>10726</v>
      </c>
      <c r="O3137" s="13" t="s">
        <v>10727</v>
      </c>
    </row>
    <row r="3138" spans="1:15" s="1" customFormat="1">
      <c r="A3138" s="8" t="s">
        <v>10012</v>
      </c>
      <c r="B3138" s="8"/>
      <c r="C3138" s="8"/>
      <c r="D3138" s="9" t="s">
        <v>10001</v>
      </c>
      <c r="E3138" s="9" t="s">
        <v>124</v>
      </c>
      <c r="F3138" s="8" t="s">
        <v>10728</v>
      </c>
      <c r="G3138" s="10">
        <v>231.72800000000001</v>
      </c>
      <c r="H3138" s="11">
        <v>41947</v>
      </c>
      <c r="I3138" s="10" t="s">
        <v>10014</v>
      </c>
      <c r="J3138" s="10" t="s">
        <v>10729</v>
      </c>
      <c r="K3138" s="10" t="s">
        <v>128</v>
      </c>
      <c r="L3138" s="10" t="s">
        <v>9483</v>
      </c>
      <c r="M3138" s="16" t="s">
        <v>10730</v>
      </c>
      <c r="N3138" s="16" t="s">
        <v>10731</v>
      </c>
      <c r="O3138" s="13" t="s">
        <v>10732</v>
      </c>
    </row>
    <row r="3139" spans="1:15" s="1" customFormat="1">
      <c r="A3139" s="8" t="s">
        <v>8732</v>
      </c>
      <c r="B3139" s="14" t="s">
        <v>7547</v>
      </c>
      <c r="C3139" s="8"/>
      <c r="D3139" s="9" t="s">
        <v>2241</v>
      </c>
      <c r="E3139" s="9" t="s">
        <v>7026</v>
      </c>
      <c r="F3139" s="8" t="s">
        <v>13469</v>
      </c>
      <c r="G3139" s="10">
        <f>29.101*L3139</f>
        <v>58.201999999999998</v>
      </c>
      <c r="H3139" s="11">
        <v>41947</v>
      </c>
      <c r="I3139" s="10" t="s">
        <v>419</v>
      </c>
      <c r="J3139" s="10" t="s">
        <v>11291</v>
      </c>
      <c r="K3139" s="10" t="s">
        <v>5478</v>
      </c>
      <c r="L3139" s="10">
        <v>2</v>
      </c>
      <c r="M3139" s="16" t="s">
        <v>11292</v>
      </c>
      <c r="N3139" s="16" t="s">
        <v>11293</v>
      </c>
      <c r="O3139" s="13"/>
    </row>
    <row r="3140" spans="1:15" s="1" customFormat="1">
      <c r="A3140" s="12" t="s">
        <v>10743</v>
      </c>
      <c r="B3140" s="8" t="s">
        <v>283</v>
      </c>
      <c r="C3140" s="8"/>
      <c r="D3140" s="13" t="s">
        <v>11552</v>
      </c>
      <c r="E3140" s="9" t="s">
        <v>124</v>
      </c>
      <c r="F3140" s="8" t="s">
        <v>10744</v>
      </c>
      <c r="G3140" s="10">
        <f>29.101*L3140</f>
        <v>58.201999999999998</v>
      </c>
      <c r="H3140" s="11">
        <v>41948</v>
      </c>
      <c r="I3140" s="10" t="s">
        <v>4341</v>
      </c>
      <c r="J3140" s="10" t="s">
        <v>10745</v>
      </c>
      <c r="K3140" s="10" t="s">
        <v>21</v>
      </c>
      <c r="L3140" s="10">
        <v>2</v>
      </c>
      <c r="M3140" s="16" t="s">
        <v>12184</v>
      </c>
      <c r="N3140" s="16" t="s">
        <v>268</v>
      </c>
      <c r="O3140" s="13" t="s">
        <v>13068</v>
      </c>
    </row>
    <row r="3141" spans="1:15" s="1" customFormat="1">
      <c r="A3141" s="8" t="s">
        <v>157</v>
      </c>
      <c r="B3141" s="8" t="s">
        <v>283</v>
      </c>
      <c r="C3141" s="8"/>
      <c r="D3141" s="9" t="s">
        <v>1098</v>
      </c>
      <c r="E3141" s="9" t="s">
        <v>124</v>
      </c>
      <c r="F3141" s="8" t="s">
        <v>10758</v>
      </c>
      <c r="G3141" s="10">
        <f>9.871*L3141</f>
        <v>98.710000000000008</v>
      </c>
      <c r="H3141" s="11">
        <v>41948</v>
      </c>
      <c r="I3141" s="10" t="s">
        <v>161</v>
      </c>
      <c r="J3141" s="10" t="s">
        <v>10759</v>
      </c>
      <c r="K3141" s="10" t="s">
        <v>21</v>
      </c>
      <c r="L3141" s="10">
        <v>10</v>
      </c>
      <c r="M3141" s="16" t="s">
        <v>10757</v>
      </c>
      <c r="N3141" s="16" t="s">
        <v>556</v>
      </c>
      <c r="O3141" s="13" t="s">
        <v>11835</v>
      </c>
    </row>
    <row r="3142" spans="1:15" s="1" customFormat="1">
      <c r="A3142" s="8" t="s">
        <v>1082</v>
      </c>
      <c r="B3142" s="8" t="s">
        <v>283</v>
      </c>
      <c r="C3142" s="8"/>
      <c r="D3142" s="9" t="s">
        <v>1083</v>
      </c>
      <c r="E3142" s="9" t="s">
        <v>124</v>
      </c>
      <c r="F3142" s="8" t="s">
        <v>10768</v>
      </c>
      <c r="G3142" s="10">
        <f>9.871*L3142</f>
        <v>118.452</v>
      </c>
      <c r="H3142" s="11">
        <v>41948</v>
      </c>
      <c r="I3142" s="10" t="s">
        <v>161</v>
      </c>
      <c r="J3142" s="10" t="s">
        <v>10769</v>
      </c>
      <c r="K3142" s="10" t="s">
        <v>21</v>
      </c>
      <c r="L3142" s="10">
        <v>12</v>
      </c>
      <c r="M3142" s="16" t="s">
        <v>10770</v>
      </c>
      <c r="N3142" s="16" t="s">
        <v>78</v>
      </c>
      <c r="O3142" s="13" t="s">
        <v>10770</v>
      </c>
    </row>
    <row r="3143" spans="1:15" s="1" customFormat="1">
      <c r="A3143" s="8" t="s">
        <v>1082</v>
      </c>
      <c r="B3143" s="8" t="s">
        <v>283</v>
      </c>
      <c r="C3143" s="8"/>
      <c r="D3143" s="9" t="s">
        <v>1083</v>
      </c>
      <c r="E3143" s="9" t="s">
        <v>124</v>
      </c>
      <c r="F3143" s="8" t="s">
        <v>10771</v>
      </c>
      <c r="G3143" s="10">
        <f>9.871*L3143</f>
        <v>128.32300000000001</v>
      </c>
      <c r="H3143" s="11">
        <v>41948</v>
      </c>
      <c r="I3143" s="10" t="s">
        <v>161</v>
      </c>
      <c r="J3143" s="10" t="s">
        <v>10772</v>
      </c>
      <c r="K3143" s="10" t="s">
        <v>21</v>
      </c>
      <c r="L3143" s="10">
        <v>13</v>
      </c>
      <c r="M3143" s="16" t="s">
        <v>10770</v>
      </c>
      <c r="N3143" s="16" t="s">
        <v>167</v>
      </c>
      <c r="O3143" s="13" t="s">
        <v>11555</v>
      </c>
    </row>
    <row r="3144" spans="1:15" s="1" customFormat="1">
      <c r="A3144" s="12" t="s">
        <v>5279</v>
      </c>
      <c r="B3144" s="8"/>
      <c r="C3144" s="8"/>
      <c r="D3144" s="9" t="s">
        <v>10822</v>
      </c>
      <c r="E3144" s="9" t="s">
        <v>124</v>
      </c>
      <c r="F3144" s="8" t="s">
        <v>10823</v>
      </c>
      <c r="G3144" s="10">
        <v>38.244</v>
      </c>
      <c r="H3144" s="11">
        <v>41948</v>
      </c>
      <c r="I3144" s="10" t="s">
        <v>209</v>
      </c>
      <c r="J3144" s="10" t="s">
        <v>10824</v>
      </c>
      <c r="K3144" s="10" t="s">
        <v>128</v>
      </c>
      <c r="L3144" s="10" t="s">
        <v>10825</v>
      </c>
      <c r="M3144" s="16" t="s">
        <v>10826</v>
      </c>
      <c r="N3144" s="16" t="s">
        <v>10827</v>
      </c>
      <c r="O3144" s="13" t="s">
        <v>12826</v>
      </c>
    </row>
    <row r="3145" spans="1:15" s="1" customFormat="1">
      <c r="A3145" s="8" t="s">
        <v>169</v>
      </c>
      <c r="B3145" s="8"/>
      <c r="C3145" s="8"/>
      <c r="D3145" s="9" t="s">
        <v>170</v>
      </c>
      <c r="E3145" s="9" t="s">
        <v>7026</v>
      </c>
      <c r="F3145" s="8" t="s">
        <v>11312</v>
      </c>
      <c r="G3145" s="10">
        <f>17.498*L3145</f>
        <v>209.976</v>
      </c>
      <c r="H3145" s="11">
        <v>41948</v>
      </c>
      <c r="I3145" s="10" t="s">
        <v>265</v>
      </c>
      <c r="J3145" s="10" t="s">
        <v>11313</v>
      </c>
      <c r="K3145" s="10" t="s">
        <v>21</v>
      </c>
      <c r="L3145" s="10">
        <v>12</v>
      </c>
      <c r="M3145" s="16" t="s">
        <v>11311</v>
      </c>
      <c r="N3145" s="16" t="s">
        <v>1211</v>
      </c>
      <c r="O3145" s="13"/>
    </row>
    <row r="3146" spans="1:15" s="1" customFormat="1">
      <c r="A3146" s="8" t="s">
        <v>169</v>
      </c>
      <c r="B3146" s="8"/>
      <c r="C3146" s="8"/>
      <c r="D3146" s="9" t="s">
        <v>170</v>
      </c>
      <c r="E3146" s="9" t="s">
        <v>7026</v>
      </c>
      <c r="F3146" s="8" t="s">
        <v>11314</v>
      </c>
      <c r="G3146" s="10">
        <f>17.498*L3146</f>
        <v>209.976</v>
      </c>
      <c r="H3146" s="11">
        <v>41948</v>
      </c>
      <c r="I3146" s="10" t="s">
        <v>265</v>
      </c>
      <c r="J3146" s="10" t="s">
        <v>11315</v>
      </c>
      <c r="K3146" s="10" t="s">
        <v>21</v>
      </c>
      <c r="L3146" s="10">
        <v>12</v>
      </c>
      <c r="M3146" s="16" t="s">
        <v>11316</v>
      </c>
      <c r="N3146" s="16" t="s">
        <v>164</v>
      </c>
      <c r="O3146" s="13"/>
    </row>
    <row r="3147" spans="1:15" s="1" customFormat="1">
      <c r="A3147" s="8" t="s">
        <v>5604</v>
      </c>
      <c r="B3147" s="8"/>
      <c r="C3147" s="8"/>
      <c r="D3147" s="9" t="s">
        <v>3106</v>
      </c>
      <c r="E3147" s="9" t="s">
        <v>7026</v>
      </c>
      <c r="F3147" s="8" t="s">
        <v>11322</v>
      </c>
      <c r="G3147" s="10">
        <f>17.498*L3147</f>
        <v>227.47400000000002</v>
      </c>
      <c r="H3147" s="11">
        <v>41948</v>
      </c>
      <c r="I3147" s="10" t="s">
        <v>13160</v>
      </c>
      <c r="J3147" s="10" t="s">
        <v>11323</v>
      </c>
      <c r="K3147" s="10" t="s">
        <v>21</v>
      </c>
      <c r="L3147" s="10">
        <v>13</v>
      </c>
      <c r="M3147" s="16" t="s">
        <v>11321</v>
      </c>
      <c r="N3147" s="16" t="s">
        <v>167</v>
      </c>
      <c r="O3147" s="13"/>
    </row>
    <row r="3148" spans="1:15" s="1" customFormat="1">
      <c r="A3148" s="8" t="s">
        <v>9536</v>
      </c>
      <c r="B3148" s="14" t="s">
        <v>283</v>
      </c>
      <c r="C3148" s="8"/>
      <c r="D3148" s="9" t="s">
        <v>2241</v>
      </c>
      <c r="E3148" s="9" t="s">
        <v>124</v>
      </c>
      <c r="F3148" s="8" t="s">
        <v>10834</v>
      </c>
      <c r="G3148" s="10">
        <f>29.101*L3148</f>
        <v>58.201999999999998</v>
      </c>
      <c r="H3148" s="11">
        <v>41949</v>
      </c>
      <c r="I3148" s="10" t="s">
        <v>331</v>
      </c>
      <c r="J3148" s="10" t="s">
        <v>10835</v>
      </c>
      <c r="K3148" s="10" t="s">
        <v>5478</v>
      </c>
      <c r="L3148" s="10">
        <v>2</v>
      </c>
      <c r="M3148" s="16" t="s">
        <v>10836</v>
      </c>
      <c r="N3148" s="16" t="s">
        <v>5185</v>
      </c>
      <c r="O3148" s="13" t="s">
        <v>10836</v>
      </c>
    </row>
    <row r="3149" spans="1:15" s="1" customFormat="1">
      <c r="A3149" s="8" t="s">
        <v>442</v>
      </c>
      <c r="B3149" s="8"/>
      <c r="C3149" s="8"/>
      <c r="D3149" s="9" t="s">
        <v>443</v>
      </c>
      <c r="E3149" s="9" t="s">
        <v>124</v>
      </c>
      <c r="F3149" s="8" t="s">
        <v>10840</v>
      </c>
      <c r="G3149" s="10">
        <f>18.708*L3149</f>
        <v>224.49599999999998</v>
      </c>
      <c r="H3149" s="11">
        <v>41949</v>
      </c>
      <c r="I3149" s="10" t="s">
        <v>247</v>
      </c>
      <c r="J3149" s="10" t="s">
        <v>10841</v>
      </c>
      <c r="K3149" s="10" t="s">
        <v>5478</v>
      </c>
      <c r="L3149" s="10">
        <v>12</v>
      </c>
      <c r="M3149" s="16" t="s">
        <v>10842</v>
      </c>
      <c r="N3149" s="16" t="s">
        <v>164</v>
      </c>
      <c r="O3149" s="13" t="s">
        <v>10842</v>
      </c>
    </row>
    <row r="3150" spans="1:15" s="1" customFormat="1">
      <c r="A3150" s="8" t="s">
        <v>456</v>
      </c>
      <c r="B3150" s="8"/>
      <c r="C3150" s="8"/>
      <c r="D3150" s="9" t="s">
        <v>403</v>
      </c>
      <c r="E3150" s="9" t="s">
        <v>124</v>
      </c>
      <c r="F3150" s="8" t="s">
        <v>10856</v>
      </c>
      <c r="G3150" s="10">
        <f>17.498*L3150</f>
        <v>52.494</v>
      </c>
      <c r="H3150" s="11">
        <v>41949</v>
      </c>
      <c r="I3150" s="10" t="s">
        <v>471</v>
      </c>
      <c r="J3150" s="10" t="s">
        <v>10857</v>
      </c>
      <c r="K3150" s="10" t="s">
        <v>21</v>
      </c>
      <c r="L3150" s="10">
        <v>3</v>
      </c>
      <c r="M3150" s="16" t="s">
        <v>10858</v>
      </c>
      <c r="N3150" s="16" t="s">
        <v>6587</v>
      </c>
      <c r="O3150" s="13" t="s">
        <v>10858</v>
      </c>
    </row>
    <row r="3151" spans="1:15" s="1" customFormat="1">
      <c r="A3151" s="8" t="s">
        <v>579</v>
      </c>
      <c r="B3151" s="14" t="s">
        <v>283</v>
      </c>
      <c r="C3151" s="8"/>
      <c r="D3151" s="9" t="s">
        <v>580</v>
      </c>
      <c r="E3151" s="9" t="s">
        <v>124</v>
      </c>
      <c r="F3151" s="8" t="s">
        <v>10859</v>
      </c>
      <c r="G3151" s="10">
        <f>9.871*L3151</f>
        <v>118.452</v>
      </c>
      <c r="H3151" s="11">
        <v>41949</v>
      </c>
      <c r="I3151" s="10" t="s">
        <v>161</v>
      </c>
      <c r="J3151" s="10" t="s">
        <v>10860</v>
      </c>
      <c r="K3151" s="10" t="s">
        <v>5478</v>
      </c>
      <c r="L3151" s="10">
        <v>12</v>
      </c>
      <c r="M3151" s="16" t="s">
        <v>10861</v>
      </c>
      <c r="N3151" s="16" t="s">
        <v>78</v>
      </c>
      <c r="O3151" s="13" t="s">
        <v>12129</v>
      </c>
    </row>
    <row r="3152" spans="1:15" s="1" customFormat="1">
      <c r="A3152" s="8" t="s">
        <v>579</v>
      </c>
      <c r="B3152" s="14" t="s">
        <v>283</v>
      </c>
      <c r="C3152" s="8"/>
      <c r="D3152" s="9" t="s">
        <v>580</v>
      </c>
      <c r="E3152" s="9" t="s">
        <v>124</v>
      </c>
      <c r="F3152" s="8" t="s">
        <v>10862</v>
      </c>
      <c r="G3152" s="10">
        <f>9.871*L3152</f>
        <v>128.32300000000001</v>
      </c>
      <c r="H3152" s="11">
        <v>41949</v>
      </c>
      <c r="I3152" s="10" t="s">
        <v>161</v>
      </c>
      <c r="J3152" s="10" t="s">
        <v>10863</v>
      </c>
      <c r="K3152" s="10" t="s">
        <v>5478</v>
      </c>
      <c r="L3152" s="10">
        <v>13</v>
      </c>
      <c r="M3152" s="16" t="s">
        <v>10861</v>
      </c>
      <c r="N3152" s="16" t="s">
        <v>167</v>
      </c>
      <c r="O3152" s="13" t="s">
        <v>10861</v>
      </c>
    </row>
    <row r="3153" spans="1:15" s="1" customFormat="1">
      <c r="A3153" s="12" t="s">
        <v>10864</v>
      </c>
      <c r="B3153" s="8"/>
      <c r="C3153" s="8"/>
      <c r="D3153" s="9" t="s">
        <v>6164</v>
      </c>
      <c r="E3153" s="9" t="s">
        <v>124</v>
      </c>
      <c r="F3153" s="8" t="s">
        <v>10865</v>
      </c>
      <c r="G3153" s="10">
        <v>81.234999999999999</v>
      </c>
      <c r="H3153" s="11">
        <v>41949</v>
      </c>
      <c r="I3153" s="10" t="s">
        <v>209</v>
      </c>
      <c r="J3153" s="10" t="s">
        <v>10866</v>
      </c>
      <c r="K3153" s="10" t="s">
        <v>128</v>
      </c>
      <c r="L3153" s="10" t="s">
        <v>6195</v>
      </c>
      <c r="M3153" s="16" t="s">
        <v>10867</v>
      </c>
      <c r="N3153" s="16" t="s">
        <v>10868</v>
      </c>
      <c r="O3153" s="13" t="s">
        <v>10869</v>
      </c>
    </row>
    <row r="3154" spans="1:15" s="1" customFormat="1">
      <c r="A3154" s="8" t="s">
        <v>5773</v>
      </c>
      <c r="B3154" s="8"/>
      <c r="C3154" s="8"/>
      <c r="D3154" s="9" t="s">
        <v>5774</v>
      </c>
      <c r="E3154" s="9" t="s">
        <v>124</v>
      </c>
      <c r="F3154" s="8" t="s">
        <v>10870</v>
      </c>
      <c r="G3154" s="10">
        <v>201.208</v>
      </c>
      <c r="H3154" s="11">
        <v>41949</v>
      </c>
      <c r="I3154" s="10" t="s">
        <v>209</v>
      </c>
      <c r="J3154" s="10" t="s">
        <v>10871</v>
      </c>
      <c r="K3154" s="10" t="s">
        <v>128</v>
      </c>
      <c r="L3154" s="10" t="s">
        <v>10872</v>
      </c>
      <c r="M3154" s="16" t="s">
        <v>10873</v>
      </c>
      <c r="N3154" s="16" t="s">
        <v>10874</v>
      </c>
      <c r="O3154" s="13" t="s">
        <v>10875</v>
      </c>
    </row>
    <row r="3155" spans="1:15" s="1" customFormat="1">
      <c r="A3155" s="8" t="s">
        <v>25</v>
      </c>
      <c r="B3155" s="8"/>
      <c r="C3155" s="8"/>
      <c r="D3155" s="9" t="s">
        <v>26</v>
      </c>
      <c r="E3155" s="9" t="s">
        <v>17</v>
      </c>
      <c r="F3155" s="8" t="s">
        <v>9147</v>
      </c>
      <c r="G3155" s="10">
        <f>8.063*L3155</f>
        <v>96.756</v>
      </c>
      <c r="H3155" s="11">
        <v>41950</v>
      </c>
      <c r="I3155" s="10" t="s">
        <v>28</v>
      </c>
      <c r="J3155" s="10" t="s">
        <v>9148</v>
      </c>
      <c r="K3155" s="10" t="s">
        <v>21</v>
      </c>
      <c r="L3155" s="10">
        <v>12</v>
      </c>
      <c r="M3155" s="16" t="s">
        <v>9149</v>
      </c>
      <c r="N3155" s="16" t="s">
        <v>164</v>
      </c>
      <c r="O3155" s="13"/>
    </row>
    <row r="3156" spans="1:15" s="1" customFormat="1">
      <c r="A3156" s="8" t="s">
        <v>25</v>
      </c>
      <c r="B3156" s="8"/>
      <c r="C3156" s="8"/>
      <c r="D3156" s="9" t="s">
        <v>26</v>
      </c>
      <c r="E3156" s="9" t="s">
        <v>17</v>
      </c>
      <c r="F3156" s="8" t="s">
        <v>9150</v>
      </c>
      <c r="G3156" s="10">
        <f>8.063*L3156</f>
        <v>104.819</v>
      </c>
      <c r="H3156" s="11">
        <v>41950</v>
      </c>
      <c r="I3156" s="10" t="s">
        <v>28</v>
      </c>
      <c r="J3156" s="10" t="s">
        <v>9151</v>
      </c>
      <c r="K3156" s="10" t="s">
        <v>21</v>
      </c>
      <c r="L3156" s="10">
        <v>13</v>
      </c>
      <c r="M3156" s="16" t="s">
        <v>9149</v>
      </c>
      <c r="N3156" s="16" t="s">
        <v>167</v>
      </c>
      <c r="O3156" s="13"/>
    </row>
    <row r="3157" spans="1:15" s="1" customFormat="1">
      <c r="A3157" s="8" t="s">
        <v>96</v>
      </c>
      <c r="B3157" s="8"/>
      <c r="C3157" s="8"/>
      <c r="D3157" s="9" t="s">
        <v>48</v>
      </c>
      <c r="E3157" s="9" t="s">
        <v>17</v>
      </c>
      <c r="F3157" s="8" t="s">
        <v>9152</v>
      </c>
      <c r="G3157" s="10">
        <f>8.926*L3157</f>
        <v>107.11199999999999</v>
      </c>
      <c r="H3157" s="11">
        <v>41950</v>
      </c>
      <c r="I3157" s="10" t="s">
        <v>98</v>
      </c>
      <c r="J3157" s="10" t="s">
        <v>9153</v>
      </c>
      <c r="K3157" s="10" t="s">
        <v>21</v>
      </c>
      <c r="L3157" s="10">
        <v>12</v>
      </c>
      <c r="M3157" s="16" t="s">
        <v>9154</v>
      </c>
      <c r="N3157" s="16" t="s">
        <v>78</v>
      </c>
      <c r="O3157" s="13"/>
    </row>
    <row r="3158" spans="1:15" s="1" customFormat="1">
      <c r="A3158" s="8" t="s">
        <v>96</v>
      </c>
      <c r="B3158" s="8"/>
      <c r="C3158" s="8"/>
      <c r="D3158" s="9" t="s">
        <v>48</v>
      </c>
      <c r="E3158" s="9" t="s">
        <v>17</v>
      </c>
      <c r="F3158" s="8" t="s">
        <v>9155</v>
      </c>
      <c r="G3158" s="10">
        <f>8.926*L3158</f>
        <v>116.038</v>
      </c>
      <c r="H3158" s="11">
        <v>41950</v>
      </c>
      <c r="I3158" s="10" t="s">
        <v>98</v>
      </c>
      <c r="J3158" s="10" t="s">
        <v>9156</v>
      </c>
      <c r="K3158" s="10" t="s">
        <v>21</v>
      </c>
      <c r="L3158" s="10">
        <v>13</v>
      </c>
      <c r="M3158" s="16" t="s">
        <v>9154</v>
      </c>
      <c r="N3158" s="16" t="s">
        <v>167</v>
      </c>
      <c r="O3158" s="13"/>
    </row>
    <row r="3159" spans="1:15" s="1" customFormat="1">
      <c r="A3159" s="8" t="s">
        <v>88</v>
      </c>
      <c r="B3159" s="8"/>
      <c r="C3159" s="8"/>
      <c r="D3159" s="9" t="s">
        <v>55</v>
      </c>
      <c r="E3159" s="9" t="s">
        <v>17</v>
      </c>
      <c r="F3159" s="8" t="s">
        <v>9157</v>
      </c>
      <c r="G3159" s="10">
        <f>8.926*L3159</f>
        <v>107.11199999999999</v>
      </c>
      <c r="H3159" s="11">
        <v>41950</v>
      </c>
      <c r="I3159" s="10" t="s">
        <v>50</v>
      </c>
      <c r="J3159" s="10" t="s">
        <v>9158</v>
      </c>
      <c r="K3159" s="10" t="s">
        <v>21</v>
      </c>
      <c r="L3159" s="10">
        <v>12</v>
      </c>
      <c r="M3159" s="16" t="s">
        <v>9159</v>
      </c>
      <c r="N3159" s="16" t="s">
        <v>164</v>
      </c>
      <c r="O3159" s="13"/>
    </row>
    <row r="3160" spans="1:15" s="1" customFormat="1">
      <c r="A3160" s="8" t="s">
        <v>88</v>
      </c>
      <c r="B3160" s="8"/>
      <c r="C3160" s="8"/>
      <c r="D3160" s="9" t="s">
        <v>55</v>
      </c>
      <c r="E3160" s="9" t="s">
        <v>17</v>
      </c>
      <c r="F3160" s="8" t="s">
        <v>9160</v>
      </c>
      <c r="G3160" s="10">
        <f>8.926*L3160</f>
        <v>116.038</v>
      </c>
      <c r="H3160" s="11">
        <v>41950</v>
      </c>
      <c r="I3160" s="10" t="s">
        <v>50</v>
      </c>
      <c r="J3160" s="10" t="s">
        <v>9161</v>
      </c>
      <c r="K3160" s="10" t="s">
        <v>21</v>
      </c>
      <c r="L3160" s="10">
        <v>13</v>
      </c>
      <c r="M3160" s="16" t="s">
        <v>9159</v>
      </c>
      <c r="N3160" s="16" t="s">
        <v>167</v>
      </c>
      <c r="O3160" s="13"/>
    </row>
    <row r="3161" spans="1:15" s="1" customFormat="1">
      <c r="A3161" s="8" t="s">
        <v>1127</v>
      </c>
      <c r="B3161" s="8"/>
      <c r="C3161" s="8"/>
      <c r="D3161" s="9" t="s">
        <v>1128</v>
      </c>
      <c r="E3161" s="9" t="s">
        <v>7026</v>
      </c>
      <c r="F3161" s="8" t="s">
        <v>11358</v>
      </c>
      <c r="G3161" s="10">
        <f>29.101*L3161</f>
        <v>349.21199999999999</v>
      </c>
      <c r="H3161" s="11">
        <v>41950</v>
      </c>
      <c r="I3161" s="10" t="s">
        <v>178</v>
      </c>
      <c r="J3161" s="10" t="s">
        <v>11359</v>
      </c>
      <c r="K3161" s="10" t="s">
        <v>21</v>
      </c>
      <c r="L3161" s="10">
        <v>12</v>
      </c>
      <c r="M3161" s="16" t="s">
        <v>11360</v>
      </c>
      <c r="N3161" s="16" t="s">
        <v>78</v>
      </c>
      <c r="O3161" s="13"/>
    </row>
    <row r="3162" spans="1:15" s="1" customFormat="1">
      <c r="A3162" s="8" t="s">
        <v>627</v>
      </c>
      <c r="B3162" s="8"/>
      <c r="C3162" s="8"/>
      <c r="D3162" s="9" t="s">
        <v>443</v>
      </c>
      <c r="E3162" s="9" t="s">
        <v>7026</v>
      </c>
      <c r="F3162" s="8" t="s">
        <v>11406</v>
      </c>
      <c r="G3162" s="10">
        <f>18.708*L3162</f>
        <v>224.49599999999998</v>
      </c>
      <c r="H3162" s="11">
        <v>41950</v>
      </c>
      <c r="I3162" s="10" t="s">
        <v>265</v>
      </c>
      <c r="J3162" s="10" t="s">
        <v>11407</v>
      </c>
      <c r="K3162" s="10" t="s">
        <v>5478</v>
      </c>
      <c r="L3162" s="10">
        <v>12</v>
      </c>
      <c r="M3162" s="16" t="s">
        <v>11408</v>
      </c>
      <c r="N3162" s="16" t="s">
        <v>10608</v>
      </c>
      <c r="O3162" s="13"/>
    </row>
    <row r="3163" spans="1:15" s="1" customFormat="1">
      <c r="A3163" s="8" t="s">
        <v>918</v>
      </c>
      <c r="B3163" s="8"/>
      <c r="C3163" s="8"/>
      <c r="D3163" s="9" t="s">
        <v>919</v>
      </c>
      <c r="E3163" s="9" t="s">
        <v>124</v>
      </c>
      <c r="F3163" s="8" t="s">
        <v>10959</v>
      </c>
      <c r="G3163" s="10">
        <f>17.712*L3163</f>
        <v>230.256</v>
      </c>
      <c r="H3163" s="11">
        <v>41954</v>
      </c>
      <c r="I3163" s="10" t="s">
        <v>265</v>
      </c>
      <c r="J3163" s="10" t="s">
        <v>10960</v>
      </c>
      <c r="K3163" s="10" t="s">
        <v>21</v>
      </c>
      <c r="L3163" s="10">
        <v>13</v>
      </c>
      <c r="M3163" s="16" t="s">
        <v>10958</v>
      </c>
      <c r="N3163" s="16" t="s">
        <v>12953</v>
      </c>
      <c r="O3163" s="13" t="s">
        <v>10961</v>
      </c>
    </row>
    <row r="3164" spans="1:15" s="1" customFormat="1">
      <c r="A3164" s="8" t="s">
        <v>1322</v>
      </c>
      <c r="B3164" s="8"/>
      <c r="C3164" s="8"/>
      <c r="D3164" s="9" t="s">
        <v>672</v>
      </c>
      <c r="E3164" s="9" t="s">
        <v>124</v>
      </c>
      <c r="F3164" s="8" t="s">
        <v>10969</v>
      </c>
      <c r="G3164" s="10">
        <v>84.733000000000004</v>
      </c>
      <c r="H3164" s="11">
        <v>41954</v>
      </c>
      <c r="I3164" s="10" t="s">
        <v>209</v>
      </c>
      <c r="J3164" s="10" t="s">
        <v>10970</v>
      </c>
      <c r="K3164" s="10" t="s">
        <v>128</v>
      </c>
      <c r="L3164" s="10" t="s">
        <v>1329</v>
      </c>
      <c r="M3164" s="16" t="s">
        <v>10971</v>
      </c>
      <c r="N3164" s="16" t="s">
        <v>10972</v>
      </c>
      <c r="O3164" s="13" t="s">
        <v>10973</v>
      </c>
    </row>
    <row r="3165" spans="1:15" s="1" customFormat="1">
      <c r="A3165" s="8" t="s">
        <v>3996</v>
      </c>
      <c r="B3165" s="8"/>
      <c r="C3165" s="8"/>
      <c r="D3165" s="9" t="s">
        <v>3997</v>
      </c>
      <c r="E3165" s="9" t="s">
        <v>124</v>
      </c>
      <c r="F3165" s="8" t="s">
        <v>10996</v>
      </c>
      <c r="G3165" s="10">
        <f>12.838*L3165</f>
        <v>128.38</v>
      </c>
      <c r="H3165" s="11">
        <v>41954</v>
      </c>
      <c r="I3165" s="10" t="s">
        <v>471</v>
      </c>
      <c r="J3165" s="10" t="s">
        <v>10997</v>
      </c>
      <c r="K3165" s="10" t="s">
        <v>21</v>
      </c>
      <c r="L3165" s="10">
        <v>10</v>
      </c>
      <c r="M3165" s="16" t="s">
        <v>10998</v>
      </c>
      <c r="N3165" s="16" t="s">
        <v>4953</v>
      </c>
      <c r="O3165" s="13" t="s">
        <v>10998</v>
      </c>
    </row>
    <row r="3166" spans="1:15" s="1" customFormat="1">
      <c r="A3166" s="12" t="s">
        <v>11002</v>
      </c>
      <c r="B3166" s="8"/>
      <c r="C3166" s="8"/>
      <c r="D3166" s="13" t="s">
        <v>11003</v>
      </c>
      <c r="E3166" s="9" t="s">
        <v>124</v>
      </c>
      <c r="F3166" s="8" t="s">
        <v>11004</v>
      </c>
      <c r="G3166" s="10">
        <v>102.09099999999999</v>
      </c>
      <c r="H3166" s="11">
        <v>41955</v>
      </c>
      <c r="I3166" s="10" t="s">
        <v>209</v>
      </c>
      <c r="J3166" s="10" t="s">
        <v>11005</v>
      </c>
      <c r="K3166" s="10" t="s">
        <v>128</v>
      </c>
      <c r="L3166" s="10" t="s">
        <v>11006</v>
      </c>
      <c r="M3166" s="16" t="s">
        <v>11007</v>
      </c>
      <c r="N3166" s="16" t="s">
        <v>11008</v>
      </c>
      <c r="O3166" s="13" t="s">
        <v>11458</v>
      </c>
    </row>
    <row r="3167" spans="1:15" s="1" customFormat="1">
      <c r="A3167" s="8" t="s">
        <v>5474</v>
      </c>
      <c r="B3167" s="8"/>
      <c r="C3167" s="8"/>
      <c r="D3167" s="9" t="s">
        <v>5475</v>
      </c>
      <c r="E3167" s="9" t="s">
        <v>124</v>
      </c>
      <c r="F3167" s="8" t="s">
        <v>11012</v>
      </c>
      <c r="G3167" s="10">
        <f>17.498*L3167</f>
        <v>227.47400000000002</v>
      </c>
      <c r="H3167" s="11">
        <v>41955</v>
      </c>
      <c r="I3167" s="10" t="s">
        <v>11472</v>
      </c>
      <c r="J3167" s="10" t="s">
        <v>11505</v>
      </c>
      <c r="K3167" s="10" t="s">
        <v>21</v>
      </c>
      <c r="L3167" s="10">
        <v>13</v>
      </c>
      <c r="M3167" s="16" t="s">
        <v>11011</v>
      </c>
      <c r="N3167" s="16" t="s">
        <v>167</v>
      </c>
      <c r="O3167" s="13" t="s">
        <v>11013</v>
      </c>
    </row>
    <row r="3168" spans="1:15" s="1" customFormat="1">
      <c r="A3168" s="59" t="s">
        <v>11437</v>
      </c>
      <c r="B3168" s="59"/>
      <c r="C3168" s="59"/>
      <c r="D3168" s="60" t="s">
        <v>26</v>
      </c>
      <c r="E3168" s="60" t="s">
        <v>11430</v>
      </c>
      <c r="F3168" s="59" t="s">
        <v>11438</v>
      </c>
      <c r="G3168" s="61">
        <f>8.063*L3168</f>
        <v>96.756</v>
      </c>
      <c r="H3168" s="62">
        <v>41956</v>
      </c>
      <c r="I3168" s="61" t="s">
        <v>11439</v>
      </c>
      <c r="J3168" s="61" t="s">
        <v>11440</v>
      </c>
      <c r="K3168" s="61" t="s">
        <v>11433</v>
      </c>
      <c r="L3168" s="10">
        <v>12</v>
      </c>
      <c r="M3168" s="16" t="s">
        <v>11441</v>
      </c>
      <c r="N3168" s="63" t="s">
        <v>78</v>
      </c>
      <c r="O3168" s="64"/>
    </row>
    <row r="3169" spans="1:15" s="1" customFormat="1">
      <c r="A3169" s="59" t="s">
        <v>11442</v>
      </c>
      <c r="B3169" s="59"/>
      <c r="C3169" s="59"/>
      <c r="D3169" s="60" t="s">
        <v>69</v>
      </c>
      <c r="E3169" s="60" t="s">
        <v>11430</v>
      </c>
      <c r="F3169" s="59" t="s">
        <v>11443</v>
      </c>
      <c r="G3169" s="61">
        <f>9.175*L3169</f>
        <v>64.225000000000009</v>
      </c>
      <c r="H3169" s="62">
        <v>41956</v>
      </c>
      <c r="I3169" s="61" t="s">
        <v>71</v>
      </c>
      <c r="J3169" s="61" t="s">
        <v>11444</v>
      </c>
      <c r="K3169" s="61" t="s">
        <v>11433</v>
      </c>
      <c r="L3169" s="10">
        <v>7</v>
      </c>
      <c r="M3169" s="16" t="s">
        <v>11445</v>
      </c>
      <c r="N3169" s="63" t="s">
        <v>5472</v>
      </c>
      <c r="O3169" s="64"/>
    </row>
    <row r="3170" spans="1:15" s="1" customFormat="1">
      <c r="A3170" s="59" t="s">
        <v>11442</v>
      </c>
      <c r="B3170" s="59"/>
      <c r="C3170" s="59"/>
      <c r="D3170" s="60" t="s">
        <v>69</v>
      </c>
      <c r="E3170" s="60" t="s">
        <v>11430</v>
      </c>
      <c r="F3170" s="59" t="s">
        <v>11446</v>
      </c>
      <c r="G3170" s="61">
        <f>9.175*L3170</f>
        <v>18.350000000000001</v>
      </c>
      <c r="H3170" s="62">
        <v>41956</v>
      </c>
      <c r="I3170" s="61" t="s">
        <v>71</v>
      </c>
      <c r="J3170" s="61" t="s">
        <v>11447</v>
      </c>
      <c r="K3170" s="61" t="s">
        <v>11433</v>
      </c>
      <c r="L3170" s="10">
        <v>2</v>
      </c>
      <c r="M3170" s="16" t="s">
        <v>11448</v>
      </c>
      <c r="N3170" s="63" t="s">
        <v>11449</v>
      </c>
      <c r="O3170" s="64"/>
    </row>
    <row r="3171" spans="1:15" s="1" customFormat="1">
      <c r="A3171" s="74" t="s">
        <v>11450</v>
      </c>
      <c r="B3171" s="59"/>
      <c r="C3171" s="59"/>
      <c r="D3171" s="60" t="s">
        <v>11451</v>
      </c>
      <c r="E3171" s="60" t="s">
        <v>11430</v>
      </c>
      <c r="F3171" s="59" t="s">
        <v>11452</v>
      </c>
      <c r="G3171" s="61">
        <f>8.137*L3171</f>
        <v>16.274000000000001</v>
      </c>
      <c r="H3171" s="62">
        <v>41956</v>
      </c>
      <c r="I3171" s="61" t="s">
        <v>11453</v>
      </c>
      <c r="J3171" s="61" t="s">
        <v>11454</v>
      </c>
      <c r="K3171" s="61" t="s">
        <v>11433</v>
      </c>
      <c r="L3171" s="10">
        <v>2</v>
      </c>
      <c r="M3171" s="16" t="s">
        <v>11455</v>
      </c>
      <c r="N3171" s="63" t="s">
        <v>268</v>
      </c>
      <c r="O3171" s="64"/>
    </row>
    <row r="3172" spans="1:15" s="1" customFormat="1">
      <c r="A3172" s="8" t="s">
        <v>1285</v>
      </c>
      <c r="B3172" s="8" t="s">
        <v>283</v>
      </c>
      <c r="C3172" s="8"/>
      <c r="D3172" s="9" t="s">
        <v>1287</v>
      </c>
      <c r="E3172" s="9" t="s">
        <v>124</v>
      </c>
      <c r="F3172" s="8" t="s">
        <v>11041</v>
      </c>
      <c r="G3172" s="10">
        <f>8.606*L3172</f>
        <v>111.878</v>
      </c>
      <c r="H3172" s="11">
        <v>41956</v>
      </c>
      <c r="I3172" s="10" t="s">
        <v>272</v>
      </c>
      <c r="J3172" s="10" t="s">
        <v>11042</v>
      </c>
      <c r="K3172" s="10" t="s">
        <v>5478</v>
      </c>
      <c r="L3172" s="10">
        <v>13</v>
      </c>
      <c r="M3172" s="16" t="s">
        <v>11040</v>
      </c>
      <c r="N3172" s="16" t="s">
        <v>167</v>
      </c>
      <c r="O3172" s="13" t="s">
        <v>12749</v>
      </c>
    </row>
    <row r="3173" spans="1:15" s="1" customFormat="1">
      <c r="A3173" s="8" t="s">
        <v>6509</v>
      </c>
      <c r="B3173" s="8"/>
      <c r="C3173" s="8"/>
      <c r="D3173" s="9" t="s">
        <v>6510</v>
      </c>
      <c r="E3173" s="9" t="s">
        <v>124</v>
      </c>
      <c r="F3173" s="8" t="s">
        <v>11046</v>
      </c>
      <c r="G3173" s="10">
        <f>14.38*L3173</f>
        <v>43.14</v>
      </c>
      <c r="H3173" s="11">
        <v>41956</v>
      </c>
      <c r="I3173" s="10" t="s">
        <v>471</v>
      </c>
      <c r="J3173" s="10" t="s">
        <v>11047</v>
      </c>
      <c r="K3173" s="10" t="s">
        <v>21</v>
      </c>
      <c r="L3173" s="10">
        <v>3</v>
      </c>
      <c r="M3173" s="16" t="s">
        <v>11048</v>
      </c>
      <c r="N3173" s="16" t="s">
        <v>6587</v>
      </c>
      <c r="O3173" s="13" t="s">
        <v>11048</v>
      </c>
    </row>
    <row r="3174" spans="1:15" s="1" customFormat="1">
      <c r="A3174" s="8" t="s">
        <v>3897</v>
      </c>
      <c r="B3174" s="8"/>
      <c r="C3174" s="8"/>
      <c r="D3174" s="9" t="s">
        <v>276</v>
      </c>
      <c r="E3174" s="9" t="s">
        <v>124</v>
      </c>
      <c r="F3174" s="8" t="s">
        <v>11052</v>
      </c>
      <c r="G3174" s="10">
        <f>6.405*L3174</f>
        <v>83.265000000000001</v>
      </c>
      <c r="H3174" s="11">
        <v>41956</v>
      </c>
      <c r="I3174" s="10" t="s">
        <v>3899</v>
      </c>
      <c r="J3174" s="10" t="s">
        <v>11053</v>
      </c>
      <c r="K3174" s="10" t="s">
        <v>21</v>
      </c>
      <c r="L3174" s="10">
        <v>13</v>
      </c>
      <c r="M3174" s="16" t="s">
        <v>11051</v>
      </c>
      <c r="N3174" s="16" t="s">
        <v>167</v>
      </c>
      <c r="O3174" s="13" t="s">
        <v>11459</v>
      </c>
    </row>
    <row r="3175" spans="1:15" s="1" customFormat="1">
      <c r="A3175" s="8" t="s">
        <v>6082</v>
      </c>
      <c r="B3175" s="8"/>
      <c r="C3175" s="8"/>
      <c r="D3175" s="9" t="s">
        <v>2128</v>
      </c>
      <c r="E3175" s="9" t="s">
        <v>124</v>
      </c>
      <c r="F3175" s="8" t="s">
        <v>11057</v>
      </c>
      <c r="G3175" s="10">
        <v>82.968999999999994</v>
      </c>
      <c r="H3175" s="11">
        <v>41956</v>
      </c>
      <c r="I3175" s="10" t="s">
        <v>209</v>
      </c>
      <c r="J3175" s="10" t="s">
        <v>11058</v>
      </c>
      <c r="K3175" s="10" t="s">
        <v>128</v>
      </c>
      <c r="L3175" s="10" t="s">
        <v>2142</v>
      </c>
      <c r="M3175" s="16" t="s">
        <v>11059</v>
      </c>
      <c r="N3175" s="16" t="s">
        <v>11060</v>
      </c>
      <c r="O3175" s="13" t="s">
        <v>11461</v>
      </c>
    </row>
    <row r="3176" spans="1:15" s="1" customFormat="1">
      <c r="A3176" s="8" t="s">
        <v>1216</v>
      </c>
      <c r="B3176" s="8"/>
      <c r="C3176" s="8"/>
      <c r="D3176" s="9" t="s">
        <v>2117</v>
      </c>
      <c r="E3176" s="9" t="s">
        <v>124</v>
      </c>
      <c r="F3176" s="8" t="s">
        <v>11078</v>
      </c>
      <c r="G3176" s="10">
        <v>139.80000000000001</v>
      </c>
      <c r="H3176" s="11">
        <v>41957</v>
      </c>
      <c r="I3176" s="10" t="s">
        <v>209</v>
      </c>
      <c r="J3176" s="10" t="s">
        <v>11079</v>
      </c>
      <c r="K3176" s="10" t="s">
        <v>128</v>
      </c>
      <c r="L3176" s="10" t="s">
        <v>2183</v>
      </c>
      <c r="M3176" s="16" t="s">
        <v>11080</v>
      </c>
      <c r="N3176" s="16" t="s">
        <v>11081</v>
      </c>
      <c r="O3176" s="13" t="s">
        <v>11463</v>
      </c>
    </row>
    <row r="3177" spans="1:15" s="1" customFormat="1">
      <c r="A3177" s="8" t="s">
        <v>1216</v>
      </c>
      <c r="B3177" s="8"/>
      <c r="C3177" s="8"/>
      <c r="D3177" s="9" t="s">
        <v>2117</v>
      </c>
      <c r="E3177" s="9" t="s">
        <v>124</v>
      </c>
      <c r="F3177" s="8" t="s">
        <v>11090</v>
      </c>
      <c r="G3177" s="10">
        <v>139.53700000000001</v>
      </c>
      <c r="H3177" s="11">
        <v>41957</v>
      </c>
      <c r="I3177" s="10" t="s">
        <v>209</v>
      </c>
      <c r="J3177" s="10" t="s">
        <v>11091</v>
      </c>
      <c r="K3177" s="10" t="s">
        <v>128</v>
      </c>
      <c r="L3177" s="10" t="s">
        <v>2183</v>
      </c>
      <c r="M3177" s="16" t="s">
        <v>11092</v>
      </c>
      <c r="N3177" s="16" t="s">
        <v>11093</v>
      </c>
      <c r="O3177" s="13" t="s">
        <v>11466</v>
      </c>
    </row>
    <row r="3178" spans="1:15" s="1" customFormat="1">
      <c r="A3178" s="12" t="s">
        <v>11094</v>
      </c>
      <c r="B3178" s="8"/>
      <c r="C3178" s="8"/>
      <c r="D3178" s="13" t="s">
        <v>11095</v>
      </c>
      <c r="E3178" s="9" t="s">
        <v>124</v>
      </c>
      <c r="F3178" s="8" t="s">
        <v>11096</v>
      </c>
      <c r="G3178" s="10">
        <v>105.182</v>
      </c>
      <c r="H3178" s="11">
        <v>41957</v>
      </c>
      <c r="I3178" s="10" t="s">
        <v>209</v>
      </c>
      <c r="J3178" s="10" t="s">
        <v>11097</v>
      </c>
      <c r="K3178" s="10" t="s">
        <v>128</v>
      </c>
      <c r="L3178" s="10" t="s">
        <v>11098</v>
      </c>
      <c r="M3178" s="16" t="s">
        <v>11099</v>
      </c>
      <c r="N3178" s="16" t="s">
        <v>11100</v>
      </c>
      <c r="O3178" s="13" t="s">
        <v>11768</v>
      </c>
    </row>
    <row r="3179" spans="1:15" s="1" customFormat="1">
      <c r="A3179" s="8" t="s">
        <v>11489</v>
      </c>
      <c r="B3179" s="8"/>
      <c r="C3179" s="8"/>
      <c r="D3179" s="9" t="s">
        <v>9670</v>
      </c>
      <c r="E3179" s="9" t="s">
        <v>11490</v>
      </c>
      <c r="F3179" s="8" t="s">
        <v>11491</v>
      </c>
      <c r="G3179" s="10">
        <v>28.81</v>
      </c>
      <c r="H3179" s="11">
        <v>41961</v>
      </c>
      <c r="I3179" s="10" t="s">
        <v>11492</v>
      </c>
      <c r="J3179" s="10" t="s">
        <v>11494</v>
      </c>
      <c r="K3179" s="10" t="s">
        <v>11475</v>
      </c>
      <c r="L3179" s="10" t="s">
        <v>11495</v>
      </c>
      <c r="M3179" s="16" t="s">
        <v>11496</v>
      </c>
      <c r="N3179" s="16" t="s">
        <v>11497</v>
      </c>
      <c r="O3179" s="13" t="s">
        <v>11770</v>
      </c>
    </row>
    <row r="3180" spans="1:15" s="1" customFormat="1">
      <c r="A3180" s="8" t="s">
        <v>11503</v>
      </c>
      <c r="B3180" s="8"/>
      <c r="C3180" s="8"/>
      <c r="D3180" s="9" t="s">
        <v>9382</v>
      </c>
      <c r="E3180" s="9" t="s">
        <v>11490</v>
      </c>
      <c r="F3180" s="8" t="s">
        <v>11498</v>
      </c>
      <c r="G3180" s="10">
        <f>14.405*L3180</f>
        <v>72.024999999999991</v>
      </c>
      <c r="H3180" s="11">
        <v>41961</v>
      </c>
      <c r="I3180" s="10" t="s">
        <v>11499</v>
      </c>
      <c r="J3180" s="10" t="s">
        <v>11501</v>
      </c>
      <c r="K3180" s="10" t="s">
        <v>11475</v>
      </c>
      <c r="L3180" s="10">
        <v>5</v>
      </c>
      <c r="M3180" s="16" t="s">
        <v>11502</v>
      </c>
      <c r="N3180" s="16" t="s">
        <v>1284</v>
      </c>
      <c r="O3180" s="13" t="s">
        <v>11771</v>
      </c>
    </row>
    <row r="3181" spans="1:15" s="1" customFormat="1">
      <c r="A3181" s="8" t="s">
        <v>5474</v>
      </c>
      <c r="B3181" s="8"/>
      <c r="C3181" s="8"/>
      <c r="D3181" s="9" t="s">
        <v>5475</v>
      </c>
      <c r="E3181" s="9" t="s">
        <v>11470</v>
      </c>
      <c r="F3181" s="8" t="s">
        <v>11504</v>
      </c>
      <c r="G3181" s="10">
        <f>17.498*L3181</f>
        <v>209.976</v>
      </c>
      <c r="H3181" s="11">
        <v>41961</v>
      </c>
      <c r="I3181" s="10" t="s">
        <v>11471</v>
      </c>
      <c r="J3181" s="10" t="s">
        <v>11506</v>
      </c>
      <c r="K3181" s="10" t="s">
        <v>11475</v>
      </c>
      <c r="L3181" s="10">
        <v>12</v>
      </c>
      <c r="M3181" s="16" t="s">
        <v>11513</v>
      </c>
      <c r="N3181" s="16" t="s">
        <v>78</v>
      </c>
      <c r="O3181" s="13" t="s">
        <v>11513</v>
      </c>
    </row>
    <row r="3182" spans="1:15" s="1" customFormat="1">
      <c r="A3182" s="8" t="s">
        <v>5474</v>
      </c>
      <c r="B3182" s="8"/>
      <c r="C3182" s="8"/>
      <c r="D3182" s="9" t="s">
        <v>5475</v>
      </c>
      <c r="E3182" s="9" t="s">
        <v>11470</v>
      </c>
      <c r="F3182" s="8" t="s">
        <v>11507</v>
      </c>
      <c r="G3182" s="10">
        <f>17.498*L3182</f>
        <v>227.47400000000002</v>
      </c>
      <c r="H3182" s="11">
        <v>41961</v>
      </c>
      <c r="I3182" s="10" t="s">
        <v>11471</v>
      </c>
      <c r="J3182" s="10" t="s">
        <v>11510</v>
      </c>
      <c r="K3182" s="10" t="s">
        <v>11475</v>
      </c>
      <c r="L3182" s="10">
        <v>13</v>
      </c>
      <c r="M3182" s="16" t="s">
        <v>11513</v>
      </c>
      <c r="N3182" s="16" t="s">
        <v>167</v>
      </c>
      <c r="O3182" s="13" t="s">
        <v>11772</v>
      </c>
    </row>
    <row r="3183" spans="1:15" s="1" customFormat="1">
      <c r="A3183" s="8" t="s">
        <v>11515</v>
      </c>
      <c r="B3183" s="8"/>
      <c r="C3183" s="8"/>
      <c r="D3183" s="9" t="s">
        <v>5475</v>
      </c>
      <c r="E3183" s="9" t="s">
        <v>11470</v>
      </c>
      <c r="F3183" s="8" t="s">
        <v>11509</v>
      </c>
      <c r="G3183" s="10">
        <f>17.498*L3183</f>
        <v>227.47400000000002</v>
      </c>
      <c r="H3183" s="11">
        <v>41961</v>
      </c>
      <c r="I3183" s="10" t="s">
        <v>11472</v>
      </c>
      <c r="J3183" s="10" t="s">
        <v>11512</v>
      </c>
      <c r="K3183" s="10" t="s">
        <v>11475</v>
      </c>
      <c r="L3183" s="10">
        <v>13</v>
      </c>
      <c r="M3183" s="16" t="s">
        <v>11514</v>
      </c>
      <c r="N3183" s="16" t="s">
        <v>167</v>
      </c>
      <c r="O3183" s="13" t="s">
        <v>11773</v>
      </c>
    </row>
    <row r="3184" spans="1:15" s="1" customFormat="1">
      <c r="A3184" s="8" t="s">
        <v>11529</v>
      </c>
      <c r="B3184" s="14" t="s">
        <v>11536</v>
      </c>
      <c r="C3184" s="8"/>
      <c r="D3184" s="9" t="s">
        <v>1287</v>
      </c>
      <c r="E3184" s="9" t="s">
        <v>11490</v>
      </c>
      <c r="F3184" s="8" t="s">
        <v>11538</v>
      </c>
      <c r="G3184" s="10">
        <f>8.606*L3184</f>
        <v>103.27199999999999</v>
      </c>
      <c r="H3184" s="11">
        <v>41961</v>
      </c>
      <c r="I3184" s="10" t="s">
        <v>272</v>
      </c>
      <c r="J3184" s="10" t="s">
        <v>11541</v>
      </c>
      <c r="K3184" s="10" t="s">
        <v>11534</v>
      </c>
      <c r="L3184" s="10">
        <v>12</v>
      </c>
      <c r="M3184" s="16" t="s">
        <v>11544</v>
      </c>
      <c r="N3184" s="16" t="s">
        <v>78</v>
      </c>
      <c r="O3184" s="13" t="s">
        <v>12860</v>
      </c>
    </row>
    <row r="3185" spans="1:15" s="1" customFormat="1">
      <c r="A3185" s="8" t="s">
        <v>11529</v>
      </c>
      <c r="B3185" s="14" t="s">
        <v>11536</v>
      </c>
      <c r="C3185" s="8"/>
      <c r="D3185" s="9" t="s">
        <v>1287</v>
      </c>
      <c r="E3185" s="9" t="s">
        <v>11470</v>
      </c>
      <c r="F3185" s="8" t="s">
        <v>11539</v>
      </c>
      <c r="G3185" s="10">
        <f>8.606*L3185</f>
        <v>111.878</v>
      </c>
      <c r="H3185" s="11">
        <v>41961</v>
      </c>
      <c r="I3185" s="10" t="s">
        <v>272</v>
      </c>
      <c r="J3185" s="10" t="s">
        <v>11542</v>
      </c>
      <c r="K3185" s="10" t="s">
        <v>11534</v>
      </c>
      <c r="L3185" s="10">
        <v>13</v>
      </c>
      <c r="M3185" s="16" t="s">
        <v>11544</v>
      </c>
      <c r="N3185" s="16" t="s">
        <v>167</v>
      </c>
      <c r="O3185" s="13" t="s">
        <v>11544</v>
      </c>
    </row>
    <row r="3186" spans="1:15" s="1" customFormat="1">
      <c r="A3186" s="8" t="s">
        <v>11551</v>
      </c>
      <c r="B3186" s="8"/>
      <c r="C3186" s="8"/>
      <c r="D3186" s="9" t="s">
        <v>364</v>
      </c>
      <c r="E3186" s="9" t="s">
        <v>11490</v>
      </c>
      <c r="F3186" s="8" t="s">
        <v>11586</v>
      </c>
      <c r="G3186" s="10">
        <f>12.838*L3186</f>
        <v>166.89399999999998</v>
      </c>
      <c r="H3186" s="11">
        <v>41961</v>
      </c>
      <c r="I3186" s="10" t="s">
        <v>11546</v>
      </c>
      <c r="J3186" s="10" t="s">
        <v>11548</v>
      </c>
      <c r="K3186" s="10" t="s">
        <v>11549</v>
      </c>
      <c r="L3186" s="10">
        <v>13</v>
      </c>
      <c r="M3186" s="16" t="s">
        <v>11550</v>
      </c>
      <c r="N3186" s="16" t="s">
        <v>8866</v>
      </c>
      <c r="O3186" s="13" t="s">
        <v>11550</v>
      </c>
    </row>
    <row r="3187" spans="1:15" s="1" customFormat="1">
      <c r="A3187" s="8" t="s">
        <v>11560</v>
      </c>
      <c r="B3187" s="8" t="s">
        <v>283</v>
      </c>
      <c r="C3187" s="8"/>
      <c r="D3187" s="13" t="s">
        <v>9181</v>
      </c>
      <c r="E3187" s="9" t="s">
        <v>11557</v>
      </c>
      <c r="F3187" s="8" t="s">
        <v>11558</v>
      </c>
      <c r="G3187" s="10">
        <f>29.101*L3187</f>
        <v>203.70699999999999</v>
      </c>
      <c r="H3187" s="11">
        <v>41962</v>
      </c>
      <c r="I3187" s="10" t="s">
        <v>11562</v>
      </c>
      <c r="J3187" s="10" t="s">
        <v>11561</v>
      </c>
      <c r="K3187" s="10" t="s">
        <v>11559</v>
      </c>
      <c r="L3187" s="10">
        <v>7</v>
      </c>
      <c r="M3187" s="16" t="s">
        <v>11564</v>
      </c>
      <c r="N3187" s="16" t="s">
        <v>11563</v>
      </c>
      <c r="O3187" s="13" t="s">
        <v>13069</v>
      </c>
    </row>
    <row r="3188" spans="1:15" s="1" customFormat="1">
      <c r="A3188" s="8" t="s">
        <v>11565</v>
      </c>
      <c r="B3188" s="8" t="s">
        <v>283</v>
      </c>
      <c r="C3188" s="8"/>
      <c r="D3188" s="13" t="s">
        <v>9609</v>
      </c>
      <c r="E3188" s="9" t="s">
        <v>11557</v>
      </c>
      <c r="F3188" s="8" t="s">
        <v>11566</v>
      </c>
      <c r="G3188" s="10">
        <v>58.201999999999998</v>
      </c>
      <c r="H3188" s="11">
        <v>41962</v>
      </c>
      <c r="I3188" s="10" t="s">
        <v>4341</v>
      </c>
      <c r="J3188" s="10" t="s">
        <v>11568</v>
      </c>
      <c r="K3188" s="10" t="s">
        <v>11569</v>
      </c>
      <c r="L3188" s="10">
        <v>2</v>
      </c>
      <c r="M3188" s="16" t="s">
        <v>11571</v>
      </c>
      <c r="N3188" s="16" t="s">
        <v>11570</v>
      </c>
      <c r="O3188" s="13" t="s">
        <v>13070</v>
      </c>
    </row>
    <row r="3189" spans="1:15" s="1" customFormat="1">
      <c r="A3189" s="8" t="s">
        <v>11574</v>
      </c>
      <c r="B3189" s="8" t="s">
        <v>283</v>
      </c>
      <c r="C3189" s="8"/>
      <c r="D3189" s="13" t="s">
        <v>9621</v>
      </c>
      <c r="E3189" s="9" t="s">
        <v>11557</v>
      </c>
      <c r="F3189" s="8" t="s">
        <v>11572</v>
      </c>
      <c r="G3189" s="10">
        <f>29.101*L3189</f>
        <v>58.201999999999998</v>
      </c>
      <c r="H3189" s="11">
        <v>41962</v>
      </c>
      <c r="I3189" s="10" t="s">
        <v>11562</v>
      </c>
      <c r="J3189" s="10" t="s">
        <v>11575</v>
      </c>
      <c r="K3189" s="10" t="s">
        <v>11559</v>
      </c>
      <c r="L3189" s="10">
        <v>2</v>
      </c>
      <c r="M3189" s="16" t="s">
        <v>11576</v>
      </c>
      <c r="N3189" s="16" t="s">
        <v>5185</v>
      </c>
      <c r="O3189" s="13" t="s">
        <v>13071</v>
      </c>
    </row>
    <row r="3190" spans="1:15" s="1" customFormat="1">
      <c r="A3190" s="8" t="s">
        <v>11577</v>
      </c>
      <c r="B3190" s="8" t="s">
        <v>283</v>
      </c>
      <c r="C3190" s="8"/>
      <c r="D3190" s="13" t="s">
        <v>4339</v>
      </c>
      <c r="E3190" s="9" t="s">
        <v>11557</v>
      </c>
      <c r="F3190" s="8" t="s">
        <v>11578</v>
      </c>
      <c r="G3190" s="10">
        <f>29.101*L3190</f>
        <v>58.201999999999998</v>
      </c>
      <c r="H3190" s="11">
        <v>41962</v>
      </c>
      <c r="I3190" s="10" t="s">
        <v>11562</v>
      </c>
      <c r="J3190" s="10" t="s">
        <v>11581</v>
      </c>
      <c r="K3190" s="10" t="s">
        <v>11559</v>
      </c>
      <c r="L3190" s="10">
        <v>2</v>
      </c>
      <c r="M3190" s="16" t="s">
        <v>11582</v>
      </c>
      <c r="N3190" s="16" t="s">
        <v>6514</v>
      </c>
      <c r="O3190" s="13" t="s">
        <v>13072</v>
      </c>
    </row>
    <row r="3191" spans="1:15" s="1" customFormat="1">
      <c r="A3191" s="8" t="s">
        <v>11587</v>
      </c>
      <c r="B3191" s="8"/>
      <c r="C3191" s="8"/>
      <c r="D3191" s="13" t="s">
        <v>2117</v>
      </c>
      <c r="E3191" s="9" t="s">
        <v>11588</v>
      </c>
      <c r="F3191" s="8" t="s">
        <v>11589</v>
      </c>
      <c r="G3191" s="10">
        <v>247.59100000000001</v>
      </c>
      <c r="H3191" s="11">
        <v>41963</v>
      </c>
      <c r="I3191" s="10" t="s">
        <v>11592</v>
      </c>
      <c r="J3191" s="10" t="s">
        <v>11590</v>
      </c>
      <c r="K3191" s="10" t="s">
        <v>11591</v>
      </c>
      <c r="L3191" s="10" t="s">
        <v>5428</v>
      </c>
      <c r="M3191" s="16" t="s">
        <v>11593</v>
      </c>
      <c r="N3191" s="16" t="s">
        <v>11594</v>
      </c>
      <c r="O3191" s="13" t="s">
        <v>11837</v>
      </c>
    </row>
    <row r="3192" spans="1:15" s="1" customFormat="1">
      <c r="A3192" s="8" t="s">
        <v>11600</v>
      </c>
      <c r="B3192" s="8"/>
      <c r="C3192" s="8"/>
      <c r="D3192" s="13" t="s">
        <v>2117</v>
      </c>
      <c r="E3192" s="9" t="s">
        <v>11588</v>
      </c>
      <c r="F3192" s="8" t="s">
        <v>11604</v>
      </c>
      <c r="G3192" s="10">
        <v>139.65199999999999</v>
      </c>
      <c r="H3192" s="11">
        <v>41963</v>
      </c>
      <c r="I3192" s="10" t="s">
        <v>11606</v>
      </c>
      <c r="J3192" s="10" t="s">
        <v>11605</v>
      </c>
      <c r="K3192" s="10" t="s">
        <v>11591</v>
      </c>
      <c r="L3192" s="10" t="s">
        <v>2183</v>
      </c>
      <c r="M3192" s="16" t="s">
        <v>11607</v>
      </c>
      <c r="N3192" s="16" t="s">
        <v>11609</v>
      </c>
      <c r="O3192" s="13" t="s">
        <v>11840</v>
      </c>
    </row>
    <row r="3193" spans="1:15" s="1" customFormat="1">
      <c r="A3193" s="8" t="s">
        <v>11635</v>
      </c>
      <c r="B3193" s="8"/>
      <c r="C3193" s="8"/>
      <c r="D3193" s="13" t="s">
        <v>5751</v>
      </c>
      <c r="E3193" s="9" t="s">
        <v>11588</v>
      </c>
      <c r="F3193" s="8" t="s">
        <v>11636</v>
      </c>
      <c r="G3193" s="10">
        <v>224.97900000000001</v>
      </c>
      <c r="H3193" s="11">
        <v>41963</v>
      </c>
      <c r="I3193" s="10" t="s">
        <v>11592</v>
      </c>
      <c r="J3193" s="10" t="s">
        <v>11637</v>
      </c>
      <c r="K3193" s="10" t="s">
        <v>12675</v>
      </c>
      <c r="L3193" s="10" t="s">
        <v>9483</v>
      </c>
      <c r="M3193" s="16" t="s">
        <v>11638</v>
      </c>
      <c r="N3193" s="16" t="s">
        <v>11639</v>
      </c>
      <c r="O3193" s="13" t="s">
        <v>11846</v>
      </c>
    </row>
    <row r="3194" spans="1:15" s="1" customFormat="1">
      <c r="A3194" s="74" t="s">
        <v>11651</v>
      </c>
      <c r="B3194" s="8"/>
      <c r="C3194" s="8"/>
      <c r="D3194" s="13" t="s">
        <v>11645</v>
      </c>
      <c r="E3194" s="9" t="s">
        <v>11588</v>
      </c>
      <c r="F3194" s="8" t="s">
        <v>11646</v>
      </c>
      <c r="G3194" s="10">
        <v>20.175000000000001</v>
      </c>
      <c r="H3194" s="11">
        <v>41963</v>
      </c>
      <c r="I3194" s="10" t="s">
        <v>11671</v>
      </c>
      <c r="J3194" s="10" t="s">
        <v>11647</v>
      </c>
      <c r="K3194" s="10" t="s">
        <v>11591</v>
      </c>
      <c r="L3194" s="10" t="s">
        <v>11648</v>
      </c>
      <c r="M3194" s="16" t="s">
        <v>11649</v>
      </c>
      <c r="N3194" s="16" t="s">
        <v>11650</v>
      </c>
      <c r="O3194" s="13" t="s">
        <v>11848</v>
      </c>
    </row>
    <row r="3195" spans="1:15" s="1" customFormat="1">
      <c r="A3195" s="74" t="s">
        <v>11652</v>
      </c>
      <c r="B3195" s="8"/>
      <c r="C3195" s="8"/>
      <c r="D3195" s="13" t="s">
        <v>11653</v>
      </c>
      <c r="E3195" s="9" t="s">
        <v>11588</v>
      </c>
      <c r="F3195" s="8" t="s">
        <v>11654</v>
      </c>
      <c r="G3195" s="10">
        <f>12.838*L3195</f>
        <v>25.675999999999998</v>
      </c>
      <c r="H3195" s="11">
        <v>41963</v>
      </c>
      <c r="I3195" s="10" t="s">
        <v>11672</v>
      </c>
      <c r="J3195" s="10" t="s">
        <v>11655</v>
      </c>
      <c r="K3195" s="10" t="s">
        <v>11656</v>
      </c>
      <c r="L3195" s="10">
        <v>2</v>
      </c>
      <c r="M3195" s="16" t="s">
        <v>11657</v>
      </c>
      <c r="N3195" s="16" t="s">
        <v>6533</v>
      </c>
      <c r="O3195" s="13" t="s">
        <v>12136</v>
      </c>
    </row>
    <row r="3196" spans="1:15" s="1" customFormat="1">
      <c r="A3196" s="8" t="s">
        <v>1285</v>
      </c>
      <c r="B3196" s="14" t="s">
        <v>11536</v>
      </c>
      <c r="C3196" s="8"/>
      <c r="D3196" s="13" t="s">
        <v>1287</v>
      </c>
      <c r="E3196" s="9" t="s">
        <v>11588</v>
      </c>
      <c r="F3196" s="8" t="s">
        <v>11658</v>
      </c>
      <c r="G3196" s="10">
        <f>8.606*L3196</f>
        <v>103.27199999999999</v>
      </c>
      <c r="H3196" s="11">
        <v>41963</v>
      </c>
      <c r="I3196" s="10" t="s">
        <v>272</v>
      </c>
      <c r="J3196" s="10" t="s">
        <v>11662</v>
      </c>
      <c r="K3196" s="10" t="s">
        <v>11534</v>
      </c>
      <c r="L3196" s="10">
        <v>12</v>
      </c>
      <c r="M3196" s="16" t="s">
        <v>11665</v>
      </c>
      <c r="N3196" s="16" t="s">
        <v>11668</v>
      </c>
      <c r="O3196" s="13" t="s">
        <v>11665</v>
      </c>
    </row>
    <row r="3197" spans="1:15" s="1" customFormat="1">
      <c r="A3197" s="8" t="s">
        <v>1285</v>
      </c>
      <c r="B3197" s="14" t="s">
        <v>11536</v>
      </c>
      <c r="C3197" s="8"/>
      <c r="D3197" s="13" t="s">
        <v>1287</v>
      </c>
      <c r="E3197" s="9" t="s">
        <v>11588</v>
      </c>
      <c r="F3197" s="8" t="s">
        <v>11660</v>
      </c>
      <c r="G3197" s="10">
        <f>8.606*L3197</f>
        <v>103.27199999999999</v>
      </c>
      <c r="H3197" s="11">
        <v>41963</v>
      </c>
      <c r="I3197" s="10" t="s">
        <v>272</v>
      </c>
      <c r="J3197" s="10" t="s">
        <v>11664</v>
      </c>
      <c r="K3197" s="10" t="s">
        <v>11534</v>
      </c>
      <c r="L3197" s="10">
        <v>12</v>
      </c>
      <c r="M3197" s="16" t="s">
        <v>11667</v>
      </c>
      <c r="N3197" s="16" t="s">
        <v>78</v>
      </c>
      <c r="O3197" s="13" t="s">
        <v>11667</v>
      </c>
    </row>
    <row r="3198" spans="1:15" s="1" customFormat="1">
      <c r="A3198" s="8" t="s">
        <v>11670</v>
      </c>
      <c r="B3198" s="14" t="s">
        <v>11823</v>
      </c>
      <c r="C3198" s="8"/>
      <c r="D3198" s="13" t="s">
        <v>1287</v>
      </c>
      <c r="E3198" s="9" t="s">
        <v>11588</v>
      </c>
      <c r="F3198" s="8" t="s">
        <v>11661</v>
      </c>
      <c r="G3198" s="10">
        <f>8.606*L3198</f>
        <v>111.878</v>
      </c>
      <c r="H3198" s="11">
        <v>41963</v>
      </c>
      <c r="I3198" s="10" t="s">
        <v>11822</v>
      </c>
      <c r="J3198" s="10" t="s">
        <v>11824</v>
      </c>
      <c r="K3198" s="10" t="s">
        <v>11534</v>
      </c>
      <c r="L3198" s="10">
        <v>13</v>
      </c>
      <c r="M3198" s="16" t="s">
        <v>11667</v>
      </c>
      <c r="N3198" s="16" t="s">
        <v>81</v>
      </c>
      <c r="O3198" s="13"/>
    </row>
    <row r="3199" spans="1:15" s="1" customFormat="1">
      <c r="A3199" s="8" t="s">
        <v>11776</v>
      </c>
      <c r="B3199" s="14"/>
      <c r="C3199" s="8"/>
      <c r="D3199" s="13" t="s">
        <v>191</v>
      </c>
      <c r="E3199" s="9" t="s">
        <v>11470</v>
      </c>
      <c r="F3199" s="8" t="s">
        <v>11783</v>
      </c>
      <c r="G3199" s="10">
        <f>18.708*L3199</f>
        <v>243.20399999999998</v>
      </c>
      <c r="H3199" s="11">
        <v>41964</v>
      </c>
      <c r="I3199" s="10" t="s">
        <v>247</v>
      </c>
      <c r="J3199" s="10" t="s">
        <v>11784</v>
      </c>
      <c r="K3199" s="10" t="s">
        <v>11782</v>
      </c>
      <c r="L3199" s="10">
        <v>13</v>
      </c>
      <c r="M3199" s="16" t="s">
        <v>11785</v>
      </c>
      <c r="N3199" s="16" t="s">
        <v>81</v>
      </c>
      <c r="O3199" s="13" t="s">
        <v>12185</v>
      </c>
    </row>
    <row r="3200" spans="1:15" s="1" customFormat="1">
      <c r="A3200" s="8" t="s">
        <v>11786</v>
      </c>
      <c r="B3200" s="14" t="s">
        <v>11536</v>
      </c>
      <c r="C3200" s="8"/>
      <c r="D3200" s="13" t="s">
        <v>1083</v>
      </c>
      <c r="E3200" s="9" t="s">
        <v>11787</v>
      </c>
      <c r="F3200" s="8" t="s">
        <v>11788</v>
      </c>
      <c r="G3200" s="10">
        <f t="shared" ref="G3200:G3205" si="119">9.871*L3200</f>
        <v>118.452</v>
      </c>
      <c r="H3200" s="11">
        <v>41964</v>
      </c>
      <c r="I3200" s="10" t="s">
        <v>161</v>
      </c>
      <c r="J3200" s="10" t="s">
        <v>11792</v>
      </c>
      <c r="K3200" s="10" t="s">
        <v>21</v>
      </c>
      <c r="L3200" s="10">
        <v>12</v>
      </c>
      <c r="M3200" s="16" t="s">
        <v>11803</v>
      </c>
      <c r="N3200" s="16" t="s">
        <v>78</v>
      </c>
      <c r="O3200" s="13" t="s">
        <v>11803</v>
      </c>
    </row>
    <row r="3201" spans="1:15" s="1" customFormat="1">
      <c r="A3201" s="8" t="s">
        <v>11786</v>
      </c>
      <c r="B3201" s="14" t="s">
        <v>11536</v>
      </c>
      <c r="C3201" s="8"/>
      <c r="D3201" s="13" t="s">
        <v>1083</v>
      </c>
      <c r="E3201" s="9" t="s">
        <v>11787</v>
      </c>
      <c r="F3201" s="8" t="s">
        <v>11793</v>
      </c>
      <c r="G3201" s="10">
        <f t="shared" si="119"/>
        <v>128.32300000000001</v>
      </c>
      <c r="H3201" s="11">
        <v>41964</v>
      </c>
      <c r="I3201" s="10" t="s">
        <v>161</v>
      </c>
      <c r="J3201" s="10" t="s">
        <v>11798</v>
      </c>
      <c r="K3201" s="10" t="s">
        <v>21</v>
      </c>
      <c r="L3201" s="10">
        <v>13</v>
      </c>
      <c r="M3201" s="16" t="s">
        <v>11803</v>
      </c>
      <c r="N3201" s="16" t="s">
        <v>11806</v>
      </c>
      <c r="O3201" s="13" t="s">
        <v>12861</v>
      </c>
    </row>
    <row r="3202" spans="1:15" s="1" customFormat="1">
      <c r="A3202" s="8" t="s">
        <v>11786</v>
      </c>
      <c r="B3202" s="14" t="s">
        <v>11536</v>
      </c>
      <c r="C3202" s="8"/>
      <c r="D3202" s="13" t="s">
        <v>1083</v>
      </c>
      <c r="E3202" s="9" t="s">
        <v>11787</v>
      </c>
      <c r="F3202" s="8" t="s">
        <v>11794</v>
      </c>
      <c r="G3202" s="10">
        <f t="shared" si="119"/>
        <v>118.452</v>
      </c>
      <c r="H3202" s="11">
        <v>41964</v>
      </c>
      <c r="I3202" s="10" t="s">
        <v>161</v>
      </c>
      <c r="J3202" s="10" t="s">
        <v>11799</v>
      </c>
      <c r="K3202" s="10" t="s">
        <v>21</v>
      </c>
      <c r="L3202" s="10">
        <v>12</v>
      </c>
      <c r="M3202" s="16" t="s">
        <v>11804</v>
      </c>
      <c r="N3202" s="16" t="s">
        <v>78</v>
      </c>
      <c r="O3202" s="13" t="s">
        <v>11804</v>
      </c>
    </row>
    <row r="3203" spans="1:15" s="1" customFormat="1">
      <c r="A3203" s="8" t="s">
        <v>11786</v>
      </c>
      <c r="B3203" s="14" t="s">
        <v>11536</v>
      </c>
      <c r="C3203" s="8"/>
      <c r="D3203" s="13" t="s">
        <v>1083</v>
      </c>
      <c r="E3203" s="9" t="s">
        <v>11787</v>
      </c>
      <c r="F3203" s="8" t="s">
        <v>11795</v>
      </c>
      <c r="G3203" s="10">
        <f t="shared" si="119"/>
        <v>128.32300000000001</v>
      </c>
      <c r="H3203" s="11">
        <v>41964</v>
      </c>
      <c r="I3203" s="10" t="s">
        <v>161</v>
      </c>
      <c r="J3203" s="10" t="s">
        <v>11800</v>
      </c>
      <c r="K3203" s="10" t="s">
        <v>21</v>
      </c>
      <c r="L3203" s="10">
        <v>13</v>
      </c>
      <c r="M3203" s="16" t="s">
        <v>11804</v>
      </c>
      <c r="N3203" s="16" t="s">
        <v>11806</v>
      </c>
      <c r="O3203" s="13" t="s">
        <v>12862</v>
      </c>
    </row>
    <row r="3204" spans="1:15" s="1" customFormat="1">
      <c r="A3204" s="8" t="s">
        <v>11786</v>
      </c>
      <c r="B3204" s="14" t="s">
        <v>11536</v>
      </c>
      <c r="C3204" s="8"/>
      <c r="D3204" s="13" t="s">
        <v>1083</v>
      </c>
      <c r="E3204" s="9" t="s">
        <v>11787</v>
      </c>
      <c r="F3204" s="8" t="s">
        <v>11796</v>
      </c>
      <c r="G3204" s="10">
        <f t="shared" si="119"/>
        <v>118.452</v>
      </c>
      <c r="H3204" s="11">
        <v>41964</v>
      </c>
      <c r="I3204" s="10" t="s">
        <v>161</v>
      </c>
      <c r="J3204" s="10" t="s">
        <v>11801</v>
      </c>
      <c r="K3204" s="10" t="s">
        <v>21</v>
      </c>
      <c r="L3204" s="10">
        <v>12</v>
      </c>
      <c r="M3204" s="16" t="s">
        <v>11805</v>
      </c>
      <c r="N3204" s="16" t="s">
        <v>78</v>
      </c>
      <c r="O3204" s="13" t="s">
        <v>11805</v>
      </c>
    </row>
    <row r="3205" spans="1:15" s="1" customFormat="1">
      <c r="A3205" s="8" t="s">
        <v>11786</v>
      </c>
      <c r="B3205" s="14" t="s">
        <v>11536</v>
      </c>
      <c r="C3205" s="8"/>
      <c r="D3205" s="13" t="s">
        <v>1083</v>
      </c>
      <c r="E3205" s="9" t="s">
        <v>11787</v>
      </c>
      <c r="F3205" s="8" t="s">
        <v>11797</v>
      </c>
      <c r="G3205" s="10">
        <f t="shared" si="119"/>
        <v>128.32300000000001</v>
      </c>
      <c r="H3205" s="11">
        <v>41964</v>
      </c>
      <c r="I3205" s="10" t="s">
        <v>161</v>
      </c>
      <c r="J3205" s="10" t="s">
        <v>11802</v>
      </c>
      <c r="K3205" s="10" t="s">
        <v>21</v>
      </c>
      <c r="L3205" s="10">
        <v>13</v>
      </c>
      <c r="M3205" s="16" t="s">
        <v>11805</v>
      </c>
      <c r="N3205" s="16" t="s">
        <v>11806</v>
      </c>
      <c r="O3205" s="13" t="s">
        <v>12863</v>
      </c>
    </row>
    <row r="3206" spans="1:15" s="1" customFormat="1">
      <c r="A3206" s="8" t="s">
        <v>11820</v>
      </c>
      <c r="B3206" s="14" t="s">
        <v>11536</v>
      </c>
      <c r="C3206" s="8"/>
      <c r="D3206" s="13" t="s">
        <v>1287</v>
      </c>
      <c r="E3206" s="9" t="s">
        <v>11777</v>
      </c>
      <c r="F3206" s="8" t="s">
        <v>11821</v>
      </c>
      <c r="G3206" s="10">
        <f>8.606*L3206</f>
        <v>111.878</v>
      </c>
      <c r="H3206" s="11">
        <v>41964</v>
      </c>
      <c r="I3206" s="10" t="s">
        <v>272</v>
      </c>
      <c r="J3206" s="10" t="s">
        <v>11825</v>
      </c>
      <c r="K3206" s="10" t="s">
        <v>11826</v>
      </c>
      <c r="L3206" s="10">
        <v>13</v>
      </c>
      <c r="M3206" s="16" t="s">
        <v>11829</v>
      </c>
      <c r="N3206" s="16" t="s">
        <v>11831</v>
      </c>
      <c r="O3206" s="13" t="s">
        <v>11829</v>
      </c>
    </row>
    <row r="3207" spans="1:15" s="1" customFormat="1">
      <c r="A3207" s="8" t="s">
        <v>11820</v>
      </c>
      <c r="B3207" s="14" t="s">
        <v>11536</v>
      </c>
      <c r="C3207" s="8"/>
      <c r="D3207" s="13" t="s">
        <v>1287</v>
      </c>
      <c r="E3207" s="9" t="s">
        <v>11777</v>
      </c>
      <c r="F3207" s="8" t="s">
        <v>11827</v>
      </c>
      <c r="G3207" s="10">
        <f>8.606*L3207</f>
        <v>103.27199999999999</v>
      </c>
      <c r="H3207" s="11">
        <v>41964</v>
      </c>
      <c r="I3207" s="10" t="s">
        <v>272</v>
      </c>
      <c r="J3207" s="10" t="s">
        <v>11828</v>
      </c>
      <c r="K3207" s="10" t="s">
        <v>11826</v>
      </c>
      <c r="L3207" s="10">
        <v>12</v>
      </c>
      <c r="M3207" s="16" t="s">
        <v>11830</v>
      </c>
      <c r="N3207" s="16" t="s">
        <v>11832</v>
      </c>
      <c r="O3207" s="13" t="s">
        <v>11830</v>
      </c>
    </row>
    <row r="3208" spans="1:15" s="1" customFormat="1">
      <c r="A3208" s="8" t="s">
        <v>11673</v>
      </c>
      <c r="B3208" s="8"/>
      <c r="C3208" s="8"/>
      <c r="D3208" s="13" t="s">
        <v>443</v>
      </c>
      <c r="E3208" s="9" t="s">
        <v>11674</v>
      </c>
      <c r="F3208" s="8" t="s">
        <v>11677</v>
      </c>
      <c r="G3208" s="10">
        <f t="shared" ref="G3208:G3219" si="120">18.708*L3208</f>
        <v>224.49599999999998</v>
      </c>
      <c r="H3208" s="11">
        <v>41964</v>
      </c>
      <c r="I3208" s="10" t="s">
        <v>178</v>
      </c>
      <c r="J3208" s="10" t="s">
        <v>11699</v>
      </c>
      <c r="K3208" s="10" t="s">
        <v>5478</v>
      </c>
      <c r="L3208" s="10">
        <v>12</v>
      </c>
      <c r="M3208" s="16" t="s">
        <v>11691</v>
      </c>
      <c r="N3208" s="16" t="s">
        <v>78</v>
      </c>
      <c r="O3208" s="13"/>
    </row>
    <row r="3209" spans="1:15" s="1" customFormat="1">
      <c r="A3209" s="8" t="s">
        <v>11673</v>
      </c>
      <c r="B3209" s="8"/>
      <c r="C3209" s="8"/>
      <c r="D3209" s="13" t="s">
        <v>443</v>
      </c>
      <c r="E3209" s="9" t="s">
        <v>11674</v>
      </c>
      <c r="F3209" s="8" t="s">
        <v>11678</v>
      </c>
      <c r="G3209" s="10">
        <f t="shared" si="120"/>
        <v>243.20399999999998</v>
      </c>
      <c r="H3209" s="11">
        <v>41964</v>
      </c>
      <c r="I3209" s="10" t="s">
        <v>178</v>
      </c>
      <c r="J3209" s="10" t="s">
        <v>11700</v>
      </c>
      <c r="K3209" s="10" t="s">
        <v>5478</v>
      </c>
      <c r="L3209" s="10">
        <v>13</v>
      </c>
      <c r="M3209" s="16" t="s">
        <v>11691</v>
      </c>
      <c r="N3209" s="16" t="s">
        <v>167</v>
      </c>
      <c r="O3209" s="13"/>
    </row>
    <row r="3210" spans="1:15" s="1" customFormat="1">
      <c r="A3210" s="8" t="s">
        <v>11673</v>
      </c>
      <c r="B3210" s="8"/>
      <c r="C3210" s="8"/>
      <c r="D3210" s="13" t="s">
        <v>443</v>
      </c>
      <c r="E3210" s="9" t="s">
        <v>11674</v>
      </c>
      <c r="F3210" s="8" t="s">
        <v>11679</v>
      </c>
      <c r="G3210" s="10">
        <f t="shared" si="120"/>
        <v>224.49599999999998</v>
      </c>
      <c r="H3210" s="11">
        <v>41964</v>
      </c>
      <c r="I3210" s="10" t="s">
        <v>178</v>
      </c>
      <c r="J3210" s="10" t="s">
        <v>11701</v>
      </c>
      <c r="K3210" s="10" t="s">
        <v>5478</v>
      </c>
      <c r="L3210" s="10">
        <v>12</v>
      </c>
      <c r="M3210" s="16" t="s">
        <v>11692</v>
      </c>
      <c r="N3210" s="16" t="s">
        <v>78</v>
      </c>
      <c r="O3210" s="13"/>
    </row>
    <row r="3211" spans="1:15" s="1" customFormat="1">
      <c r="A3211" s="8" t="s">
        <v>11673</v>
      </c>
      <c r="B3211" s="8"/>
      <c r="C3211" s="8"/>
      <c r="D3211" s="13" t="s">
        <v>443</v>
      </c>
      <c r="E3211" s="9" t="s">
        <v>11674</v>
      </c>
      <c r="F3211" s="8" t="s">
        <v>11680</v>
      </c>
      <c r="G3211" s="10">
        <f t="shared" si="120"/>
        <v>243.20399999999998</v>
      </c>
      <c r="H3211" s="11">
        <v>41964</v>
      </c>
      <c r="I3211" s="10" t="s">
        <v>178</v>
      </c>
      <c r="J3211" s="10" t="s">
        <v>11702</v>
      </c>
      <c r="K3211" s="10" t="s">
        <v>5478</v>
      </c>
      <c r="L3211" s="10">
        <v>13</v>
      </c>
      <c r="M3211" s="16" t="s">
        <v>11692</v>
      </c>
      <c r="N3211" s="16" t="s">
        <v>167</v>
      </c>
      <c r="O3211" s="13"/>
    </row>
    <row r="3212" spans="1:15" s="1" customFormat="1">
      <c r="A3212" s="8" t="s">
        <v>11673</v>
      </c>
      <c r="B3212" s="8"/>
      <c r="C3212" s="8"/>
      <c r="D3212" s="13" t="s">
        <v>443</v>
      </c>
      <c r="E3212" s="9" t="s">
        <v>11674</v>
      </c>
      <c r="F3212" s="8" t="s">
        <v>11681</v>
      </c>
      <c r="G3212" s="10">
        <f t="shared" si="120"/>
        <v>224.49599999999998</v>
      </c>
      <c r="H3212" s="11">
        <v>41964</v>
      </c>
      <c r="I3212" s="10" t="s">
        <v>178</v>
      </c>
      <c r="J3212" s="10" t="s">
        <v>11703</v>
      </c>
      <c r="K3212" s="10" t="s">
        <v>5478</v>
      </c>
      <c r="L3212" s="10">
        <v>12</v>
      </c>
      <c r="M3212" s="16" t="s">
        <v>11693</v>
      </c>
      <c r="N3212" s="16" t="s">
        <v>78</v>
      </c>
      <c r="O3212" s="13"/>
    </row>
    <row r="3213" spans="1:15" s="1" customFormat="1">
      <c r="A3213" s="8" t="s">
        <v>11673</v>
      </c>
      <c r="B3213" s="8"/>
      <c r="C3213" s="8"/>
      <c r="D3213" s="13" t="s">
        <v>443</v>
      </c>
      <c r="E3213" s="9" t="s">
        <v>11674</v>
      </c>
      <c r="F3213" s="8" t="s">
        <v>11682</v>
      </c>
      <c r="G3213" s="10">
        <f t="shared" si="120"/>
        <v>243.20399999999998</v>
      </c>
      <c r="H3213" s="11">
        <v>41964</v>
      </c>
      <c r="I3213" s="10" t="s">
        <v>178</v>
      </c>
      <c r="J3213" s="10" t="s">
        <v>11704</v>
      </c>
      <c r="K3213" s="10" t="s">
        <v>5478</v>
      </c>
      <c r="L3213" s="10">
        <v>13</v>
      </c>
      <c r="M3213" s="16" t="s">
        <v>11693</v>
      </c>
      <c r="N3213" s="16" t="s">
        <v>167</v>
      </c>
      <c r="O3213" s="13"/>
    </row>
    <row r="3214" spans="1:15" s="1" customFormat="1">
      <c r="A3214" s="8" t="s">
        <v>11673</v>
      </c>
      <c r="B3214" s="8"/>
      <c r="C3214" s="8"/>
      <c r="D3214" s="13" t="s">
        <v>443</v>
      </c>
      <c r="E3214" s="9" t="s">
        <v>11674</v>
      </c>
      <c r="F3214" s="8" t="s">
        <v>11683</v>
      </c>
      <c r="G3214" s="10">
        <f t="shared" si="120"/>
        <v>224.49599999999998</v>
      </c>
      <c r="H3214" s="11">
        <v>41964</v>
      </c>
      <c r="I3214" s="10" t="s">
        <v>178</v>
      </c>
      <c r="J3214" s="10" t="s">
        <v>11705</v>
      </c>
      <c r="K3214" s="10" t="s">
        <v>5478</v>
      </c>
      <c r="L3214" s="10">
        <v>12</v>
      </c>
      <c r="M3214" s="16" t="s">
        <v>11694</v>
      </c>
      <c r="N3214" s="16" t="s">
        <v>78</v>
      </c>
      <c r="O3214" s="13"/>
    </row>
    <row r="3215" spans="1:15" s="1" customFormat="1">
      <c r="A3215" s="8" t="s">
        <v>11673</v>
      </c>
      <c r="B3215" s="8"/>
      <c r="C3215" s="8"/>
      <c r="D3215" s="13" t="s">
        <v>443</v>
      </c>
      <c r="E3215" s="9" t="s">
        <v>11674</v>
      </c>
      <c r="F3215" s="8" t="s">
        <v>11685</v>
      </c>
      <c r="G3215" s="10">
        <f t="shared" si="120"/>
        <v>224.49599999999998</v>
      </c>
      <c r="H3215" s="11">
        <v>41964</v>
      </c>
      <c r="I3215" s="10" t="s">
        <v>178</v>
      </c>
      <c r="J3215" s="10" t="s">
        <v>11707</v>
      </c>
      <c r="K3215" s="10" t="s">
        <v>5478</v>
      </c>
      <c r="L3215" s="10">
        <v>12</v>
      </c>
      <c r="M3215" s="16" t="s">
        <v>11695</v>
      </c>
      <c r="N3215" s="16" t="s">
        <v>78</v>
      </c>
      <c r="O3215" s="13"/>
    </row>
    <row r="3216" spans="1:15" s="1" customFormat="1">
      <c r="A3216" s="8" t="s">
        <v>11673</v>
      </c>
      <c r="B3216" s="8"/>
      <c r="C3216" s="8"/>
      <c r="D3216" s="13" t="s">
        <v>443</v>
      </c>
      <c r="E3216" s="9" t="s">
        <v>11674</v>
      </c>
      <c r="F3216" s="8" t="s">
        <v>11686</v>
      </c>
      <c r="G3216" s="10">
        <f t="shared" si="120"/>
        <v>243.20399999999998</v>
      </c>
      <c r="H3216" s="11">
        <v>41964</v>
      </c>
      <c r="I3216" s="10" t="s">
        <v>178</v>
      </c>
      <c r="J3216" s="10" t="s">
        <v>11708</v>
      </c>
      <c r="K3216" s="10" t="s">
        <v>5478</v>
      </c>
      <c r="L3216" s="10">
        <v>13</v>
      </c>
      <c r="M3216" s="16" t="s">
        <v>11695</v>
      </c>
      <c r="N3216" s="16" t="s">
        <v>167</v>
      </c>
      <c r="O3216" s="13"/>
    </row>
    <row r="3217" spans="1:15" s="1" customFormat="1">
      <c r="A3217" s="8" t="s">
        <v>11673</v>
      </c>
      <c r="B3217" s="8"/>
      <c r="C3217" s="8"/>
      <c r="D3217" s="13" t="s">
        <v>443</v>
      </c>
      <c r="E3217" s="9" t="s">
        <v>11674</v>
      </c>
      <c r="F3217" s="8" t="s">
        <v>11687</v>
      </c>
      <c r="G3217" s="10">
        <f t="shared" si="120"/>
        <v>224.49599999999998</v>
      </c>
      <c r="H3217" s="11">
        <v>41964</v>
      </c>
      <c r="I3217" s="10" t="s">
        <v>178</v>
      </c>
      <c r="J3217" s="10" t="s">
        <v>11709</v>
      </c>
      <c r="K3217" s="10" t="s">
        <v>5478</v>
      </c>
      <c r="L3217" s="10">
        <v>12</v>
      </c>
      <c r="M3217" s="16" t="s">
        <v>11696</v>
      </c>
      <c r="N3217" s="16" t="s">
        <v>78</v>
      </c>
      <c r="O3217" s="13"/>
    </row>
    <row r="3218" spans="1:15" s="1" customFormat="1">
      <c r="A3218" s="8" t="s">
        <v>11673</v>
      </c>
      <c r="B3218" s="8"/>
      <c r="C3218" s="8"/>
      <c r="D3218" s="13" t="s">
        <v>443</v>
      </c>
      <c r="E3218" s="9" t="s">
        <v>11674</v>
      </c>
      <c r="F3218" s="8" t="s">
        <v>11688</v>
      </c>
      <c r="G3218" s="10">
        <f t="shared" si="120"/>
        <v>243.20399999999998</v>
      </c>
      <c r="H3218" s="11">
        <v>41964</v>
      </c>
      <c r="I3218" s="10" t="s">
        <v>11689</v>
      </c>
      <c r="J3218" s="10" t="s">
        <v>11710</v>
      </c>
      <c r="K3218" s="10" t="s">
        <v>5478</v>
      </c>
      <c r="L3218" s="10">
        <v>13</v>
      </c>
      <c r="M3218" s="16" t="s">
        <v>11696</v>
      </c>
      <c r="N3218" s="16" t="s">
        <v>167</v>
      </c>
      <c r="O3218" s="13"/>
    </row>
    <row r="3219" spans="1:15" s="1" customFormat="1">
      <c r="A3219" s="8" t="s">
        <v>11711</v>
      </c>
      <c r="B3219" s="8"/>
      <c r="C3219" s="8"/>
      <c r="D3219" s="13" t="s">
        <v>773</v>
      </c>
      <c r="E3219" s="9" t="s">
        <v>11712</v>
      </c>
      <c r="F3219" s="8" t="s">
        <v>11713</v>
      </c>
      <c r="G3219" s="10">
        <f t="shared" si="120"/>
        <v>187.07999999999998</v>
      </c>
      <c r="H3219" s="11">
        <v>41964</v>
      </c>
      <c r="I3219" s="10" t="s">
        <v>11717</v>
      </c>
      <c r="J3219" s="10" t="s">
        <v>11715</v>
      </c>
      <c r="K3219" s="10" t="s">
        <v>11716</v>
      </c>
      <c r="L3219" s="10">
        <v>10</v>
      </c>
      <c r="M3219" s="16" t="s">
        <v>11714</v>
      </c>
      <c r="N3219" s="16" t="s">
        <v>4953</v>
      </c>
      <c r="O3219" s="13"/>
    </row>
    <row r="3220" spans="1:15" s="1" customFormat="1">
      <c r="A3220" s="8" t="s">
        <v>11748</v>
      </c>
      <c r="B3220" s="8"/>
      <c r="C3220" s="8"/>
      <c r="D3220" s="13" t="s">
        <v>170</v>
      </c>
      <c r="E3220" s="9" t="s">
        <v>11749</v>
      </c>
      <c r="F3220" s="8" t="s">
        <v>11750</v>
      </c>
      <c r="G3220" s="10">
        <f>17.498*L3220</f>
        <v>209.976</v>
      </c>
      <c r="H3220" s="11">
        <v>41964</v>
      </c>
      <c r="I3220" s="10" t="s">
        <v>265</v>
      </c>
      <c r="J3220" s="10" t="s">
        <v>11754</v>
      </c>
      <c r="K3220" s="10" t="s">
        <v>11716</v>
      </c>
      <c r="L3220" s="10">
        <v>12</v>
      </c>
      <c r="M3220" s="16" t="s">
        <v>11752</v>
      </c>
      <c r="N3220" s="16" t="s">
        <v>78</v>
      </c>
      <c r="O3220" s="13"/>
    </row>
    <row r="3221" spans="1:15" s="1" customFormat="1">
      <c r="A3221" s="8" t="s">
        <v>11756</v>
      </c>
      <c r="B3221" s="8"/>
      <c r="C3221" s="8"/>
      <c r="D3221" s="13" t="s">
        <v>270</v>
      </c>
      <c r="E3221" s="9" t="s">
        <v>11749</v>
      </c>
      <c r="F3221" s="8" t="s">
        <v>11758</v>
      </c>
      <c r="G3221" s="10">
        <f>17.498*L3221</f>
        <v>227.47400000000002</v>
      </c>
      <c r="H3221" s="11">
        <v>41964</v>
      </c>
      <c r="I3221" s="10" t="s">
        <v>913</v>
      </c>
      <c r="J3221" s="10" t="s">
        <v>11761</v>
      </c>
      <c r="K3221" s="10" t="s">
        <v>11762</v>
      </c>
      <c r="L3221" s="10">
        <v>13</v>
      </c>
      <c r="M3221" s="16" t="s">
        <v>11765</v>
      </c>
      <c r="N3221" s="16" t="s">
        <v>8866</v>
      </c>
      <c r="O3221" s="13"/>
    </row>
    <row r="3222" spans="1:15" s="1" customFormat="1">
      <c r="A3222" s="8" t="s">
        <v>11849</v>
      </c>
      <c r="B3222" s="8"/>
      <c r="C3222" s="8"/>
      <c r="D3222" s="13" t="s">
        <v>1128</v>
      </c>
      <c r="E3222" s="9" t="s">
        <v>11850</v>
      </c>
      <c r="F3222" s="8" t="s">
        <v>11885</v>
      </c>
      <c r="G3222" s="61">
        <f t="shared" ref="G3222:G3227" si="121">29.101*L3222</f>
        <v>378.31299999999999</v>
      </c>
      <c r="H3222" s="11">
        <v>41967</v>
      </c>
      <c r="I3222" s="61" t="s">
        <v>11414</v>
      </c>
      <c r="J3222" s="10" t="s">
        <v>11854</v>
      </c>
      <c r="K3222" s="61" t="s">
        <v>11416</v>
      </c>
      <c r="L3222" s="10">
        <v>13</v>
      </c>
      <c r="M3222" s="16" t="s">
        <v>11873</v>
      </c>
      <c r="N3222" s="16" t="s">
        <v>81</v>
      </c>
      <c r="O3222" s="13"/>
    </row>
    <row r="3223" spans="1:15" s="1" customFormat="1">
      <c r="A3223" s="8" t="s">
        <v>11849</v>
      </c>
      <c r="B3223" s="8"/>
      <c r="C3223" s="8"/>
      <c r="D3223" s="13" t="s">
        <v>1128</v>
      </c>
      <c r="E3223" s="9" t="s">
        <v>11850</v>
      </c>
      <c r="F3223" s="8" t="s">
        <v>11886</v>
      </c>
      <c r="G3223" s="61">
        <f t="shared" si="121"/>
        <v>349.21199999999999</v>
      </c>
      <c r="H3223" s="11">
        <v>41967</v>
      </c>
      <c r="I3223" s="61" t="s">
        <v>11414</v>
      </c>
      <c r="J3223" s="10" t="s">
        <v>11855</v>
      </c>
      <c r="K3223" s="61" t="s">
        <v>11416</v>
      </c>
      <c r="L3223" s="10">
        <v>12</v>
      </c>
      <c r="M3223" s="16" t="s">
        <v>11874</v>
      </c>
      <c r="N3223" s="16" t="s">
        <v>78</v>
      </c>
      <c r="O3223" s="13"/>
    </row>
    <row r="3224" spans="1:15" s="1" customFormat="1">
      <c r="A3224" s="8" t="s">
        <v>11849</v>
      </c>
      <c r="B3224" s="8"/>
      <c r="C3224" s="8"/>
      <c r="D3224" s="13" t="s">
        <v>1128</v>
      </c>
      <c r="E3224" s="9" t="s">
        <v>11850</v>
      </c>
      <c r="F3224" s="8" t="s">
        <v>11894</v>
      </c>
      <c r="G3224" s="61">
        <f t="shared" si="121"/>
        <v>349.21199999999999</v>
      </c>
      <c r="H3224" s="11">
        <v>41967</v>
      </c>
      <c r="I3224" s="61" t="s">
        <v>11414</v>
      </c>
      <c r="J3224" s="10" t="s">
        <v>11863</v>
      </c>
      <c r="K3224" s="61" t="s">
        <v>11416</v>
      </c>
      <c r="L3224" s="10">
        <v>12</v>
      </c>
      <c r="M3224" s="16" t="s">
        <v>11878</v>
      </c>
      <c r="N3224" s="16" t="s">
        <v>78</v>
      </c>
      <c r="O3224" s="13"/>
    </row>
    <row r="3225" spans="1:15" s="1" customFormat="1">
      <c r="A3225" s="8" t="s">
        <v>11849</v>
      </c>
      <c r="B3225" s="8"/>
      <c r="C3225" s="8"/>
      <c r="D3225" s="13" t="s">
        <v>1128</v>
      </c>
      <c r="E3225" s="9" t="s">
        <v>11850</v>
      </c>
      <c r="F3225" s="8" t="s">
        <v>11896</v>
      </c>
      <c r="G3225" s="61">
        <f t="shared" si="121"/>
        <v>349.21199999999999</v>
      </c>
      <c r="H3225" s="11">
        <v>41967</v>
      </c>
      <c r="I3225" s="61" t="s">
        <v>11414</v>
      </c>
      <c r="J3225" s="10" t="s">
        <v>11865</v>
      </c>
      <c r="K3225" s="61" t="s">
        <v>11416</v>
      </c>
      <c r="L3225" s="10">
        <v>12</v>
      </c>
      <c r="M3225" s="16" t="s">
        <v>11879</v>
      </c>
      <c r="N3225" s="16" t="s">
        <v>78</v>
      </c>
      <c r="O3225" s="13"/>
    </row>
    <row r="3226" spans="1:15" s="1" customFormat="1">
      <c r="A3226" s="8" t="s">
        <v>11849</v>
      </c>
      <c r="B3226" s="8"/>
      <c r="C3226" s="8"/>
      <c r="D3226" s="13" t="s">
        <v>1128</v>
      </c>
      <c r="E3226" s="9" t="s">
        <v>11850</v>
      </c>
      <c r="F3226" s="8" t="s">
        <v>11899</v>
      </c>
      <c r="G3226" s="61">
        <f t="shared" si="121"/>
        <v>378.31299999999999</v>
      </c>
      <c r="H3226" s="11">
        <v>41967</v>
      </c>
      <c r="I3226" s="61" t="s">
        <v>11414</v>
      </c>
      <c r="J3226" s="10" t="s">
        <v>11868</v>
      </c>
      <c r="K3226" s="61" t="s">
        <v>11416</v>
      </c>
      <c r="L3226" s="10">
        <v>13</v>
      </c>
      <c r="M3226" s="16" t="s">
        <v>11880</v>
      </c>
      <c r="N3226" s="16" t="s">
        <v>81</v>
      </c>
      <c r="O3226" s="13"/>
    </row>
    <row r="3227" spans="1:15" s="1" customFormat="1">
      <c r="A3227" s="8" t="s">
        <v>11849</v>
      </c>
      <c r="B3227" s="8"/>
      <c r="C3227" s="8"/>
      <c r="D3227" s="13" t="s">
        <v>1128</v>
      </c>
      <c r="E3227" s="9" t="s">
        <v>11850</v>
      </c>
      <c r="F3227" s="8" t="s">
        <v>11903</v>
      </c>
      <c r="G3227" s="61">
        <f t="shared" si="121"/>
        <v>378.31299999999999</v>
      </c>
      <c r="H3227" s="11">
        <v>41967</v>
      </c>
      <c r="I3227" s="61" t="s">
        <v>11414</v>
      </c>
      <c r="J3227" s="10" t="s">
        <v>11872</v>
      </c>
      <c r="K3227" s="61" t="s">
        <v>11416</v>
      </c>
      <c r="L3227" s="10">
        <v>13</v>
      </c>
      <c r="M3227" s="16" t="s">
        <v>11882</v>
      </c>
      <c r="N3227" s="16" t="s">
        <v>81</v>
      </c>
      <c r="O3227" s="13"/>
    </row>
    <row r="3228" spans="1:15" s="1" customFormat="1">
      <c r="A3228" s="8" t="s">
        <v>11904</v>
      </c>
      <c r="B3228" s="8"/>
      <c r="C3228" s="8"/>
      <c r="D3228" s="13" t="s">
        <v>443</v>
      </c>
      <c r="E3228" s="9" t="s">
        <v>11850</v>
      </c>
      <c r="F3228" s="8" t="s">
        <v>11905</v>
      </c>
      <c r="G3228" s="10">
        <f>18.708*L3228</f>
        <v>224.49599999999998</v>
      </c>
      <c r="H3228" s="11">
        <v>41967</v>
      </c>
      <c r="I3228" s="10" t="s">
        <v>178</v>
      </c>
      <c r="J3228" s="10" t="s">
        <v>11907</v>
      </c>
      <c r="K3228" s="10" t="s">
        <v>5478</v>
      </c>
      <c r="L3228" s="10">
        <v>12</v>
      </c>
      <c r="M3228" s="16" t="s">
        <v>11909</v>
      </c>
      <c r="N3228" s="16" t="s">
        <v>78</v>
      </c>
      <c r="O3228" s="13"/>
    </row>
    <row r="3229" spans="1:15" s="1" customFormat="1">
      <c r="A3229" s="8" t="s">
        <v>11904</v>
      </c>
      <c r="B3229" s="8"/>
      <c r="C3229" s="8"/>
      <c r="D3229" s="13" t="s">
        <v>443</v>
      </c>
      <c r="E3229" s="9" t="s">
        <v>11850</v>
      </c>
      <c r="F3229" s="8" t="s">
        <v>11906</v>
      </c>
      <c r="G3229" s="10">
        <f>18.708*L3229</f>
        <v>243.20399999999998</v>
      </c>
      <c r="H3229" s="11">
        <v>41967</v>
      </c>
      <c r="I3229" s="10" t="s">
        <v>11592</v>
      </c>
      <c r="J3229" s="10" t="s">
        <v>11908</v>
      </c>
      <c r="K3229" s="10" t="s">
        <v>5478</v>
      </c>
      <c r="L3229" s="10">
        <v>13</v>
      </c>
      <c r="M3229" s="16" t="s">
        <v>11909</v>
      </c>
      <c r="N3229" s="16" t="s">
        <v>167</v>
      </c>
      <c r="O3229" s="13"/>
    </row>
    <row r="3230" spans="1:15" s="1" customFormat="1">
      <c r="A3230" s="74" t="s">
        <v>11910</v>
      </c>
      <c r="B3230" s="8"/>
      <c r="C3230" s="8"/>
      <c r="D3230" s="13" t="s">
        <v>3106</v>
      </c>
      <c r="E3230" s="9" t="s">
        <v>11850</v>
      </c>
      <c r="F3230" s="8" t="s">
        <v>11911</v>
      </c>
      <c r="G3230" s="10">
        <f>17.498*L3230</f>
        <v>174.98000000000002</v>
      </c>
      <c r="H3230" s="11">
        <v>41967</v>
      </c>
      <c r="I3230" s="10" t="s">
        <v>11809</v>
      </c>
      <c r="J3230" s="10" t="s">
        <v>11913</v>
      </c>
      <c r="K3230" s="10" t="s">
        <v>11475</v>
      </c>
      <c r="L3230" s="10">
        <v>10</v>
      </c>
      <c r="M3230" s="16" t="s">
        <v>11914</v>
      </c>
      <c r="N3230" s="16" t="s">
        <v>4953</v>
      </c>
      <c r="O3230" s="13"/>
    </row>
    <row r="3231" spans="1:15" s="1" customFormat="1">
      <c r="A3231" s="8" t="s">
        <v>11921</v>
      </c>
      <c r="B3231" s="8"/>
      <c r="C3231" s="8"/>
      <c r="D3231" s="13" t="s">
        <v>1151</v>
      </c>
      <c r="E3231" s="9" t="s">
        <v>11850</v>
      </c>
      <c r="F3231" s="8" t="s">
        <v>11919</v>
      </c>
      <c r="G3231" s="10">
        <f>17.712*L3231</f>
        <v>247.96799999999999</v>
      </c>
      <c r="H3231" s="11">
        <v>41967</v>
      </c>
      <c r="I3231" s="10" t="s">
        <v>11472</v>
      </c>
      <c r="J3231" s="10" t="s">
        <v>11920</v>
      </c>
      <c r="K3231" s="10" t="s">
        <v>11475</v>
      </c>
      <c r="L3231" s="10">
        <v>14</v>
      </c>
      <c r="M3231" s="16" t="s">
        <v>11922</v>
      </c>
      <c r="N3231" s="16" t="s">
        <v>5520</v>
      </c>
      <c r="O3231" s="13"/>
    </row>
    <row r="3232" spans="1:15" s="1" customFormat="1">
      <c r="A3232" s="8" t="s">
        <v>12486</v>
      </c>
      <c r="B3232" s="8"/>
      <c r="C3232" s="8"/>
      <c r="D3232" s="13" t="s">
        <v>11924</v>
      </c>
      <c r="E3232" s="9" t="s">
        <v>11926</v>
      </c>
      <c r="F3232" s="8" t="s">
        <v>12965</v>
      </c>
      <c r="G3232" s="61">
        <f>10.27*L3232</f>
        <v>20.54</v>
      </c>
      <c r="H3232" s="11">
        <v>41968</v>
      </c>
      <c r="I3232" s="61" t="s">
        <v>11432</v>
      </c>
      <c r="J3232" s="10" t="s">
        <v>11928</v>
      </c>
      <c r="K3232" s="10" t="s">
        <v>11559</v>
      </c>
      <c r="L3232" s="10">
        <v>2</v>
      </c>
      <c r="M3232" s="16" t="s">
        <v>11929</v>
      </c>
      <c r="N3232" s="16" t="s">
        <v>11930</v>
      </c>
      <c r="O3232" s="13"/>
    </row>
    <row r="3233" spans="1:15" s="1" customFormat="1">
      <c r="A3233" s="74" t="s">
        <v>11931</v>
      </c>
      <c r="B3233" s="8"/>
      <c r="C3233" s="8"/>
      <c r="D3233" s="13" t="s">
        <v>11932</v>
      </c>
      <c r="E3233" s="9" t="s">
        <v>11933</v>
      </c>
      <c r="F3233" s="8" t="s">
        <v>11925</v>
      </c>
      <c r="G3233" s="10">
        <f>5.286*L3233</f>
        <v>21.143999999999998</v>
      </c>
      <c r="H3233" s="11">
        <v>41968</v>
      </c>
      <c r="I3233" s="10" t="s">
        <v>11937</v>
      </c>
      <c r="J3233" s="10" t="s">
        <v>11934</v>
      </c>
      <c r="K3233" s="10" t="s">
        <v>11534</v>
      </c>
      <c r="L3233" s="10">
        <v>4</v>
      </c>
      <c r="M3233" s="16" t="s">
        <v>11935</v>
      </c>
      <c r="N3233" s="16" t="s">
        <v>11936</v>
      </c>
      <c r="O3233" s="13" t="s">
        <v>12188</v>
      </c>
    </row>
    <row r="3234" spans="1:15" s="1" customFormat="1">
      <c r="A3234" s="8" t="s">
        <v>11938</v>
      </c>
      <c r="B3234" s="8"/>
      <c r="C3234" s="8"/>
      <c r="D3234" s="13" t="s">
        <v>11939</v>
      </c>
      <c r="E3234" s="9" t="s">
        <v>11940</v>
      </c>
      <c r="F3234" s="8" t="s">
        <v>11941</v>
      </c>
      <c r="G3234" s="10">
        <f>17.52*L3234</f>
        <v>87.6</v>
      </c>
      <c r="H3234" s="11">
        <v>41968</v>
      </c>
      <c r="I3234" s="10" t="s">
        <v>11944</v>
      </c>
      <c r="J3234" s="10" t="s">
        <v>11942</v>
      </c>
      <c r="K3234" s="10" t="s">
        <v>11943</v>
      </c>
      <c r="L3234" s="10">
        <v>5</v>
      </c>
      <c r="M3234" s="16" t="s">
        <v>11945</v>
      </c>
      <c r="N3234" s="16" t="s">
        <v>11946</v>
      </c>
      <c r="O3234" s="13" t="s">
        <v>12137</v>
      </c>
    </row>
    <row r="3235" spans="1:15" s="1" customFormat="1">
      <c r="A3235" s="8" t="s">
        <v>11947</v>
      </c>
      <c r="B3235" s="8" t="s">
        <v>283</v>
      </c>
      <c r="C3235" s="8"/>
      <c r="D3235" s="13" t="s">
        <v>13423</v>
      </c>
      <c r="E3235" s="9" t="s">
        <v>11470</v>
      </c>
      <c r="F3235" s="8" t="s">
        <v>11949</v>
      </c>
      <c r="G3235" s="10">
        <f>29.101*L3235</f>
        <v>349.21199999999999</v>
      </c>
      <c r="H3235" s="11">
        <v>41968</v>
      </c>
      <c r="I3235" s="10" t="s">
        <v>11957</v>
      </c>
      <c r="J3235" s="10" t="s">
        <v>11950</v>
      </c>
      <c r="K3235" s="10" t="s">
        <v>11534</v>
      </c>
      <c r="L3235" s="10">
        <v>12</v>
      </c>
      <c r="M3235" s="16" t="s">
        <v>11951</v>
      </c>
      <c r="N3235" s="16" t="s">
        <v>11743</v>
      </c>
      <c r="O3235" s="13" t="s">
        <v>12864</v>
      </c>
    </row>
    <row r="3236" spans="1:15" s="1" customFormat="1">
      <c r="A3236" s="8" t="s">
        <v>11956</v>
      </c>
      <c r="B3236" s="14" t="s">
        <v>283</v>
      </c>
      <c r="C3236" s="8"/>
      <c r="D3236" s="13" t="s">
        <v>558</v>
      </c>
      <c r="E3236" s="9" t="s">
        <v>11948</v>
      </c>
      <c r="F3236" s="8" t="s">
        <v>13063</v>
      </c>
      <c r="G3236" s="10">
        <f>29.101*L3236</f>
        <v>378.31299999999999</v>
      </c>
      <c r="H3236" s="11">
        <v>41968</v>
      </c>
      <c r="I3236" s="10" t="s">
        <v>11957</v>
      </c>
      <c r="J3236" s="10" t="s">
        <v>11952</v>
      </c>
      <c r="K3236" s="10" t="s">
        <v>11762</v>
      </c>
      <c r="L3236" s="10">
        <v>13</v>
      </c>
      <c r="M3236" s="16" t="s">
        <v>11951</v>
      </c>
      <c r="N3236" s="16" t="s">
        <v>11955</v>
      </c>
      <c r="O3236" s="13" t="s">
        <v>12901</v>
      </c>
    </row>
    <row r="3237" spans="1:15" s="1" customFormat="1">
      <c r="A3237" s="8" t="s">
        <v>11958</v>
      </c>
      <c r="B3237" s="8"/>
      <c r="C3237" s="8"/>
      <c r="D3237" s="13" t="s">
        <v>417</v>
      </c>
      <c r="E3237" s="9" t="s">
        <v>11940</v>
      </c>
      <c r="F3237" s="8" t="s">
        <v>11961</v>
      </c>
      <c r="G3237" s="10">
        <f>29.101*L3237</f>
        <v>203.70699999999999</v>
      </c>
      <c r="H3237" s="11">
        <v>41968</v>
      </c>
      <c r="I3237" s="10" t="s">
        <v>419</v>
      </c>
      <c r="J3237" s="10" t="s">
        <v>11964</v>
      </c>
      <c r="K3237" s="10" t="s">
        <v>5478</v>
      </c>
      <c r="L3237" s="10">
        <v>7</v>
      </c>
      <c r="M3237" s="16" t="s">
        <v>11967</v>
      </c>
      <c r="N3237" s="16" t="s">
        <v>11968</v>
      </c>
      <c r="O3237" s="13" t="s">
        <v>12140</v>
      </c>
    </row>
    <row r="3238" spans="1:15" s="1" customFormat="1">
      <c r="A3238" s="8" t="s">
        <v>11977</v>
      </c>
      <c r="B3238" s="8"/>
      <c r="C3238" s="8"/>
      <c r="D3238" s="13" t="s">
        <v>11978</v>
      </c>
      <c r="E3238" s="9" t="s">
        <v>11979</v>
      </c>
      <c r="F3238" s="8" t="s">
        <v>11981</v>
      </c>
      <c r="G3238" s="10">
        <f>14.405*L3238</f>
        <v>172.85999999999999</v>
      </c>
      <c r="H3238" s="11">
        <v>41969</v>
      </c>
      <c r="I3238" s="10" t="s">
        <v>11472</v>
      </c>
      <c r="J3238" s="10" t="s">
        <v>11988</v>
      </c>
      <c r="K3238" s="10" t="s">
        <v>11475</v>
      </c>
      <c r="L3238" s="10">
        <v>12</v>
      </c>
      <c r="M3238" s="16" t="s">
        <v>11994</v>
      </c>
      <c r="N3238" s="16" t="s">
        <v>78</v>
      </c>
      <c r="O3238" s="13" t="s">
        <v>11994</v>
      </c>
    </row>
    <row r="3239" spans="1:15" s="1" customFormat="1">
      <c r="A3239" s="8" t="s">
        <v>11977</v>
      </c>
      <c r="B3239" s="8"/>
      <c r="C3239" s="8"/>
      <c r="D3239" s="13" t="s">
        <v>11978</v>
      </c>
      <c r="E3239" s="9" t="s">
        <v>11979</v>
      </c>
      <c r="F3239" s="8" t="s">
        <v>11984</v>
      </c>
      <c r="G3239" s="10">
        <f>14.405*L3239</f>
        <v>187.26499999999999</v>
      </c>
      <c r="H3239" s="11">
        <v>41969</v>
      </c>
      <c r="I3239" s="10" t="s">
        <v>11472</v>
      </c>
      <c r="J3239" s="10" t="s">
        <v>11991</v>
      </c>
      <c r="K3239" s="10" t="s">
        <v>11475</v>
      </c>
      <c r="L3239" s="10">
        <v>13</v>
      </c>
      <c r="M3239" s="16" t="s">
        <v>11995</v>
      </c>
      <c r="N3239" s="16" t="s">
        <v>81</v>
      </c>
      <c r="O3239" s="13" t="s">
        <v>12145</v>
      </c>
    </row>
    <row r="3240" spans="1:15" s="1" customFormat="1">
      <c r="A3240" s="8" t="s">
        <v>11977</v>
      </c>
      <c r="B3240" s="8"/>
      <c r="C3240" s="8"/>
      <c r="D3240" s="13" t="s">
        <v>11978</v>
      </c>
      <c r="E3240" s="9" t="s">
        <v>11979</v>
      </c>
      <c r="F3240" s="8" t="s">
        <v>11986</v>
      </c>
      <c r="G3240" s="10">
        <f>14.405*L3240</f>
        <v>57.62</v>
      </c>
      <c r="H3240" s="11">
        <v>41969</v>
      </c>
      <c r="I3240" s="10" t="s">
        <v>11472</v>
      </c>
      <c r="J3240" s="10" t="s">
        <v>11993</v>
      </c>
      <c r="K3240" s="10" t="s">
        <v>11475</v>
      </c>
      <c r="L3240" s="10">
        <v>4</v>
      </c>
      <c r="M3240" s="16" t="s">
        <v>11997</v>
      </c>
      <c r="N3240" s="16" t="s">
        <v>4685</v>
      </c>
      <c r="O3240" s="13" t="s">
        <v>11997</v>
      </c>
    </row>
    <row r="3241" spans="1:15" s="1" customFormat="1">
      <c r="A3241" s="8" t="s">
        <v>11998</v>
      </c>
      <c r="B3241" s="8"/>
      <c r="C3241" s="8"/>
      <c r="D3241" s="13" t="s">
        <v>11999</v>
      </c>
      <c r="E3241" s="9" t="s">
        <v>12000</v>
      </c>
      <c r="F3241" s="8" t="s">
        <v>12001</v>
      </c>
      <c r="G3241" s="10">
        <f>17.498*L3241</f>
        <v>69.992000000000004</v>
      </c>
      <c r="H3241" s="11">
        <v>41969</v>
      </c>
      <c r="I3241" s="10" t="s">
        <v>12006</v>
      </c>
      <c r="J3241" s="10" t="s">
        <v>12003</v>
      </c>
      <c r="K3241" s="10" t="s">
        <v>11475</v>
      </c>
      <c r="L3241" s="10">
        <v>4</v>
      </c>
      <c r="M3241" s="16" t="s">
        <v>12004</v>
      </c>
      <c r="N3241" s="16" t="s">
        <v>12005</v>
      </c>
      <c r="O3241" s="13" t="s">
        <v>12146</v>
      </c>
    </row>
    <row r="3242" spans="1:15" s="1" customFormat="1">
      <c r="A3242" s="8" t="s">
        <v>12007</v>
      </c>
      <c r="B3242" s="14" t="s">
        <v>283</v>
      </c>
      <c r="C3242" s="8"/>
      <c r="D3242" s="13" t="s">
        <v>12008</v>
      </c>
      <c r="E3242" s="9" t="s">
        <v>12000</v>
      </c>
      <c r="F3242" s="8" t="s">
        <v>12009</v>
      </c>
      <c r="G3242" s="10">
        <f>9.871*L3242</f>
        <v>118.452</v>
      </c>
      <c r="H3242" s="11">
        <v>41969</v>
      </c>
      <c r="I3242" s="10" t="s">
        <v>161</v>
      </c>
      <c r="J3242" s="10" t="s">
        <v>12011</v>
      </c>
      <c r="K3242" s="10" t="s">
        <v>5478</v>
      </c>
      <c r="L3242" s="10">
        <v>12</v>
      </c>
      <c r="M3242" s="16" t="s">
        <v>12013</v>
      </c>
      <c r="N3242" s="16" t="s">
        <v>78</v>
      </c>
      <c r="O3242" s="13" t="s">
        <v>13073</v>
      </c>
    </row>
    <row r="3243" spans="1:15" s="1" customFormat="1">
      <c r="A3243" s="8" t="s">
        <v>12007</v>
      </c>
      <c r="B3243" s="14" t="s">
        <v>283</v>
      </c>
      <c r="C3243" s="8"/>
      <c r="D3243" s="13" t="s">
        <v>12008</v>
      </c>
      <c r="E3243" s="9" t="s">
        <v>11470</v>
      </c>
      <c r="F3243" s="8" t="s">
        <v>12010</v>
      </c>
      <c r="G3243" s="10">
        <f>9.871*L3243</f>
        <v>128.32300000000001</v>
      </c>
      <c r="H3243" s="11">
        <v>41969</v>
      </c>
      <c r="I3243" s="10" t="s">
        <v>12014</v>
      </c>
      <c r="J3243" s="10" t="s">
        <v>12012</v>
      </c>
      <c r="K3243" s="10" t="s">
        <v>5478</v>
      </c>
      <c r="L3243" s="10">
        <v>13</v>
      </c>
      <c r="M3243" s="16" t="s">
        <v>12013</v>
      </c>
      <c r="N3243" s="16" t="s">
        <v>167</v>
      </c>
      <c r="O3243" s="13" t="s">
        <v>13074</v>
      </c>
    </row>
    <row r="3244" spans="1:15" s="1" customFormat="1">
      <c r="A3244" s="8" t="s">
        <v>12015</v>
      </c>
      <c r="B3244" s="8"/>
      <c r="C3244" s="8"/>
      <c r="D3244" s="13" t="s">
        <v>1963</v>
      </c>
      <c r="E3244" s="9" t="s">
        <v>11979</v>
      </c>
      <c r="F3244" s="8" t="s">
        <v>12016</v>
      </c>
      <c r="G3244" s="10">
        <f>17.712*L3244</f>
        <v>194.83199999999999</v>
      </c>
      <c r="H3244" s="11">
        <v>41969</v>
      </c>
      <c r="I3244" s="10" t="s">
        <v>12006</v>
      </c>
      <c r="J3244" s="10" t="s">
        <v>12017</v>
      </c>
      <c r="K3244" s="10" t="s">
        <v>11534</v>
      </c>
      <c r="L3244" s="10">
        <v>11</v>
      </c>
      <c r="M3244" s="16" t="s">
        <v>12018</v>
      </c>
      <c r="N3244" s="16" t="s">
        <v>5088</v>
      </c>
      <c r="O3244" s="13" t="s">
        <v>12147</v>
      </c>
    </row>
    <row r="3245" spans="1:15" s="1" customFormat="1">
      <c r="A3245" s="8" t="s">
        <v>12019</v>
      </c>
      <c r="B3245" s="14" t="s">
        <v>11536</v>
      </c>
      <c r="C3245" s="8"/>
      <c r="D3245" s="13" t="s">
        <v>1287</v>
      </c>
      <c r="E3245" s="9" t="s">
        <v>11979</v>
      </c>
      <c r="F3245" s="8" t="s">
        <v>12020</v>
      </c>
      <c r="G3245" s="10">
        <f t="shared" ref="G3245:G3252" si="122">8.606*L3245</f>
        <v>103.27199999999999</v>
      </c>
      <c r="H3245" s="11">
        <v>41969</v>
      </c>
      <c r="I3245" s="10" t="s">
        <v>272</v>
      </c>
      <c r="J3245" s="10" t="s">
        <v>12028</v>
      </c>
      <c r="K3245" s="10" t="s">
        <v>11534</v>
      </c>
      <c r="L3245" s="10">
        <v>12</v>
      </c>
      <c r="M3245" s="16" t="s">
        <v>12036</v>
      </c>
      <c r="N3245" s="16" t="s">
        <v>78</v>
      </c>
      <c r="O3245" s="13" t="s">
        <v>12036</v>
      </c>
    </row>
    <row r="3246" spans="1:15" s="1" customFormat="1">
      <c r="A3246" s="8" t="s">
        <v>12019</v>
      </c>
      <c r="B3246" s="14" t="s">
        <v>11536</v>
      </c>
      <c r="C3246" s="8"/>
      <c r="D3246" s="13" t="s">
        <v>1287</v>
      </c>
      <c r="E3246" s="9" t="s">
        <v>11979</v>
      </c>
      <c r="F3246" s="8" t="s">
        <v>12021</v>
      </c>
      <c r="G3246" s="10">
        <f t="shared" si="122"/>
        <v>111.878</v>
      </c>
      <c r="H3246" s="11">
        <v>41969</v>
      </c>
      <c r="I3246" s="10" t="s">
        <v>272</v>
      </c>
      <c r="J3246" s="10" t="s">
        <v>12029</v>
      </c>
      <c r="K3246" s="10" t="s">
        <v>11534</v>
      </c>
      <c r="L3246" s="10">
        <v>13</v>
      </c>
      <c r="M3246" s="16" t="s">
        <v>12036</v>
      </c>
      <c r="N3246" s="16" t="s">
        <v>81</v>
      </c>
      <c r="O3246" s="13" t="s">
        <v>13075</v>
      </c>
    </row>
    <row r="3247" spans="1:15" s="1" customFormat="1">
      <c r="A3247" s="8" t="s">
        <v>12019</v>
      </c>
      <c r="B3247" s="14" t="s">
        <v>11536</v>
      </c>
      <c r="C3247" s="8"/>
      <c r="D3247" s="13" t="s">
        <v>1287</v>
      </c>
      <c r="E3247" s="9" t="s">
        <v>11979</v>
      </c>
      <c r="F3247" s="8" t="s">
        <v>12022</v>
      </c>
      <c r="G3247" s="10">
        <f t="shared" si="122"/>
        <v>103.27199999999999</v>
      </c>
      <c r="H3247" s="11">
        <v>41969</v>
      </c>
      <c r="I3247" s="10" t="s">
        <v>272</v>
      </c>
      <c r="J3247" s="10" t="s">
        <v>12030</v>
      </c>
      <c r="K3247" s="10" t="s">
        <v>11534</v>
      </c>
      <c r="L3247" s="10">
        <v>12</v>
      </c>
      <c r="M3247" s="16" t="s">
        <v>12037</v>
      </c>
      <c r="N3247" s="16" t="s">
        <v>78</v>
      </c>
      <c r="O3247" s="13" t="s">
        <v>13076</v>
      </c>
    </row>
    <row r="3248" spans="1:15" s="1" customFormat="1">
      <c r="A3248" s="8" t="s">
        <v>12019</v>
      </c>
      <c r="B3248" s="14" t="s">
        <v>11536</v>
      </c>
      <c r="C3248" s="8"/>
      <c r="D3248" s="13" t="s">
        <v>1287</v>
      </c>
      <c r="E3248" s="9" t="s">
        <v>11979</v>
      </c>
      <c r="F3248" s="8" t="s">
        <v>12023</v>
      </c>
      <c r="G3248" s="10">
        <f t="shared" si="122"/>
        <v>111.878</v>
      </c>
      <c r="H3248" s="11">
        <v>41969</v>
      </c>
      <c r="I3248" s="10" t="s">
        <v>272</v>
      </c>
      <c r="J3248" s="10" t="s">
        <v>12031</v>
      </c>
      <c r="K3248" s="10" t="s">
        <v>11534</v>
      </c>
      <c r="L3248" s="10">
        <v>13</v>
      </c>
      <c r="M3248" s="16" t="s">
        <v>12037</v>
      </c>
      <c r="N3248" s="16" t="s">
        <v>81</v>
      </c>
      <c r="O3248" s="13" t="s">
        <v>12037</v>
      </c>
    </row>
    <row r="3249" spans="1:15" s="1" customFormat="1">
      <c r="A3249" s="8" t="s">
        <v>12019</v>
      </c>
      <c r="B3249" s="14" t="s">
        <v>11536</v>
      </c>
      <c r="C3249" s="8"/>
      <c r="D3249" s="13" t="s">
        <v>1287</v>
      </c>
      <c r="E3249" s="9" t="s">
        <v>11979</v>
      </c>
      <c r="F3249" s="8" t="s">
        <v>12024</v>
      </c>
      <c r="G3249" s="10">
        <f t="shared" si="122"/>
        <v>103.27199999999999</v>
      </c>
      <c r="H3249" s="11">
        <v>41969</v>
      </c>
      <c r="I3249" s="10" t="s">
        <v>272</v>
      </c>
      <c r="J3249" s="10" t="s">
        <v>12032</v>
      </c>
      <c r="K3249" s="10" t="s">
        <v>11534</v>
      </c>
      <c r="L3249" s="10">
        <v>12</v>
      </c>
      <c r="M3249" s="16" t="s">
        <v>12038</v>
      </c>
      <c r="N3249" s="16" t="s">
        <v>78</v>
      </c>
      <c r="O3249" s="13" t="s">
        <v>12038</v>
      </c>
    </row>
    <row r="3250" spans="1:15" s="1" customFormat="1">
      <c r="A3250" s="8" t="s">
        <v>12019</v>
      </c>
      <c r="B3250" s="14" t="s">
        <v>11536</v>
      </c>
      <c r="C3250" s="8"/>
      <c r="D3250" s="13" t="s">
        <v>1287</v>
      </c>
      <c r="E3250" s="9" t="s">
        <v>11979</v>
      </c>
      <c r="F3250" s="8" t="s">
        <v>12025</v>
      </c>
      <c r="G3250" s="10">
        <f t="shared" si="122"/>
        <v>111.878</v>
      </c>
      <c r="H3250" s="11">
        <v>41969</v>
      </c>
      <c r="I3250" s="10" t="s">
        <v>272</v>
      </c>
      <c r="J3250" s="10" t="s">
        <v>12033</v>
      </c>
      <c r="K3250" s="10" t="s">
        <v>11534</v>
      </c>
      <c r="L3250" s="10">
        <v>13</v>
      </c>
      <c r="M3250" s="16" t="s">
        <v>12038</v>
      </c>
      <c r="N3250" s="16" t="s">
        <v>81</v>
      </c>
      <c r="O3250" s="13" t="s">
        <v>13077</v>
      </c>
    </row>
    <row r="3251" spans="1:15" s="1" customFormat="1">
      <c r="A3251" s="8" t="s">
        <v>12019</v>
      </c>
      <c r="B3251" s="14" t="s">
        <v>11536</v>
      </c>
      <c r="C3251" s="8"/>
      <c r="D3251" s="13" t="s">
        <v>1287</v>
      </c>
      <c r="E3251" s="9" t="s">
        <v>11979</v>
      </c>
      <c r="F3251" s="8" t="s">
        <v>12026</v>
      </c>
      <c r="G3251" s="10">
        <f t="shared" si="122"/>
        <v>103.27199999999999</v>
      </c>
      <c r="H3251" s="11">
        <v>41969</v>
      </c>
      <c r="I3251" s="10" t="s">
        <v>272</v>
      </c>
      <c r="J3251" s="10" t="s">
        <v>12034</v>
      </c>
      <c r="K3251" s="10" t="s">
        <v>11534</v>
      </c>
      <c r="L3251" s="10">
        <v>12</v>
      </c>
      <c r="M3251" s="16" t="s">
        <v>12039</v>
      </c>
      <c r="N3251" s="16" t="s">
        <v>78</v>
      </c>
      <c r="O3251" s="13" t="s">
        <v>12039</v>
      </c>
    </row>
    <row r="3252" spans="1:15" s="1" customFormat="1">
      <c r="A3252" s="8" t="s">
        <v>12019</v>
      </c>
      <c r="B3252" s="14" t="s">
        <v>11536</v>
      </c>
      <c r="C3252" s="8"/>
      <c r="D3252" s="13" t="s">
        <v>1287</v>
      </c>
      <c r="E3252" s="9" t="s">
        <v>11979</v>
      </c>
      <c r="F3252" s="8" t="s">
        <v>12027</v>
      </c>
      <c r="G3252" s="10">
        <f t="shared" si="122"/>
        <v>111.878</v>
      </c>
      <c r="H3252" s="11">
        <v>41969</v>
      </c>
      <c r="I3252" s="10" t="s">
        <v>12040</v>
      </c>
      <c r="J3252" s="10" t="s">
        <v>12035</v>
      </c>
      <c r="K3252" s="10" t="s">
        <v>11534</v>
      </c>
      <c r="L3252" s="10">
        <v>13</v>
      </c>
      <c r="M3252" s="16" t="s">
        <v>12039</v>
      </c>
      <c r="N3252" s="16" t="s">
        <v>81</v>
      </c>
      <c r="O3252" s="13" t="s">
        <v>13078</v>
      </c>
    </row>
    <row r="3253" spans="1:15" s="1" customFormat="1">
      <c r="A3253" s="8" t="s">
        <v>12041</v>
      </c>
      <c r="B3253" s="8"/>
      <c r="C3253" s="8"/>
      <c r="D3253" s="13" t="s">
        <v>364</v>
      </c>
      <c r="E3253" s="9" t="s">
        <v>12000</v>
      </c>
      <c r="F3253" s="8" t="s">
        <v>12042</v>
      </c>
      <c r="G3253" s="10">
        <f>12.838*L3253</f>
        <v>154.05599999999998</v>
      </c>
      <c r="H3253" s="11">
        <v>41969</v>
      </c>
      <c r="I3253" s="10" t="s">
        <v>11606</v>
      </c>
      <c r="J3253" s="10" t="s">
        <v>12045</v>
      </c>
      <c r="K3253" s="10" t="s">
        <v>11475</v>
      </c>
      <c r="L3253" s="10">
        <v>12</v>
      </c>
      <c r="M3253" s="16" t="s">
        <v>12043</v>
      </c>
      <c r="N3253" s="16" t="s">
        <v>12044</v>
      </c>
      <c r="O3253" s="13" t="s">
        <v>12148</v>
      </c>
    </row>
    <row r="3254" spans="1:15" s="1" customFormat="1">
      <c r="A3254" s="8" t="s">
        <v>12046</v>
      </c>
      <c r="B3254" s="8"/>
      <c r="C3254" s="8"/>
      <c r="D3254" s="13" t="s">
        <v>276</v>
      </c>
      <c r="E3254" s="9" t="s">
        <v>11979</v>
      </c>
      <c r="F3254" s="8" t="s">
        <v>12047</v>
      </c>
      <c r="G3254" s="10">
        <f>6.405*L3254</f>
        <v>57.645000000000003</v>
      </c>
      <c r="H3254" s="11">
        <v>41969</v>
      </c>
      <c r="I3254" s="10" t="s">
        <v>12050</v>
      </c>
      <c r="J3254" s="10" t="s">
        <v>12048</v>
      </c>
      <c r="K3254" s="10" t="s">
        <v>11475</v>
      </c>
      <c r="L3254" s="10">
        <v>9</v>
      </c>
      <c r="M3254" s="16" t="s">
        <v>12049</v>
      </c>
      <c r="N3254" s="16" t="s">
        <v>6299</v>
      </c>
      <c r="O3254" s="13" t="s">
        <v>12149</v>
      </c>
    </row>
    <row r="3255" spans="1:15" s="1" customFormat="1">
      <c r="A3255" s="8" t="s">
        <v>12051</v>
      </c>
      <c r="B3255" s="8"/>
      <c r="C3255" s="8"/>
      <c r="D3255" s="13" t="s">
        <v>276</v>
      </c>
      <c r="E3255" s="9" t="s">
        <v>12000</v>
      </c>
      <c r="F3255" s="8" t="s">
        <v>12052</v>
      </c>
      <c r="G3255" s="10">
        <f>6.405*L3255</f>
        <v>102.48</v>
      </c>
      <c r="H3255" s="11">
        <v>41969</v>
      </c>
      <c r="I3255" s="10" t="s">
        <v>471</v>
      </c>
      <c r="J3255" s="10" t="s">
        <v>12053</v>
      </c>
      <c r="K3255" s="10" t="s">
        <v>21</v>
      </c>
      <c r="L3255" s="10">
        <v>16</v>
      </c>
      <c r="M3255" s="16" t="s">
        <v>12049</v>
      </c>
      <c r="N3255" s="16" t="s">
        <v>12054</v>
      </c>
      <c r="O3255" s="13" t="s">
        <v>12150</v>
      </c>
    </row>
    <row r="3256" spans="1:15" s="1" customFormat="1">
      <c r="A3256" s="8" t="s">
        <v>12055</v>
      </c>
      <c r="B3256" s="8"/>
      <c r="C3256" s="8"/>
      <c r="D3256" s="13" t="s">
        <v>3997</v>
      </c>
      <c r="E3256" s="9" t="s">
        <v>12000</v>
      </c>
      <c r="F3256" s="8" t="s">
        <v>12057</v>
      </c>
      <c r="G3256" s="10">
        <f>12.838*L3256</f>
        <v>141.21799999999999</v>
      </c>
      <c r="H3256" s="11">
        <v>41969</v>
      </c>
      <c r="I3256" s="10" t="s">
        <v>471</v>
      </c>
      <c r="J3256" s="10" t="s">
        <v>12060</v>
      </c>
      <c r="K3256" s="10" t="s">
        <v>21</v>
      </c>
      <c r="L3256" s="10">
        <v>11</v>
      </c>
      <c r="M3256" s="16" t="s">
        <v>12062</v>
      </c>
      <c r="N3256" s="16" t="s">
        <v>10940</v>
      </c>
      <c r="O3256" s="13" t="s">
        <v>12062</v>
      </c>
    </row>
    <row r="3257" spans="1:15" s="1" customFormat="1">
      <c r="A3257" s="8" t="s">
        <v>12055</v>
      </c>
      <c r="B3257" s="8"/>
      <c r="C3257" s="8"/>
      <c r="D3257" s="13" t="s">
        <v>3997</v>
      </c>
      <c r="E3257" s="9" t="s">
        <v>12000</v>
      </c>
      <c r="F3257" s="8" t="s">
        <v>12058</v>
      </c>
      <c r="G3257" s="10">
        <f>12.838*L3257</f>
        <v>154.05599999999998</v>
      </c>
      <c r="H3257" s="11">
        <v>41969</v>
      </c>
      <c r="I3257" s="10" t="s">
        <v>471</v>
      </c>
      <c r="J3257" s="10" t="s">
        <v>12061</v>
      </c>
      <c r="K3257" s="10" t="s">
        <v>21</v>
      </c>
      <c r="L3257" s="10">
        <v>12</v>
      </c>
      <c r="M3257" s="16" t="s">
        <v>12062</v>
      </c>
      <c r="N3257" s="16" t="s">
        <v>10942</v>
      </c>
      <c r="O3257" s="13" t="s">
        <v>12152</v>
      </c>
    </row>
    <row r="3258" spans="1:15" s="1" customFormat="1">
      <c r="A3258" s="8" t="s">
        <v>12064</v>
      </c>
      <c r="B3258" s="8"/>
      <c r="C3258" s="8"/>
      <c r="D3258" s="13" t="s">
        <v>800</v>
      </c>
      <c r="E3258" s="9" t="s">
        <v>12000</v>
      </c>
      <c r="F3258" s="8" t="s">
        <v>12065</v>
      </c>
      <c r="G3258" s="10">
        <f>7.656*L3258</f>
        <v>91.872</v>
      </c>
      <c r="H3258" s="11">
        <v>41969</v>
      </c>
      <c r="I3258" s="10" t="s">
        <v>12067</v>
      </c>
      <c r="J3258" s="10" t="s">
        <v>12068</v>
      </c>
      <c r="K3258" s="10" t="s">
        <v>11475</v>
      </c>
      <c r="L3258" s="10">
        <v>12</v>
      </c>
      <c r="M3258" s="16" t="s">
        <v>12070</v>
      </c>
      <c r="N3258" s="16" t="s">
        <v>78</v>
      </c>
      <c r="O3258" s="13" t="s">
        <v>12153</v>
      </c>
    </row>
    <row r="3259" spans="1:15" s="1" customFormat="1">
      <c r="A3259" s="8" t="s">
        <v>12063</v>
      </c>
      <c r="B3259" s="8"/>
      <c r="C3259" s="8"/>
      <c r="D3259" s="13" t="s">
        <v>800</v>
      </c>
      <c r="E3259" s="9" t="s">
        <v>12000</v>
      </c>
      <c r="F3259" s="8" t="s">
        <v>12126</v>
      </c>
      <c r="G3259" s="10">
        <f>7.656*L3259</f>
        <v>99.527999999999992</v>
      </c>
      <c r="H3259" s="11">
        <v>41969</v>
      </c>
      <c r="I3259" s="10" t="s">
        <v>12066</v>
      </c>
      <c r="J3259" s="10" t="s">
        <v>12069</v>
      </c>
      <c r="K3259" s="10" t="s">
        <v>11475</v>
      </c>
      <c r="L3259" s="10">
        <v>13</v>
      </c>
      <c r="M3259" s="16" t="s">
        <v>12070</v>
      </c>
      <c r="N3259" s="16" t="s">
        <v>12071</v>
      </c>
      <c r="O3259" s="13" t="s">
        <v>12154</v>
      </c>
    </row>
    <row r="3260" spans="1:15" s="1" customFormat="1">
      <c r="A3260" s="8" t="s">
        <v>12072</v>
      </c>
      <c r="B3260" s="8"/>
      <c r="C3260" s="8"/>
      <c r="D3260" s="13" t="s">
        <v>919</v>
      </c>
      <c r="E3260" s="9" t="s">
        <v>11470</v>
      </c>
      <c r="F3260" s="8" t="s">
        <v>12075</v>
      </c>
      <c r="G3260" s="10">
        <f>17.712*L3260</f>
        <v>177.12</v>
      </c>
      <c r="H3260" s="11">
        <v>41969</v>
      </c>
      <c r="I3260" s="10" t="s">
        <v>12006</v>
      </c>
      <c r="J3260" s="10" t="s">
        <v>12078</v>
      </c>
      <c r="K3260" s="10" t="s">
        <v>11475</v>
      </c>
      <c r="L3260" s="10">
        <v>10</v>
      </c>
      <c r="M3260" s="16" t="s">
        <v>12081</v>
      </c>
      <c r="N3260" s="16" t="s">
        <v>13424</v>
      </c>
      <c r="O3260" s="13" t="s">
        <v>12157</v>
      </c>
    </row>
    <row r="3261" spans="1:15" s="1" customFormat="1">
      <c r="A3261" s="8" t="s">
        <v>12082</v>
      </c>
      <c r="B3261" s="8"/>
      <c r="C3261" s="8"/>
      <c r="D3261" s="13" t="s">
        <v>191</v>
      </c>
      <c r="E3261" s="9" t="s">
        <v>12000</v>
      </c>
      <c r="F3261" s="8" t="s">
        <v>12098</v>
      </c>
      <c r="G3261" s="10">
        <f>18.708*L3261</f>
        <v>224.49599999999998</v>
      </c>
      <c r="H3261" s="11">
        <v>41969</v>
      </c>
      <c r="I3261" s="10" t="s">
        <v>247</v>
      </c>
      <c r="J3261" s="10" t="s">
        <v>12088</v>
      </c>
      <c r="K3261" s="10" t="s">
        <v>11475</v>
      </c>
      <c r="L3261" s="10">
        <v>12</v>
      </c>
      <c r="M3261" s="16" t="s">
        <v>12094</v>
      </c>
      <c r="N3261" s="16" t="s">
        <v>78</v>
      </c>
      <c r="O3261" s="13" t="s">
        <v>12094</v>
      </c>
    </row>
    <row r="3262" spans="1:15" s="1" customFormat="1">
      <c r="A3262" s="8" t="s">
        <v>12082</v>
      </c>
      <c r="B3262" s="8"/>
      <c r="C3262" s="8"/>
      <c r="D3262" s="13" t="s">
        <v>191</v>
      </c>
      <c r="E3262" s="9" t="s">
        <v>12000</v>
      </c>
      <c r="F3262" s="8" t="s">
        <v>12083</v>
      </c>
      <c r="G3262" s="10">
        <f>18.708*L3262</f>
        <v>243.20399999999998</v>
      </c>
      <c r="H3262" s="11">
        <v>41969</v>
      </c>
      <c r="I3262" s="10" t="s">
        <v>247</v>
      </c>
      <c r="J3262" s="10" t="s">
        <v>12089</v>
      </c>
      <c r="K3262" s="10" t="s">
        <v>11475</v>
      </c>
      <c r="L3262" s="10">
        <v>13</v>
      </c>
      <c r="M3262" s="16" t="s">
        <v>12094</v>
      </c>
      <c r="N3262" s="16" t="s">
        <v>81</v>
      </c>
      <c r="O3262" s="13" t="s">
        <v>12158</v>
      </c>
    </row>
    <row r="3263" spans="1:15" s="1" customFormat="1">
      <c r="A3263" s="8" t="s">
        <v>12082</v>
      </c>
      <c r="B3263" s="8"/>
      <c r="C3263" s="8"/>
      <c r="D3263" s="13" t="s">
        <v>191</v>
      </c>
      <c r="E3263" s="9" t="s">
        <v>12000</v>
      </c>
      <c r="F3263" s="8" t="s">
        <v>12084</v>
      </c>
      <c r="G3263" s="10">
        <f>18.708*L3263</f>
        <v>224.49599999999998</v>
      </c>
      <c r="H3263" s="11">
        <v>41969</v>
      </c>
      <c r="I3263" s="10" t="s">
        <v>247</v>
      </c>
      <c r="J3263" s="10" t="s">
        <v>12090</v>
      </c>
      <c r="K3263" s="10" t="s">
        <v>11475</v>
      </c>
      <c r="L3263" s="10">
        <v>12</v>
      </c>
      <c r="M3263" s="16" t="s">
        <v>12095</v>
      </c>
      <c r="N3263" s="16" t="s">
        <v>78</v>
      </c>
      <c r="O3263" s="13" t="s">
        <v>12159</v>
      </c>
    </row>
    <row r="3264" spans="1:15" s="1" customFormat="1">
      <c r="A3264" s="8" t="s">
        <v>12100</v>
      </c>
      <c r="B3264" s="8"/>
      <c r="C3264" s="8"/>
      <c r="D3264" s="13" t="s">
        <v>291</v>
      </c>
      <c r="E3264" s="9" t="s">
        <v>12000</v>
      </c>
      <c r="F3264" s="8" t="s">
        <v>12101</v>
      </c>
      <c r="G3264" s="10">
        <f>17.498*L3264</f>
        <v>227.47400000000002</v>
      </c>
      <c r="H3264" s="11">
        <v>41969</v>
      </c>
      <c r="I3264" s="10" t="s">
        <v>12002</v>
      </c>
      <c r="J3264" s="10" t="s">
        <v>12103</v>
      </c>
      <c r="K3264" s="10" t="s">
        <v>21</v>
      </c>
      <c r="L3264" s="10">
        <v>13</v>
      </c>
      <c r="M3264" s="16" t="s">
        <v>12104</v>
      </c>
      <c r="N3264" s="16" t="s">
        <v>167</v>
      </c>
      <c r="O3264" s="13" t="s">
        <v>12162</v>
      </c>
    </row>
    <row r="3265" spans="1:15" s="1" customFormat="1">
      <c r="A3265" s="8" t="s">
        <v>12105</v>
      </c>
      <c r="B3265" s="8"/>
      <c r="C3265" s="8"/>
      <c r="D3265" s="13" t="s">
        <v>2117</v>
      </c>
      <c r="E3265" s="9" t="s">
        <v>12106</v>
      </c>
      <c r="F3265" s="8" t="s">
        <v>12107</v>
      </c>
      <c r="G3265" s="10">
        <v>248.202</v>
      </c>
      <c r="H3265" s="11">
        <v>41969</v>
      </c>
      <c r="I3265" s="10" t="s">
        <v>11592</v>
      </c>
      <c r="J3265" s="10" t="s">
        <v>12108</v>
      </c>
      <c r="K3265" s="10" t="s">
        <v>11591</v>
      </c>
      <c r="L3265" s="10" t="s">
        <v>5428</v>
      </c>
      <c r="M3265" s="16" t="s">
        <v>12111</v>
      </c>
      <c r="N3265" s="16" t="s">
        <v>12112</v>
      </c>
      <c r="O3265" s="13" t="s">
        <v>12163</v>
      </c>
    </row>
    <row r="3266" spans="1:15" s="1" customFormat="1">
      <c r="A3266" s="8" t="s">
        <v>12105</v>
      </c>
      <c r="B3266" s="8"/>
      <c r="C3266" s="8"/>
      <c r="D3266" s="13" t="s">
        <v>2117</v>
      </c>
      <c r="E3266" s="9" t="s">
        <v>12106</v>
      </c>
      <c r="F3266" s="8" t="s">
        <v>12109</v>
      </c>
      <c r="G3266" s="10">
        <v>139.12299999999999</v>
      </c>
      <c r="H3266" s="11">
        <v>41969</v>
      </c>
      <c r="I3266" s="10" t="s">
        <v>11592</v>
      </c>
      <c r="J3266" s="10" t="s">
        <v>12110</v>
      </c>
      <c r="K3266" s="10" t="s">
        <v>11591</v>
      </c>
      <c r="L3266" s="10" t="s">
        <v>11597</v>
      </c>
      <c r="M3266" s="16" t="s">
        <v>12113</v>
      </c>
      <c r="N3266" s="16" t="s">
        <v>12114</v>
      </c>
      <c r="O3266" s="13" t="s">
        <v>12164</v>
      </c>
    </row>
    <row r="3267" spans="1:15" s="1" customFormat="1">
      <c r="A3267" s="8" t="s">
        <v>12105</v>
      </c>
      <c r="B3267" s="8"/>
      <c r="C3267" s="8"/>
      <c r="D3267" s="13" t="s">
        <v>2117</v>
      </c>
      <c r="E3267" s="9" t="s">
        <v>12106</v>
      </c>
      <c r="F3267" s="8" t="s">
        <v>12116</v>
      </c>
      <c r="G3267" s="10">
        <v>139.66499999999999</v>
      </c>
      <c r="H3267" s="11">
        <v>41969</v>
      </c>
      <c r="I3267" s="10" t="s">
        <v>11592</v>
      </c>
      <c r="J3267" s="10" t="s">
        <v>12118</v>
      </c>
      <c r="K3267" s="10" t="s">
        <v>11591</v>
      </c>
      <c r="L3267" s="10" t="s">
        <v>11597</v>
      </c>
      <c r="M3267" s="16" t="s">
        <v>12121</v>
      </c>
      <c r="N3267" s="16" t="s">
        <v>12122</v>
      </c>
      <c r="O3267" s="13" t="s">
        <v>12166</v>
      </c>
    </row>
    <row r="3268" spans="1:15" s="1" customFormat="1">
      <c r="A3268" s="8" t="s">
        <v>12105</v>
      </c>
      <c r="B3268" s="8"/>
      <c r="C3268" s="8"/>
      <c r="D3268" s="13" t="s">
        <v>2117</v>
      </c>
      <c r="E3268" s="9" t="s">
        <v>12106</v>
      </c>
      <c r="F3268" s="8" t="s">
        <v>13420</v>
      </c>
      <c r="G3268" s="10">
        <v>247.70699999999999</v>
      </c>
      <c r="H3268" s="11">
        <v>41969</v>
      </c>
      <c r="I3268" s="10" t="s">
        <v>11592</v>
      </c>
      <c r="J3268" s="10" t="s">
        <v>12123</v>
      </c>
      <c r="K3268" s="10" t="s">
        <v>11591</v>
      </c>
      <c r="L3268" s="10" t="s">
        <v>5428</v>
      </c>
      <c r="M3268" s="16" t="s">
        <v>12124</v>
      </c>
      <c r="N3268" s="16" t="s">
        <v>12125</v>
      </c>
      <c r="O3268" s="13" t="s">
        <v>12167</v>
      </c>
    </row>
    <row r="3269" spans="1:15" s="1" customFormat="1">
      <c r="A3269" s="8" t="s">
        <v>12168</v>
      </c>
      <c r="B3269" s="8"/>
      <c r="C3269" s="8"/>
      <c r="D3269" s="13" t="s">
        <v>3871</v>
      </c>
      <c r="E3269" s="9" t="s">
        <v>12169</v>
      </c>
      <c r="F3269" s="8" t="s">
        <v>12174</v>
      </c>
      <c r="G3269" s="10">
        <f>13.006*L3269</f>
        <v>169.078</v>
      </c>
      <c r="H3269" s="11">
        <v>41971</v>
      </c>
      <c r="I3269" s="10" t="s">
        <v>12175</v>
      </c>
      <c r="J3269" s="10" t="s">
        <v>12176</v>
      </c>
      <c r="K3269" s="10" t="s">
        <v>12172</v>
      </c>
      <c r="L3269" s="10">
        <v>13</v>
      </c>
      <c r="M3269" s="16" t="s">
        <v>12173</v>
      </c>
      <c r="N3269" s="16" t="s">
        <v>167</v>
      </c>
      <c r="O3269" s="13" t="s">
        <v>12567</v>
      </c>
    </row>
    <row r="3270" spans="1:15" s="1" customFormat="1">
      <c r="A3270" s="8" t="s">
        <v>12195</v>
      </c>
      <c r="B3270" s="14" t="s">
        <v>11536</v>
      </c>
      <c r="C3270" s="8"/>
      <c r="D3270" s="13" t="s">
        <v>1287</v>
      </c>
      <c r="E3270" s="9" t="s">
        <v>11470</v>
      </c>
      <c r="F3270" s="8" t="s">
        <v>12216</v>
      </c>
      <c r="G3270" s="10">
        <f t="shared" ref="G3270:G3277" si="123">8.606*L3270</f>
        <v>103.27199999999999</v>
      </c>
      <c r="H3270" s="11">
        <v>41974</v>
      </c>
      <c r="I3270" s="10" t="s">
        <v>11531</v>
      </c>
      <c r="J3270" s="10" t="s">
        <v>12196</v>
      </c>
      <c r="K3270" s="10" t="s">
        <v>11534</v>
      </c>
      <c r="L3270" s="10">
        <v>12</v>
      </c>
      <c r="M3270" s="16" t="s">
        <v>12212</v>
      </c>
      <c r="N3270" s="16" t="s">
        <v>164</v>
      </c>
      <c r="O3270" s="13" t="s">
        <v>12212</v>
      </c>
    </row>
    <row r="3271" spans="1:15" s="1" customFormat="1">
      <c r="A3271" s="8" t="s">
        <v>12195</v>
      </c>
      <c r="B3271" s="14" t="s">
        <v>11536</v>
      </c>
      <c r="C3271" s="8"/>
      <c r="D3271" s="13" t="s">
        <v>1287</v>
      </c>
      <c r="E3271" s="9" t="s">
        <v>11470</v>
      </c>
      <c r="F3271" s="8" t="s">
        <v>12197</v>
      </c>
      <c r="G3271" s="10">
        <f t="shared" si="123"/>
        <v>111.878</v>
      </c>
      <c r="H3271" s="11">
        <v>41974</v>
      </c>
      <c r="I3271" s="10" t="s">
        <v>11531</v>
      </c>
      <c r="J3271" s="10" t="s">
        <v>12205</v>
      </c>
      <c r="K3271" s="10" t="s">
        <v>11534</v>
      </c>
      <c r="L3271" s="10">
        <v>13</v>
      </c>
      <c r="M3271" s="16" t="s">
        <v>12212</v>
      </c>
      <c r="N3271" s="16" t="s">
        <v>167</v>
      </c>
      <c r="O3271" s="13" t="s">
        <v>12902</v>
      </c>
    </row>
    <row r="3272" spans="1:15" s="1" customFormat="1">
      <c r="A3272" s="8" t="s">
        <v>12195</v>
      </c>
      <c r="B3272" s="14" t="s">
        <v>11536</v>
      </c>
      <c r="C3272" s="8"/>
      <c r="D3272" s="13" t="s">
        <v>1287</v>
      </c>
      <c r="E3272" s="9" t="s">
        <v>11470</v>
      </c>
      <c r="F3272" s="8" t="s">
        <v>12198</v>
      </c>
      <c r="G3272" s="10">
        <f t="shared" si="123"/>
        <v>103.27199999999999</v>
      </c>
      <c r="H3272" s="11">
        <v>41974</v>
      </c>
      <c r="I3272" s="10" t="s">
        <v>11531</v>
      </c>
      <c r="J3272" s="10" t="s">
        <v>12206</v>
      </c>
      <c r="K3272" s="10" t="s">
        <v>11534</v>
      </c>
      <c r="L3272" s="10">
        <v>12</v>
      </c>
      <c r="M3272" s="16" t="s">
        <v>12213</v>
      </c>
      <c r="N3272" s="16" t="s">
        <v>164</v>
      </c>
      <c r="O3272" s="13" t="s">
        <v>12213</v>
      </c>
    </row>
    <row r="3273" spans="1:15" s="1" customFormat="1">
      <c r="A3273" s="8" t="s">
        <v>12195</v>
      </c>
      <c r="B3273" s="14" t="s">
        <v>11536</v>
      </c>
      <c r="C3273" s="8"/>
      <c r="D3273" s="13" t="s">
        <v>1287</v>
      </c>
      <c r="E3273" s="9" t="s">
        <v>11470</v>
      </c>
      <c r="F3273" s="8" t="s">
        <v>12199</v>
      </c>
      <c r="G3273" s="10">
        <f t="shared" si="123"/>
        <v>111.878</v>
      </c>
      <c r="H3273" s="11">
        <v>41974</v>
      </c>
      <c r="I3273" s="10" t="s">
        <v>11531</v>
      </c>
      <c r="J3273" s="10" t="s">
        <v>12207</v>
      </c>
      <c r="K3273" s="10" t="s">
        <v>11534</v>
      </c>
      <c r="L3273" s="10">
        <v>13</v>
      </c>
      <c r="M3273" s="16" t="s">
        <v>12213</v>
      </c>
      <c r="N3273" s="16" t="s">
        <v>167</v>
      </c>
      <c r="O3273" s="13" t="s">
        <v>12903</v>
      </c>
    </row>
    <row r="3274" spans="1:15" s="1" customFormat="1">
      <c r="A3274" s="8" t="s">
        <v>12195</v>
      </c>
      <c r="B3274" s="14" t="s">
        <v>11536</v>
      </c>
      <c r="C3274" s="8"/>
      <c r="D3274" s="13" t="s">
        <v>1287</v>
      </c>
      <c r="E3274" s="9" t="s">
        <v>11470</v>
      </c>
      <c r="F3274" s="8" t="s">
        <v>12201</v>
      </c>
      <c r="G3274" s="10">
        <f t="shared" si="123"/>
        <v>103.27199999999999</v>
      </c>
      <c r="H3274" s="11">
        <v>41974</v>
      </c>
      <c r="I3274" s="10" t="s">
        <v>11531</v>
      </c>
      <c r="J3274" s="10" t="s">
        <v>12208</v>
      </c>
      <c r="K3274" s="10" t="s">
        <v>11534</v>
      </c>
      <c r="L3274" s="10">
        <v>12</v>
      </c>
      <c r="M3274" s="16" t="s">
        <v>12214</v>
      </c>
      <c r="N3274" s="16" t="s">
        <v>164</v>
      </c>
      <c r="O3274" s="13" t="s">
        <v>12214</v>
      </c>
    </row>
    <row r="3275" spans="1:15" s="1" customFormat="1">
      <c r="A3275" s="8" t="s">
        <v>12195</v>
      </c>
      <c r="B3275" s="14" t="s">
        <v>11536</v>
      </c>
      <c r="C3275" s="8"/>
      <c r="D3275" s="13" t="s">
        <v>1287</v>
      </c>
      <c r="E3275" s="9" t="s">
        <v>11470</v>
      </c>
      <c r="F3275" s="8" t="s">
        <v>12202</v>
      </c>
      <c r="G3275" s="10">
        <f t="shared" si="123"/>
        <v>111.878</v>
      </c>
      <c r="H3275" s="11">
        <v>41974</v>
      </c>
      <c r="I3275" s="10" t="s">
        <v>11531</v>
      </c>
      <c r="J3275" s="10" t="s">
        <v>12209</v>
      </c>
      <c r="K3275" s="10" t="s">
        <v>11534</v>
      </c>
      <c r="L3275" s="10">
        <v>13</v>
      </c>
      <c r="M3275" s="16" t="s">
        <v>12214</v>
      </c>
      <c r="N3275" s="16" t="s">
        <v>167</v>
      </c>
      <c r="O3275" s="13" t="s">
        <v>12904</v>
      </c>
    </row>
    <row r="3276" spans="1:15" s="1" customFormat="1">
      <c r="A3276" s="8" t="s">
        <v>12195</v>
      </c>
      <c r="B3276" s="14" t="s">
        <v>11536</v>
      </c>
      <c r="C3276" s="8"/>
      <c r="D3276" s="13" t="s">
        <v>1287</v>
      </c>
      <c r="E3276" s="9" t="s">
        <v>11470</v>
      </c>
      <c r="F3276" s="8" t="s">
        <v>12203</v>
      </c>
      <c r="G3276" s="10">
        <f t="shared" si="123"/>
        <v>103.27199999999999</v>
      </c>
      <c r="H3276" s="11">
        <v>41974</v>
      </c>
      <c r="I3276" s="10" t="s">
        <v>11531</v>
      </c>
      <c r="J3276" s="10" t="s">
        <v>12210</v>
      </c>
      <c r="K3276" s="10" t="s">
        <v>11534</v>
      </c>
      <c r="L3276" s="10">
        <v>12</v>
      </c>
      <c r="M3276" s="16" t="s">
        <v>12215</v>
      </c>
      <c r="N3276" s="16" t="s">
        <v>164</v>
      </c>
      <c r="O3276" s="13" t="s">
        <v>13079</v>
      </c>
    </row>
    <row r="3277" spans="1:15" s="1" customFormat="1">
      <c r="A3277" s="8" t="s">
        <v>11529</v>
      </c>
      <c r="B3277" s="14" t="s">
        <v>11536</v>
      </c>
      <c r="C3277" s="8"/>
      <c r="D3277" s="13" t="s">
        <v>1287</v>
      </c>
      <c r="E3277" s="9" t="s">
        <v>11470</v>
      </c>
      <c r="F3277" s="8" t="s">
        <v>12204</v>
      </c>
      <c r="G3277" s="10">
        <f t="shared" si="123"/>
        <v>111.878</v>
      </c>
      <c r="H3277" s="11">
        <v>41974</v>
      </c>
      <c r="I3277" s="10" t="s">
        <v>11531</v>
      </c>
      <c r="J3277" s="10" t="s">
        <v>12211</v>
      </c>
      <c r="K3277" s="10" t="s">
        <v>11534</v>
      </c>
      <c r="L3277" s="10">
        <v>13</v>
      </c>
      <c r="M3277" s="16" t="s">
        <v>12215</v>
      </c>
      <c r="N3277" s="16" t="s">
        <v>167</v>
      </c>
      <c r="O3277" s="13" t="s">
        <v>12215</v>
      </c>
    </row>
    <row r="3278" spans="1:15" s="1" customFormat="1">
      <c r="A3278" s="8" t="s">
        <v>11583</v>
      </c>
      <c r="B3278" s="8"/>
      <c r="C3278" s="8"/>
      <c r="D3278" s="13" t="s">
        <v>3871</v>
      </c>
      <c r="E3278" s="9" t="s">
        <v>11470</v>
      </c>
      <c r="F3278" s="8" t="s">
        <v>12217</v>
      </c>
      <c r="G3278" s="10">
        <f>13.006*L3278</f>
        <v>169.078</v>
      </c>
      <c r="H3278" s="11">
        <v>41974</v>
      </c>
      <c r="I3278" s="10" t="s">
        <v>11518</v>
      </c>
      <c r="J3278" s="10" t="s">
        <v>12220</v>
      </c>
      <c r="K3278" s="10" t="s">
        <v>11475</v>
      </c>
      <c r="L3278" s="10">
        <v>13</v>
      </c>
      <c r="M3278" s="16" t="s">
        <v>12225</v>
      </c>
      <c r="N3278" s="16" t="s">
        <v>167</v>
      </c>
      <c r="O3278" s="13" t="s">
        <v>12569</v>
      </c>
    </row>
    <row r="3279" spans="1:15" s="1" customFormat="1">
      <c r="A3279" s="8" t="s">
        <v>11583</v>
      </c>
      <c r="B3279" s="8"/>
      <c r="C3279" s="8"/>
      <c r="D3279" s="13" t="s">
        <v>3871</v>
      </c>
      <c r="E3279" s="9" t="s">
        <v>11470</v>
      </c>
      <c r="F3279" s="8" t="s">
        <v>12200</v>
      </c>
      <c r="G3279" s="10">
        <f>13.006*L3279</f>
        <v>156.072</v>
      </c>
      <c r="H3279" s="11">
        <v>41974</v>
      </c>
      <c r="I3279" s="10" t="s">
        <v>11518</v>
      </c>
      <c r="J3279" s="10" t="s">
        <v>12221</v>
      </c>
      <c r="K3279" s="10" t="s">
        <v>11475</v>
      </c>
      <c r="L3279" s="10">
        <v>12</v>
      </c>
      <c r="M3279" s="16" t="s">
        <v>12226</v>
      </c>
      <c r="N3279" s="16" t="s">
        <v>164</v>
      </c>
      <c r="O3279" s="13" t="s">
        <v>12226</v>
      </c>
    </row>
    <row r="3280" spans="1:15" s="1" customFormat="1">
      <c r="A3280" s="74" t="s">
        <v>12233</v>
      </c>
      <c r="B3280" s="8"/>
      <c r="C3280" s="8"/>
      <c r="D3280" s="13" t="s">
        <v>12227</v>
      </c>
      <c r="E3280" s="9" t="s">
        <v>12228</v>
      </c>
      <c r="F3280" s="8" t="s">
        <v>12229</v>
      </c>
      <c r="G3280" s="10">
        <f>8.926*L3280</f>
        <v>35.704000000000001</v>
      </c>
      <c r="H3280" s="11">
        <v>41975</v>
      </c>
      <c r="I3280" s="10" t="s">
        <v>12232</v>
      </c>
      <c r="J3280" s="10" t="s">
        <v>12230</v>
      </c>
      <c r="K3280" s="10" t="s">
        <v>12231</v>
      </c>
      <c r="L3280" s="10">
        <v>4</v>
      </c>
      <c r="M3280" s="16" t="s">
        <v>13066</v>
      </c>
      <c r="N3280" s="16" t="s">
        <v>3740</v>
      </c>
      <c r="O3280" s="13"/>
    </row>
    <row r="3281" spans="1:15" s="1" customFormat="1">
      <c r="A3281" s="8" t="s">
        <v>12339</v>
      </c>
      <c r="B3281" s="8"/>
      <c r="C3281" s="8"/>
      <c r="D3281" s="13" t="s">
        <v>5294</v>
      </c>
      <c r="E3281" s="9" t="s">
        <v>124</v>
      </c>
      <c r="F3281" s="8" t="s">
        <v>12340</v>
      </c>
      <c r="G3281" s="61">
        <f>17.52*L3281</f>
        <v>105.12</v>
      </c>
      <c r="H3281" s="11">
        <v>41975</v>
      </c>
      <c r="I3281" s="10" t="s">
        <v>209</v>
      </c>
      <c r="J3281" s="10" t="s">
        <v>12341</v>
      </c>
      <c r="K3281" s="61" t="s">
        <v>11416</v>
      </c>
      <c r="L3281" s="10">
        <v>6</v>
      </c>
      <c r="M3281" s="16" t="s">
        <v>12338</v>
      </c>
      <c r="N3281" s="16" t="s">
        <v>5938</v>
      </c>
      <c r="O3281" s="13" t="s">
        <v>12690</v>
      </c>
    </row>
    <row r="3282" spans="1:15" s="1" customFormat="1">
      <c r="A3282" s="8" t="s">
        <v>12342</v>
      </c>
      <c r="B3282" s="8"/>
      <c r="C3282" s="8"/>
      <c r="D3282" s="13" t="s">
        <v>410</v>
      </c>
      <c r="E3282" s="9" t="s">
        <v>12330</v>
      </c>
      <c r="F3282" s="8" t="s">
        <v>12343</v>
      </c>
      <c r="G3282" s="61">
        <f>17.52*L3282</f>
        <v>105.12</v>
      </c>
      <c r="H3282" s="11">
        <v>41975</v>
      </c>
      <c r="I3282" s="10" t="s">
        <v>12344</v>
      </c>
      <c r="J3282" s="10" t="s">
        <v>12345</v>
      </c>
      <c r="K3282" s="61" t="s">
        <v>11416</v>
      </c>
      <c r="L3282" s="10">
        <v>6</v>
      </c>
      <c r="M3282" s="16" t="s">
        <v>12346</v>
      </c>
      <c r="N3282" s="16" t="s">
        <v>5592</v>
      </c>
      <c r="O3282" s="13" t="s">
        <v>12691</v>
      </c>
    </row>
    <row r="3283" spans="1:15" s="1" customFormat="1">
      <c r="A3283" s="8" t="s">
        <v>12347</v>
      </c>
      <c r="B3283" s="8"/>
      <c r="C3283" s="8"/>
      <c r="D3283" s="13" t="s">
        <v>317</v>
      </c>
      <c r="E3283" s="9" t="s">
        <v>12330</v>
      </c>
      <c r="F3283" s="8" t="s">
        <v>12348</v>
      </c>
      <c r="G3283" s="61">
        <f>17.52*L3283</f>
        <v>210.24</v>
      </c>
      <c r="H3283" s="11">
        <v>41975</v>
      </c>
      <c r="I3283" s="10" t="s">
        <v>209</v>
      </c>
      <c r="J3283" s="10" t="s">
        <v>12349</v>
      </c>
      <c r="K3283" s="61" t="s">
        <v>11422</v>
      </c>
      <c r="L3283" s="10">
        <v>12</v>
      </c>
      <c r="M3283" s="16" t="s">
        <v>12350</v>
      </c>
      <c r="N3283" s="16" t="s">
        <v>78</v>
      </c>
      <c r="O3283" s="13" t="s">
        <v>12692</v>
      </c>
    </row>
    <row r="3284" spans="1:15" s="1" customFormat="1">
      <c r="A3284" s="74" t="s">
        <v>12351</v>
      </c>
      <c r="B3284" s="8"/>
      <c r="C3284" s="8"/>
      <c r="D3284" s="13" t="s">
        <v>12352</v>
      </c>
      <c r="E3284" s="9" t="s">
        <v>12330</v>
      </c>
      <c r="F3284" s="8" t="s">
        <v>12353</v>
      </c>
      <c r="G3284" s="61">
        <f>27.688*L3284</f>
        <v>249.19199999999998</v>
      </c>
      <c r="H3284" s="11">
        <v>41975</v>
      </c>
      <c r="I3284" s="10" t="s">
        <v>12356</v>
      </c>
      <c r="J3284" s="10" t="s">
        <v>12355</v>
      </c>
      <c r="K3284" s="61" t="s">
        <v>11416</v>
      </c>
      <c r="L3284" s="10">
        <v>9</v>
      </c>
      <c r="M3284" s="16" t="s">
        <v>12357</v>
      </c>
      <c r="N3284" s="16" t="s">
        <v>4974</v>
      </c>
      <c r="O3284" s="13" t="s">
        <v>12693</v>
      </c>
    </row>
    <row r="3285" spans="1:15" s="1" customFormat="1">
      <c r="A3285" s="8" t="s">
        <v>12358</v>
      </c>
      <c r="B3285" s="8"/>
      <c r="C3285" s="8"/>
      <c r="D3285" s="13" t="s">
        <v>12360</v>
      </c>
      <c r="E3285" s="9" t="s">
        <v>12330</v>
      </c>
      <c r="F3285" s="8" t="s">
        <v>12365</v>
      </c>
      <c r="G3285" s="61">
        <f>28.374*L3285</f>
        <v>85.122</v>
      </c>
      <c r="H3285" s="11">
        <v>41975</v>
      </c>
      <c r="I3285" s="10" t="s">
        <v>12363</v>
      </c>
      <c r="J3285" s="10" t="s">
        <v>12366</v>
      </c>
      <c r="K3285" s="61" t="s">
        <v>11416</v>
      </c>
      <c r="L3285" s="10">
        <v>3</v>
      </c>
      <c r="M3285" s="16" t="s">
        <v>12369</v>
      </c>
      <c r="N3285" s="16" t="s">
        <v>12370</v>
      </c>
      <c r="O3285" s="13" t="s">
        <v>12695</v>
      </c>
    </row>
    <row r="3286" spans="1:15" s="1" customFormat="1">
      <c r="A3286" s="8" t="s">
        <v>12371</v>
      </c>
      <c r="B3286" s="8" t="s">
        <v>12374</v>
      </c>
      <c r="C3286" s="8"/>
      <c r="D3286" s="13" t="s">
        <v>135</v>
      </c>
      <c r="E3286" s="9" t="s">
        <v>12372</v>
      </c>
      <c r="F3286" s="8" t="s">
        <v>12373</v>
      </c>
      <c r="G3286" s="10">
        <f>29.101*L3286/2</f>
        <v>116.404</v>
      </c>
      <c r="H3286" s="11">
        <v>41975</v>
      </c>
      <c r="I3286" s="10" t="s">
        <v>12378</v>
      </c>
      <c r="J3286" s="10" t="s">
        <v>12375</v>
      </c>
      <c r="K3286" s="61" t="s">
        <v>11416</v>
      </c>
      <c r="L3286" s="10">
        <v>8</v>
      </c>
      <c r="M3286" s="16" t="s">
        <v>12376</v>
      </c>
      <c r="N3286" s="16" t="s">
        <v>12377</v>
      </c>
      <c r="O3286" s="13" t="s">
        <v>12696</v>
      </c>
    </row>
    <row r="3287" spans="1:15" s="1" customFormat="1">
      <c r="A3287" s="8" t="s">
        <v>12379</v>
      </c>
      <c r="B3287" s="8"/>
      <c r="C3287" s="8"/>
      <c r="D3287" s="13" t="s">
        <v>377</v>
      </c>
      <c r="E3287" s="9" t="s">
        <v>12330</v>
      </c>
      <c r="F3287" s="8" t="s">
        <v>12381</v>
      </c>
      <c r="G3287" s="10">
        <f t="shared" ref="G3287:G3292" si="124">18.708*L3287</f>
        <v>243.20399999999998</v>
      </c>
      <c r="H3287" s="11">
        <v>41975</v>
      </c>
      <c r="I3287" s="10" t="s">
        <v>11472</v>
      </c>
      <c r="J3287" s="10" t="s">
        <v>12385</v>
      </c>
      <c r="K3287" s="10" t="s">
        <v>11475</v>
      </c>
      <c r="L3287" s="10">
        <v>13</v>
      </c>
      <c r="M3287" s="16" t="s">
        <v>12389</v>
      </c>
      <c r="N3287" s="16" t="s">
        <v>167</v>
      </c>
      <c r="O3287" s="13" t="s">
        <v>12697</v>
      </c>
    </row>
    <row r="3288" spans="1:15" s="1" customFormat="1">
      <c r="A3288" s="8" t="s">
        <v>12379</v>
      </c>
      <c r="B3288" s="8"/>
      <c r="C3288" s="8"/>
      <c r="D3288" s="13" t="s">
        <v>377</v>
      </c>
      <c r="E3288" s="9" t="s">
        <v>12330</v>
      </c>
      <c r="F3288" s="8" t="s">
        <v>12382</v>
      </c>
      <c r="G3288" s="10">
        <f t="shared" si="124"/>
        <v>130.95599999999999</v>
      </c>
      <c r="H3288" s="11">
        <v>41975</v>
      </c>
      <c r="I3288" s="10" t="s">
        <v>11472</v>
      </c>
      <c r="J3288" s="10" t="s">
        <v>12386</v>
      </c>
      <c r="K3288" s="10" t="s">
        <v>11475</v>
      </c>
      <c r="L3288" s="10">
        <v>7</v>
      </c>
      <c r="M3288" s="16" t="s">
        <v>12390</v>
      </c>
      <c r="N3288" s="16" t="s">
        <v>4178</v>
      </c>
      <c r="O3288" s="13" t="s">
        <v>12390</v>
      </c>
    </row>
    <row r="3289" spans="1:15" s="1" customFormat="1">
      <c r="A3289" s="8" t="s">
        <v>12379</v>
      </c>
      <c r="B3289" s="8"/>
      <c r="C3289" s="8"/>
      <c r="D3289" s="13" t="s">
        <v>377</v>
      </c>
      <c r="E3289" s="9" t="s">
        <v>12330</v>
      </c>
      <c r="F3289" s="8" t="s">
        <v>12383</v>
      </c>
      <c r="G3289" s="10">
        <f t="shared" si="124"/>
        <v>149.66399999999999</v>
      </c>
      <c r="H3289" s="11">
        <v>41975</v>
      </c>
      <c r="I3289" s="10" t="s">
        <v>12388</v>
      </c>
      <c r="J3289" s="10" t="s">
        <v>12387</v>
      </c>
      <c r="K3289" s="10" t="s">
        <v>11475</v>
      </c>
      <c r="L3289" s="10">
        <v>8</v>
      </c>
      <c r="M3289" s="16" t="s">
        <v>12390</v>
      </c>
      <c r="N3289" s="16" t="s">
        <v>4182</v>
      </c>
      <c r="O3289" s="13" t="s">
        <v>12698</v>
      </c>
    </row>
    <row r="3290" spans="1:15" s="1" customFormat="1">
      <c r="A3290" s="8" t="s">
        <v>12391</v>
      </c>
      <c r="B3290" s="8"/>
      <c r="C3290" s="8"/>
      <c r="D3290" s="13" t="s">
        <v>377</v>
      </c>
      <c r="E3290" s="9" t="s">
        <v>12330</v>
      </c>
      <c r="F3290" s="8" t="s">
        <v>12393</v>
      </c>
      <c r="G3290" s="10">
        <f t="shared" si="124"/>
        <v>93.539999999999992</v>
      </c>
      <c r="H3290" s="11">
        <v>41975</v>
      </c>
      <c r="I3290" s="10" t="s">
        <v>11975</v>
      </c>
      <c r="J3290" s="10" t="s">
        <v>12395</v>
      </c>
      <c r="K3290" s="10" t="s">
        <v>21</v>
      </c>
      <c r="L3290" s="10">
        <v>5</v>
      </c>
      <c r="M3290" s="16" t="s">
        <v>12397</v>
      </c>
      <c r="N3290" s="16" t="s">
        <v>4602</v>
      </c>
      <c r="O3290" s="13" t="s">
        <v>12700</v>
      </c>
    </row>
    <row r="3291" spans="1:15" s="1" customFormat="1">
      <c r="A3291" s="8" t="s">
        <v>12398</v>
      </c>
      <c r="B3291" s="8"/>
      <c r="C3291" s="8"/>
      <c r="D3291" s="13" t="s">
        <v>245</v>
      </c>
      <c r="E3291" s="9" t="s">
        <v>12330</v>
      </c>
      <c r="F3291" s="8" t="s">
        <v>12399</v>
      </c>
      <c r="G3291" s="61">
        <f t="shared" si="124"/>
        <v>112.24799999999999</v>
      </c>
      <c r="H3291" s="11">
        <v>41975</v>
      </c>
      <c r="I3291" s="10" t="s">
        <v>247</v>
      </c>
      <c r="J3291" s="10" t="s">
        <v>12402</v>
      </c>
      <c r="K3291" s="61" t="s">
        <v>21</v>
      </c>
      <c r="L3291" s="10">
        <v>6</v>
      </c>
      <c r="M3291" s="16" t="s">
        <v>12405</v>
      </c>
      <c r="N3291" s="16" t="s">
        <v>5938</v>
      </c>
      <c r="O3291" s="13" t="s">
        <v>12701</v>
      </c>
    </row>
    <row r="3292" spans="1:15" s="1" customFormat="1">
      <c r="A3292" s="8" t="s">
        <v>12398</v>
      </c>
      <c r="B3292" s="8"/>
      <c r="C3292" s="8"/>
      <c r="D3292" s="13" t="s">
        <v>245</v>
      </c>
      <c r="E3292" s="9" t="s">
        <v>12330</v>
      </c>
      <c r="F3292" s="8" t="s">
        <v>12400</v>
      </c>
      <c r="G3292" s="61">
        <f t="shared" si="124"/>
        <v>112.24799999999999</v>
      </c>
      <c r="H3292" s="11">
        <v>41975</v>
      </c>
      <c r="I3292" s="10" t="s">
        <v>247</v>
      </c>
      <c r="J3292" s="10" t="s">
        <v>12403</v>
      </c>
      <c r="K3292" s="61" t="s">
        <v>21</v>
      </c>
      <c r="L3292" s="10">
        <v>6</v>
      </c>
      <c r="M3292" s="16" t="s">
        <v>12406</v>
      </c>
      <c r="N3292" s="16" t="s">
        <v>74</v>
      </c>
      <c r="O3292" s="13" t="s">
        <v>12702</v>
      </c>
    </row>
    <row r="3293" spans="1:15" s="1" customFormat="1">
      <c r="A3293" s="8" t="s">
        <v>12407</v>
      </c>
      <c r="B3293" s="14" t="s">
        <v>283</v>
      </c>
      <c r="C3293" s="8"/>
      <c r="D3293" s="13" t="s">
        <v>1088</v>
      </c>
      <c r="E3293" s="9" t="s">
        <v>12330</v>
      </c>
      <c r="F3293" s="8" t="s">
        <v>12408</v>
      </c>
      <c r="G3293" s="10">
        <f>9.804*L3293</f>
        <v>117.648</v>
      </c>
      <c r="H3293" s="11">
        <v>41975</v>
      </c>
      <c r="I3293" s="10" t="s">
        <v>1090</v>
      </c>
      <c r="J3293" s="10" t="s">
        <v>12412</v>
      </c>
      <c r="K3293" s="10" t="s">
        <v>21</v>
      </c>
      <c r="L3293" s="10">
        <v>12</v>
      </c>
      <c r="M3293" s="16" t="s">
        <v>12416</v>
      </c>
      <c r="N3293" s="16" t="s">
        <v>164</v>
      </c>
      <c r="O3293" s="13" t="s">
        <v>12416</v>
      </c>
    </row>
    <row r="3294" spans="1:15" s="1" customFormat="1">
      <c r="A3294" s="8" t="s">
        <v>12407</v>
      </c>
      <c r="B3294" s="14" t="s">
        <v>283</v>
      </c>
      <c r="C3294" s="8"/>
      <c r="D3294" s="13" t="s">
        <v>1088</v>
      </c>
      <c r="E3294" s="9" t="s">
        <v>12330</v>
      </c>
      <c r="F3294" s="8" t="s">
        <v>12409</v>
      </c>
      <c r="G3294" s="10">
        <f>9.804*L3294</f>
        <v>127.452</v>
      </c>
      <c r="H3294" s="11">
        <v>41975</v>
      </c>
      <c r="I3294" s="10" t="s">
        <v>1090</v>
      </c>
      <c r="J3294" s="10" t="s">
        <v>12413</v>
      </c>
      <c r="K3294" s="10" t="s">
        <v>21</v>
      </c>
      <c r="L3294" s="10">
        <v>13</v>
      </c>
      <c r="M3294" s="16" t="s">
        <v>12416</v>
      </c>
      <c r="N3294" s="16" t="s">
        <v>167</v>
      </c>
      <c r="O3294" s="13" t="s">
        <v>13080</v>
      </c>
    </row>
    <row r="3295" spans="1:15" s="1" customFormat="1">
      <c r="A3295" s="8" t="s">
        <v>12407</v>
      </c>
      <c r="B3295" s="14" t="s">
        <v>283</v>
      </c>
      <c r="C3295" s="8"/>
      <c r="D3295" s="13" t="s">
        <v>1088</v>
      </c>
      <c r="E3295" s="9" t="s">
        <v>12330</v>
      </c>
      <c r="F3295" s="8" t="s">
        <v>12410</v>
      </c>
      <c r="G3295" s="10">
        <f>9.804*L3295</f>
        <v>117.648</v>
      </c>
      <c r="H3295" s="11">
        <v>41975</v>
      </c>
      <c r="I3295" s="10" t="s">
        <v>1090</v>
      </c>
      <c r="J3295" s="10" t="s">
        <v>12414</v>
      </c>
      <c r="K3295" s="10" t="s">
        <v>21</v>
      </c>
      <c r="L3295" s="10">
        <v>12</v>
      </c>
      <c r="M3295" s="16" t="s">
        <v>12417</v>
      </c>
      <c r="N3295" s="16" t="s">
        <v>164</v>
      </c>
      <c r="O3295" s="13" t="s">
        <v>13081</v>
      </c>
    </row>
    <row r="3296" spans="1:15" s="1" customFormat="1">
      <c r="A3296" s="8" t="s">
        <v>12407</v>
      </c>
      <c r="B3296" s="14" t="s">
        <v>283</v>
      </c>
      <c r="C3296" s="8"/>
      <c r="D3296" s="13" t="s">
        <v>1088</v>
      </c>
      <c r="E3296" s="9" t="s">
        <v>12330</v>
      </c>
      <c r="F3296" s="8" t="s">
        <v>12411</v>
      </c>
      <c r="G3296" s="10">
        <f>9.804*L3296</f>
        <v>127.452</v>
      </c>
      <c r="H3296" s="11">
        <v>41975</v>
      </c>
      <c r="I3296" s="10" t="s">
        <v>12418</v>
      </c>
      <c r="J3296" s="10" t="s">
        <v>12415</v>
      </c>
      <c r="K3296" s="10" t="s">
        <v>21</v>
      </c>
      <c r="L3296" s="10">
        <v>13</v>
      </c>
      <c r="M3296" s="16" t="s">
        <v>12417</v>
      </c>
      <c r="N3296" s="16" t="s">
        <v>167</v>
      </c>
      <c r="O3296" s="13" t="s">
        <v>12417</v>
      </c>
    </row>
    <row r="3297" spans="1:15" s="1" customFormat="1">
      <c r="A3297" s="8" t="s">
        <v>12419</v>
      </c>
      <c r="B3297" s="8"/>
      <c r="C3297" s="8"/>
      <c r="D3297" s="13" t="s">
        <v>632</v>
      </c>
      <c r="E3297" s="9" t="s">
        <v>12420</v>
      </c>
      <c r="F3297" s="8" t="s">
        <v>12421</v>
      </c>
      <c r="G3297" s="10">
        <f>17.498*7</f>
        <v>122.486</v>
      </c>
      <c r="H3297" s="11">
        <v>41975</v>
      </c>
      <c r="I3297" s="10" t="s">
        <v>471</v>
      </c>
      <c r="J3297" s="10" t="s">
        <v>12422</v>
      </c>
      <c r="K3297" s="61" t="s">
        <v>11422</v>
      </c>
      <c r="L3297" s="10" t="s">
        <v>12423</v>
      </c>
      <c r="M3297" s="16" t="s">
        <v>12424</v>
      </c>
      <c r="N3297" s="16" t="s">
        <v>12425</v>
      </c>
      <c r="O3297" s="13" t="s">
        <v>12703</v>
      </c>
    </row>
    <row r="3298" spans="1:15" s="1" customFormat="1">
      <c r="A3298" s="8" t="s">
        <v>12426</v>
      </c>
      <c r="B3298" s="14" t="s">
        <v>283</v>
      </c>
      <c r="C3298" s="8"/>
      <c r="D3298" s="13" t="s">
        <v>580</v>
      </c>
      <c r="E3298" s="9" t="s">
        <v>12420</v>
      </c>
      <c r="F3298" s="8" t="s">
        <v>12427</v>
      </c>
      <c r="G3298" s="10">
        <f t="shared" ref="G3298:G3303" si="125">9.871*L3298</f>
        <v>118.452</v>
      </c>
      <c r="H3298" s="11">
        <v>41975</v>
      </c>
      <c r="I3298" s="10" t="s">
        <v>161</v>
      </c>
      <c r="J3298" s="10" t="s">
        <v>12429</v>
      </c>
      <c r="K3298" s="10" t="s">
        <v>5478</v>
      </c>
      <c r="L3298" s="10">
        <v>12</v>
      </c>
      <c r="M3298" s="16" t="s">
        <v>12431</v>
      </c>
      <c r="N3298" s="16" t="s">
        <v>78</v>
      </c>
      <c r="O3298" s="13" t="s">
        <v>12431</v>
      </c>
    </row>
    <row r="3299" spans="1:15" s="1" customFormat="1">
      <c r="A3299" s="8" t="s">
        <v>12426</v>
      </c>
      <c r="B3299" s="14" t="s">
        <v>283</v>
      </c>
      <c r="C3299" s="8"/>
      <c r="D3299" s="13" t="s">
        <v>580</v>
      </c>
      <c r="E3299" s="9" t="s">
        <v>12420</v>
      </c>
      <c r="F3299" s="8" t="s">
        <v>12428</v>
      </c>
      <c r="G3299" s="10">
        <f t="shared" si="125"/>
        <v>128.32300000000001</v>
      </c>
      <c r="H3299" s="11">
        <v>41975</v>
      </c>
      <c r="I3299" s="10" t="s">
        <v>11467</v>
      </c>
      <c r="J3299" s="10" t="s">
        <v>12430</v>
      </c>
      <c r="K3299" s="10" t="s">
        <v>5478</v>
      </c>
      <c r="L3299" s="10">
        <v>13</v>
      </c>
      <c r="M3299" s="16" t="s">
        <v>12431</v>
      </c>
      <c r="N3299" s="16" t="s">
        <v>167</v>
      </c>
      <c r="O3299" s="13" t="s">
        <v>13430</v>
      </c>
    </row>
    <row r="3300" spans="1:15" s="1" customFormat="1">
      <c r="A3300" s="8" t="s">
        <v>12432</v>
      </c>
      <c r="B3300" s="14" t="s">
        <v>11536</v>
      </c>
      <c r="C3300" s="8"/>
      <c r="D3300" s="13" t="s">
        <v>1083</v>
      </c>
      <c r="E3300" s="9" t="s">
        <v>12420</v>
      </c>
      <c r="F3300" s="8" t="s">
        <v>12433</v>
      </c>
      <c r="G3300" s="10">
        <f t="shared" si="125"/>
        <v>118.452</v>
      </c>
      <c r="H3300" s="11">
        <v>41975</v>
      </c>
      <c r="I3300" s="10" t="s">
        <v>161</v>
      </c>
      <c r="J3300" s="10" t="s">
        <v>12437</v>
      </c>
      <c r="K3300" s="10" t="s">
        <v>21</v>
      </c>
      <c r="L3300" s="10">
        <v>12</v>
      </c>
      <c r="M3300" s="16" t="s">
        <v>12442</v>
      </c>
      <c r="N3300" s="16" t="s">
        <v>78</v>
      </c>
      <c r="O3300" s="13" t="s">
        <v>12442</v>
      </c>
    </row>
    <row r="3301" spans="1:15" s="1" customFormat="1">
      <c r="A3301" s="8" t="s">
        <v>12432</v>
      </c>
      <c r="B3301" s="14" t="s">
        <v>11536</v>
      </c>
      <c r="C3301" s="8"/>
      <c r="D3301" s="13" t="s">
        <v>1083</v>
      </c>
      <c r="E3301" s="9" t="s">
        <v>12420</v>
      </c>
      <c r="F3301" s="8" t="s">
        <v>12434</v>
      </c>
      <c r="G3301" s="10">
        <f t="shared" si="125"/>
        <v>128.32300000000001</v>
      </c>
      <c r="H3301" s="11">
        <v>41975</v>
      </c>
      <c r="I3301" s="10" t="s">
        <v>161</v>
      </c>
      <c r="J3301" s="10" t="s">
        <v>12438</v>
      </c>
      <c r="K3301" s="10" t="s">
        <v>21</v>
      </c>
      <c r="L3301" s="10">
        <v>13</v>
      </c>
      <c r="M3301" s="16" t="s">
        <v>12442</v>
      </c>
      <c r="N3301" s="16" t="s">
        <v>11753</v>
      </c>
      <c r="O3301" s="13" t="s">
        <v>13082</v>
      </c>
    </row>
    <row r="3302" spans="1:15" s="1" customFormat="1">
      <c r="A3302" s="8" t="s">
        <v>12432</v>
      </c>
      <c r="B3302" s="14" t="s">
        <v>11536</v>
      </c>
      <c r="C3302" s="8"/>
      <c r="D3302" s="13" t="s">
        <v>1083</v>
      </c>
      <c r="E3302" s="9" t="s">
        <v>12420</v>
      </c>
      <c r="F3302" s="8" t="s">
        <v>12435</v>
      </c>
      <c r="G3302" s="10">
        <f t="shared" si="125"/>
        <v>118.452</v>
      </c>
      <c r="H3302" s="11">
        <v>41975</v>
      </c>
      <c r="I3302" s="10" t="s">
        <v>161</v>
      </c>
      <c r="J3302" s="10" t="s">
        <v>12439</v>
      </c>
      <c r="K3302" s="10" t="s">
        <v>21</v>
      </c>
      <c r="L3302" s="10">
        <v>12</v>
      </c>
      <c r="M3302" s="16" t="s">
        <v>12443</v>
      </c>
      <c r="N3302" s="16" t="s">
        <v>78</v>
      </c>
      <c r="O3302" s="13" t="s">
        <v>13431</v>
      </c>
    </row>
    <row r="3303" spans="1:15" s="1" customFormat="1">
      <c r="A3303" s="8" t="s">
        <v>12432</v>
      </c>
      <c r="B3303" s="14" t="s">
        <v>11536</v>
      </c>
      <c r="C3303" s="8"/>
      <c r="D3303" s="13" t="s">
        <v>1083</v>
      </c>
      <c r="E3303" s="9" t="s">
        <v>12420</v>
      </c>
      <c r="F3303" s="8" t="s">
        <v>12436</v>
      </c>
      <c r="G3303" s="10">
        <f t="shared" si="125"/>
        <v>128.32300000000001</v>
      </c>
      <c r="H3303" s="11">
        <v>41975</v>
      </c>
      <c r="I3303" s="10" t="s">
        <v>12441</v>
      </c>
      <c r="J3303" s="10" t="s">
        <v>12440</v>
      </c>
      <c r="K3303" s="10" t="s">
        <v>21</v>
      </c>
      <c r="L3303" s="10">
        <v>13</v>
      </c>
      <c r="M3303" s="16" t="s">
        <v>12443</v>
      </c>
      <c r="N3303" s="16" t="s">
        <v>11753</v>
      </c>
      <c r="O3303" s="13" t="s">
        <v>12443</v>
      </c>
    </row>
    <row r="3304" spans="1:15" s="1" customFormat="1">
      <c r="A3304" s="8" t="s">
        <v>12444</v>
      </c>
      <c r="B3304" s="8"/>
      <c r="C3304" s="8"/>
      <c r="D3304" s="13" t="s">
        <v>3871</v>
      </c>
      <c r="E3304" s="9" t="s">
        <v>12445</v>
      </c>
      <c r="F3304" s="8" t="s">
        <v>12448</v>
      </c>
      <c r="G3304" s="10">
        <f>13.006*L3304</f>
        <v>156.072</v>
      </c>
      <c r="H3304" s="11">
        <v>41975</v>
      </c>
      <c r="I3304" s="10" t="s">
        <v>11518</v>
      </c>
      <c r="J3304" s="10" t="s">
        <v>12452</v>
      </c>
      <c r="K3304" s="10" t="s">
        <v>11475</v>
      </c>
      <c r="L3304" s="10">
        <v>12</v>
      </c>
      <c r="M3304" s="16" t="s">
        <v>12455</v>
      </c>
      <c r="N3304" s="16" t="s">
        <v>164</v>
      </c>
      <c r="O3304" s="13" t="s">
        <v>12455</v>
      </c>
    </row>
    <row r="3305" spans="1:15" s="1" customFormat="1">
      <c r="A3305" s="8" t="s">
        <v>12444</v>
      </c>
      <c r="B3305" s="8"/>
      <c r="C3305" s="8"/>
      <c r="D3305" s="13" t="s">
        <v>3871</v>
      </c>
      <c r="E3305" s="9" t="s">
        <v>12445</v>
      </c>
      <c r="F3305" s="8" t="s">
        <v>12449</v>
      </c>
      <c r="G3305" s="10">
        <f>13.006*L3305</f>
        <v>169.078</v>
      </c>
      <c r="H3305" s="11">
        <v>41975</v>
      </c>
      <c r="I3305" s="10" t="s">
        <v>11518</v>
      </c>
      <c r="J3305" s="10" t="s">
        <v>12453</v>
      </c>
      <c r="K3305" s="10" t="s">
        <v>11475</v>
      </c>
      <c r="L3305" s="10">
        <v>13</v>
      </c>
      <c r="M3305" s="16" t="s">
        <v>12455</v>
      </c>
      <c r="N3305" s="16" t="s">
        <v>167</v>
      </c>
      <c r="O3305" s="13" t="s">
        <v>12705</v>
      </c>
    </row>
    <row r="3306" spans="1:15" s="1" customFormat="1">
      <c r="A3306" s="8" t="s">
        <v>12571</v>
      </c>
      <c r="B3306" s="8"/>
      <c r="C3306" s="8"/>
      <c r="D3306" s="13" t="s">
        <v>263</v>
      </c>
      <c r="E3306" s="9" t="s">
        <v>12420</v>
      </c>
      <c r="F3306" s="8" t="s">
        <v>12456</v>
      </c>
      <c r="G3306" s="10">
        <f>17.498*L3306</f>
        <v>87.490000000000009</v>
      </c>
      <c r="H3306" s="11">
        <v>41975</v>
      </c>
      <c r="I3306" s="10" t="s">
        <v>265</v>
      </c>
      <c r="J3306" s="10" t="s">
        <v>12457</v>
      </c>
      <c r="K3306" s="61" t="s">
        <v>11416</v>
      </c>
      <c r="L3306" s="10">
        <v>5</v>
      </c>
      <c r="M3306" s="16" t="s">
        <v>12458</v>
      </c>
      <c r="N3306" s="16" t="s">
        <v>1284</v>
      </c>
      <c r="O3306" s="13" t="s">
        <v>12706</v>
      </c>
    </row>
    <row r="3307" spans="1:15" s="1" customFormat="1">
      <c r="A3307" s="8" t="s">
        <v>11411</v>
      </c>
      <c r="B3307" s="8"/>
      <c r="C3307" s="8"/>
      <c r="D3307" s="13" t="s">
        <v>1128</v>
      </c>
      <c r="E3307" s="9" t="s">
        <v>11674</v>
      </c>
      <c r="F3307" s="8" t="s">
        <v>12234</v>
      </c>
      <c r="G3307" s="61">
        <f t="shared" ref="G3307:G3324" si="126">29.101*L3307</f>
        <v>349.21199999999999</v>
      </c>
      <c r="H3307" s="11">
        <v>41975</v>
      </c>
      <c r="I3307" s="61" t="s">
        <v>11414</v>
      </c>
      <c r="J3307" s="10" t="s">
        <v>12266</v>
      </c>
      <c r="K3307" s="61" t="s">
        <v>11416</v>
      </c>
      <c r="L3307" s="10">
        <v>12</v>
      </c>
      <c r="M3307" s="16" t="s">
        <v>12236</v>
      </c>
      <c r="N3307" s="63" t="s">
        <v>78</v>
      </c>
      <c r="O3307" s="13"/>
    </row>
    <row r="3308" spans="1:15" s="1" customFormat="1">
      <c r="A3308" s="8" t="s">
        <v>11411</v>
      </c>
      <c r="B3308" s="8"/>
      <c r="C3308" s="8"/>
      <c r="D3308" s="13" t="s">
        <v>1128</v>
      </c>
      <c r="E3308" s="9" t="s">
        <v>11674</v>
      </c>
      <c r="F3308" s="8" t="s">
        <v>12235</v>
      </c>
      <c r="G3308" s="61">
        <f t="shared" si="126"/>
        <v>378.31299999999999</v>
      </c>
      <c r="H3308" s="11">
        <v>41975</v>
      </c>
      <c r="I3308" s="61" t="s">
        <v>11414</v>
      </c>
      <c r="J3308" s="10" t="s">
        <v>12267</v>
      </c>
      <c r="K3308" s="61" t="s">
        <v>11416</v>
      </c>
      <c r="L3308" s="10">
        <v>13</v>
      </c>
      <c r="M3308" s="16" t="s">
        <v>12236</v>
      </c>
      <c r="N3308" s="16" t="s">
        <v>81</v>
      </c>
      <c r="O3308" s="13"/>
    </row>
    <row r="3309" spans="1:15" s="1" customFormat="1">
      <c r="A3309" s="8" t="s">
        <v>11411</v>
      </c>
      <c r="B3309" s="8"/>
      <c r="C3309" s="8"/>
      <c r="D3309" s="13" t="s">
        <v>1128</v>
      </c>
      <c r="E3309" s="9" t="s">
        <v>11674</v>
      </c>
      <c r="F3309" s="8" t="s">
        <v>12237</v>
      </c>
      <c r="G3309" s="61">
        <f t="shared" si="126"/>
        <v>349.21199999999999</v>
      </c>
      <c r="H3309" s="11">
        <v>41975</v>
      </c>
      <c r="I3309" s="61" t="s">
        <v>11414</v>
      </c>
      <c r="J3309" s="10" t="s">
        <v>12268</v>
      </c>
      <c r="K3309" s="61" t="s">
        <v>11416</v>
      </c>
      <c r="L3309" s="10">
        <v>12</v>
      </c>
      <c r="M3309" s="16" t="s">
        <v>12239</v>
      </c>
      <c r="N3309" s="16" t="s">
        <v>78</v>
      </c>
      <c r="O3309" s="13"/>
    </row>
    <row r="3310" spans="1:15" s="1" customFormat="1">
      <c r="A3310" s="8" t="s">
        <v>11411</v>
      </c>
      <c r="B3310" s="8"/>
      <c r="C3310" s="8"/>
      <c r="D3310" s="13" t="s">
        <v>1128</v>
      </c>
      <c r="E3310" s="9" t="s">
        <v>11674</v>
      </c>
      <c r="F3310" s="8" t="s">
        <v>12241</v>
      </c>
      <c r="G3310" s="61">
        <f t="shared" si="126"/>
        <v>378.31299999999999</v>
      </c>
      <c r="H3310" s="11">
        <v>41975</v>
      </c>
      <c r="I3310" s="61" t="s">
        <v>11414</v>
      </c>
      <c r="J3310" s="10" t="s">
        <v>12271</v>
      </c>
      <c r="K3310" s="61" t="s">
        <v>11416</v>
      </c>
      <c r="L3310" s="10">
        <v>13</v>
      </c>
      <c r="M3310" s="16" t="s">
        <v>12242</v>
      </c>
      <c r="N3310" s="16" t="s">
        <v>81</v>
      </c>
      <c r="O3310" s="13"/>
    </row>
    <row r="3311" spans="1:15" s="1" customFormat="1">
      <c r="A3311" s="8" t="s">
        <v>11411</v>
      </c>
      <c r="B3311" s="8"/>
      <c r="C3311" s="8"/>
      <c r="D3311" s="13" t="s">
        <v>1128</v>
      </c>
      <c r="E3311" s="9" t="s">
        <v>11674</v>
      </c>
      <c r="F3311" s="8" t="s">
        <v>12243</v>
      </c>
      <c r="G3311" s="61">
        <f t="shared" si="126"/>
        <v>349.21199999999999</v>
      </c>
      <c r="H3311" s="11">
        <v>41975</v>
      </c>
      <c r="I3311" s="61" t="s">
        <v>11414</v>
      </c>
      <c r="J3311" s="10" t="s">
        <v>12272</v>
      </c>
      <c r="K3311" s="61" t="s">
        <v>11416</v>
      </c>
      <c r="L3311" s="10">
        <v>12</v>
      </c>
      <c r="M3311" s="16" t="s">
        <v>12245</v>
      </c>
      <c r="N3311" s="16" t="s">
        <v>78</v>
      </c>
      <c r="O3311" s="13"/>
    </row>
    <row r="3312" spans="1:15" s="1" customFormat="1">
      <c r="A3312" s="8" t="s">
        <v>11411</v>
      </c>
      <c r="B3312" s="8"/>
      <c r="C3312" s="8"/>
      <c r="D3312" s="13" t="s">
        <v>1128</v>
      </c>
      <c r="E3312" s="9" t="s">
        <v>11674</v>
      </c>
      <c r="F3312" s="8" t="s">
        <v>12244</v>
      </c>
      <c r="G3312" s="61">
        <f t="shared" si="126"/>
        <v>378.31299999999999</v>
      </c>
      <c r="H3312" s="11">
        <v>41975</v>
      </c>
      <c r="I3312" s="61" t="s">
        <v>11414</v>
      </c>
      <c r="J3312" s="10" t="s">
        <v>12273</v>
      </c>
      <c r="K3312" s="61" t="s">
        <v>11416</v>
      </c>
      <c r="L3312" s="10">
        <v>13</v>
      </c>
      <c r="M3312" s="16" t="s">
        <v>12245</v>
      </c>
      <c r="N3312" s="16" t="s">
        <v>81</v>
      </c>
      <c r="O3312" s="13"/>
    </row>
    <row r="3313" spans="1:15" s="1" customFormat="1">
      <c r="A3313" s="8" t="s">
        <v>11411</v>
      </c>
      <c r="B3313" s="8"/>
      <c r="C3313" s="8"/>
      <c r="D3313" s="13" t="s">
        <v>1128</v>
      </c>
      <c r="E3313" s="9" t="s">
        <v>11674</v>
      </c>
      <c r="F3313" s="8" t="s">
        <v>12246</v>
      </c>
      <c r="G3313" s="61">
        <f t="shared" si="126"/>
        <v>349.21199999999999</v>
      </c>
      <c r="H3313" s="11">
        <v>41975</v>
      </c>
      <c r="I3313" s="61" t="s">
        <v>11414</v>
      </c>
      <c r="J3313" s="10" t="s">
        <v>12274</v>
      </c>
      <c r="K3313" s="61" t="s">
        <v>11416</v>
      </c>
      <c r="L3313" s="10">
        <v>12</v>
      </c>
      <c r="M3313" s="16" t="s">
        <v>12248</v>
      </c>
      <c r="N3313" s="16" t="s">
        <v>78</v>
      </c>
      <c r="O3313" s="13"/>
    </row>
    <row r="3314" spans="1:15" s="1" customFormat="1">
      <c r="A3314" s="8" t="s">
        <v>11411</v>
      </c>
      <c r="B3314" s="8"/>
      <c r="C3314" s="8"/>
      <c r="D3314" s="13" t="s">
        <v>1128</v>
      </c>
      <c r="E3314" s="9" t="s">
        <v>11674</v>
      </c>
      <c r="F3314" s="8" t="s">
        <v>12247</v>
      </c>
      <c r="G3314" s="61">
        <f t="shared" si="126"/>
        <v>378.31299999999999</v>
      </c>
      <c r="H3314" s="11">
        <v>41975</v>
      </c>
      <c r="I3314" s="61" t="s">
        <v>11414</v>
      </c>
      <c r="J3314" s="10" t="s">
        <v>12275</v>
      </c>
      <c r="K3314" s="61" t="s">
        <v>11416</v>
      </c>
      <c r="L3314" s="10">
        <v>13</v>
      </c>
      <c r="M3314" s="16" t="s">
        <v>12248</v>
      </c>
      <c r="N3314" s="16" t="s">
        <v>81</v>
      </c>
      <c r="O3314" s="13"/>
    </row>
    <row r="3315" spans="1:15" s="1" customFormat="1">
      <c r="A3315" s="8" t="s">
        <v>11411</v>
      </c>
      <c r="B3315" s="8"/>
      <c r="C3315" s="8"/>
      <c r="D3315" s="13" t="s">
        <v>1128</v>
      </c>
      <c r="E3315" s="9" t="s">
        <v>11674</v>
      </c>
      <c r="F3315" s="8" t="s">
        <v>12249</v>
      </c>
      <c r="G3315" s="61">
        <f t="shared" si="126"/>
        <v>320.11099999999999</v>
      </c>
      <c r="H3315" s="11">
        <v>41975</v>
      </c>
      <c r="I3315" s="61" t="s">
        <v>11414</v>
      </c>
      <c r="J3315" s="10" t="s">
        <v>12276</v>
      </c>
      <c r="K3315" s="61" t="s">
        <v>11416</v>
      </c>
      <c r="L3315" s="10">
        <v>11</v>
      </c>
      <c r="M3315" s="16" t="s">
        <v>12251</v>
      </c>
      <c r="N3315" s="16" t="s">
        <v>12252</v>
      </c>
      <c r="O3315" s="13"/>
    </row>
    <row r="3316" spans="1:15" s="1" customFormat="1">
      <c r="A3316" s="8" t="s">
        <v>11411</v>
      </c>
      <c r="B3316" s="8"/>
      <c r="C3316" s="8"/>
      <c r="D3316" s="13" t="s">
        <v>1128</v>
      </c>
      <c r="E3316" s="9" t="s">
        <v>11674</v>
      </c>
      <c r="F3316" s="8" t="s">
        <v>12250</v>
      </c>
      <c r="G3316" s="61">
        <f t="shared" si="126"/>
        <v>349.21199999999999</v>
      </c>
      <c r="H3316" s="11">
        <v>41975</v>
      </c>
      <c r="I3316" s="61" t="s">
        <v>11414</v>
      </c>
      <c r="J3316" s="10" t="s">
        <v>12277</v>
      </c>
      <c r="K3316" s="61" t="s">
        <v>11416</v>
      </c>
      <c r="L3316" s="10">
        <v>12</v>
      </c>
      <c r="M3316" s="16" t="s">
        <v>12251</v>
      </c>
      <c r="N3316" s="16" t="s">
        <v>12253</v>
      </c>
      <c r="O3316" s="13"/>
    </row>
    <row r="3317" spans="1:15" s="1" customFormat="1">
      <c r="A3317" s="8" t="s">
        <v>11411</v>
      </c>
      <c r="B3317" s="8"/>
      <c r="C3317" s="8"/>
      <c r="D3317" s="13" t="s">
        <v>1128</v>
      </c>
      <c r="E3317" s="9" t="s">
        <v>11674</v>
      </c>
      <c r="F3317" s="8" t="s">
        <v>12254</v>
      </c>
      <c r="G3317" s="61">
        <f t="shared" si="126"/>
        <v>349.21199999999999</v>
      </c>
      <c r="H3317" s="11">
        <v>41975</v>
      </c>
      <c r="I3317" s="61" t="s">
        <v>11414</v>
      </c>
      <c r="J3317" s="10" t="s">
        <v>12278</v>
      </c>
      <c r="K3317" s="61" t="s">
        <v>11416</v>
      </c>
      <c r="L3317" s="10">
        <v>12</v>
      </c>
      <c r="M3317" s="16" t="s">
        <v>12256</v>
      </c>
      <c r="N3317" s="16" t="s">
        <v>78</v>
      </c>
      <c r="O3317" s="13"/>
    </row>
    <row r="3318" spans="1:15" s="1" customFormat="1">
      <c r="A3318" s="8" t="s">
        <v>11411</v>
      </c>
      <c r="B3318" s="8"/>
      <c r="C3318" s="8"/>
      <c r="D3318" s="13" t="s">
        <v>1128</v>
      </c>
      <c r="E3318" s="9" t="s">
        <v>11674</v>
      </c>
      <c r="F3318" s="8" t="s">
        <v>12255</v>
      </c>
      <c r="G3318" s="61">
        <f t="shared" si="126"/>
        <v>378.31299999999999</v>
      </c>
      <c r="H3318" s="11">
        <v>41975</v>
      </c>
      <c r="I3318" s="61" t="s">
        <v>11414</v>
      </c>
      <c r="J3318" s="10" t="s">
        <v>12279</v>
      </c>
      <c r="K3318" s="61" t="s">
        <v>11416</v>
      </c>
      <c r="L3318" s="10">
        <v>13</v>
      </c>
      <c r="M3318" s="16" t="s">
        <v>12256</v>
      </c>
      <c r="N3318" s="16" t="s">
        <v>81</v>
      </c>
      <c r="O3318" s="13"/>
    </row>
    <row r="3319" spans="1:15" s="1" customFormat="1">
      <c r="A3319" s="8" t="s">
        <v>11411</v>
      </c>
      <c r="B3319" s="8"/>
      <c r="C3319" s="8"/>
      <c r="D3319" s="13" t="s">
        <v>1128</v>
      </c>
      <c r="E3319" s="9" t="s">
        <v>11674</v>
      </c>
      <c r="F3319" s="8" t="s">
        <v>12257</v>
      </c>
      <c r="G3319" s="61">
        <f t="shared" si="126"/>
        <v>349.21199999999999</v>
      </c>
      <c r="H3319" s="11">
        <v>41975</v>
      </c>
      <c r="I3319" s="61" t="s">
        <v>11414</v>
      </c>
      <c r="J3319" s="10" t="s">
        <v>12280</v>
      </c>
      <c r="K3319" s="61" t="s">
        <v>11416</v>
      </c>
      <c r="L3319" s="10">
        <v>12</v>
      </c>
      <c r="M3319" s="16" t="s">
        <v>12259</v>
      </c>
      <c r="N3319" s="16" t="s">
        <v>78</v>
      </c>
      <c r="O3319" s="13"/>
    </row>
    <row r="3320" spans="1:15" s="1" customFormat="1">
      <c r="A3320" s="8" t="s">
        <v>11411</v>
      </c>
      <c r="B3320" s="8"/>
      <c r="C3320" s="8"/>
      <c r="D3320" s="13" t="s">
        <v>1128</v>
      </c>
      <c r="E3320" s="9" t="s">
        <v>11674</v>
      </c>
      <c r="F3320" s="8" t="s">
        <v>12258</v>
      </c>
      <c r="G3320" s="61">
        <f t="shared" si="126"/>
        <v>378.31299999999999</v>
      </c>
      <c r="H3320" s="11">
        <v>41975</v>
      </c>
      <c r="I3320" s="61" t="s">
        <v>11414</v>
      </c>
      <c r="J3320" s="10" t="s">
        <v>12281</v>
      </c>
      <c r="K3320" s="61" t="s">
        <v>11416</v>
      </c>
      <c r="L3320" s="10">
        <v>13</v>
      </c>
      <c r="M3320" s="16" t="s">
        <v>12259</v>
      </c>
      <c r="N3320" s="16" t="s">
        <v>81</v>
      </c>
      <c r="O3320" s="13"/>
    </row>
    <row r="3321" spans="1:15" s="1" customFormat="1">
      <c r="A3321" s="8" t="s">
        <v>11411</v>
      </c>
      <c r="B3321" s="8"/>
      <c r="C3321" s="8"/>
      <c r="D3321" s="13" t="s">
        <v>1128</v>
      </c>
      <c r="E3321" s="9" t="s">
        <v>11674</v>
      </c>
      <c r="F3321" s="8" t="s">
        <v>12260</v>
      </c>
      <c r="G3321" s="61">
        <f t="shared" si="126"/>
        <v>349.21199999999999</v>
      </c>
      <c r="H3321" s="11">
        <v>41975</v>
      </c>
      <c r="I3321" s="61" t="s">
        <v>11414</v>
      </c>
      <c r="J3321" s="10" t="s">
        <v>12282</v>
      </c>
      <c r="K3321" s="61" t="s">
        <v>11416</v>
      </c>
      <c r="L3321" s="10">
        <v>12</v>
      </c>
      <c r="M3321" s="16" t="s">
        <v>12262</v>
      </c>
      <c r="N3321" s="16" t="s">
        <v>78</v>
      </c>
      <c r="O3321" s="13"/>
    </row>
    <row r="3322" spans="1:15" s="1" customFormat="1">
      <c r="A3322" s="8" t="s">
        <v>11411</v>
      </c>
      <c r="B3322" s="8"/>
      <c r="C3322" s="8"/>
      <c r="D3322" s="13" t="s">
        <v>1128</v>
      </c>
      <c r="E3322" s="9" t="s">
        <v>11674</v>
      </c>
      <c r="F3322" s="8" t="s">
        <v>12261</v>
      </c>
      <c r="G3322" s="61">
        <f t="shared" si="126"/>
        <v>378.31299999999999</v>
      </c>
      <c r="H3322" s="11">
        <v>41975</v>
      </c>
      <c r="I3322" s="61" t="s">
        <v>11414</v>
      </c>
      <c r="J3322" s="10" t="s">
        <v>12283</v>
      </c>
      <c r="K3322" s="61" t="s">
        <v>11416</v>
      </c>
      <c r="L3322" s="10">
        <v>13</v>
      </c>
      <c r="M3322" s="16" t="s">
        <v>12262</v>
      </c>
      <c r="N3322" s="16" t="s">
        <v>81</v>
      </c>
      <c r="O3322" s="13"/>
    </row>
    <row r="3323" spans="1:15" s="1" customFormat="1">
      <c r="A3323" s="8" t="s">
        <v>11411</v>
      </c>
      <c r="B3323" s="8"/>
      <c r="C3323" s="8"/>
      <c r="D3323" s="13" t="s">
        <v>1128</v>
      </c>
      <c r="E3323" s="9" t="s">
        <v>11674</v>
      </c>
      <c r="F3323" s="8" t="s">
        <v>12263</v>
      </c>
      <c r="G3323" s="61">
        <f t="shared" si="126"/>
        <v>349.21199999999999</v>
      </c>
      <c r="H3323" s="11">
        <v>41975</v>
      </c>
      <c r="I3323" s="61" t="s">
        <v>11414</v>
      </c>
      <c r="J3323" s="10" t="s">
        <v>12284</v>
      </c>
      <c r="K3323" s="61" t="s">
        <v>11416</v>
      </c>
      <c r="L3323" s="10">
        <v>12</v>
      </c>
      <c r="M3323" s="16" t="s">
        <v>12265</v>
      </c>
      <c r="N3323" s="16" t="s">
        <v>78</v>
      </c>
      <c r="O3323" s="13"/>
    </row>
    <row r="3324" spans="1:15" s="1" customFormat="1">
      <c r="A3324" s="8" t="s">
        <v>11411</v>
      </c>
      <c r="B3324" s="8"/>
      <c r="C3324" s="8"/>
      <c r="D3324" s="13" t="s">
        <v>1128</v>
      </c>
      <c r="E3324" s="9" t="s">
        <v>11674</v>
      </c>
      <c r="F3324" s="8" t="s">
        <v>12264</v>
      </c>
      <c r="G3324" s="61">
        <f t="shared" si="126"/>
        <v>378.31299999999999</v>
      </c>
      <c r="H3324" s="11">
        <v>41975</v>
      </c>
      <c r="I3324" s="61" t="s">
        <v>11414</v>
      </c>
      <c r="J3324" s="10" t="s">
        <v>12285</v>
      </c>
      <c r="K3324" s="61" t="s">
        <v>11416</v>
      </c>
      <c r="L3324" s="10">
        <v>13</v>
      </c>
      <c r="M3324" s="16" t="s">
        <v>12265</v>
      </c>
      <c r="N3324" s="16" t="s">
        <v>81</v>
      </c>
      <c r="O3324" s="13"/>
    </row>
    <row r="3325" spans="1:15" s="1" customFormat="1">
      <c r="A3325" s="8" t="s">
        <v>1043</v>
      </c>
      <c r="B3325" s="8"/>
      <c r="C3325" s="8"/>
      <c r="D3325" s="13" t="s">
        <v>12291</v>
      </c>
      <c r="E3325" s="9" t="s">
        <v>11674</v>
      </c>
      <c r="F3325" s="8" t="s">
        <v>12286</v>
      </c>
      <c r="G3325" s="61">
        <f t="shared" ref="G3325:G3339" si="127">18.708*L3325</f>
        <v>224.49599999999998</v>
      </c>
      <c r="H3325" s="11">
        <v>41975</v>
      </c>
      <c r="I3325" s="10" t="s">
        <v>11592</v>
      </c>
      <c r="J3325" s="10" t="s">
        <v>12287</v>
      </c>
      <c r="K3325" s="61" t="s">
        <v>12288</v>
      </c>
      <c r="L3325" s="10">
        <v>12</v>
      </c>
      <c r="M3325" s="16" t="s">
        <v>12289</v>
      </c>
      <c r="N3325" s="16" t="s">
        <v>78</v>
      </c>
      <c r="O3325" s="13"/>
    </row>
    <row r="3326" spans="1:15" s="1" customFormat="1">
      <c r="A3326" s="8" t="s">
        <v>1043</v>
      </c>
      <c r="B3326" s="8"/>
      <c r="C3326" s="8"/>
      <c r="D3326" s="13" t="s">
        <v>443</v>
      </c>
      <c r="E3326" s="9" t="s">
        <v>11674</v>
      </c>
      <c r="F3326" s="8" t="s">
        <v>12290</v>
      </c>
      <c r="G3326" s="61">
        <f t="shared" si="127"/>
        <v>243.20399999999998</v>
      </c>
      <c r="H3326" s="11">
        <v>41975</v>
      </c>
      <c r="I3326" s="10" t="s">
        <v>11592</v>
      </c>
      <c r="J3326" s="10" t="s">
        <v>12292</v>
      </c>
      <c r="K3326" s="61" t="s">
        <v>12288</v>
      </c>
      <c r="L3326" s="10">
        <v>13</v>
      </c>
      <c r="M3326" s="16" t="s">
        <v>12289</v>
      </c>
      <c r="N3326" s="16" t="s">
        <v>167</v>
      </c>
      <c r="O3326" s="13"/>
    </row>
    <row r="3327" spans="1:15" s="1" customFormat="1">
      <c r="A3327" s="8" t="s">
        <v>1043</v>
      </c>
      <c r="B3327" s="8"/>
      <c r="C3327" s="8"/>
      <c r="D3327" s="13" t="s">
        <v>443</v>
      </c>
      <c r="E3327" s="9" t="s">
        <v>11674</v>
      </c>
      <c r="F3327" s="8" t="s">
        <v>12294</v>
      </c>
      <c r="G3327" s="61">
        <f t="shared" si="127"/>
        <v>243.20399999999998</v>
      </c>
      <c r="H3327" s="11">
        <v>41975</v>
      </c>
      <c r="I3327" s="10" t="s">
        <v>11592</v>
      </c>
      <c r="J3327" s="10" t="s">
        <v>12297</v>
      </c>
      <c r="K3327" s="61" t="s">
        <v>12288</v>
      </c>
      <c r="L3327" s="10">
        <v>13</v>
      </c>
      <c r="M3327" s="16" t="s">
        <v>12295</v>
      </c>
      <c r="N3327" s="16" t="s">
        <v>167</v>
      </c>
      <c r="O3327" s="13"/>
    </row>
    <row r="3328" spans="1:15" s="1" customFormat="1">
      <c r="A3328" s="8" t="s">
        <v>1043</v>
      </c>
      <c r="B3328" s="8"/>
      <c r="C3328" s="8"/>
      <c r="D3328" s="13" t="s">
        <v>443</v>
      </c>
      <c r="E3328" s="9" t="s">
        <v>11674</v>
      </c>
      <c r="F3328" s="8" t="s">
        <v>12304</v>
      </c>
      <c r="G3328" s="61">
        <f t="shared" si="127"/>
        <v>224.49599999999998</v>
      </c>
      <c r="H3328" s="11">
        <v>41975</v>
      </c>
      <c r="I3328" s="10" t="s">
        <v>11592</v>
      </c>
      <c r="J3328" s="10" t="s">
        <v>12316</v>
      </c>
      <c r="K3328" s="61" t="s">
        <v>12288</v>
      </c>
      <c r="L3328" s="10">
        <v>12</v>
      </c>
      <c r="M3328" s="16" t="s">
        <v>12298</v>
      </c>
      <c r="N3328" s="16" t="s">
        <v>78</v>
      </c>
      <c r="O3328" s="13"/>
    </row>
    <row r="3329" spans="1:15" s="1" customFormat="1">
      <c r="A3329" s="8" t="s">
        <v>1043</v>
      </c>
      <c r="B3329" s="8"/>
      <c r="C3329" s="8"/>
      <c r="D3329" s="13" t="s">
        <v>443</v>
      </c>
      <c r="E3329" s="9" t="s">
        <v>11674</v>
      </c>
      <c r="F3329" s="8" t="s">
        <v>12305</v>
      </c>
      <c r="G3329" s="61">
        <f t="shared" si="127"/>
        <v>243.20399999999998</v>
      </c>
      <c r="H3329" s="11">
        <v>41975</v>
      </c>
      <c r="I3329" s="10" t="s">
        <v>11592</v>
      </c>
      <c r="J3329" s="10" t="s">
        <v>12317</v>
      </c>
      <c r="K3329" s="61" t="s">
        <v>12288</v>
      </c>
      <c r="L3329" s="10">
        <v>13</v>
      </c>
      <c r="M3329" s="16" t="s">
        <v>12298</v>
      </c>
      <c r="N3329" s="16" t="s">
        <v>167</v>
      </c>
      <c r="O3329" s="13"/>
    </row>
    <row r="3330" spans="1:15" s="1" customFormat="1">
      <c r="A3330" s="8" t="s">
        <v>1043</v>
      </c>
      <c r="B3330" s="8"/>
      <c r="C3330" s="8"/>
      <c r="D3330" s="13" t="s">
        <v>443</v>
      </c>
      <c r="E3330" s="9" t="s">
        <v>11674</v>
      </c>
      <c r="F3330" s="8" t="s">
        <v>12306</v>
      </c>
      <c r="G3330" s="61">
        <f t="shared" si="127"/>
        <v>224.49599999999998</v>
      </c>
      <c r="H3330" s="11">
        <v>41975</v>
      </c>
      <c r="I3330" s="10" t="s">
        <v>11592</v>
      </c>
      <c r="J3330" s="10" t="s">
        <v>12318</v>
      </c>
      <c r="K3330" s="61" t="s">
        <v>12288</v>
      </c>
      <c r="L3330" s="10">
        <v>12</v>
      </c>
      <c r="M3330" s="16" t="s">
        <v>12299</v>
      </c>
      <c r="N3330" s="16" t="s">
        <v>78</v>
      </c>
      <c r="O3330" s="13"/>
    </row>
    <row r="3331" spans="1:15" s="1" customFormat="1">
      <c r="A3331" s="8" t="s">
        <v>1043</v>
      </c>
      <c r="B3331" s="8"/>
      <c r="C3331" s="8"/>
      <c r="D3331" s="13" t="s">
        <v>443</v>
      </c>
      <c r="E3331" s="9" t="s">
        <v>11674</v>
      </c>
      <c r="F3331" s="8" t="s">
        <v>12307</v>
      </c>
      <c r="G3331" s="61">
        <f t="shared" si="127"/>
        <v>243.20399999999998</v>
      </c>
      <c r="H3331" s="11">
        <v>41975</v>
      </c>
      <c r="I3331" s="10" t="s">
        <v>11592</v>
      </c>
      <c r="J3331" s="10" t="s">
        <v>12319</v>
      </c>
      <c r="K3331" s="61" t="s">
        <v>12288</v>
      </c>
      <c r="L3331" s="10">
        <v>13</v>
      </c>
      <c r="M3331" s="16" t="s">
        <v>12299</v>
      </c>
      <c r="N3331" s="16" t="s">
        <v>167</v>
      </c>
      <c r="O3331" s="13"/>
    </row>
    <row r="3332" spans="1:15" s="1" customFormat="1">
      <c r="A3332" s="8" t="s">
        <v>1043</v>
      </c>
      <c r="B3332" s="8"/>
      <c r="C3332" s="8"/>
      <c r="D3332" s="13" t="s">
        <v>443</v>
      </c>
      <c r="E3332" s="9" t="s">
        <v>11674</v>
      </c>
      <c r="F3332" s="8" t="s">
        <v>12308</v>
      </c>
      <c r="G3332" s="61">
        <f t="shared" si="127"/>
        <v>224.49599999999998</v>
      </c>
      <c r="H3332" s="11">
        <v>41975</v>
      </c>
      <c r="I3332" s="10" t="s">
        <v>11592</v>
      </c>
      <c r="J3332" s="10" t="s">
        <v>12320</v>
      </c>
      <c r="K3332" s="61" t="s">
        <v>12288</v>
      </c>
      <c r="L3332" s="10">
        <v>12</v>
      </c>
      <c r="M3332" s="16" t="s">
        <v>12300</v>
      </c>
      <c r="N3332" s="16" t="s">
        <v>78</v>
      </c>
      <c r="O3332" s="13"/>
    </row>
    <row r="3333" spans="1:15" s="1" customFormat="1">
      <c r="A3333" s="8" t="s">
        <v>12328</v>
      </c>
      <c r="B3333" s="8"/>
      <c r="C3333" s="8"/>
      <c r="D3333" s="13" t="s">
        <v>443</v>
      </c>
      <c r="E3333" s="9" t="s">
        <v>11674</v>
      </c>
      <c r="F3333" s="8" t="s">
        <v>12309</v>
      </c>
      <c r="G3333" s="61">
        <f t="shared" si="127"/>
        <v>243.20399999999998</v>
      </c>
      <c r="H3333" s="11">
        <v>41975</v>
      </c>
      <c r="I3333" s="10" t="s">
        <v>11592</v>
      </c>
      <c r="J3333" s="10" t="s">
        <v>12321</v>
      </c>
      <c r="K3333" s="61" t="s">
        <v>12288</v>
      </c>
      <c r="L3333" s="10">
        <v>13</v>
      </c>
      <c r="M3333" s="16" t="s">
        <v>12300</v>
      </c>
      <c r="N3333" s="16" t="s">
        <v>167</v>
      </c>
      <c r="O3333" s="13"/>
    </row>
    <row r="3334" spans="1:15" s="1" customFormat="1">
      <c r="A3334" s="8" t="s">
        <v>1043</v>
      </c>
      <c r="B3334" s="8"/>
      <c r="C3334" s="8"/>
      <c r="D3334" s="13" t="s">
        <v>443</v>
      </c>
      <c r="E3334" s="9" t="s">
        <v>11674</v>
      </c>
      <c r="F3334" s="8" t="s">
        <v>12310</v>
      </c>
      <c r="G3334" s="61">
        <f t="shared" si="127"/>
        <v>224.49599999999998</v>
      </c>
      <c r="H3334" s="11">
        <v>41975</v>
      </c>
      <c r="I3334" s="10" t="s">
        <v>11592</v>
      </c>
      <c r="J3334" s="10" t="s">
        <v>12322</v>
      </c>
      <c r="K3334" s="61" t="s">
        <v>12288</v>
      </c>
      <c r="L3334" s="10">
        <v>12</v>
      </c>
      <c r="M3334" s="16" t="s">
        <v>12301</v>
      </c>
      <c r="N3334" s="16" t="s">
        <v>78</v>
      </c>
      <c r="O3334" s="13"/>
    </row>
    <row r="3335" spans="1:15" s="1" customFormat="1">
      <c r="A3335" s="8" t="s">
        <v>1043</v>
      </c>
      <c r="B3335" s="8"/>
      <c r="C3335" s="8"/>
      <c r="D3335" s="13" t="s">
        <v>443</v>
      </c>
      <c r="E3335" s="9" t="s">
        <v>11674</v>
      </c>
      <c r="F3335" s="8" t="s">
        <v>12311</v>
      </c>
      <c r="G3335" s="61">
        <f t="shared" si="127"/>
        <v>243.20399999999998</v>
      </c>
      <c r="H3335" s="11">
        <v>41975</v>
      </c>
      <c r="I3335" s="10" t="s">
        <v>11592</v>
      </c>
      <c r="J3335" s="10" t="s">
        <v>12323</v>
      </c>
      <c r="K3335" s="61" t="s">
        <v>12288</v>
      </c>
      <c r="L3335" s="10">
        <v>13</v>
      </c>
      <c r="M3335" s="16" t="s">
        <v>12301</v>
      </c>
      <c r="N3335" s="16" t="s">
        <v>167</v>
      </c>
      <c r="O3335" s="13"/>
    </row>
    <row r="3336" spans="1:15" s="1" customFormat="1">
      <c r="A3336" s="8" t="s">
        <v>1043</v>
      </c>
      <c r="B3336" s="8"/>
      <c r="C3336" s="8"/>
      <c r="D3336" s="13" t="s">
        <v>443</v>
      </c>
      <c r="E3336" s="9" t="s">
        <v>11674</v>
      </c>
      <c r="F3336" s="8" t="s">
        <v>12312</v>
      </c>
      <c r="G3336" s="61">
        <f t="shared" si="127"/>
        <v>224.49599999999998</v>
      </c>
      <c r="H3336" s="11">
        <v>41975</v>
      </c>
      <c r="I3336" s="10" t="s">
        <v>11592</v>
      </c>
      <c r="J3336" s="10" t="s">
        <v>12324</v>
      </c>
      <c r="K3336" s="61" t="s">
        <v>12288</v>
      </c>
      <c r="L3336" s="10">
        <v>12</v>
      </c>
      <c r="M3336" s="16" t="s">
        <v>12302</v>
      </c>
      <c r="N3336" s="16" t="s">
        <v>78</v>
      </c>
      <c r="O3336" s="13"/>
    </row>
    <row r="3337" spans="1:15" s="1" customFormat="1">
      <c r="A3337" s="8" t="s">
        <v>1043</v>
      </c>
      <c r="B3337" s="8"/>
      <c r="C3337" s="8"/>
      <c r="D3337" s="13" t="s">
        <v>443</v>
      </c>
      <c r="E3337" s="9" t="s">
        <v>11674</v>
      </c>
      <c r="F3337" s="8" t="s">
        <v>12313</v>
      </c>
      <c r="G3337" s="61">
        <f t="shared" si="127"/>
        <v>243.20399999999998</v>
      </c>
      <c r="H3337" s="11">
        <v>41975</v>
      </c>
      <c r="I3337" s="10" t="s">
        <v>11592</v>
      </c>
      <c r="J3337" s="10" t="s">
        <v>12325</v>
      </c>
      <c r="K3337" s="61" t="s">
        <v>12288</v>
      </c>
      <c r="L3337" s="10">
        <v>13</v>
      </c>
      <c r="M3337" s="16" t="s">
        <v>12302</v>
      </c>
      <c r="N3337" s="16" t="s">
        <v>167</v>
      </c>
      <c r="O3337" s="13"/>
    </row>
    <row r="3338" spans="1:15" s="1" customFormat="1">
      <c r="A3338" s="8" t="s">
        <v>1043</v>
      </c>
      <c r="B3338" s="8"/>
      <c r="C3338" s="8"/>
      <c r="D3338" s="13" t="s">
        <v>443</v>
      </c>
      <c r="E3338" s="9" t="s">
        <v>11674</v>
      </c>
      <c r="F3338" s="8" t="s">
        <v>12314</v>
      </c>
      <c r="G3338" s="61">
        <f t="shared" si="127"/>
        <v>224.49599999999998</v>
      </c>
      <c r="H3338" s="11">
        <v>41975</v>
      </c>
      <c r="I3338" s="10" t="s">
        <v>11592</v>
      </c>
      <c r="J3338" s="10" t="s">
        <v>12326</v>
      </c>
      <c r="K3338" s="61" t="s">
        <v>12288</v>
      </c>
      <c r="L3338" s="10">
        <v>12</v>
      </c>
      <c r="M3338" s="16" t="s">
        <v>12303</v>
      </c>
      <c r="N3338" s="16" t="s">
        <v>78</v>
      </c>
      <c r="O3338" s="13"/>
    </row>
    <row r="3339" spans="1:15" s="1" customFormat="1">
      <c r="A3339" s="8" t="s">
        <v>1043</v>
      </c>
      <c r="B3339" s="8"/>
      <c r="C3339" s="8"/>
      <c r="D3339" s="13" t="s">
        <v>443</v>
      </c>
      <c r="E3339" s="9" t="s">
        <v>11674</v>
      </c>
      <c r="F3339" s="8" t="s">
        <v>12315</v>
      </c>
      <c r="G3339" s="61">
        <f t="shared" si="127"/>
        <v>243.20399999999998</v>
      </c>
      <c r="H3339" s="11">
        <v>41975</v>
      </c>
      <c r="I3339" s="10" t="s">
        <v>11592</v>
      </c>
      <c r="J3339" s="10" t="s">
        <v>12327</v>
      </c>
      <c r="K3339" s="61" t="s">
        <v>12288</v>
      </c>
      <c r="L3339" s="10">
        <v>13</v>
      </c>
      <c r="M3339" s="16" t="s">
        <v>12303</v>
      </c>
      <c r="N3339" s="16" t="s">
        <v>167</v>
      </c>
      <c r="O3339" s="13"/>
    </row>
    <row r="3340" spans="1:15" s="1" customFormat="1">
      <c r="A3340" s="8" t="s">
        <v>12487</v>
      </c>
      <c r="B3340" s="8" t="s">
        <v>4059</v>
      </c>
      <c r="C3340" s="8"/>
      <c r="D3340" s="13" t="s">
        <v>789</v>
      </c>
      <c r="E3340" s="9" t="s">
        <v>12488</v>
      </c>
      <c r="F3340" s="8" t="s">
        <v>12489</v>
      </c>
      <c r="G3340" s="10">
        <f>8.606*L3340</f>
        <v>103.27199999999999</v>
      </c>
      <c r="H3340" s="11">
        <v>41976</v>
      </c>
      <c r="I3340" s="10" t="s">
        <v>272</v>
      </c>
      <c r="J3340" s="10" t="s">
        <v>12490</v>
      </c>
      <c r="K3340" s="10" t="s">
        <v>21</v>
      </c>
      <c r="L3340" s="10">
        <v>12</v>
      </c>
      <c r="M3340" s="16" t="s">
        <v>12493</v>
      </c>
      <c r="N3340" s="16" t="s">
        <v>164</v>
      </c>
      <c r="O3340" s="13" t="s">
        <v>12493</v>
      </c>
    </row>
    <row r="3341" spans="1:15" s="1" customFormat="1">
      <c r="A3341" s="8" t="s">
        <v>12487</v>
      </c>
      <c r="B3341" s="8" t="s">
        <v>4059</v>
      </c>
      <c r="C3341" s="8"/>
      <c r="D3341" s="13" t="s">
        <v>789</v>
      </c>
      <c r="E3341" s="9" t="s">
        <v>12488</v>
      </c>
      <c r="F3341" s="8" t="s">
        <v>12491</v>
      </c>
      <c r="G3341" s="10">
        <f>8.606*L3341</f>
        <v>111.878</v>
      </c>
      <c r="H3341" s="11">
        <v>41976</v>
      </c>
      <c r="I3341" s="10" t="s">
        <v>12496</v>
      </c>
      <c r="J3341" s="10" t="s">
        <v>12492</v>
      </c>
      <c r="K3341" s="61" t="s">
        <v>11416</v>
      </c>
      <c r="L3341" s="10">
        <v>13</v>
      </c>
      <c r="M3341" s="16" t="s">
        <v>13109</v>
      </c>
      <c r="N3341" s="16" t="s">
        <v>167</v>
      </c>
      <c r="O3341" s="13" t="s">
        <v>13432</v>
      </c>
    </row>
    <row r="3342" spans="1:15" s="1" customFormat="1">
      <c r="A3342" s="74" t="s">
        <v>12499</v>
      </c>
      <c r="B3342" s="8"/>
      <c r="C3342" s="8"/>
      <c r="D3342" s="13" t="s">
        <v>12497</v>
      </c>
      <c r="E3342" s="9" t="s">
        <v>12488</v>
      </c>
      <c r="F3342" s="8" t="s">
        <v>12498</v>
      </c>
      <c r="G3342" s="61">
        <f>17.52*L3342</f>
        <v>52.56</v>
      </c>
      <c r="H3342" s="11">
        <v>41976</v>
      </c>
      <c r="I3342" s="10" t="s">
        <v>12503</v>
      </c>
      <c r="J3342" s="10" t="s">
        <v>12500</v>
      </c>
      <c r="K3342" s="61" t="s">
        <v>12501</v>
      </c>
      <c r="L3342" s="10">
        <v>3</v>
      </c>
      <c r="M3342" s="16" t="s">
        <v>12502</v>
      </c>
      <c r="N3342" s="16" t="s">
        <v>368</v>
      </c>
      <c r="O3342" s="13" t="s">
        <v>12877</v>
      </c>
    </row>
    <row r="3343" spans="1:15" s="1" customFormat="1">
      <c r="A3343" s="8" t="s">
        <v>12504</v>
      </c>
      <c r="B3343" s="8"/>
      <c r="C3343" s="8"/>
      <c r="D3343" s="13" t="s">
        <v>383</v>
      </c>
      <c r="E3343" s="9" t="s">
        <v>12488</v>
      </c>
      <c r="F3343" s="8" t="s">
        <v>12505</v>
      </c>
      <c r="G3343" s="61">
        <v>61.88</v>
      </c>
      <c r="H3343" s="11">
        <v>41976</v>
      </c>
      <c r="I3343" s="10" t="s">
        <v>209</v>
      </c>
      <c r="J3343" s="10" t="s">
        <v>12506</v>
      </c>
      <c r="K3343" s="10" t="s">
        <v>128</v>
      </c>
      <c r="L3343" s="10" t="s">
        <v>12509</v>
      </c>
      <c r="M3343" s="16" t="s">
        <v>12507</v>
      </c>
      <c r="N3343" s="16" t="s">
        <v>12508</v>
      </c>
      <c r="O3343" s="13" t="s">
        <v>12751</v>
      </c>
    </row>
    <row r="3344" spans="1:15" s="1" customFormat="1">
      <c r="A3344" s="8" t="s">
        <v>12510</v>
      </c>
      <c r="B3344" s="8"/>
      <c r="C3344" s="8"/>
      <c r="D3344" s="13" t="s">
        <v>2128</v>
      </c>
      <c r="E3344" s="9" t="s">
        <v>12488</v>
      </c>
      <c r="F3344" s="8" t="s">
        <v>12511</v>
      </c>
      <c r="G3344" s="61">
        <v>260.89699999999999</v>
      </c>
      <c r="H3344" s="11">
        <v>41976</v>
      </c>
      <c r="I3344" s="10" t="s">
        <v>209</v>
      </c>
      <c r="J3344" s="10" t="s">
        <v>12512</v>
      </c>
      <c r="K3344" s="61" t="s">
        <v>12513</v>
      </c>
      <c r="L3344" s="10" t="s">
        <v>12514</v>
      </c>
      <c r="M3344" s="16" t="s">
        <v>12515</v>
      </c>
      <c r="N3344" s="16" t="s">
        <v>12516</v>
      </c>
      <c r="O3344" s="13" t="s">
        <v>12752</v>
      </c>
    </row>
    <row r="3345" spans="1:15" s="1" customFormat="1">
      <c r="A3345" s="8" t="s">
        <v>12517</v>
      </c>
      <c r="B3345" s="8"/>
      <c r="C3345" s="8"/>
      <c r="D3345" s="13" t="s">
        <v>237</v>
      </c>
      <c r="E3345" s="9" t="s">
        <v>12518</v>
      </c>
      <c r="F3345" s="8" t="s">
        <v>12519</v>
      </c>
      <c r="G3345" s="61">
        <v>154.85499999999999</v>
      </c>
      <c r="H3345" s="11">
        <v>41976</v>
      </c>
      <c r="I3345" s="10" t="s">
        <v>209</v>
      </c>
      <c r="J3345" s="10" t="s">
        <v>12520</v>
      </c>
      <c r="K3345" s="61" t="s">
        <v>12513</v>
      </c>
      <c r="L3345" s="10" t="s">
        <v>12521</v>
      </c>
      <c r="M3345" s="16" t="s">
        <v>12522</v>
      </c>
      <c r="N3345" s="16" t="s">
        <v>12523</v>
      </c>
      <c r="O3345" s="13" t="s">
        <v>12753</v>
      </c>
    </row>
    <row r="3346" spans="1:15" s="1" customFormat="1">
      <c r="A3346" s="8" t="s">
        <v>12524</v>
      </c>
      <c r="B3346" s="8"/>
      <c r="C3346" s="8"/>
      <c r="D3346" s="13" t="s">
        <v>1312</v>
      </c>
      <c r="E3346" s="9" t="s">
        <v>12488</v>
      </c>
      <c r="F3346" s="8" t="s">
        <v>12525</v>
      </c>
      <c r="G3346" s="61">
        <v>81.262</v>
      </c>
      <c r="H3346" s="11">
        <v>41976</v>
      </c>
      <c r="I3346" s="10" t="s">
        <v>209</v>
      </c>
      <c r="J3346" s="10" t="s">
        <v>12526</v>
      </c>
      <c r="K3346" s="61" t="s">
        <v>12513</v>
      </c>
      <c r="L3346" s="10" t="s">
        <v>2788</v>
      </c>
      <c r="M3346" s="16" t="s">
        <v>12534</v>
      </c>
      <c r="N3346" s="16" t="s">
        <v>12535</v>
      </c>
      <c r="O3346" s="13" t="s">
        <v>13083</v>
      </c>
    </row>
    <row r="3347" spans="1:15" s="1" customFormat="1">
      <c r="A3347" s="8" t="s">
        <v>12524</v>
      </c>
      <c r="B3347" s="8"/>
      <c r="C3347" s="8"/>
      <c r="D3347" s="13" t="s">
        <v>1312</v>
      </c>
      <c r="E3347" s="9" t="s">
        <v>12488</v>
      </c>
      <c r="F3347" s="8" t="s">
        <v>12527</v>
      </c>
      <c r="G3347" s="61">
        <v>81.02</v>
      </c>
      <c r="H3347" s="11">
        <v>41976</v>
      </c>
      <c r="I3347" s="10" t="s">
        <v>209</v>
      </c>
      <c r="J3347" s="10" t="s">
        <v>12529</v>
      </c>
      <c r="K3347" s="61" t="s">
        <v>12513</v>
      </c>
      <c r="L3347" s="10" t="s">
        <v>2788</v>
      </c>
      <c r="M3347" s="16" t="s">
        <v>12536</v>
      </c>
      <c r="N3347" s="16" t="s">
        <v>12537</v>
      </c>
      <c r="O3347" s="13" t="s">
        <v>13084</v>
      </c>
    </row>
    <row r="3348" spans="1:15" s="1" customFormat="1">
      <c r="A3348" s="8" t="s">
        <v>12524</v>
      </c>
      <c r="B3348" s="8"/>
      <c r="C3348" s="8"/>
      <c r="D3348" s="13" t="s">
        <v>12532</v>
      </c>
      <c r="E3348" s="9" t="s">
        <v>12488</v>
      </c>
      <c r="F3348" s="8" t="s">
        <v>12528</v>
      </c>
      <c r="G3348" s="61">
        <v>33.597000000000001</v>
      </c>
      <c r="H3348" s="11">
        <v>41976</v>
      </c>
      <c r="I3348" s="10" t="s">
        <v>12533</v>
      </c>
      <c r="J3348" s="10" t="s">
        <v>12530</v>
      </c>
      <c r="K3348" s="61" t="s">
        <v>12513</v>
      </c>
      <c r="L3348" s="10" t="s">
        <v>12531</v>
      </c>
      <c r="M3348" s="16" t="s">
        <v>12538</v>
      </c>
      <c r="N3348" s="16" t="s">
        <v>12539</v>
      </c>
      <c r="O3348" s="13" t="s">
        <v>13085</v>
      </c>
    </row>
    <row r="3349" spans="1:15" s="1" customFormat="1">
      <c r="A3349" s="74" t="s">
        <v>12541</v>
      </c>
      <c r="B3349" s="8"/>
      <c r="C3349" s="8"/>
      <c r="D3349" s="13" t="s">
        <v>1312</v>
      </c>
      <c r="E3349" s="9" t="s">
        <v>12488</v>
      </c>
      <c r="F3349" s="8" t="s">
        <v>12540</v>
      </c>
      <c r="G3349" s="61">
        <v>48.765999999999998</v>
      </c>
      <c r="H3349" s="11">
        <v>41976</v>
      </c>
      <c r="I3349" s="10" t="s">
        <v>12533</v>
      </c>
      <c r="J3349" s="10" t="s">
        <v>12542</v>
      </c>
      <c r="K3349" s="61" t="s">
        <v>12513</v>
      </c>
      <c r="L3349" s="10" t="s">
        <v>12543</v>
      </c>
      <c r="M3349" s="16" t="s">
        <v>12544</v>
      </c>
      <c r="N3349" s="16" t="s">
        <v>12545</v>
      </c>
      <c r="O3349" s="13" t="s">
        <v>12905</v>
      </c>
    </row>
    <row r="3350" spans="1:15" s="1" customFormat="1">
      <c r="A3350" s="8" t="s">
        <v>12546</v>
      </c>
      <c r="B3350" s="8"/>
      <c r="C3350" s="8"/>
      <c r="D3350" s="13" t="s">
        <v>12547</v>
      </c>
      <c r="E3350" s="9" t="s">
        <v>12518</v>
      </c>
      <c r="F3350" s="8" t="s">
        <v>12548</v>
      </c>
      <c r="G3350" s="61">
        <v>136.59899999999999</v>
      </c>
      <c r="H3350" s="11">
        <v>41976</v>
      </c>
      <c r="I3350" s="10" t="s">
        <v>209</v>
      </c>
      <c r="J3350" s="10" t="s">
        <v>12549</v>
      </c>
      <c r="K3350" s="10" t="s">
        <v>128</v>
      </c>
      <c r="L3350" s="10" t="s">
        <v>12550</v>
      </c>
      <c r="M3350" s="16" t="s">
        <v>12551</v>
      </c>
      <c r="N3350" s="16" t="s">
        <v>12552</v>
      </c>
      <c r="O3350" s="13" t="s">
        <v>12754</v>
      </c>
    </row>
    <row r="3351" spans="1:15" s="1" customFormat="1">
      <c r="A3351" s="8" t="s">
        <v>12559</v>
      </c>
      <c r="B3351" s="8"/>
      <c r="C3351" s="8"/>
      <c r="D3351" s="13" t="s">
        <v>5892</v>
      </c>
      <c r="E3351" s="9" t="s">
        <v>12560</v>
      </c>
      <c r="F3351" s="8" t="s">
        <v>12561</v>
      </c>
      <c r="G3351" s="61">
        <v>226.14500000000001</v>
      </c>
      <c r="H3351" s="11">
        <v>41976</v>
      </c>
      <c r="I3351" s="10" t="s">
        <v>209</v>
      </c>
      <c r="J3351" s="10" t="s">
        <v>12562</v>
      </c>
      <c r="K3351" s="10" t="s">
        <v>128</v>
      </c>
      <c r="L3351" s="10" t="s">
        <v>12563</v>
      </c>
      <c r="M3351" s="16" t="s">
        <v>12564</v>
      </c>
      <c r="N3351" s="16" t="s">
        <v>12565</v>
      </c>
      <c r="O3351" s="13" t="s">
        <v>12756</v>
      </c>
    </row>
    <row r="3352" spans="1:15" s="1" customFormat="1">
      <c r="A3352" s="8" t="s">
        <v>12623</v>
      </c>
      <c r="B3352" s="14" t="s">
        <v>11536</v>
      </c>
      <c r="C3352" s="8"/>
      <c r="D3352" s="9" t="s">
        <v>1083</v>
      </c>
      <c r="E3352" s="9" t="s">
        <v>12624</v>
      </c>
      <c r="F3352" s="8" t="s">
        <v>12625</v>
      </c>
      <c r="G3352" s="10">
        <f>9.871*L3352</f>
        <v>118.452</v>
      </c>
      <c r="H3352" s="11">
        <v>41977</v>
      </c>
      <c r="I3352" s="10" t="s">
        <v>12441</v>
      </c>
      <c r="J3352" s="10" t="s">
        <v>12627</v>
      </c>
      <c r="K3352" s="10" t="s">
        <v>21</v>
      </c>
      <c r="L3352" s="10">
        <v>12</v>
      </c>
      <c r="M3352" s="16" t="s">
        <v>12629</v>
      </c>
      <c r="N3352" s="16" t="s">
        <v>78</v>
      </c>
      <c r="O3352" s="13" t="s">
        <v>12629</v>
      </c>
    </row>
    <row r="3353" spans="1:15" s="1" customFormat="1">
      <c r="A3353" s="8" t="s">
        <v>12623</v>
      </c>
      <c r="B3353" s="14" t="s">
        <v>11536</v>
      </c>
      <c r="C3353" s="8"/>
      <c r="D3353" s="9" t="s">
        <v>1083</v>
      </c>
      <c r="E3353" s="9" t="s">
        <v>12624</v>
      </c>
      <c r="F3353" s="8" t="s">
        <v>12626</v>
      </c>
      <c r="G3353" s="10">
        <f>9.871*L3353</f>
        <v>128.32300000000001</v>
      </c>
      <c r="H3353" s="11">
        <v>41977</v>
      </c>
      <c r="I3353" s="10" t="s">
        <v>12441</v>
      </c>
      <c r="J3353" s="10" t="s">
        <v>12628</v>
      </c>
      <c r="K3353" s="10" t="s">
        <v>21</v>
      </c>
      <c r="L3353" s="10">
        <v>13</v>
      </c>
      <c r="M3353" s="16" t="s">
        <v>12629</v>
      </c>
      <c r="N3353" s="16" t="s">
        <v>11753</v>
      </c>
      <c r="O3353" s="13" t="s">
        <v>13086</v>
      </c>
    </row>
    <row r="3354" spans="1:15" s="1" customFormat="1">
      <c r="A3354" s="8" t="s">
        <v>12642</v>
      </c>
      <c r="B3354" s="8"/>
      <c r="C3354" s="8"/>
      <c r="D3354" s="9" t="s">
        <v>3759</v>
      </c>
      <c r="E3354" s="9" t="s">
        <v>12624</v>
      </c>
      <c r="F3354" s="8" t="s">
        <v>12643</v>
      </c>
      <c r="G3354" s="61">
        <v>121.557</v>
      </c>
      <c r="H3354" s="11">
        <v>41977</v>
      </c>
      <c r="I3354" s="10" t="s">
        <v>12638</v>
      </c>
      <c r="J3354" s="10" t="s">
        <v>12644</v>
      </c>
      <c r="K3354" s="10" t="s">
        <v>12645</v>
      </c>
      <c r="L3354" s="10" t="s">
        <v>12646</v>
      </c>
      <c r="M3354" s="16" t="s">
        <v>12647</v>
      </c>
      <c r="N3354" s="16" t="s">
        <v>12648</v>
      </c>
      <c r="O3354" s="13" t="s">
        <v>12759</v>
      </c>
    </row>
    <row r="3355" spans="1:15" s="1" customFormat="1">
      <c r="A3355" s="8" t="s">
        <v>11411</v>
      </c>
      <c r="B3355" s="8"/>
      <c r="C3355" s="8"/>
      <c r="D3355" s="13" t="s">
        <v>1128</v>
      </c>
      <c r="E3355" s="9" t="s">
        <v>11674</v>
      </c>
      <c r="F3355" s="8" t="s">
        <v>12572</v>
      </c>
      <c r="G3355" s="61">
        <f t="shared" ref="G3355:G3370" si="128">29.101*L3355</f>
        <v>261.90899999999999</v>
      </c>
      <c r="H3355" s="11">
        <v>41977</v>
      </c>
      <c r="I3355" s="61" t="s">
        <v>11414</v>
      </c>
      <c r="J3355" s="10" t="s">
        <v>12573</v>
      </c>
      <c r="K3355" s="61" t="s">
        <v>11416</v>
      </c>
      <c r="L3355" s="10">
        <v>9</v>
      </c>
      <c r="M3355" s="16" t="s">
        <v>12576</v>
      </c>
      <c r="N3355" s="16" t="s">
        <v>12577</v>
      </c>
      <c r="O3355" s="13"/>
    </row>
    <row r="3356" spans="1:15" s="1" customFormat="1">
      <c r="A3356" s="8" t="s">
        <v>11411</v>
      </c>
      <c r="B3356" s="8"/>
      <c r="C3356" s="8"/>
      <c r="D3356" s="13" t="s">
        <v>1128</v>
      </c>
      <c r="E3356" s="9" t="s">
        <v>11674</v>
      </c>
      <c r="F3356" s="8" t="s">
        <v>12575</v>
      </c>
      <c r="G3356" s="61">
        <f t="shared" si="128"/>
        <v>291.01</v>
      </c>
      <c r="H3356" s="11">
        <v>41977</v>
      </c>
      <c r="I3356" s="61" t="s">
        <v>11414</v>
      </c>
      <c r="J3356" s="10" t="s">
        <v>12574</v>
      </c>
      <c r="K3356" s="61" t="s">
        <v>11416</v>
      </c>
      <c r="L3356" s="10">
        <v>10</v>
      </c>
      <c r="M3356" s="16" t="s">
        <v>12576</v>
      </c>
      <c r="N3356" s="16" t="s">
        <v>12578</v>
      </c>
      <c r="O3356" s="13"/>
    </row>
    <row r="3357" spans="1:15" s="1" customFormat="1">
      <c r="A3357" s="8" t="s">
        <v>11411</v>
      </c>
      <c r="B3357" s="8"/>
      <c r="C3357" s="8"/>
      <c r="D3357" s="13" t="s">
        <v>1128</v>
      </c>
      <c r="E3357" s="9" t="s">
        <v>11674</v>
      </c>
      <c r="F3357" s="8" t="s">
        <v>12579</v>
      </c>
      <c r="G3357" s="61">
        <f t="shared" si="128"/>
        <v>349.21199999999999</v>
      </c>
      <c r="H3357" s="11">
        <v>41977</v>
      </c>
      <c r="I3357" s="61" t="s">
        <v>11414</v>
      </c>
      <c r="J3357" s="10" t="s">
        <v>12581</v>
      </c>
      <c r="K3357" s="61" t="s">
        <v>11416</v>
      </c>
      <c r="L3357" s="10">
        <v>12</v>
      </c>
      <c r="M3357" s="16" t="s">
        <v>12583</v>
      </c>
      <c r="N3357" s="16" t="s">
        <v>78</v>
      </c>
      <c r="O3357" s="13"/>
    </row>
    <row r="3358" spans="1:15" s="1" customFormat="1">
      <c r="A3358" s="8" t="s">
        <v>11411</v>
      </c>
      <c r="B3358" s="8"/>
      <c r="C3358" s="8"/>
      <c r="D3358" s="13" t="s">
        <v>1128</v>
      </c>
      <c r="E3358" s="9" t="s">
        <v>11674</v>
      </c>
      <c r="F3358" s="8" t="s">
        <v>12580</v>
      </c>
      <c r="G3358" s="61">
        <f t="shared" si="128"/>
        <v>378.31299999999999</v>
      </c>
      <c r="H3358" s="11">
        <v>41977</v>
      </c>
      <c r="I3358" s="61" t="s">
        <v>11414</v>
      </c>
      <c r="J3358" s="10" t="s">
        <v>12582</v>
      </c>
      <c r="K3358" s="61" t="s">
        <v>11416</v>
      </c>
      <c r="L3358" s="10">
        <v>13</v>
      </c>
      <c r="M3358" s="16" t="s">
        <v>12583</v>
      </c>
      <c r="N3358" s="16" t="s">
        <v>81</v>
      </c>
      <c r="O3358" s="13"/>
    </row>
    <row r="3359" spans="1:15" s="1" customFormat="1">
      <c r="A3359" s="8" t="s">
        <v>11411</v>
      </c>
      <c r="B3359" s="8"/>
      <c r="C3359" s="8"/>
      <c r="D3359" s="13" t="s">
        <v>1128</v>
      </c>
      <c r="E3359" s="9" t="s">
        <v>11674</v>
      </c>
      <c r="F3359" s="8" t="s">
        <v>12584</v>
      </c>
      <c r="G3359" s="61">
        <f t="shared" si="128"/>
        <v>349.21199999999999</v>
      </c>
      <c r="H3359" s="11">
        <v>41977</v>
      </c>
      <c r="I3359" s="61" t="s">
        <v>11414</v>
      </c>
      <c r="J3359" s="10" t="s">
        <v>12586</v>
      </c>
      <c r="K3359" s="61" t="s">
        <v>11416</v>
      </c>
      <c r="L3359" s="10">
        <v>12</v>
      </c>
      <c r="M3359" s="16" t="s">
        <v>12588</v>
      </c>
      <c r="N3359" s="16" t="s">
        <v>78</v>
      </c>
      <c r="O3359" s="13"/>
    </row>
    <row r="3360" spans="1:15" s="1" customFormat="1">
      <c r="A3360" s="8" t="s">
        <v>11411</v>
      </c>
      <c r="B3360" s="8"/>
      <c r="C3360" s="8"/>
      <c r="D3360" s="13" t="s">
        <v>1128</v>
      </c>
      <c r="E3360" s="9" t="s">
        <v>11674</v>
      </c>
      <c r="F3360" s="8" t="s">
        <v>12585</v>
      </c>
      <c r="G3360" s="61">
        <f t="shared" si="128"/>
        <v>378.31299999999999</v>
      </c>
      <c r="H3360" s="11">
        <v>41977</v>
      </c>
      <c r="I3360" s="61" t="s">
        <v>11414</v>
      </c>
      <c r="J3360" s="10" t="s">
        <v>12587</v>
      </c>
      <c r="K3360" s="61" t="s">
        <v>11416</v>
      </c>
      <c r="L3360" s="10">
        <v>13</v>
      </c>
      <c r="M3360" s="16" t="s">
        <v>12588</v>
      </c>
      <c r="N3360" s="16" t="s">
        <v>81</v>
      </c>
      <c r="O3360" s="13"/>
    </row>
    <row r="3361" spans="1:15" s="1" customFormat="1">
      <c r="A3361" s="8" t="s">
        <v>11411</v>
      </c>
      <c r="B3361" s="8"/>
      <c r="C3361" s="8"/>
      <c r="D3361" s="13" t="s">
        <v>1128</v>
      </c>
      <c r="E3361" s="9" t="s">
        <v>11674</v>
      </c>
      <c r="F3361" s="8" t="s">
        <v>12590</v>
      </c>
      <c r="G3361" s="61">
        <f t="shared" si="128"/>
        <v>349.21199999999999</v>
      </c>
      <c r="H3361" s="11">
        <v>41977</v>
      </c>
      <c r="I3361" s="61" t="s">
        <v>11414</v>
      </c>
      <c r="J3361" s="10" t="s">
        <v>12589</v>
      </c>
      <c r="K3361" s="61" t="s">
        <v>11416</v>
      </c>
      <c r="L3361" s="10">
        <v>12</v>
      </c>
      <c r="M3361" s="16" t="s">
        <v>12592</v>
      </c>
      <c r="N3361" s="16" t="s">
        <v>78</v>
      </c>
      <c r="O3361" s="13"/>
    </row>
    <row r="3362" spans="1:15" s="1" customFormat="1">
      <c r="A3362" s="8" t="s">
        <v>11411</v>
      </c>
      <c r="B3362" s="8"/>
      <c r="C3362" s="8"/>
      <c r="D3362" s="13" t="s">
        <v>1128</v>
      </c>
      <c r="E3362" s="9" t="s">
        <v>11674</v>
      </c>
      <c r="F3362" s="8" t="s">
        <v>12591</v>
      </c>
      <c r="G3362" s="61">
        <f t="shared" si="128"/>
        <v>378.31299999999999</v>
      </c>
      <c r="H3362" s="11">
        <v>41977</v>
      </c>
      <c r="I3362" s="61" t="s">
        <v>11414</v>
      </c>
      <c r="J3362" s="10" t="s">
        <v>12593</v>
      </c>
      <c r="K3362" s="61" t="s">
        <v>11416</v>
      </c>
      <c r="L3362" s="10">
        <v>13</v>
      </c>
      <c r="M3362" s="16" t="s">
        <v>12592</v>
      </c>
      <c r="N3362" s="16" t="s">
        <v>81</v>
      </c>
      <c r="O3362" s="13"/>
    </row>
    <row r="3363" spans="1:15" s="1" customFormat="1">
      <c r="A3363" s="8" t="s">
        <v>11411</v>
      </c>
      <c r="B3363" s="8"/>
      <c r="C3363" s="8"/>
      <c r="D3363" s="13" t="s">
        <v>1128</v>
      </c>
      <c r="E3363" s="9" t="s">
        <v>11674</v>
      </c>
      <c r="F3363" s="8" t="s">
        <v>12597</v>
      </c>
      <c r="G3363" s="61">
        <f t="shared" si="128"/>
        <v>349.21199999999999</v>
      </c>
      <c r="H3363" s="11">
        <v>41977</v>
      </c>
      <c r="I3363" s="61" t="s">
        <v>11414</v>
      </c>
      <c r="J3363" s="10" t="s">
        <v>12594</v>
      </c>
      <c r="K3363" s="61" t="s">
        <v>11416</v>
      </c>
      <c r="L3363" s="10">
        <v>12</v>
      </c>
      <c r="M3363" s="16" t="s">
        <v>12596</v>
      </c>
      <c r="N3363" s="16" t="s">
        <v>78</v>
      </c>
      <c r="O3363" s="13"/>
    </row>
    <row r="3364" spans="1:15" s="1" customFormat="1">
      <c r="A3364" s="8" t="s">
        <v>11411</v>
      </c>
      <c r="B3364" s="8"/>
      <c r="C3364" s="8"/>
      <c r="D3364" s="13" t="s">
        <v>1128</v>
      </c>
      <c r="E3364" s="9" t="s">
        <v>11674</v>
      </c>
      <c r="F3364" s="8" t="s">
        <v>12598</v>
      </c>
      <c r="G3364" s="61">
        <f t="shared" si="128"/>
        <v>378.31299999999999</v>
      </c>
      <c r="H3364" s="11">
        <v>41977</v>
      </c>
      <c r="I3364" s="61" t="s">
        <v>11414</v>
      </c>
      <c r="J3364" s="10" t="s">
        <v>12595</v>
      </c>
      <c r="K3364" s="61" t="s">
        <v>11416</v>
      </c>
      <c r="L3364" s="10">
        <v>13</v>
      </c>
      <c r="M3364" s="16" t="s">
        <v>12596</v>
      </c>
      <c r="N3364" s="16" t="s">
        <v>81</v>
      </c>
      <c r="O3364" s="13"/>
    </row>
    <row r="3365" spans="1:15" s="1" customFormat="1">
      <c r="A3365" s="8" t="s">
        <v>11411</v>
      </c>
      <c r="B3365" s="8"/>
      <c r="C3365" s="8"/>
      <c r="D3365" s="13" t="s">
        <v>1128</v>
      </c>
      <c r="E3365" s="9" t="s">
        <v>11674</v>
      </c>
      <c r="F3365" s="8" t="s">
        <v>12602</v>
      </c>
      <c r="G3365" s="61">
        <f t="shared" si="128"/>
        <v>349.21199999999999</v>
      </c>
      <c r="H3365" s="11">
        <v>41977</v>
      </c>
      <c r="I3365" s="61" t="s">
        <v>11414</v>
      </c>
      <c r="J3365" s="10" t="s">
        <v>12599</v>
      </c>
      <c r="K3365" s="61" t="s">
        <v>11416</v>
      </c>
      <c r="L3365" s="10">
        <v>12</v>
      </c>
      <c r="M3365" s="16" t="s">
        <v>12601</v>
      </c>
      <c r="N3365" s="16" t="s">
        <v>78</v>
      </c>
      <c r="O3365" s="13"/>
    </row>
    <row r="3366" spans="1:15" s="1" customFormat="1">
      <c r="A3366" s="8" t="s">
        <v>11411</v>
      </c>
      <c r="B3366" s="8"/>
      <c r="C3366" s="8"/>
      <c r="D3366" s="13" t="s">
        <v>1128</v>
      </c>
      <c r="E3366" s="9" t="s">
        <v>11674</v>
      </c>
      <c r="F3366" s="8" t="s">
        <v>12603</v>
      </c>
      <c r="G3366" s="61">
        <f t="shared" si="128"/>
        <v>378.31299999999999</v>
      </c>
      <c r="H3366" s="11">
        <v>41977</v>
      </c>
      <c r="I3366" s="61" t="s">
        <v>11414</v>
      </c>
      <c r="J3366" s="10" t="s">
        <v>12600</v>
      </c>
      <c r="K3366" s="61" t="s">
        <v>11416</v>
      </c>
      <c r="L3366" s="10">
        <v>13</v>
      </c>
      <c r="M3366" s="16" t="s">
        <v>12601</v>
      </c>
      <c r="N3366" s="16" t="s">
        <v>81</v>
      </c>
      <c r="O3366" s="13"/>
    </row>
    <row r="3367" spans="1:15" s="1" customFormat="1">
      <c r="A3367" s="8" t="s">
        <v>11411</v>
      </c>
      <c r="B3367" s="8"/>
      <c r="C3367" s="8"/>
      <c r="D3367" s="13" t="s">
        <v>1128</v>
      </c>
      <c r="E3367" s="9" t="s">
        <v>11674</v>
      </c>
      <c r="F3367" s="8" t="s">
        <v>12604</v>
      </c>
      <c r="G3367" s="61">
        <f t="shared" si="128"/>
        <v>349.21199999999999</v>
      </c>
      <c r="H3367" s="11">
        <v>41977</v>
      </c>
      <c r="I3367" s="61" t="s">
        <v>11414</v>
      </c>
      <c r="J3367" s="10" t="s">
        <v>12606</v>
      </c>
      <c r="K3367" s="61" t="s">
        <v>11416</v>
      </c>
      <c r="L3367" s="10">
        <v>12</v>
      </c>
      <c r="M3367" s="16" t="s">
        <v>12608</v>
      </c>
      <c r="N3367" s="16" t="s">
        <v>78</v>
      </c>
      <c r="O3367" s="13"/>
    </row>
    <row r="3368" spans="1:15" s="1" customFormat="1">
      <c r="A3368" s="8" t="s">
        <v>11411</v>
      </c>
      <c r="B3368" s="8"/>
      <c r="C3368" s="8"/>
      <c r="D3368" s="13" t="s">
        <v>1128</v>
      </c>
      <c r="E3368" s="9" t="s">
        <v>11674</v>
      </c>
      <c r="F3368" s="8" t="s">
        <v>12605</v>
      </c>
      <c r="G3368" s="61">
        <f t="shared" si="128"/>
        <v>378.31299999999999</v>
      </c>
      <c r="H3368" s="11">
        <v>41977</v>
      </c>
      <c r="I3368" s="61" t="s">
        <v>11414</v>
      </c>
      <c r="J3368" s="10" t="s">
        <v>12607</v>
      </c>
      <c r="K3368" s="61" t="s">
        <v>11416</v>
      </c>
      <c r="L3368" s="10">
        <v>13</v>
      </c>
      <c r="M3368" s="16" t="s">
        <v>12609</v>
      </c>
      <c r="N3368" s="16" t="s">
        <v>81</v>
      </c>
      <c r="O3368" s="13"/>
    </row>
    <row r="3369" spans="1:15" s="1" customFormat="1">
      <c r="A3369" s="8" t="s">
        <v>11411</v>
      </c>
      <c r="B3369" s="8"/>
      <c r="C3369" s="8"/>
      <c r="D3369" s="13" t="s">
        <v>1128</v>
      </c>
      <c r="E3369" s="9" t="s">
        <v>11674</v>
      </c>
      <c r="F3369" s="8" t="s">
        <v>12610</v>
      </c>
      <c r="G3369" s="61">
        <f t="shared" si="128"/>
        <v>349.21199999999999</v>
      </c>
      <c r="H3369" s="11">
        <v>41977</v>
      </c>
      <c r="I3369" s="61" t="s">
        <v>11414</v>
      </c>
      <c r="J3369" s="10" t="s">
        <v>12612</v>
      </c>
      <c r="K3369" s="61" t="s">
        <v>11416</v>
      </c>
      <c r="L3369" s="10">
        <v>12</v>
      </c>
      <c r="M3369" s="16" t="s">
        <v>12614</v>
      </c>
      <c r="N3369" s="16" t="s">
        <v>78</v>
      </c>
      <c r="O3369" s="13"/>
    </row>
    <row r="3370" spans="1:15" s="1" customFormat="1">
      <c r="A3370" s="8" t="s">
        <v>11411</v>
      </c>
      <c r="B3370" s="8"/>
      <c r="C3370" s="8"/>
      <c r="D3370" s="13" t="s">
        <v>1128</v>
      </c>
      <c r="E3370" s="9" t="s">
        <v>11674</v>
      </c>
      <c r="F3370" s="8" t="s">
        <v>12611</v>
      </c>
      <c r="G3370" s="61">
        <f t="shared" si="128"/>
        <v>378.31299999999999</v>
      </c>
      <c r="H3370" s="11">
        <v>41977</v>
      </c>
      <c r="I3370" s="61" t="s">
        <v>11414</v>
      </c>
      <c r="J3370" s="10" t="s">
        <v>12613</v>
      </c>
      <c r="K3370" s="61" t="s">
        <v>11416</v>
      </c>
      <c r="L3370" s="10">
        <v>13</v>
      </c>
      <c r="M3370" s="16" t="s">
        <v>12614</v>
      </c>
      <c r="N3370" s="16" t="s">
        <v>81</v>
      </c>
      <c r="O3370" s="13"/>
    </row>
    <row r="3371" spans="1:15" s="1" customFormat="1">
      <c r="A3371" s="8" t="s">
        <v>12618</v>
      </c>
      <c r="B3371" s="8"/>
      <c r="C3371" s="8"/>
      <c r="D3371" s="9" t="s">
        <v>7025</v>
      </c>
      <c r="E3371" s="9" t="s">
        <v>12616</v>
      </c>
      <c r="F3371" s="8" t="s">
        <v>12617</v>
      </c>
      <c r="G3371" s="61">
        <f>17.498*L3371</f>
        <v>227.47400000000002</v>
      </c>
      <c r="H3371" s="11">
        <v>41977</v>
      </c>
      <c r="I3371" s="10" t="s">
        <v>265</v>
      </c>
      <c r="J3371" s="10" t="s">
        <v>12620</v>
      </c>
      <c r="K3371" s="10" t="s">
        <v>5478</v>
      </c>
      <c r="L3371" s="10">
        <v>13</v>
      </c>
      <c r="M3371" s="16" t="s">
        <v>12621</v>
      </c>
      <c r="N3371" s="16" t="s">
        <v>12466</v>
      </c>
      <c r="O3371" s="13"/>
    </row>
    <row r="3372" spans="1:15" s="1" customFormat="1">
      <c r="A3372" s="74" t="s">
        <v>12650</v>
      </c>
      <c r="B3372" s="8"/>
      <c r="C3372" s="8"/>
      <c r="D3372" s="9" t="s">
        <v>12651</v>
      </c>
      <c r="E3372" s="9" t="s">
        <v>12652</v>
      </c>
      <c r="F3372" s="8" t="s">
        <v>12653</v>
      </c>
      <c r="G3372" s="61">
        <f>11.636*L3372</f>
        <v>23.271999999999998</v>
      </c>
      <c r="H3372" s="11">
        <v>41978</v>
      </c>
      <c r="I3372" s="10" t="s">
        <v>12656</v>
      </c>
      <c r="J3372" s="10" t="s">
        <v>12654</v>
      </c>
      <c r="K3372" s="10" t="s">
        <v>12655</v>
      </c>
      <c r="L3372" s="10">
        <v>2</v>
      </c>
      <c r="M3372" s="16" t="s">
        <v>12657</v>
      </c>
      <c r="N3372" s="16" t="s">
        <v>12658</v>
      </c>
      <c r="O3372" s="13" t="s">
        <v>12865</v>
      </c>
    </row>
    <row r="3373" spans="1:15" s="1" customFormat="1">
      <c r="A3373" s="8" t="s">
        <v>12659</v>
      </c>
      <c r="B3373" s="14" t="s">
        <v>11536</v>
      </c>
      <c r="C3373" s="8"/>
      <c r="D3373" s="9" t="s">
        <v>1287</v>
      </c>
      <c r="E3373" s="9" t="s">
        <v>12652</v>
      </c>
      <c r="F3373" s="8" t="s">
        <v>12660</v>
      </c>
      <c r="G3373" s="10">
        <f>8.606*L3373</f>
        <v>94.665999999999997</v>
      </c>
      <c r="H3373" s="11">
        <v>41978</v>
      </c>
      <c r="I3373" s="10" t="s">
        <v>11531</v>
      </c>
      <c r="J3373" s="10" t="s">
        <v>12662</v>
      </c>
      <c r="K3373" s="10" t="s">
        <v>11534</v>
      </c>
      <c r="L3373" s="10">
        <v>11</v>
      </c>
      <c r="M3373" s="16" t="s">
        <v>12664</v>
      </c>
      <c r="N3373" s="16" t="s">
        <v>10928</v>
      </c>
      <c r="O3373" s="13" t="s">
        <v>13433</v>
      </c>
    </row>
    <row r="3374" spans="1:15" s="1" customFormat="1">
      <c r="A3374" s="8" t="s">
        <v>12659</v>
      </c>
      <c r="B3374" s="14" t="s">
        <v>11536</v>
      </c>
      <c r="C3374" s="8"/>
      <c r="D3374" s="9" t="s">
        <v>1287</v>
      </c>
      <c r="E3374" s="9" t="s">
        <v>12652</v>
      </c>
      <c r="F3374" s="8" t="s">
        <v>12661</v>
      </c>
      <c r="G3374" s="10">
        <f>8.606*L3374</f>
        <v>94.665999999999997</v>
      </c>
      <c r="H3374" s="11">
        <v>41978</v>
      </c>
      <c r="I3374" s="10" t="s">
        <v>11531</v>
      </c>
      <c r="J3374" s="10" t="s">
        <v>12663</v>
      </c>
      <c r="K3374" s="10" t="s">
        <v>11534</v>
      </c>
      <c r="L3374" s="10">
        <v>11</v>
      </c>
      <c r="M3374" s="16" t="s">
        <v>12664</v>
      </c>
      <c r="N3374" s="16" t="s">
        <v>5088</v>
      </c>
      <c r="O3374" s="13" t="s">
        <v>13434</v>
      </c>
    </row>
    <row r="3375" spans="1:15" s="1" customFormat="1">
      <c r="A3375" s="8" t="s">
        <v>1087</v>
      </c>
      <c r="B3375" s="14" t="s">
        <v>283</v>
      </c>
      <c r="C3375" s="8"/>
      <c r="D3375" s="9" t="s">
        <v>12665</v>
      </c>
      <c r="E3375" s="9" t="s">
        <v>12666</v>
      </c>
      <c r="F3375" s="8" t="s">
        <v>12672</v>
      </c>
      <c r="G3375" s="61">
        <f>9.804*L3375</f>
        <v>117.648</v>
      </c>
      <c r="H3375" s="11">
        <v>41978</v>
      </c>
      <c r="I3375" s="10" t="s">
        <v>1090</v>
      </c>
      <c r="J3375" s="10" t="s">
        <v>12668</v>
      </c>
      <c r="K3375" s="10" t="s">
        <v>21</v>
      </c>
      <c r="L3375" s="10">
        <v>12</v>
      </c>
      <c r="M3375" s="16" t="s">
        <v>12670</v>
      </c>
      <c r="N3375" s="16" t="s">
        <v>164</v>
      </c>
      <c r="O3375" s="13" t="s">
        <v>13435</v>
      </c>
    </row>
    <row r="3376" spans="1:15" s="1" customFormat="1">
      <c r="A3376" s="8" t="s">
        <v>12671</v>
      </c>
      <c r="B3376" s="14" t="s">
        <v>283</v>
      </c>
      <c r="C3376" s="8"/>
      <c r="D3376" s="9" t="s">
        <v>12665</v>
      </c>
      <c r="E3376" s="9" t="s">
        <v>12666</v>
      </c>
      <c r="F3376" s="8" t="s">
        <v>12667</v>
      </c>
      <c r="G3376" s="61">
        <f>9.804*L3376</f>
        <v>127.452</v>
      </c>
      <c r="H3376" s="11">
        <v>41978</v>
      </c>
      <c r="I3376" s="10" t="s">
        <v>12418</v>
      </c>
      <c r="J3376" s="10" t="s">
        <v>12669</v>
      </c>
      <c r="K3376" s="10" t="s">
        <v>21</v>
      </c>
      <c r="L3376" s="10">
        <v>13</v>
      </c>
      <c r="M3376" s="16" t="s">
        <v>12670</v>
      </c>
      <c r="N3376" s="16" t="s">
        <v>167</v>
      </c>
      <c r="O3376" s="13" t="s">
        <v>12670</v>
      </c>
    </row>
    <row r="3377" spans="1:15" s="1" customFormat="1">
      <c r="A3377" s="8" t="s">
        <v>5750</v>
      </c>
      <c r="B3377" s="8"/>
      <c r="C3377" s="8"/>
      <c r="D3377" s="9" t="s">
        <v>5751</v>
      </c>
      <c r="E3377" s="9" t="s">
        <v>12666</v>
      </c>
      <c r="F3377" s="8" t="s">
        <v>12673</v>
      </c>
      <c r="G3377" s="61">
        <v>110.864</v>
      </c>
      <c r="H3377" s="11">
        <v>41978</v>
      </c>
      <c r="I3377" s="10" t="s">
        <v>11592</v>
      </c>
      <c r="J3377" s="10" t="s">
        <v>12674</v>
      </c>
      <c r="K3377" s="10" t="s">
        <v>12675</v>
      </c>
      <c r="L3377" s="10" t="s">
        <v>1335</v>
      </c>
      <c r="M3377" s="16" t="s">
        <v>12677</v>
      </c>
      <c r="N3377" s="16" t="s">
        <v>12678</v>
      </c>
      <c r="O3377" s="13" t="s">
        <v>12866</v>
      </c>
    </row>
    <row r="3378" spans="1:15" s="1" customFormat="1">
      <c r="A3378" s="8" t="s">
        <v>12432</v>
      </c>
      <c r="B3378" s="14" t="s">
        <v>11536</v>
      </c>
      <c r="C3378" s="8"/>
      <c r="D3378" s="9" t="s">
        <v>12679</v>
      </c>
      <c r="E3378" s="9" t="s">
        <v>12652</v>
      </c>
      <c r="F3378" s="8" t="s">
        <v>12684</v>
      </c>
      <c r="G3378" s="10">
        <f>9.871*L3378</f>
        <v>118.452</v>
      </c>
      <c r="H3378" s="11">
        <v>41978</v>
      </c>
      <c r="I3378" s="10" t="s">
        <v>12441</v>
      </c>
      <c r="J3378" s="10" t="s">
        <v>12681</v>
      </c>
      <c r="K3378" s="10" t="s">
        <v>21</v>
      </c>
      <c r="L3378" s="10">
        <v>12</v>
      </c>
      <c r="M3378" s="16" t="s">
        <v>12685</v>
      </c>
      <c r="N3378" s="16" t="s">
        <v>78</v>
      </c>
      <c r="O3378" s="13" t="s">
        <v>12685</v>
      </c>
    </row>
    <row r="3379" spans="1:15" s="1" customFormat="1">
      <c r="A3379" s="8" t="s">
        <v>12432</v>
      </c>
      <c r="B3379" s="14" t="s">
        <v>11536</v>
      </c>
      <c r="C3379" s="8"/>
      <c r="D3379" s="9" t="s">
        <v>12679</v>
      </c>
      <c r="E3379" s="9" t="s">
        <v>12652</v>
      </c>
      <c r="F3379" s="8" t="s">
        <v>12682</v>
      </c>
      <c r="G3379" s="10">
        <f>9.871*L3379</f>
        <v>128.32300000000001</v>
      </c>
      <c r="H3379" s="11">
        <v>41978</v>
      </c>
      <c r="I3379" s="10" t="s">
        <v>12441</v>
      </c>
      <c r="J3379" s="10" t="s">
        <v>12683</v>
      </c>
      <c r="K3379" s="10" t="s">
        <v>21</v>
      </c>
      <c r="L3379" s="10">
        <v>13</v>
      </c>
      <c r="M3379" s="16" t="s">
        <v>12685</v>
      </c>
      <c r="N3379" s="16" t="s">
        <v>11753</v>
      </c>
      <c r="O3379" s="13" t="s">
        <v>13436</v>
      </c>
    </row>
    <row r="3380" spans="1:15" s="1" customFormat="1">
      <c r="A3380" s="8" t="s">
        <v>12708</v>
      </c>
      <c r="B3380" s="8"/>
      <c r="C3380" s="8"/>
      <c r="D3380" s="9" t="s">
        <v>6164</v>
      </c>
      <c r="E3380" s="9" t="s">
        <v>12709</v>
      </c>
      <c r="F3380" s="8" t="s">
        <v>12710</v>
      </c>
      <c r="G3380" s="61">
        <v>137.74600000000001</v>
      </c>
      <c r="H3380" s="11">
        <v>41978</v>
      </c>
      <c r="I3380" s="10" t="s">
        <v>209</v>
      </c>
      <c r="J3380" s="10" t="s">
        <v>12711</v>
      </c>
      <c r="K3380" s="10" t="s">
        <v>11591</v>
      </c>
      <c r="L3380" s="10" t="s">
        <v>6929</v>
      </c>
      <c r="M3380" s="16" t="s">
        <v>12712</v>
      </c>
      <c r="N3380" s="16" t="s">
        <v>12713</v>
      </c>
      <c r="O3380" s="13" t="s">
        <v>12867</v>
      </c>
    </row>
    <row r="3381" spans="1:15" s="1" customFormat="1">
      <c r="A3381" s="8" t="s">
        <v>12708</v>
      </c>
      <c r="B3381" s="8"/>
      <c r="C3381" s="8"/>
      <c r="D3381" s="9" t="s">
        <v>6164</v>
      </c>
      <c r="E3381" s="9" t="s">
        <v>12709</v>
      </c>
      <c r="F3381" s="8" t="s">
        <v>12714</v>
      </c>
      <c r="G3381" s="61">
        <v>18.731000000000002</v>
      </c>
      <c r="H3381" s="11">
        <v>41978</v>
      </c>
      <c r="I3381" s="10" t="s">
        <v>209</v>
      </c>
      <c r="J3381" s="10" t="s">
        <v>12715</v>
      </c>
      <c r="K3381" s="10" t="s">
        <v>11591</v>
      </c>
      <c r="L3381" s="10" t="s">
        <v>12716</v>
      </c>
      <c r="M3381" s="16" t="s">
        <v>12712</v>
      </c>
      <c r="N3381" s="16" t="s">
        <v>12717</v>
      </c>
      <c r="O3381" s="13" t="s">
        <v>12868</v>
      </c>
    </row>
    <row r="3382" spans="1:15" s="1" customFormat="1">
      <c r="A3382" s="8" t="s">
        <v>12708</v>
      </c>
      <c r="B3382" s="8"/>
      <c r="C3382" s="8"/>
      <c r="D3382" s="9" t="s">
        <v>6164</v>
      </c>
      <c r="E3382" s="9" t="s">
        <v>12709</v>
      </c>
      <c r="F3382" s="8" t="s">
        <v>12718</v>
      </c>
      <c r="G3382" s="61">
        <v>18.673999999999999</v>
      </c>
      <c r="H3382" s="11">
        <v>41978</v>
      </c>
      <c r="I3382" s="10" t="s">
        <v>209</v>
      </c>
      <c r="J3382" s="10" t="s">
        <v>12719</v>
      </c>
      <c r="K3382" s="10" t="s">
        <v>11591</v>
      </c>
      <c r="L3382" s="10" t="s">
        <v>12716</v>
      </c>
      <c r="M3382" s="16" t="s">
        <v>12720</v>
      </c>
      <c r="N3382" s="16" t="s">
        <v>12721</v>
      </c>
      <c r="O3382" s="13" t="s">
        <v>12869</v>
      </c>
    </row>
    <row r="3383" spans="1:15" s="1" customFormat="1">
      <c r="A3383" s="8" t="s">
        <v>12708</v>
      </c>
      <c r="B3383" s="8"/>
      <c r="C3383" s="8"/>
      <c r="D3383" s="9" t="s">
        <v>6164</v>
      </c>
      <c r="E3383" s="9" t="s">
        <v>12709</v>
      </c>
      <c r="F3383" s="8" t="s">
        <v>12722</v>
      </c>
      <c r="G3383" s="61">
        <v>81.137</v>
      </c>
      <c r="H3383" s="11">
        <v>41978</v>
      </c>
      <c r="I3383" s="10" t="s">
        <v>209</v>
      </c>
      <c r="J3383" s="10" t="s">
        <v>12723</v>
      </c>
      <c r="K3383" s="10" t="s">
        <v>11591</v>
      </c>
      <c r="L3383" s="10" t="s">
        <v>6195</v>
      </c>
      <c r="M3383" s="16" t="s">
        <v>12724</v>
      </c>
      <c r="N3383" s="16" t="s">
        <v>12725</v>
      </c>
      <c r="O3383" s="13" t="s">
        <v>12870</v>
      </c>
    </row>
    <row r="3384" spans="1:15" s="1" customFormat="1">
      <c r="A3384" s="8" t="s">
        <v>12708</v>
      </c>
      <c r="B3384" s="8"/>
      <c r="C3384" s="8"/>
      <c r="D3384" s="9" t="s">
        <v>6164</v>
      </c>
      <c r="E3384" s="9" t="s">
        <v>12726</v>
      </c>
      <c r="F3384" s="8" t="s">
        <v>12727</v>
      </c>
      <c r="G3384" s="61">
        <v>118.824</v>
      </c>
      <c r="H3384" s="11">
        <v>41978</v>
      </c>
      <c r="I3384" s="10" t="s">
        <v>209</v>
      </c>
      <c r="J3384" s="10" t="s">
        <v>12728</v>
      </c>
      <c r="K3384" s="10" t="s">
        <v>11591</v>
      </c>
      <c r="L3384" s="10" t="s">
        <v>12729</v>
      </c>
      <c r="M3384" s="16" t="s">
        <v>12730</v>
      </c>
      <c r="N3384" s="16" t="s">
        <v>12731</v>
      </c>
      <c r="O3384" s="13" t="s">
        <v>12871</v>
      </c>
    </row>
    <row r="3385" spans="1:15" s="1" customFormat="1">
      <c r="A3385" s="8" t="s">
        <v>12732</v>
      </c>
      <c r="B3385" s="8"/>
      <c r="C3385" s="8"/>
      <c r="D3385" s="9" t="s">
        <v>12733</v>
      </c>
      <c r="E3385" s="9" t="s">
        <v>12734</v>
      </c>
      <c r="F3385" s="8" t="s">
        <v>12735</v>
      </c>
      <c r="G3385" s="61">
        <v>20.106000000000002</v>
      </c>
      <c r="H3385" s="11">
        <v>41978</v>
      </c>
      <c r="I3385" s="10" t="s">
        <v>11606</v>
      </c>
      <c r="J3385" s="10" t="s">
        <v>12736</v>
      </c>
      <c r="K3385" s="10" t="s">
        <v>12737</v>
      </c>
      <c r="L3385" s="10" t="s">
        <v>12738</v>
      </c>
      <c r="M3385" s="16" t="s">
        <v>12739</v>
      </c>
      <c r="N3385" s="16" t="s">
        <v>12740</v>
      </c>
      <c r="O3385" s="13" t="s">
        <v>12872</v>
      </c>
    </row>
    <row r="3386" spans="1:15" s="1" customFormat="1">
      <c r="A3386" s="8" t="s">
        <v>12741</v>
      </c>
      <c r="B3386" s="8"/>
      <c r="C3386" s="8"/>
      <c r="D3386" s="9" t="s">
        <v>10001</v>
      </c>
      <c r="E3386" s="9" t="s">
        <v>12742</v>
      </c>
      <c r="F3386" s="8" t="s">
        <v>12743</v>
      </c>
      <c r="G3386" s="61">
        <v>231.654</v>
      </c>
      <c r="H3386" s="11">
        <v>41978</v>
      </c>
      <c r="I3386" s="10" t="s">
        <v>178</v>
      </c>
      <c r="J3386" s="10" t="s">
        <v>12744</v>
      </c>
      <c r="K3386" s="10" t="s">
        <v>12745</v>
      </c>
      <c r="L3386" s="10" t="s">
        <v>9483</v>
      </c>
      <c r="M3386" s="16" t="s">
        <v>12746</v>
      </c>
      <c r="N3386" s="16" t="s">
        <v>12747</v>
      </c>
      <c r="O3386" s="13" t="s">
        <v>12873</v>
      </c>
    </row>
    <row r="3387" spans="1:15" s="1" customFormat="1">
      <c r="A3387" s="8" t="s">
        <v>12762</v>
      </c>
      <c r="B3387" s="14" t="s">
        <v>283</v>
      </c>
      <c r="C3387" s="8"/>
      <c r="D3387" s="9" t="s">
        <v>2241</v>
      </c>
      <c r="E3387" s="9" t="s">
        <v>12760</v>
      </c>
      <c r="F3387" s="8" t="s">
        <v>12761</v>
      </c>
      <c r="G3387" s="10">
        <f>29.101*L3387</f>
        <v>145.505</v>
      </c>
      <c r="H3387" s="11">
        <v>41981</v>
      </c>
      <c r="I3387" s="10" t="s">
        <v>331</v>
      </c>
      <c r="J3387" s="10" t="s">
        <v>12763</v>
      </c>
      <c r="K3387" s="10" t="s">
        <v>12764</v>
      </c>
      <c r="L3387" s="10">
        <v>5</v>
      </c>
      <c r="M3387" s="16" t="s">
        <v>12765</v>
      </c>
      <c r="N3387" s="16" t="s">
        <v>12766</v>
      </c>
      <c r="O3387" s="13" t="s">
        <v>13437</v>
      </c>
    </row>
    <row r="3388" spans="1:15" s="1" customFormat="1">
      <c r="A3388" s="8" t="s">
        <v>12767</v>
      </c>
      <c r="B3388" s="8"/>
      <c r="C3388" s="8"/>
      <c r="D3388" s="9" t="s">
        <v>377</v>
      </c>
      <c r="E3388" s="9" t="s">
        <v>12768</v>
      </c>
      <c r="F3388" s="8" t="s">
        <v>12769</v>
      </c>
      <c r="G3388" s="10">
        <f>18.708*L3388</f>
        <v>187.07999999999998</v>
      </c>
      <c r="H3388" s="11">
        <v>41981</v>
      </c>
      <c r="I3388" s="10" t="s">
        <v>11975</v>
      </c>
      <c r="J3388" s="10" t="s">
        <v>12770</v>
      </c>
      <c r="K3388" s="10" t="s">
        <v>11475</v>
      </c>
      <c r="L3388" s="10">
        <v>10</v>
      </c>
      <c r="M3388" s="16" t="s">
        <v>12773</v>
      </c>
      <c r="N3388" s="16" t="s">
        <v>4849</v>
      </c>
      <c r="O3388" s="13" t="s">
        <v>12874</v>
      </c>
    </row>
    <row r="3389" spans="1:15" s="1" customFormat="1">
      <c r="A3389" s="8" t="s">
        <v>12767</v>
      </c>
      <c r="B3389" s="8"/>
      <c r="C3389" s="8"/>
      <c r="D3389" s="9" t="s">
        <v>377</v>
      </c>
      <c r="E3389" s="9" t="s">
        <v>12768</v>
      </c>
      <c r="F3389" s="8" t="s">
        <v>12771</v>
      </c>
      <c r="G3389" s="61">
        <f>18.708*L3389</f>
        <v>187.07999999999998</v>
      </c>
      <c r="H3389" s="11">
        <v>41981</v>
      </c>
      <c r="I3389" s="10" t="s">
        <v>11975</v>
      </c>
      <c r="J3389" s="10" t="s">
        <v>12772</v>
      </c>
      <c r="K3389" s="10" t="s">
        <v>11475</v>
      </c>
      <c r="L3389" s="10">
        <v>10</v>
      </c>
      <c r="M3389" s="16" t="s">
        <v>12773</v>
      </c>
      <c r="N3389" s="16" t="s">
        <v>4872</v>
      </c>
      <c r="O3389" s="13" t="s">
        <v>12875</v>
      </c>
    </row>
    <row r="3390" spans="1:15" s="1" customFormat="1">
      <c r="A3390" s="8" t="s">
        <v>12774</v>
      </c>
      <c r="B3390" s="8"/>
      <c r="C3390" s="8"/>
      <c r="D3390" s="9" t="s">
        <v>3871</v>
      </c>
      <c r="E3390" s="9" t="s">
        <v>12775</v>
      </c>
      <c r="F3390" s="8" t="s">
        <v>12776</v>
      </c>
      <c r="G3390" s="10">
        <f>13.006*L3390</f>
        <v>156.072</v>
      </c>
      <c r="H3390" s="11">
        <v>41981</v>
      </c>
      <c r="I3390" s="10" t="s">
        <v>11518</v>
      </c>
      <c r="J3390" s="10" t="s">
        <v>12777</v>
      </c>
      <c r="K3390" s="10" t="s">
        <v>11475</v>
      </c>
      <c r="L3390" s="10">
        <v>12</v>
      </c>
      <c r="M3390" s="16" t="s">
        <v>12780</v>
      </c>
      <c r="N3390" s="16" t="s">
        <v>164</v>
      </c>
      <c r="O3390" s="13" t="s">
        <v>12780</v>
      </c>
    </row>
    <row r="3391" spans="1:15" s="1" customFormat="1">
      <c r="A3391" s="8" t="s">
        <v>12774</v>
      </c>
      <c r="B3391" s="8"/>
      <c r="C3391" s="8"/>
      <c r="D3391" s="9" t="s">
        <v>3871</v>
      </c>
      <c r="E3391" s="9" t="s">
        <v>12775</v>
      </c>
      <c r="F3391" s="8" t="s">
        <v>12778</v>
      </c>
      <c r="G3391" s="10">
        <f>13.006*L3391</f>
        <v>169.078</v>
      </c>
      <c r="H3391" s="11">
        <v>41981</v>
      </c>
      <c r="I3391" s="10" t="s">
        <v>11518</v>
      </c>
      <c r="J3391" s="10" t="s">
        <v>12779</v>
      </c>
      <c r="K3391" s="10" t="s">
        <v>11475</v>
      </c>
      <c r="L3391" s="10">
        <v>13</v>
      </c>
      <c r="M3391" s="16" t="s">
        <v>12780</v>
      </c>
      <c r="N3391" s="16" t="s">
        <v>167</v>
      </c>
      <c r="O3391" s="13" t="s">
        <v>12876</v>
      </c>
    </row>
    <row r="3392" spans="1:15" s="1" customFormat="1">
      <c r="A3392" s="74" t="s">
        <v>12825</v>
      </c>
      <c r="B3392" s="8"/>
      <c r="C3392" s="8"/>
      <c r="D3392" s="9" t="s">
        <v>1151</v>
      </c>
      <c r="E3392" s="9" t="s">
        <v>12782</v>
      </c>
      <c r="F3392" s="8" t="s">
        <v>12783</v>
      </c>
      <c r="G3392" s="61">
        <f t="shared" ref="G3392:G3397" si="129">17.712*L3392</f>
        <v>212.54399999999998</v>
      </c>
      <c r="H3392" s="11">
        <v>41982</v>
      </c>
      <c r="I3392" s="10" t="s">
        <v>11471</v>
      </c>
      <c r="J3392" s="10" t="s">
        <v>12785</v>
      </c>
      <c r="K3392" s="10" t="s">
        <v>11416</v>
      </c>
      <c r="L3392" s="10">
        <v>12</v>
      </c>
      <c r="M3392" s="16" t="s">
        <v>12789</v>
      </c>
      <c r="N3392" s="16" t="s">
        <v>12790</v>
      </c>
      <c r="O3392" s="13" t="s">
        <v>12878</v>
      </c>
    </row>
    <row r="3393" spans="1:15" s="1" customFormat="1">
      <c r="A3393" s="8" t="s">
        <v>12781</v>
      </c>
      <c r="B3393" s="8"/>
      <c r="C3393" s="8"/>
      <c r="D3393" s="9" t="s">
        <v>1151</v>
      </c>
      <c r="E3393" s="9" t="s">
        <v>12786</v>
      </c>
      <c r="F3393" s="8" t="s">
        <v>12787</v>
      </c>
      <c r="G3393" s="61">
        <f t="shared" si="129"/>
        <v>230.256</v>
      </c>
      <c r="H3393" s="11">
        <v>41982</v>
      </c>
      <c r="I3393" s="10" t="s">
        <v>12784</v>
      </c>
      <c r="J3393" s="10" t="s">
        <v>12788</v>
      </c>
      <c r="K3393" s="10" t="s">
        <v>11416</v>
      </c>
      <c r="L3393" s="10">
        <v>13</v>
      </c>
      <c r="M3393" s="16" t="s">
        <v>12789</v>
      </c>
      <c r="N3393" s="16" t="s">
        <v>12791</v>
      </c>
      <c r="O3393" s="13" t="s">
        <v>12879</v>
      </c>
    </row>
    <row r="3394" spans="1:15" s="1" customFormat="1">
      <c r="A3394" s="8" t="s">
        <v>12781</v>
      </c>
      <c r="B3394" s="8"/>
      <c r="C3394" s="8"/>
      <c r="D3394" s="9" t="s">
        <v>1151</v>
      </c>
      <c r="E3394" s="9" t="s">
        <v>12786</v>
      </c>
      <c r="F3394" s="8" t="s">
        <v>12792</v>
      </c>
      <c r="G3394" s="61">
        <f t="shared" si="129"/>
        <v>212.54399999999998</v>
      </c>
      <c r="H3394" s="11">
        <v>41982</v>
      </c>
      <c r="I3394" s="10" t="s">
        <v>11471</v>
      </c>
      <c r="J3394" s="10" t="s">
        <v>12794</v>
      </c>
      <c r="K3394" s="10" t="s">
        <v>11416</v>
      </c>
      <c r="L3394" s="10">
        <v>12</v>
      </c>
      <c r="M3394" s="16" t="s">
        <v>12796</v>
      </c>
      <c r="N3394" s="16" t="s">
        <v>12790</v>
      </c>
      <c r="O3394" s="13" t="s">
        <v>12796</v>
      </c>
    </row>
    <row r="3395" spans="1:15" s="1" customFormat="1">
      <c r="A3395" s="8" t="s">
        <v>12781</v>
      </c>
      <c r="B3395" s="8"/>
      <c r="C3395" s="8"/>
      <c r="D3395" s="9" t="s">
        <v>1151</v>
      </c>
      <c r="E3395" s="9" t="s">
        <v>12786</v>
      </c>
      <c r="F3395" s="8" t="s">
        <v>12793</v>
      </c>
      <c r="G3395" s="61">
        <f t="shared" si="129"/>
        <v>230.256</v>
      </c>
      <c r="H3395" s="11">
        <v>41982</v>
      </c>
      <c r="I3395" s="10" t="s">
        <v>12784</v>
      </c>
      <c r="J3395" s="10" t="s">
        <v>12795</v>
      </c>
      <c r="K3395" s="10" t="s">
        <v>11416</v>
      </c>
      <c r="L3395" s="10">
        <v>13</v>
      </c>
      <c r="M3395" s="16" t="s">
        <v>12796</v>
      </c>
      <c r="N3395" s="16" t="s">
        <v>12791</v>
      </c>
      <c r="O3395" s="13" t="s">
        <v>12880</v>
      </c>
    </row>
    <row r="3396" spans="1:15" s="1" customFormat="1">
      <c r="A3396" s="8" t="s">
        <v>12797</v>
      </c>
      <c r="B3396" s="8"/>
      <c r="C3396" s="8"/>
      <c r="D3396" s="9" t="s">
        <v>391</v>
      </c>
      <c r="E3396" s="9" t="s">
        <v>12782</v>
      </c>
      <c r="F3396" s="8" t="s">
        <v>12798</v>
      </c>
      <c r="G3396" s="10">
        <f t="shared" si="129"/>
        <v>212.54399999999998</v>
      </c>
      <c r="H3396" s="11">
        <v>41982</v>
      </c>
      <c r="I3396" s="10" t="s">
        <v>11471</v>
      </c>
      <c r="J3396" s="10" t="s">
        <v>12800</v>
      </c>
      <c r="K3396" s="10" t="s">
        <v>11416</v>
      </c>
      <c r="L3396" s="10">
        <v>12</v>
      </c>
      <c r="M3396" s="16" t="s">
        <v>12802</v>
      </c>
      <c r="N3396" s="16" t="s">
        <v>78</v>
      </c>
      <c r="O3396" s="13" t="s">
        <v>12802</v>
      </c>
    </row>
    <row r="3397" spans="1:15" s="1" customFormat="1">
      <c r="A3397" s="8" t="s">
        <v>12797</v>
      </c>
      <c r="B3397" s="8"/>
      <c r="C3397" s="8"/>
      <c r="D3397" s="9" t="s">
        <v>391</v>
      </c>
      <c r="E3397" s="9" t="s">
        <v>12782</v>
      </c>
      <c r="F3397" s="8" t="s">
        <v>12799</v>
      </c>
      <c r="G3397" s="10">
        <f t="shared" si="129"/>
        <v>230.256</v>
      </c>
      <c r="H3397" s="11">
        <v>41982</v>
      </c>
      <c r="I3397" s="10" t="s">
        <v>11472</v>
      </c>
      <c r="J3397" s="10" t="s">
        <v>12801</v>
      </c>
      <c r="K3397" s="10" t="s">
        <v>11416</v>
      </c>
      <c r="L3397" s="10">
        <v>13</v>
      </c>
      <c r="M3397" s="16" t="s">
        <v>12802</v>
      </c>
      <c r="N3397" s="16" t="s">
        <v>81</v>
      </c>
      <c r="O3397" s="13" t="s">
        <v>12881</v>
      </c>
    </row>
    <row r="3398" spans="1:15" s="1" customFormat="1">
      <c r="A3398" s="8" t="s">
        <v>12803</v>
      </c>
      <c r="B3398" s="8"/>
      <c r="C3398" s="8"/>
      <c r="D3398" s="9" t="s">
        <v>3871</v>
      </c>
      <c r="E3398" s="9" t="s">
        <v>12786</v>
      </c>
      <c r="F3398" s="8" t="s">
        <v>12804</v>
      </c>
      <c r="G3398" s="10">
        <f>13.006*L3398</f>
        <v>156.072</v>
      </c>
      <c r="H3398" s="11">
        <v>41982</v>
      </c>
      <c r="I3398" s="10" t="s">
        <v>11518</v>
      </c>
      <c r="J3398" s="10" t="s">
        <v>12806</v>
      </c>
      <c r="K3398" s="10" t="s">
        <v>11475</v>
      </c>
      <c r="L3398" s="10">
        <v>12</v>
      </c>
      <c r="M3398" s="16" t="s">
        <v>12808</v>
      </c>
      <c r="N3398" s="16" t="s">
        <v>164</v>
      </c>
      <c r="O3398" s="13" t="s">
        <v>12808</v>
      </c>
    </row>
    <row r="3399" spans="1:15" s="1" customFormat="1">
      <c r="A3399" s="8" t="s">
        <v>12803</v>
      </c>
      <c r="B3399" s="8"/>
      <c r="C3399" s="8"/>
      <c r="D3399" s="9" t="s">
        <v>3871</v>
      </c>
      <c r="E3399" s="9" t="s">
        <v>12786</v>
      </c>
      <c r="F3399" s="8" t="s">
        <v>12805</v>
      </c>
      <c r="G3399" s="10">
        <f>13.006*L3399</f>
        <v>169.078</v>
      </c>
      <c r="H3399" s="11">
        <v>41982</v>
      </c>
      <c r="I3399" s="10" t="s">
        <v>11518</v>
      </c>
      <c r="J3399" s="10" t="s">
        <v>12807</v>
      </c>
      <c r="K3399" s="10" t="s">
        <v>11475</v>
      </c>
      <c r="L3399" s="10">
        <v>13</v>
      </c>
      <c r="M3399" s="16" t="s">
        <v>12808</v>
      </c>
      <c r="N3399" s="16" t="s">
        <v>167</v>
      </c>
      <c r="O3399" s="13" t="s">
        <v>12882</v>
      </c>
    </row>
    <row r="3400" spans="1:15" s="1" customFormat="1">
      <c r="A3400" s="8" t="s">
        <v>12809</v>
      </c>
      <c r="B3400" s="8" t="s">
        <v>283</v>
      </c>
      <c r="C3400" s="8"/>
      <c r="D3400" s="9" t="s">
        <v>1098</v>
      </c>
      <c r="E3400" s="9" t="s">
        <v>12786</v>
      </c>
      <c r="F3400" s="8" t="s">
        <v>12810</v>
      </c>
      <c r="G3400" s="10">
        <f>9.871*L3400</f>
        <v>118.452</v>
      </c>
      <c r="H3400" s="11">
        <v>41982</v>
      </c>
      <c r="I3400" s="10" t="s">
        <v>11467</v>
      </c>
      <c r="J3400" s="10" t="s">
        <v>12812</v>
      </c>
      <c r="K3400" s="10" t="s">
        <v>11416</v>
      </c>
      <c r="L3400" s="10">
        <v>12</v>
      </c>
      <c r="M3400" s="16" t="s">
        <v>12815</v>
      </c>
      <c r="N3400" s="16" t="s">
        <v>164</v>
      </c>
      <c r="O3400" s="13" t="s">
        <v>13438</v>
      </c>
    </row>
    <row r="3401" spans="1:15" s="1" customFormat="1">
      <c r="A3401" s="8" t="s">
        <v>12809</v>
      </c>
      <c r="B3401" s="8" t="s">
        <v>283</v>
      </c>
      <c r="C3401" s="8"/>
      <c r="D3401" s="9" t="s">
        <v>1098</v>
      </c>
      <c r="E3401" s="9" t="s">
        <v>12786</v>
      </c>
      <c r="F3401" s="8" t="s">
        <v>12811</v>
      </c>
      <c r="G3401" s="10">
        <f>9.871*L3401</f>
        <v>128.32300000000001</v>
      </c>
      <c r="H3401" s="11">
        <v>41982</v>
      </c>
      <c r="I3401" s="10" t="s">
        <v>12814</v>
      </c>
      <c r="J3401" s="10" t="s">
        <v>12813</v>
      </c>
      <c r="K3401" s="10" t="s">
        <v>11416</v>
      </c>
      <c r="L3401" s="10">
        <v>13</v>
      </c>
      <c r="M3401" s="16" t="s">
        <v>12815</v>
      </c>
      <c r="N3401" s="16" t="s">
        <v>167</v>
      </c>
      <c r="O3401" s="13" t="s">
        <v>12815</v>
      </c>
    </row>
    <row r="3402" spans="1:15" s="1" customFormat="1">
      <c r="A3402" s="8" t="s">
        <v>12818</v>
      </c>
      <c r="B3402" s="8"/>
      <c r="C3402" s="8"/>
      <c r="D3402" s="9" t="s">
        <v>2128</v>
      </c>
      <c r="E3402" s="9" t="s">
        <v>12782</v>
      </c>
      <c r="F3402" s="8" t="s">
        <v>12819</v>
      </c>
      <c r="G3402" s="61">
        <v>258.94099999999997</v>
      </c>
      <c r="H3402" s="11">
        <v>41982</v>
      </c>
      <c r="I3402" s="10" t="s">
        <v>12822</v>
      </c>
      <c r="J3402" s="10" t="s">
        <v>12820</v>
      </c>
      <c r="K3402" s="10" t="s">
        <v>12821</v>
      </c>
      <c r="L3402" s="10" t="s">
        <v>12514</v>
      </c>
      <c r="M3402" s="16" t="s">
        <v>12823</v>
      </c>
      <c r="N3402" s="16" t="s">
        <v>12824</v>
      </c>
      <c r="O3402" s="13" t="s">
        <v>12883</v>
      </c>
    </row>
    <row r="3403" spans="1:15" s="1" customFormat="1">
      <c r="A3403" s="8" t="s">
        <v>12829</v>
      </c>
      <c r="B3403" s="8"/>
      <c r="C3403" s="8"/>
      <c r="D3403" s="9" t="s">
        <v>6914</v>
      </c>
      <c r="E3403" s="9" t="s">
        <v>12830</v>
      </c>
      <c r="F3403" s="8" t="s">
        <v>12831</v>
      </c>
      <c r="G3403" s="61">
        <v>50.335999999999999</v>
      </c>
      <c r="H3403" s="11">
        <v>41983</v>
      </c>
      <c r="I3403" s="10" t="s">
        <v>12363</v>
      </c>
      <c r="J3403" s="10" t="s">
        <v>12832</v>
      </c>
      <c r="K3403" s="10" t="s">
        <v>12833</v>
      </c>
      <c r="L3403" s="10" t="s">
        <v>12835</v>
      </c>
      <c r="M3403" s="16" t="s">
        <v>12836</v>
      </c>
      <c r="N3403" s="16" t="s">
        <v>12837</v>
      </c>
      <c r="O3403" s="13" t="s">
        <v>12906</v>
      </c>
    </row>
    <row r="3404" spans="1:15" s="1" customFormat="1">
      <c r="A3404" s="8" t="s">
        <v>12838</v>
      </c>
      <c r="B3404" s="8"/>
      <c r="C3404" s="8"/>
      <c r="D3404" s="9" t="s">
        <v>6914</v>
      </c>
      <c r="E3404" s="9" t="s">
        <v>12830</v>
      </c>
      <c r="F3404" s="8" t="s">
        <v>12839</v>
      </c>
      <c r="G3404" s="61">
        <v>56.692999999999998</v>
      </c>
      <c r="H3404" s="11">
        <v>41983</v>
      </c>
      <c r="I3404" s="10" t="s">
        <v>12840</v>
      </c>
      <c r="J3404" s="10" t="s">
        <v>12841</v>
      </c>
      <c r="K3404" s="10" t="s">
        <v>12833</v>
      </c>
      <c r="L3404" s="10" t="s">
        <v>12842</v>
      </c>
      <c r="M3404" s="16" t="s">
        <v>12836</v>
      </c>
      <c r="N3404" s="16" t="s">
        <v>12843</v>
      </c>
      <c r="O3404" s="13" t="s">
        <v>12907</v>
      </c>
    </row>
    <row r="3405" spans="1:15" s="1" customFormat="1">
      <c r="A3405" s="8" t="s">
        <v>12844</v>
      </c>
      <c r="B3405" s="8"/>
      <c r="C3405" s="8"/>
      <c r="D3405" s="9" t="s">
        <v>10001</v>
      </c>
      <c r="E3405" s="9" t="s">
        <v>12845</v>
      </c>
      <c r="F3405" s="8" t="s">
        <v>12846</v>
      </c>
      <c r="G3405" s="61">
        <v>141.697</v>
      </c>
      <c r="H3405" s="11">
        <v>41983</v>
      </c>
      <c r="I3405" s="10" t="s">
        <v>13355</v>
      </c>
      <c r="J3405" s="10" t="s">
        <v>13356</v>
      </c>
      <c r="K3405" s="10" t="s">
        <v>12847</v>
      </c>
      <c r="L3405" s="10" t="s">
        <v>12848</v>
      </c>
      <c r="M3405" s="16" t="s">
        <v>12849</v>
      </c>
      <c r="N3405" s="16" t="s">
        <v>12850</v>
      </c>
      <c r="O3405" s="13" t="s">
        <v>12908</v>
      </c>
    </row>
    <row r="3406" spans="1:15" s="1" customFormat="1">
      <c r="A3406" s="8" t="s">
        <v>12852</v>
      </c>
      <c r="B3406" s="8"/>
      <c r="C3406" s="8"/>
      <c r="D3406" s="9" t="s">
        <v>5751</v>
      </c>
      <c r="E3406" s="9" t="s">
        <v>12845</v>
      </c>
      <c r="F3406" s="8" t="s">
        <v>12851</v>
      </c>
      <c r="G3406" s="61">
        <v>200.37299999999999</v>
      </c>
      <c r="H3406" s="11">
        <v>41983</v>
      </c>
      <c r="I3406" s="10" t="s">
        <v>11606</v>
      </c>
      <c r="J3406" s="10" t="s">
        <v>12853</v>
      </c>
      <c r="K3406" s="10" t="s">
        <v>12675</v>
      </c>
      <c r="L3406" s="10" t="s">
        <v>2483</v>
      </c>
      <c r="M3406" s="16" t="s">
        <v>12854</v>
      </c>
      <c r="N3406" s="16" t="s">
        <v>12855</v>
      </c>
      <c r="O3406" s="13" t="s">
        <v>12909</v>
      </c>
    </row>
    <row r="3407" spans="1:15" s="1" customFormat="1">
      <c r="A3407" s="8" t="s">
        <v>12856</v>
      </c>
      <c r="B3407" s="8"/>
      <c r="C3407" s="8"/>
      <c r="D3407" s="9" t="s">
        <v>5751</v>
      </c>
      <c r="E3407" s="9" t="s">
        <v>12830</v>
      </c>
      <c r="F3407" s="8" t="s">
        <v>12857</v>
      </c>
      <c r="G3407" s="61">
        <v>138.32499999999999</v>
      </c>
      <c r="H3407" s="11">
        <v>41983</v>
      </c>
      <c r="I3407" s="10" t="s">
        <v>11592</v>
      </c>
      <c r="J3407" s="10" t="s">
        <v>12858</v>
      </c>
      <c r="K3407" s="10" t="s">
        <v>12833</v>
      </c>
      <c r="L3407" s="10" t="s">
        <v>12884</v>
      </c>
      <c r="M3407" s="16" t="s">
        <v>12859</v>
      </c>
      <c r="N3407" s="16" t="s">
        <v>12885</v>
      </c>
      <c r="O3407" s="13" t="s">
        <v>12910</v>
      </c>
    </row>
    <row r="3408" spans="1:15" s="1" customFormat="1">
      <c r="A3408" s="8" t="s">
        <v>12892</v>
      </c>
      <c r="B3408" s="8"/>
      <c r="C3408" s="8"/>
      <c r="D3408" s="9" t="s">
        <v>919</v>
      </c>
      <c r="E3408" s="9" t="s">
        <v>12886</v>
      </c>
      <c r="F3408" s="8" t="s">
        <v>12890</v>
      </c>
      <c r="G3408" s="10">
        <f>17.712*L3408</f>
        <v>159.40799999999999</v>
      </c>
      <c r="H3408" s="11">
        <v>41983</v>
      </c>
      <c r="I3408" s="10" t="s">
        <v>11472</v>
      </c>
      <c r="J3408" s="10" t="s">
        <v>12891</v>
      </c>
      <c r="K3408" s="10" t="s">
        <v>12889</v>
      </c>
      <c r="L3408" s="10">
        <v>9</v>
      </c>
      <c r="M3408" s="16" t="s">
        <v>12893</v>
      </c>
      <c r="N3408" s="16" t="s">
        <v>6338</v>
      </c>
      <c r="O3408" s="13" t="s">
        <v>12912</v>
      </c>
    </row>
    <row r="3409" spans="1:15" s="1" customFormat="1">
      <c r="A3409" s="8" t="s">
        <v>918</v>
      </c>
      <c r="B3409" s="8"/>
      <c r="C3409" s="8"/>
      <c r="D3409" s="9" t="s">
        <v>919</v>
      </c>
      <c r="E3409" s="9" t="s">
        <v>12886</v>
      </c>
      <c r="F3409" s="8" t="s">
        <v>12887</v>
      </c>
      <c r="G3409" s="10">
        <f>17.712*L3409</f>
        <v>177.12</v>
      </c>
      <c r="H3409" s="11">
        <v>41985</v>
      </c>
      <c r="I3409" s="10" t="s">
        <v>12006</v>
      </c>
      <c r="J3409" s="10" t="s">
        <v>12888</v>
      </c>
      <c r="K3409" s="10" t="s">
        <v>12889</v>
      </c>
      <c r="L3409" s="10">
        <v>10</v>
      </c>
      <c r="M3409" s="16" t="s">
        <v>12893</v>
      </c>
      <c r="N3409" s="16" t="s">
        <v>4953</v>
      </c>
      <c r="O3409" s="13" t="s">
        <v>12911</v>
      </c>
    </row>
    <row r="3410" spans="1:15" s="1" customFormat="1">
      <c r="A3410" s="74" t="s">
        <v>12895</v>
      </c>
      <c r="B3410" s="8"/>
      <c r="C3410" s="8"/>
      <c r="D3410" s="9" t="s">
        <v>12898</v>
      </c>
      <c r="E3410" s="9" t="s">
        <v>12886</v>
      </c>
      <c r="F3410" s="8" t="s">
        <v>12894</v>
      </c>
      <c r="G3410" s="10">
        <f>17.712*L3410</f>
        <v>106.27199999999999</v>
      </c>
      <c r="H3410" s="11">
        <v>41985</v>
      </c>
      <c r="I3410" s="10" t="s">
        <v>11472</v>
      </c>
      <c r="J3410" s="10" t="s">
        <v>12896</v>
      </c>
      <c r="K3410" s="10" t="s">
        <v>12889</v>
      </c>
      <c r="L3410" s="10">
        <v>6</v>
      </c>
      <c r="M3410" s="16" t="s">
        <v>12893</v>
      </c>
      <c r="N3410" s="16" t="s">
        <v>12897</v>
      </c>
      <c r="O3410" s="13" t="s">
        <v>13087</v>
      </c>
    </row>
    <row r="3411" spans="1:15" s="1" customFormat="1">
      <c r="A3411" s="8" t="s">
        <v>12933</v>
      </c>
      <c r="B3411" s="8"/>
      <c r="C3411" s="8"/>
      <c r="D3411" s="13" t="s">
        <v>2117</v>
      </c>
      <c r="E3411" s="9" t="s">
        <v>12934</v>
      </c>
      <c r="F3411" s="8" t="s">
        <v>12935</v>
      </c>
      <c r="G3411" s="61">
        <v>138.839</v>
      </c>
      <c r="H3411" s="11">
        <v>41988</v>
      </c>
      <c r="I3411" s="10" t="s">
        <v>11592</v>
      </c>
      <c r="J3411" s="10" t="s">
        <v>12937</v>
      </c>
      <c r="K3411" s="10" t="s">
        <v>11591</v>
      </c>
      <c r="L3411" s="10" t="s">
        <v>11597</v>
      </c>
      <c r="M3411" s="16" t="s">
        <v>12939</v>
      </c>
      <c r="N3411" s="16" t="s">
        <v>12940</v>
      </c>
      <c r="O3411" s="13" t="s">
        <v>13088</v>
      </c>
    </row>
    <row r="3412" spans="1:15" s="1" customFormat="1">
      <c r="A3412" s="8" t="s">
        <v>12933</v>
      </c>
      <c r="B3412" s="8"/>
      <c r="C3412" s="8"/>
      <c r="D3412" s="13" t="s">
        <v>2117</v>
      </c>
      <c r="E3412" s="9" t="s">
        <v>12934</v>
      </c>
      <c r="F3412" s="8" t="s">
        <v>12936</v>
      </c>
      <c r="G3412" s="61">
        <v>247.173</v>
      </c>
      <c r="H3412" s="11">
        <v>41988</v>
      </c>
      <c r="I3412" s="10" t="s">
        <v>11671</v>
      </c>
      <c r="J3412" s="10" t="s">
        <v>12938</v>
      </c>
      <c r="K3412" s="10" t="s">
        <v>11591</v>
      </c>
      <c r="L3412" s="10" t="s">
        <v>5428</v>
      </c>
      <c r="M3412" s="16" t="s">
        <v>12942</v>
      </c>
      <c r="N3412" s="16" t="s">
        <v>12941</v>
      </c>
      <c r="O3412" s="13" t="s">
        <v>13089</v>
      </c>
    </row>
    <row r="3413" spans="1:15" s="1" customFormat="1">
      <c r="A3413" s="8" t="s">
        <v>11411</v>
      </c>
      <c r="B3413" s="8"/>
      <c r="C3413" s="8"/>
      <c r="D3413" s="13" t="s">
        <v>1128</v>
      </c>
      <c r="E3413" s="9" t="s">
        <v>11674</v>
      </c>
      <c r="F3413" s="8" t="s">
        <v>12913</v>
      </c>
      <c r="G3413" s="61">
        <f t="shared" ref="G3413:G3420" si="130">29.101*L3413</f>
        <v>349.21199999999999</v>
      </c>
      <c r="H3413" s="11">
        <v>41988</v>
      </c>
      <c r="I3413" s="61" t="s">
        <v>11414</v>
      </c>
      <c r="J3413" s="10" t="s">
        <v>12915</v>
      </c>
      <c r="K3413" s="61" t="s">
        <v>11416</v>
      </c>
      <c r="L3413" s="10">
        <v>12</v>
      </c>
      <c r="M3413" s="16" t="s">
        <v>12917</v>
      </c>
      <c r="N3413" s="16" t="s">
        <v>78</v>
      </c>
      <c r="O3413" s="13"/>
    </row>
    <row r="3414" spans="1:15" s="1" customFormat="1">
      <c r="A3414" s="8" t="s">
        <v>11411</v>
      </c>
      <c r="B3414" s="8"/>
      <c r="C3414" s="8"/>
      <c r="D3414" s="13" t="s">
        <v>1128</v>
      </c>
      <c r="E3414" s="9" t="s">
        <v>11674</v>
      </c>
      <c r="F3414" s="8" t="s">
        <v>12914</v>
      </c>
      <c r="G3414" s="61">
        <f t="shared" si="130"/>
        <v>378.31299999999999</v>
      </c>
      <c r="H3414" s="11">
        <v>41988</v>
      </c>
      <c r="I3414" s="61" t="s">
        <v>11414</v>
      </c>
      <c r="J3414" s="10" t="s">
        <v>12916</v>
      </c>
      <c r="K3414" s="61" t="s">
        <v>11416</v>
      </c>
      <c r="L3414" s="10">
        <v>13</v>
      </c>
      <c r="M3414" s="16" t="s">
        <v>12917</v>
      </c>
      <c r="N3414" s="16" t="s">
        <v>81</v>
      </c>
      <c r="O3414" s="13"/>
    </row>
    <row r="3415" spans="1:15" s="1" customFormat="1">
      <c r="A3415" s="8" t="s">
        <v>11411</v>
      </c>
      <c r="B3415" s="8"/>
      <c r="C3415" s="8"/>
      <c r="D3415" s="13" t="s">
        <v>1128</v>
      </c>
      <c r="E3415" s="9" t="s">
        <v>11674</v>
      </c>
      <c r="F3415" s="8" t="s">
        <v>12920</v>
      </c>
      <c r="G3415" s="61">
        <f t="shared" si="130"/>
        <v>349.21199999999999</v>
      </c>
      <c r="H3415" s="11">
        <v>41988</v>
      </c>
      <c r="I3415" s="61" t="s">
        <v>11414</v>
      </c>
      <c r="J3415" s="10" t="s">
        <v>12918</v>
      </c>
      <c r="K3415" s="61" t="s">
        <v>11416</v>
      </c>
      <c r="L3415" s="10">
        <v>12</v>
      </c>
      <c r="M3415" s="16" t="s">
        <v>12922</v>
      </c>
      <c r="N3415" s="16" t="s">
        <v>78</v>
      </c>
      <c r="O3415" s="13"/>
    </row>
    <row r="3416" spans="1:15" s="1" customFormat="1">
      <c r="A3416" s="8" t="s">
        <v>11411</v>
      </c>
      <c r="B3416" s="8"/>
      <c r="C3416" s="8"/>
      <c r="D3416" s="13" t="s">
        <v>1128</v>
      </c>
      <c r="E3416" s="9" t="s">
        <v>11674</v>
      </c>
      <c r="F3416" s="8" t="s">
        <v>12921</v>
      </c>
      <c r="G3416" s="61">
        <f t="shared" si="130"/>
        <v>378.31299999999999</v>
      </c>
      <c r="H3416" s="11">
        <v>41988</v>
      </c>
      <c r="I3416" s="61" t="s">
        <v>11414</v>
      </c>
      <c r="J3416" s="10" t="s">
        <v>12919</v>
      </c>
      <c r="K3416" s="61" t="s">
        <v>11416</v>
      </c>
      <c r="L3416" s="10">
        <v>13</v>
      </c>
      <c r="M3416" s="16" t="s">
        <v>12922</v>
      </c>
      <c r="N3416" s="16" t="s">
        <v>81</v>
      </c>
      <c r="O3416" s="13"/>
    </row>
    <row r="3417" spans="1:15" s="1" customFormat="1">
      <c r="A3417" s="8" t="s">
        <v>11411</v>
      </c>
      <c r="B3417" s="8"/>
      <c r="C3417" s="8"/>
      <c r="D3417" s="13" t="s">
        <v>1128</v>
      </c>
      <c r="E3417" s="9" t="s">
        <v>11674</v>
      </c>
      <c r="F3417" s="8" t="s">
        <v>12923</v>
      </c>
      <c r="G3417" s="61">
        <f t="shared" si="130"/>
        <v>349.21199999999999</v>
      </c>
      <c r="H3417" s="11">
        <v>41988</v>
      </c>
      <c r="I3417" s="61" t="s">
        <v>11414</v>
      </c>
      <c r="J3417" s="10" t="s">
        <v>12926</v>
      </c>
      <c r="K3417" s="61" t="s">
        <v>11416</v>
      </c>
      <c r="L3417" s="10">
        <v>12</v>
      </c>
      <c r="M3417" s="16" t="s">
        <v>12925</v>
      </c>
      <c r="N3417" s="16" t="s">
        <v>78</v>
      </c>
      <c r="O3417" s="13"/>
    </row>
    <row r="3418" spans="1:15" s="1" customFormat="1">
      <c r="A3418" s="8" t="s">
        <v>11411</v>
      </c>
      <c r="B3418" s="8"/>
      <c r="C3418" s="8"/>
      <c r="D3418" s="13" t="s">
        <v>1128</v>
      </c>
      <c r="E3418" s="9" t="s">
        <v>11674</v>
      </c>
      <c r="F3418" s="8" t="s">
        <v>12924</v>
      </c>
      <c r="G3418" s="61">
        <f t="shared" si="130"/>
        <v>378.31299999999999</v>
      </c>
      <c r="H3418" s="11">
        <v>41988</v>
      </c>
      <c r="I3418" s="61" t="s">
        <v>11414</v>
      </c>
      <c r="J3418" s="10" t="s">
        <v>12927</v>
      </c>
      <c r="K3418" s="61" t="s">
        <v>11416</v>
      </c>
      <c r="L3418" s="10">
        <v>13</v>
      </c>
      <c r="M3418" s="16" t="s">
        <v>12925</v>
      </c>
      <c r="N3418" s="16" t="s">
        <v>81</v>
      </c>
      <c r="O3418" s="13"/>
    </row>
    <row r="3419" spans="1:15" s="1" customFormat="1">
      <c r="A3419" s="8" t="s">
        <v>11411</v>
      </c>
      <c r="B3419" s="8"/>
      <c r="C3419" s="8"/>
      <c r="D3419" s="13" t="s">
        <v>1128</v>
      </c>
      <c r="E3419" s="9" t="s">
        <v>11674</v>
      </c>
      <c r="F3419" s="8" t="s">
        <v>12930</v>
      </c>
      <c r="G3419" s="61">
        <f t="shared" si="130"/>
        <v>349.21199999999999</v>
      </c>
      <c r="H3419" s="11">
        <v>41988</v>
      </c>
      <c r="I3419" s="61" t="s">
        <v>11414</v>
      </c>
      <c r="J3419" s="10" t="s">
        <v>12928</v>
      </c>
      <c r="K3419" s="61" t="s">
        <v>11416</v>
      </c>
      <c r="L3419" s="10">
        <v>12</v>
      </c>
      <c r="M3419" s="16" t="s">
        <v>12932</v>
      </c>
      <c r="N3419" s="16" t="s">
        <v>78</v>
      </c>
      <c r="O3419" s="13"/>
    </row>
    <row r="3420" spans="1:15" s="1" customFormat="1">
      <c r="A3420" s="8" t="s">
        <v>11411</v>
      </c>
      <c r="B3420" s="8"/>
      <c r="C3420" s="8"/>
      <c r="D3420" s="13" t="s">
        <v>1128</v>
      </c>
      <c r="E3420" s="9" t="s">
        <v>11674</v>
      </c>
      <c r="F3420" s="8" t="s">
        <v>12931</v>
      </c>
      <c r="G3420" s="61">
        <f t="shared" si="130"/>
        <v>378.31299999999999</v>
      </c>
      <c r="H3420" s="11">
        <v>41988</v>
      </c>
      <c r="I3420" s="61" t="s">
        <v>11414</v>
      </c>
      <c r="J3420" s="10" t="s">
        <v>12929</v>
      </c>
      <c r="K3420" s="61" t="s">
        <v>11416</v>
      </c>
      <c r="L3420" s="10">
        <v>13</v>
      </c>
      <c r="M3420" s="16" t="s">
        <v>12932</v>
      </c>
      <c r="N3420" s="16" t="s">
        <v>81</v>
      </c>
      <c r="O3420" s="13"/>
    </row>
    <row r="3421" spans="1:15" s="1" customFormat="1">
      <c r="A3421" s="8" t="s">
        <v>12943</v>
      </c>
      <c r="B3421" s="8"/>
      <c r="C3421" s="8"/>
      <c r="D3421" s="13" t="s">
        <v>919</v>
      </c>
      <c r="E3421" s="9" t="s">
        <v>12944</v>
      </c>
      <c r="F3421" s="8" t="s">
        <v>12945</v>
      </c>
      <c r="G3421" s="61">
        <f t="shared" ref="G3421:G3426" si="131">17.712*L3421</f>
        <v>212.54399999999998</v>
      </c>
      <c r="H3421" s="11">
        <v>41989</v>
      </c>
      <c r="I3421" s="10" t="s">
        <v>11472</v>
      </c>
      <c r="J3421" s="10" t="s">
        <v>12946</v>
      </c>
      <c r="K3421" s="61" t="s">
        <v>12947</v>
      </c>
      <c r="L3421" s="10">
        <v>12</v>
      </c>
      <c r="M3421" s="16" t="s">
        <v>12951</v>
      </c>
      <c r="N3421" s="16" t="s">
        <v>78</v>
      </c>
      <c r="O3421" s="13" t="s">
        <v>12950</v>
      </c>
    </row>
    <row r="3422" spans="1:15" s="1" customFormat="1">
      <c r="A3422" s="8" t="s">
        <v>12943</v>
      </c>
      <c r="B3422" s="8"/>
      <c r="C3422" s="8"/>
      <c r="D3422" s="13" t="s">
        <v>919</v>
      </c>
      <c r="E3422" s="9" t="s">
        <v>12944</v>
      </c>
      <c r="F3422" s="8" t="s">
        <v>12948</v>
      </c>
      <c r="G3422" s="61">
        <f t="shared" si="131"/>
        <v>230.256</v>
      </c>
      <c r="H3422" s="11">
        <v>41989</v>
      </c>
      <c r="I3422" s="10" t="s">
        <v>11472</v>
      </c>
      <c r="J3422" s="10" t="s">
        <v>12949</v>
      </c>
      <c r="K3422" s="61" t="s">
        <v>12947</v>
      </c>
      <c r="L3422" s="10">
        <v>13</v>
      </c>
      <c r="M3422" s="16" t="s">
        <v>12950</v>
      </c>
      <c r="N3422" s="16" t="s">
        <v>167</v>
      </c>
      <c r="O3422" s="13" t="s">
        <v>13090</v>
      </c>
    </row>
    <row r="3423" spans="1:15" s="1" customFormat="1">
      <c r="A3423" s="8" t="s">
        <v>12954</v>
      </c>
      <c r="B3423" s="8"/>
      <c r="C3423" s="8"/>
      <c r="D3423" s="13" t="s">
        <v>1151</v>
      </c>
      <c r="E3423" s="9" t="s">
        <v>12944</v>
      </c>
      <c r="F3423" s="8" t="s">
        <v>12955</v>
      </c>
      <c r="G3423" s="61">
        <f t="shared" si="131"/>
        <v>212.54399999999998</v>
      </c>
      <c r="H3423" s="11">
        <v>41989</v>
      </c>
      <c r="I3423" s="10" t="s">
        <v>12467</v>
      </c>
      <c r="J3423" s="10" t="s">
        <v>12959</v>
      </c>
      <c r="K3423" s="10" t="s">
        <v>11416</v>
      </c>
      <c r="L3423" s="10">
        <v>12</v>
      </c>
      <c r="M3423" s="16" t="s">
        <v>12963</v>
      </c>
      <c r="N3423" s="16" t="s">
        <v>11424</v>
      </c>
      <c r="O3423" s="13" t="s">
        <v>12963</v>
      </c>
    </row>
    <row r="3424" spans="1:15" s="1" customFormat="1">
      <c r="A3424" s="8" t="s">
        <v>12954</v>
      </c>
      <c r="B3424" s="8"/>
      <c r="C3424" s="8"/>
      <c r="D3424" s="13" t="s">
        <v>1151</v>
      </c>
      <c r="E3424" s="9" t="s">
        <v>12944</v>
      </c>
      <c r="F3424" s="8" t="s">
        <v>12956</v>
      </c>
      <c r="G3424" s="61">
        <f t="shared" si="131"/>
        <v>230.256</v>
      </c>
      <c r="H3424" s="11">
        <v>41989</v>
      </c>
      <c r="I3424" s="10" t="s">
        <v>12467</v>
      </c>
      <c r="J3424" s="10" t="s">
        <v>12960</v>
      </c>
      <c r="K3424" s="10" t="s">
        <v>11416</v>
      </c>
      <c r="L3424" s="10">
        <v>13</v>
      </c>
      <c r="M3424" s="16" t="s">
        <v>12963</v>
      </c>
      <c r="N3424" s="16" t="s">
        <v>12466</v>
      </c>
      <c r="O3424" s="13" t="s">
        <v>13091</v>
      </c>
    </row>
    <row r="3425" spans="1:15" s="1" customFormat="1">
      <c r="A3425" s="8" t="s">
        <v>12954</v>
      </c>
      <c r="B3425" s="8"/>
      <c r="C3425" s="8"/>
      <c r="D3425" s="13" t="s">
        <v>1151</v>
      </c>
      <c r="E3425" s="9" t="s">
        <v>12944</v>
      </c>
      <c r="F3425" s="8" t="s">
        <v>12957</v>
      </c>
      <c r="G3425" s="61">
        <f t="shared" si="131"/>
        <v>212.54399999999998</v>
      </c>
      <c r="H3425" s="11">
        <v>41989</v>
      </c>
      <c r="I3425" s="10" t="s">
        <v>12467</v>
      </c>
      <c r="J3425" s="10" t="s">
        <v>12961</v>
      </c>
      <c r="K3425" s="10" t="s">
        <v>11416</v>
      </c>
      <c r="L3425" s="10">
        <v>12</v>
      </c>
      <c r="M3425" s="16" t="s">
        <v>12964</v>
      </c>
      <c r="N3425" s="16" t="s">
        <v>11424</v>
      </c>
      <c r="O3425" s="13" t="s">
        <v>12964</v>
      </c>
    </row>
    <row r="3426" spans="1:15" s="1" customFormat="1">
      <c r="A3426" s="8" t="s">
        <v>12954</v>
      </c>
      <c r="B3426" s="8"/>
      <c r="C3426" s="8"/>
      <c r="D3426" s="13" t="s">
        <v>1151</v>
      </c>
      <c r="E3426" s="9" t="s">
        <v>12944</v>
      </c>
      <c r="F3426" s="8" t="s">
        <v>12958</v>
      </c>
      <c r="G3426" s="61">
        <f t="shared" si="131"/>
        <v>230.256</v>
      </c>
      <c r="H3426" s="11">
        <v>41989</v>
      </c>
      <c r="I3426" s="10" t="s">
        <v>12467</v>
      </c>
      <c r="J3426" s="10" t="s">
        <v>12962</v>
      </c>
      <c r="K3426" s="10" t="s">
        <v>11416</v>
      </c>
      <c r="L3426" s="10">
        <v>13</v>
      </c>
      <c r="M3426" s="16" t="s">
        <v>12964</v>
      </c>
      <c r="N3426" s="16" t="s">
        <v>12466</v>
      </c>
      <c r="O3426" s="13" t="s">
        <v>13092</v>
      </c>
    </row>
    <row r="3427" spans="1:15" s="1" customFormat="1">
      <c r="A3427" s="8" t="s">
        <v>12966</v>
      </c>
      <c r="B3427" s="8"/>
      <c r="C3427" s="8"/>
      <c r="D3427" s="13" t="s">
        <v>6164</v>
      </c>
      <c r="E3427" s="9" t="s">
        <v>12967</v>
      </c>
      <c r="F3427" s="8" t="s">
        <v>12968</v>
      </c>
      <c r="G3427" s="61">
        <v>80.156000000000006</v>
      </c>
      <c r="H3427" s="11">
        <v>41990</v>
      </c>
      <c r="I3427" s="10" t="s">
        <v>209</v>
      </c>
      <c r="J3427" s="10" t="s">
        <v>12969</v>
      </c>
      <c r="K3427" s="10" t="s">
        <v>11591</v>
      </c>
      <c r="L3427" s="10" t="s">
        <v>6195</v>
      </c>
      <c r="M3427" s="16" t="s">
        <v>12970</v>
      </c>
      <c r="N3427" s="16" t="s">
        <v>12971</v>
      </c>
      <c r="O3427" s="13" t="s">
        <v>13093</v>
      </c>
    </row>
    <row r="3428" spans="1:15" s="1" customFormat="1">
      <c r="A3428" s="8" t="s">
        <v>12966</v>
      </c>
      <c r="B3428" s="8"/>
      <c r="C3428" s="8"/>
      <c r="D3428" s="13" t="s">
        <v>6164</v>
      </c>
      <c r="E3428" s="9" t="s">
        <v>12967</v>
      </c>
      <c r="F3428" s="8" t="s">
        <v>12972</v>
      </c>
      <c r="G3428" s="61">
        <v>137.93</v>
      </c>
      <c r="H3428" s="11">
        <v>41990</v>
      </c>
      <c r="I3428" s="10" t="s">
        <v>209</v>
      </c>
      <c r="J3428" s="10" t="s">
        <v>12973</v>
      </c>
      <c r="K3428" s="10" t="s">
        <v>11591</v>
      </c>
      <c r="L3428" s="10" t="s">
        <v>6929</v>
      </c>
      <c r="M3428" s="16" t="s">
        <v>12974</v>
      </c>
      <c r="N3428" s="16" t="s">
        <v>12975</v>
      </c>
      <c r="O3428" s="13" t="s">
        <v>13094</v>
      </c>
    </row>
    <row r="3429" spans="1:15" s="1" customFormat="1">
      <c r="A3429" s="8" t="s">
        <v>12966</v>
      </c>
      <c r="B3429" s="8"/>
      <c r="C3429" s="8"/>
      <c r="D3429" s="13" t="s">
        <v>6164</v>
      </c>
      <c r="E3429" s="9" t="s">
        <v>12967</v>
      </c>
      <c r="F3429" s="8" t="s">
        <v>12976</v>
      </c>
      <c r="G3429" s="61">
        <v>80.221000000000004</v>
      </c>
      <c r="H3429" s="11">
        <v>41990</v>
      </c>
      <c r="I3429" s="10" t="s">
        <v>209</v>
      </c>
      <c r="J3429" s="10" t="s">
        <v>12977</v>
      </c>
      <c r="K3429" s="10" t="s">
        <v>11591</v>
      </c>
      <c r="L3429" s="10" t="s">
        <v>6195</v>
      </c>
      <c r="M3429" s="16" t="s">
        <v>12978</v>
      </c>
      <c r="N3429" s="16" t="s">
        <v>12979</v>
      </c>
      <c r="O3429" s="13" t="s">
        <v>13095</v>
      </c>
    </row>
    <row r="3430" spans="1:15" s="1" customFormat="1">
      <c r="A3430" s="8" t="s">
        <v>12966</v>
      </c>
      <c r="B3430" s="8"/>
      <c r="C3430" s="8"/>
      <c r="D3430" s="13" t="s">
        <v>6164</v>
      </c>
      <c r="E3430" s="9" t="s">
        <v>12967</v>
      </c>
      <c r="F3430" s="8" t="s">
        <v>12980</v>
      </c>
      <c r="G3430" s="61">
        <v>18.701000000000001</v>
      </c>
      <c r="H3430" s="11">
        <v>41990</v>
      </c>
      <c r="I3430" s="10" t="s">
        <v>209</v>
      </c>
      <c r="J3430" s="10" t="s">
        <v>12982</v>
      </c>
      <c r="K3430" s="10" t="s">
        <v>11591</v>
      </c>
      <c r="L3430" s="10" t="s">
        <v>12716</v>
      </c>
      <c r="M3430" s="16" t="s">
        <v>12984</v>
      </c>
      <c r="N3430" s="16" t="s">
        <v>12985</v>
      </c>
      <c r="O3430" s="13" t="s">
        <v>13096</v>
      </c>
    </row>
    <row r="3431" spans="1:15" s="1" customFormat="1">
      <c r="A3431" s="8" t="s">
        <v>12966</v>
      </c>
      <c r="B3431" s="8"/>
      <c r="C3431" s="8"/>
      <c r="D3431" s="13" t="s">
        <v>6164</v>
      </c>
      <c r="E3431" s="9" t="s">
        <v>12967</v>
      </c>
      <c r="F3431" s="8" t="s">
        <v>12981</v>
      </c>
      <c r="G3431" s="61">
        <v>18.756</v>
      </c>
      <c r="H3431" s="11">
        <v>41990</v>
      </c>
      <c r="I3431" s="10" t="s">
        <v>209</v>
      </c>
      <c r="J3431" s="10" t="s">
        <v>12983</v>
      </c>
      <c r="K3431" s="10" t="s">
        <v>11591</v>
      </c>
      <c r="L3431" s="10" t="s">
        <v>12716</v>
      </c>
      <c r="M3431" s="16" t="s">
        <v>12986</v>
      </c>
      <c r="N3431" s="16" t="s">
        <v>13019</v>
      </c>
      <c r="O3431" s="13" t="s">
        <v>13097</v>
      </c>
    </row>
    <row r="3432" spans="1:15" s="1" customFormat="1">
      <c r="A3432" s="8" t="s">
        <v>12987</v>
      </c>
      <c r="B3432" s="8"/>
      <c r="C3432" s="8"/>
      <c r="D3432" s="13" t="s">
        <v>2117</v>
      </c>
      <c r="E3432" s="9" t="s">
        <v>12967</v>
      </c>
      <c r="F3432" s="8" t="s">
        <v>12988</v>
      </c>
      <c r="G3432" s="61">
        <v>139.61600000000001</v>
      </c>
      <c r="H3432" s="11">
        <v>41990</v>
      </c>
      <c r="I3432" s="10" t="s">
        <v>11592</v>
      </c>
      <c r="J3432" s="10" t="s">
        <v>12989</v>
      </c>
      <c r="K3432" s="61" t="s">
        <v>11591</v>
      </c>
      <c r="L3432" s="10" t="s">
        <v>11597</v>
      </c>
      <c r="M3432" s="16" t="s">
        <v>13161</v>
      </c>
      <c r="N3432" s="16" t="s">
        <v>13162</v>
      </c>
      <c r="O3432" s="13" t="s">
        <v>13163</v>
      </c>
    </row>
    <row r="3433" spans="1:15" s="1" customFormat="1">
      <c r="A3433" s="8" t="s">
        <v>12987</v>
      </c>
      <c r="B3433" s="8"/>
      <c r="C3433" s="8"/>
      <c r="D3433" s="13" t="s">
        <v>2117</v>
      </c>
      <c r="E3433" s="9" t="s">
        <v>12967</v>
      </c>
      <c r="F3433" s="8" t="s">
        <v>12990</v>
      </c>
      <c r="G3433" s="61">
        <v>245.99299999999999</v>
      </c>
      <c r="H3433" s="11">
        <v>41990</v>
      </c>
      <c r="I3433" s="10" t="s">
        <v>11592</v>
      </c>
      <c r="J3433" s="10" t="s">
        <v>12991</v>
      </c>
      <c r="K3433" s="61" t="s">
        <v>11591</v>
      </c>
      <c r="L3433" s="10" t="s">
        <v>5428</v>
      </c>
      <c r="M3433" s="16" t="s">
        <v>12992</v>
      </c>
      <c r="N3433" s="16" t="s">
        <v>12993</v>
      </c>
      <c r="O3433" s="13" t="s">
        <v>13098</v>
      </c>
    </row>
    <row r="3434" spans="1:15" s="1" customFormat="1">
      <c r="A3434" s="8" t="s">
        <v>12994</v>
      </c>
      <c r="B3434" s="8"/>
      <c r="C3434" s="8"/>
      <c r="D3434" s="13" t="s">
        <v>5751</v>
      </c>
      <c r="E3434" s="9" t="s">
        <v>12967</v>
      </c>
      <c r="F3434" s="8" t="s">
        <v>12995</v>
      </c>
      <c r="G3434" s="61">
        <v>202.38499999999999</v>
      </c>
      <c r="H3434" s="11">
        <v>41990</v>
      </c>
      <c r="I3434" s="10" t="s">
        <v>11606</v>
      </c>
      <c r="J3434" s="10" t="s">
        <v>12996</v>
      </c>
      <c r="K3434" s="10" t="s">
        <v>12675</v>
      </c>
      <c r="L3434" s="10" t="s">
        <v>2483</v>
      </c>
      <c r="M3434" s="16" t="s">
        <v>12998</v>
      </c>
      <c r="N3434" s="16" t="s">
        <v>12999</v>
      </c>
      <c r="O3434" s="13" t="s">
        <v>13099</v>
      </c>
    </row>
    <row r="3435" spans="1:15" s="1" customFormat="1">
      <c r="A3435" s="8" t="s">
        <v>12994</v>
      </c>
      <c r="B3435" s="8"/>
      <c r="C3435" s="8"/>
      <c r="D3435" s="13" t="s">
        <v>5751</v>
      </c>
      <c r="E3435" s="9" t="s">
        <v>12967</v>
      </c>
      <c r="F3435" s="8" t="s">
        <v>13000</v>
      </c>
      <c r="G3435" s="61">
        <v>111.24</v>
      </c>
      <c r="H3435" s="11">
        <v>41990</v>
      </c>
      <c r="I3435" s="10" t="s">
        <v>11606</v>
      </c>
      <c r="J3435" s="10" t="s">
        <v>13001</v>
      </c>
      <c r="K3435" s="61" t="s">
        <v>12997</v>
      </c>
      <c r="L3435" s="10" t="s">
        <v>13002</v>
      </c>
      <c r="M3435" s="16" t="s">
        <v>13003</v>
      </c>
      <c r="N3435" s="16" t="s">
        <v>13004</v>
      </c>
      <c r="O3435" s="13" t="s">
        <v>13100</v>
      </c>
    </row>
    <row r="3436" spans="1:15" s="1" customFormat="1">
      <c r="A3436" s="8" t="s">
        <v>12994</v>
      </c>
      <c r="B3436" s="8"/>
      <c r="C3436" s="8"/>
      <c r="D3436" s="13" t="s">
        <v>5751</v>
      </c>
      <c r="E3436" s="9" t="s">
        <v>12967</v>
      </c>
      <c r="F3436" s="8" t="s">
        <v>13005</v>
      </c>
      <c r="G3436" s="61">
        <v>141.572</v>
      </c>
      <c r="H3436" s="11">
        <v>41990</v>
      </c>
      <c r="I3436" s="10" t="s">
        <v>11606</v>
      </c>
      <c r="J3436" s="10" t="s">
        <v>13006</v>
      </c>
      <c r="K3436" s="61" t="s">
        <v>12997</v>
      </c>
      <c r="L3436" s="10" t="s">
        <v>13007</v>
      </c>
      <c r="M3436" s="16" t="s">
        <v>13008</v>
      </c>
      <c r="N3436" s="16" t="s">
        <v>13009</v>
      </c>
      <c r="O3436" s="13" t="s">
        <v>13101</v>
      </c>
    </row>
    <row r="3437" spans="1:15" s="1" customFormat="1">
      <c r="A3437" s="8" t="s">
        <v>12994</v>
      </c>
      <c r="B3437" s="8"/>
      <c r="C3437" s="8"/>
      <c r="D3437" s="13" t="s">
        <v>5751</v>
      </c>
      <c r="E3437" s="9" t="s">
        <v>12967</v>
      </c>
      <c r="F3437" s="8" t="s">
        <v>13010</v>
      </c>
      <c r="G3437" s="61">
        <v>202.31200000000001</v>
      </c>
      <c r="H3437" s="11">
        <v>41990</v>
      </c>
      <c r="I3437" s="10" t="s">
        <v>11606</v>
      </c>
      <c r="J3437" s="10" t="s">
        <v>13011</v>
      </c>
      <c r="K3437" s="61" t="s">
        <v>12675</v>
      </c>
      <c r="L3437" s="10" t="s">
        <v>2483</v>
      </c>
      <c r="M3437" s="16" t="s">
        <v>13012</v>
      </c>
      <c r="N3437" s="16" t="s">
        <v>13013</v>
      </c>
      <c r="O3437" s="13" t="s">
        <v>13102</v>
      </c>
    </row>
    <row r="3438" spans="1:15" s="1" customFormat="1">
      <c r="A3438" s="8" t="s">
        <v>12994</v>
      </c>
      <c r="B3438" s="8"/>
      <c r="C3438" s="8"/>
      <c r="D3438" s="13" t="s">
        <v>5751</v>
      </c>
      <c r="E3438" s="9" t="s">
        <v>12967</v>
      </c>
      <c r="F3438" s="8" t="s">
        <v>13014</v>
      </c>
      <c r="G3438" s="61">
        <v>80.918000000000006</v>
      </c>
      <c r="H3438" s="11">
        <v>41990</v>
      </c>
      <c r="I3438" s="10" t="s">
        <v>11606</v>
      </c>
      <c r="J3438" s="10" t="s">
        <v>13015</v>
      </c>
      <c r="K3438" s="61" t="s">
        <v>12675</v>
      </c>
      <c r="L3438" s="10" t="s">
        <v>13016</v>
      </c>
      <c r="M3438" s="16" t="s">
        <v>13017</v>
      </c>
      <c r="N3438" s="16" t="s">
        <v>13018</v>
      </c>
      <c r="O3438" s="13" t="s">
        <v>13103</v>
      </c>
    </row>
    <row r="3439" spans="1:15" s="1" customFormat="1">
      <c r="A3439" s="8" t="s">
        <v>13020</v>
      </c>
      <c r="B3439" s="8"/>
      <c r="C3439" s="8"/>
      <c r="D3439" s="13" t="s">
        <v>919</v>
      </c>
      <c r="E3439" s="9" t="s">
        <v>13021</v>
      </c>
      <c r="F3439" s="8" t="s">
        <v>13022</v>
      </c>
      <c r="G3439" s="61">
        <f>17.712*L3439</f>
        <v>212.54399999999998</v>
      </c>
      <c r="H3439" s="11">
        <v>41991</v>
      </c>
      <c r="I3439" s="10" t="s">
        <v>11472</v>
      </c>
      <c r="J3439" s="10" t="s">
        <v>13026</v>
      </c>
      <c r="K3439" s="10" t="s">
        <v>11416</v>
      </c>
      <c r="L3439" s="10">
        <v>12</v>
      </c>
      <c r="M3439" s="16" t="s">
        <v>13030</v>
      </c>
      <c r="N3439" s="16" t="s">
        <v>78</v>
      </c>
      <c r="O3439" s="13" t="s">
        <v>13030</v>
      </c>
    </row>
    <row r="3440" spans="1:15" s="1" customFormat="1">
      <c r="A3440" s="8" t="s">
        <v>13020</v>
      </c>
      <c r="B3440" s="8"/>
      <c r="C3440" s="8"/>
      <c r="D3440" s="13" t="s">
        <v>919</v>
      </c>
      <c r="E3440" s="9" t="s">
        <v>13021</v>
      </c>
      <c r="F3440" s="8" t="s">
        <v>13023</v>
      </c>
      <c r="G3440" s="61">
        <f>17.712*L3440</f>
        <v>230.256</v>
      </c>
      <c r="H3440" s="11">
        <v>41991</v>
      </c>
      <c r="I3440" s="10" t="s">
        <v>11472</v>
      </c>
      <c r="J3440" s="10" t="s">
        <v>13027</v>
      </c>
      <c r="K3440" s="10" t="s">
        <v>11416</v>
      </c>
      <c r="L3440" s="10">
        <v>13</v>
      </c>
      <c r="M3440" s="16" t="s">
        <v>13030</v>
      </c>
      <c r="N3440" s="16" t="s">
        <v>167</v>
      </c>
      <c r="O3440" s="13" t="s">
        <v>13104</v>
      </c>
    </row>
    <row r="3441" spans="1:15" s="1" customFormat="1">
      <c r="A3441" s="8" t="s">
        <v>13020</v>
      </c>
      <c r="B3441" s="8"/>
      <c r="C3441" s="8"/>
      <c r="D3441" s="13" t="s">
        <v>919</v>
      </c>
      <c r="E3441" s="9" t="s">
        <v>13021</v>
      </c>
      <c r="F3441" s="8" t="s">
        <v>13024</v>
      </c>
      <c r="G3441" s="61">
        <f>17.712*L3441</f>
        <v>212.54399999999998</v>
      </c>
      <c r="H3441" s="11">
        <v>41991</v>
      </c>
      <c r="I3441" s="10" t="s">
        <v>11472</v>
      </c>
      <c r="J3441" s="10" t="s">
        <v>13028</v>
      </c>
      <c r="K3441" s="61" t="s">
        <v>11416</v>
      </c>
      <c r="L3441" s="10">
        <v>12</v>
      </c>
      <c r="M3441" s="16" t="s">
        <v>13031</v>
      </c>
      <c r="N3441" s="16" t="s">
        <v>78</v>
      </c>
      <c r="O3441" s="13" t="s">
        <v>13031</v>
      </c>
    </row>
    <row r="3442" spans="1:15" s="1" customFormat="1">
      <c r="A3442" s="8" t="s">
        <v>13020</v>
      </c>
      <c r="B3442" s="8"/>
      <c r="C3442" s="8"/>
      <c r="D3442" s="13" t="s">
        <v>919</v>
      </c>
      <c r="E3442" s="9" t="s">
        <v>13021</v>
      </c>
      <c r="F3442" s="8" t="s">
        <v>13025</v>
      </c>
      <c r="G3442" s="61">
        <f>17.712*L3442</f>
        <v>230.256</v>
      </c>
      <c r="H3442" s="11">
        <v>41991</v>
      </c>
      <c r="I3442" s="10" t="s">
        <v>13032</v>
      </c>
      <c r="J3442" s="10" t="s">
        <v>13029</v>
      </c>
      <c r="K3442" s="61" t="s">
        <v>11416</v>
      </c>
      <c r="L3442" s="10">
        <v>13</v>
      </c>
      <c r="M3442" s="16" t="s">
        <v>13031</v>
      </c>
      <c r="N3442" s="16" t="s">
        <v>167</v>
      </c>
      <c r="O3442" s="13" t="s">
        <v>13105</v>
      </c>
    </row>
    <row r="3443" spans="1:15" s="1" customFormat="1">
      <c r="A3443" s="8" t="s">
        <v>13033</v>
      </c>
      <c r="B3443" s="8"/>
      <c r="C3443" s="8"/>
      <c r="D3443" s="13" t="s">
        <v>3871</v>
      </c>
      <c r="E3443" s="9" t="s">
        <v>13034</v>
      </c>
      <c r="F3443" s="8" t="s">
        <v>13038</v>
      </c>
      <c r="G3443" s="10">
        <f>13.006*L3443</f>
        <v>156.072</v>
      </c>
      <c r="H3443" s="11">
        <v>41991</v>
      </c>
      <c r="I3443" s="10" t="s">
        <v>11518</v>
      </c>
      <c r="J3443" s="10" t="s">
        <v>13036</v>
      </c>
      <c r="K3443" s="61" t="s">
        <v>11416</v>
      </c>
      <c r="L3443" s="10">
        <v>12</v>
      </c>
      <c r="M3443" s="16" t="s">
        <v>13039</v>
      </c>
      <c r="N3443" s="16" t="s">
        <v>164</v>
      </c>
      <c r="O3443" s="13" t="s">
        <v>13039</v>
      </c>
    </row>
    <row r="3444" spans="1:15" s="1" customFormat="1">
      <c r="A3444" s="8" t="s">
        <v>12444</v>
      </c>
      <c r="B3444" s="8"/>
      <c r="C3444" s="8"/>
      <c r="D3444" s="13" t="s">
        <v>3871</v>
      </c>
      <c r="E3444" s="9" t="s">
        <v>13034</v>
      </c>
      <c r="F3444" s="8" t="s">
        <v>13035</v>
      </c>
      <c r="G3444" s="10">
        <f>13.006*L3444</f>
        <v>169.078</v>
      </c>
      <c r="H3444" s="11">
        <v>41991</v>
      </c>
      <c r="I3444" s="10" t="s">
        <v>11518</v>
      </c>
      <c r="J3444" s="10" t="s">
        <v>13037</v>
      </c>
      <c r="K3444" s="61" t="s">
        <v>11416</v>
      </c>
      <c r="L3444" s="10">
        <v>13</v>
      </c>
      <c r="M3444" s="16" t="s">
        <v>13039</v>
      </c>
      <c r="N3444" s="16" t="s">
        <v>167</v>
      </c>
      <c r="O3444" s="13" t="s">
        <v>13106</v>
      </c>
    </row>
    <row r="3445" spans="1:15" s="1" customFormat="1">
      <c r="A3445" s="8" t="s">
        <v>1150</v>
      </c>
      <c r="B3445" s="8"/>
      <c r="C3445" s="8"/>
      <c r="D3445" s="13" t="s">
        <v>1151</v>
      </c>
      <c r="E3445" s="9" t="s">
        <v>13034</v>
      </c>
      <c r="F3445" s="8" t="s">
        <v>13045</v>
      </c>
      <c r="G3445" s="61">
        <f>17.712*L3445</f>
        <v>212.54399999999998</v>
      </c>
      <c r="H3445" s="11">
        <v>41991</v>
      </c>
      <c r="I3445" s="10" t="s">
        <v>12467</v>
      </c>
      <c r="J3445" s="10" t="s">
        <v>13041</v>
      </c>
      <c r="K3445" s="10" t="s">
        <v>11416</v>
      </c>
      <c r="L3445" s="10">
        <v>12</v>
      </c>
      <c r="M3445" s="16" t="s">
        <v>13043</v>
      </c>
      <c r="N3445" s="16" t="s">
        <v>11424</v>
      </c>
      <c r="O3445" s="13" t="s">
        <v>13043</v>
      </c>
    </row>
    <row r="3446" spans="1:15" s="1" customFormat="1">
      <c r="A3446" s="8" t="s">
        <v>13044</v>
      </c>
      <c r="B3446" s="8"/>
      <c r="C3446" s="8"/>
      <c r="D3446" s="13" t="s">
        <v>1151</v>
      </c>
      <c r="E3446" s="9" t="s">
        <v>13034</v>
      </c>
      <c r="F3446" s="8" t="s">
        <v>13040</v>
      </c>
      <c r="G3446" s="61">
        <f>17.712*L3446</f>
        <v>230.256</v>
      </c>
      <c r="H3446" s="11">
        <v>41991</v>
      </c>
      <c r="I3446" s="10" t="s">
        <v>13050</v>
      </c>
      <c r="J3446" s="10" t="s">
        <v>13042</v>
      </c>
      <c r="K3446" s="10" t="s">
        <v>11416</v>
      </c>
      <c r="L3446" s="10">
        <v>13</v>
      </c>
      <c r="M3446" s="16" t="s">
        <v>13043</v>
      </c>
      <c r="N3446" s="16" t="s">
        <v>12466</v>
      </c>
      <c r="O3446" s="13" t="s">
        <v>13107</v>
      </c>
    </row>
    <row r="3447" spans="1:15" s="1" customFormat="1">
      <c r="A3447" s="74" t="s">
        <v>13046</v>
      </c>
      <c r="B3447" s="8"/>
      <c r="C3447" s="8"/>
      <c r="D3447" s="13" t="s">
        <v>13047</v>
      </c>
      <c r="E3447" s="9" t="s">
        <v>13021</v>
      </c>
      <c r="F3447" s="8" t="s">
        <v>13048</v>
      </c>
      <c r="G3447" s="61">
        <f>17.498*L3447</f>
        <v>17.498000000000001</v>
      </c>
      <c r="H3447" s="11">
        <v>41991</v>
      </c>
      <c r="I3447" s="10" t="s">
        <v>13051</v>
      </c>
      <c r="J3447" s="10" t="s">
        <v>13049</v>
      </c>
      <c r="K3447" s="61" t="s">
        <v>11475</v>
      </c>
      <c r="L3447" s="10">
        <v>1</v>
      </c>
      <c r="M3447" s="16" t="s">
        <v>13052</v>
      </c>
      <c r="N3447" s="16" t="s">
        <v>341</v>
      </c>
      <c r="O3447" s="13" t="s">
        <v>13439</v>
      </c>
    </row>
    <row r="3448" spans="1:15" s="1" customFormat="1">
      <c r="A3448" s="8" t="s">
        <v>11411</v>
      </c>
      <c r="B3448" s="8"/>
      <c r="C3448" s="8"/>
      <c r="D3448" s="13" t="s">
        <v>1128</v>
      </c>
      <c r="E3448" s="9" t="s">
        <v>11674</v>
      </c>
      <c r="F3448" s="8" t="s">
        <v>13053</v>
      </c>
      <c r="G3448" s="61">
        <f>29.101*L3448</f>
        <v>349.21199999999999</v>
      </c>
      <c r="H3448" s="11">
        <v>41992</v>
      </c>
      <c r="I3448" s="61" t="s">
        <v>11414</v>
      </c>
      <c r="J3448" s="10" t="s">
        <v>13054</v>
      </c>
      <c r="K3448" s="61" t="s">
        <v>11416</v>
      </c>
      <c r="L3448" s="10">
        <v>12</v>
      </c>
      <c r="M3448" s="16" t="s">
        <v>13057</v>
      </c>
      <c r="N3448" s="16" t="s">
        <v>78</v>
      </c>
      <c r="O3448" s="13"/>
    </row>
    <row r="3449" spans="1:15" s="1" customFormat="1">
      <c r="A3449" s="8" t="s">
        <v>11411</v>
      </c>
      <c r="B3449" s="8"/>
      <c r="C3449" s="8"/>
      <c r="D3449" s="13" t="s">
        <v>1128</v>
      </c>
      <c r="E3449" s="9" t="s">
        <v>11674</v>
      </c>
      <c r="F3449" s="8" t="s">
        <v>13055</v>
      </c>
      <c r="G3449" s="61">
        <f>29.101*L3449</f>
        <v>378.31299999999999</v>
      </c>
      <c r="H3449" s="11">
        <v>41992</v>
      </c>
      <c r="I3449" s="61" t="s">
        <v>11414</v>
      </c>
      <c r="J3449" s="10" t="s">
        <v>13056</v>
      </c>
      <c r="K3449" s="61" t="s">
        <v>11416</v>
      </c>
      <c r="L3449" s="10">
        <v>13</v>
      </c>
      <c r="M3449" s="16" t="s">
        <v>13057</v>
      </c>
      <c r="N3449" s="16" t="s">
        <v>81</v>
      </c>
      <c r="O3449" s="13"/>
    </row>
    <row r="3450" spans="1:15" s="1" customFormat="1">
      <c r="A3450" s="8" t="s">
        <v>11411</v>
      </c>
      <c r="B3450" s="8"/>
      <c r="C3450" s="8"/>
      <c r="D3450" s="13" t="s">
        <v>1128</v>
      </c>
      <c r="E3450" s="9" t="s">
        <v>11674</v>
      </c>
      <c r="F3450" s="8" t="s">
        <v>13058</v>
      </c>
      <c r="G3450" s="61">
        <f>29.101*L3450</f>
        <v>349.21199999999999</v>
      </c>
      <c r="H3450" s="11">
        <v>41992</v>
      </c>
      <c r="I3450" s="61" t="s">
        <v>11414</v>
      </c>
      <c r="J3450" s="10" t="s">
        <v>13060</v>
      </c>
      <c r="K3450" s="61" t="s">
        <v>11416</v>
      </c>
      <c r="L3450" s="10">
        <v>12</v>
      </c>
      <c r="M3450" s="16" t="s">
        <v>13062</v>
      </c>
      <c r="N3450" s="16" t="s">
        <v>78</v>
      </c>
      <c r="O3450" s="13"/>
    </row>
    <row r="3451" spans="1:15" s="1" customFormat="1">
      <c r="A3451" s="8" t="s">
        <v>11411</v>
      </c>
      <c r="B3451" s="8"/>
      <c r="C3451" s="8"/>
      <c r="D3451" s="13" t="s">
        <v>1128</v>
      </c>
      <c r="E3451" s="9" t="s">
        <v>11674</v>
      </c>
      <c r="F3451" s="8" t="s">
        <v>13059</v>
      </c>
      <c r="G3451" s="61">
        <f>29.101*L3451</f>
        <v>378.31299999999999</v>
      </c>
      <c r="H3451" s="11">
        <v>41992</v>
      </c>
      <c r="I3451" s="61" t="s">
        <v>11414</v>
      </c>
      <c r="J3451" s="10" t="s">
        <v>13061</v>
      </c>
      <c r="K3451" s="61" t="s">
        <v>11416</v>
      </c>
      <c r="L3451" s="10">
        <v>13</v>
      </c>
      <c r="M3451" s="16" t="s">
        <v>13062</v>
      </c>
      <c r="N3451" s="16" t="s">
        <v>81</v>
      </c>
      <c r="O3451" s="13"/>
    </row>
    <row r="3452" spans="1:15" s="1" customFormat="1">
      <c r="A3452" s="8" t="s">
        <v>13110</v>
      </c>
      <c r="B3452" s="8"/>
      <c r="C3452" s="8"/>
      <c r="D3452" s="13" t="s">
        <v>9382</v>
      </c>
      <c r="E3452" s="9" t="s">
        <v>13111</v>
      </c>
      <c r="F3452" s="8" t="s">
        <v>13112</v>
      </c>
      <c r="G3452" s="10">
        <f>14.405*L3452</f>
        <v>115.24</v>
      </c>
      <c r="H3452" s="11">
        <v>41996</v>
      </c>
      <c r="I3452" s="10" t="s">
        <v>11499</v>
      </c>
      <c r="J3452" s="10" t="s">
        <v>13113</v>
      </c>
      <c r="K3452" s="61" t="s">
        <v>11475</v>
      </c>
      <c r="L3452" s="10">
        <v>8</v>
      </c>
      <c r="M3452" s="16" t="s">
        <v>13114</v>
      </c>
      <c r="N3452" s="16" t="s">
        <v>5844</v>
      </c>
      <c r="O3452" s="13" t="s">
        <v>13440</v>
      </c>
    </row>
    <row r="3453" spans="1:15" s="1" customFormat="1">
      <c r="A3453" s="8" t="s">
        <v>12432</v>
      </c>
      <c r="B3453" s="14" t="s">
        <v>11536</v>
      </c>
      <c r="C3453" s="8"/>
      <c r="D3453" s="13" t="s">
        <v>1083</v>
      </c>
      <c r="E3453" s="9" t="s">
        <v>13111</v>
      </c>
      <c r="F3453" s="8" t="s">
        <v>13115</v>
      </c>
      <c r="G3453" s="10">
        <f>9.871*L3453</f>
        <v>118.452</v>
      </c>
      <c r="H3453" s="11">
        <v>41996</v>
      </c>
      <c r="I3453" s="10" t="s">
        <v>12441</v>
      </c>
      <c r="J3453" s="10" t="s">
        <v>13116</v>
      </c>
      <c r="K3453" s="61" t="s">
        <v>11416</v>
      </c>
      <c r="L3453" s="10">
        <v>12</v>
      </c>
      <c r="M3453" s="16" t="s">
        <v>13119</v>
      </c>
      <c r="N3453" s="16" t="s">
        <v>78</v>
      </c>
      <c r="O3453" s="13"/>
    </row>
    <row r="3454" spans="1:15" s="1" customFormat="1">
      <c r="A3454" s="8" t="s">
        <v>12432</v>
      </c>
      <c r="B3454" s="14" t="s">
        <v>11536</v>
      </c>
      <c r="C3454" s="8"/>
      <c r="D3454" s="13" t="s">
        <v>1083</v>
      </c>
      <c r="E3454" s="9" t="s">
        <v>13111</v>
      </c>
      <c r="F3454" s="8" t="s">
        <v>13117</v>
      </c>
      <c r="G3454" s="10">
        <f>9.871*L3454</f>
        <v>128.32300000000001</v>
      </c>
      <c r="H3454" s="11">
        <v>41996</v>
      </c>
      <c r="I3454" s="10" t="s">
        <v>12441</v>
      </c>
      <c r="J3454" s="10" t="s">
        <v>13118</v>
      </c>
      <c r="K3454" s="61" t="s">
        <v>11416</v>
      </c>
      <c r="L3454" s="10">
        <v>13</v>
      </c>
      <c r="M3454" s="16" t="s">
        <v>13119</v>
      </c>
      <c r="N3454" s="16" t="s">
        <v>11753</v>
      </c>
      <c r="O3454" s="13"/>
    </row>
    <row r="3455" spans="1:15" s="1" customFormat="1">
      <c r="A3455" s="8" t="s">
        <v>13120</v>
      </c>
      <c r="B3455" s="8"/>
      <c r="C3455" s="8"/>
      <c r="D3455" s="13" t="s">
        <v>1963</v>
      </c>
      <c r="E3455" s="9" t="s">
        <v>13121</v>
      </c>
      <c r="F3455" s="8" t="s">
        <v>13122</v>
      </c>
      <c r="G3455" s="10">
        <f>17.712*L3455</f>
        <v>106.27199999999999</v>
      </c>
      <c r="H3455" s="11">
        <v>41996</v>
      </c>
      <c r="I3455" s="10" t="s">
        <v>11472</v>
      </c>
      <c r="J3455" s="10" t="s">
        <v>13123</v>
      </c>
      <c r="K3455" s="61" t="s">
        <v>11416</v>
      </c>
      <c r="L3455" s="10">
        <v>6</v>
      </c>
      <c r="M3455" s="16" t="s">
        <v>13175</v>
      </c>
      <c r="N3455" s="16" t="s">
        <v>74</v>
      </c>
      <c r="O3455" s="13" t="s">
        <v>13441</v>
      </c>
    </row>
    <row r="3456" spans="1:15" s="1" customFormat="1">
      <c r="A3456" s="8" t="s">
        <v>13124</v>
      </c>
      <c r="B3456" s="8"/>
      <c r="C3456" s="8"/>
      <c r="D3456" s="13" t="s">
        <v>495</v>
      </c>
      <c r="E3456" s="9" t="s">
        <v>13121</v>
      </c>
      <c r="F3456" s="8" t="s">
        <v>13125</v>
      </c>
      <c r="G3456" s="10">
        <f>12.838*L3456</f>
        <v>51.351999999999997</v>
      </c>
      <c r="H3456" s="11">
        <v>41996</v>
      </c>
      <c r="I3456" s="10" t="s">
        <v>11499</v>
      </c>
      <c r="J3456" s="10" t="s">
        <v>13126</v>
      </c>
      <c r="K3456" s="61" t="s">
        <v>11416</v>
      </c>
      <c r="L3456" s="10">
        <v>4</v>
      </c>
      <c r="M3456" s="16" t="s">
        <v>13176</v>
      </c>
      <c r="N3456" s="16" t="s">
        <v>3740</v>
      </c>
      <c r="O3456" s="13" t="s">
        <v>13442</v>
      </c>
    </row>
    <row r="3457" spans="1:15" s="1" customFormat="1">
      <c r="A3457" s="8" t="s">
        <v>13127</v>
      </c>
      <c r="B3457" s="8"/>
      <c r="C3457" s="8"/>
      <c r="D3457" s="13" t="s">
        <v>4414</v>
      </c>
      <c r="E3457" s="9" t="s">
        <v>13111</v>
      </c>
      <c r="F3457" s="8" t="s">
        <v>13128</v>
      </c>
      <c r="G3457" s="10">
        <f>20.142*L3457</f>
        <v>60.426000000000002</v>
      </c>
      <c r="H3457" s="11">
        <v>41996</v>
      </c>
      <c r="I3457" s="10" t="s">
        <v>13130</v>
      </c>
      <c r="J3457" s="10" t="s">
        <v>13129</v>
      </c>
      <c r="K3457" s="61" t="s">
        <v>11416</v>
      </c>
      <c r="L3457" s="10">
        <v>3</v>
      </c>
      <c r="M3457" s="16" t="s">
        <v>13177</v>
      </c>
      <c r="N3457" s="16" t="s">
        <v>6587</v>
      </c>
      <c r="O3457" s="13" t="s">
        <v>13443</v>
      </c>
    </row>
    <row r="3458" spans="1:15" s="1" customFormat="1">
      <c r="A3458" s="8" t="s">
        <v>13131</v>
      </c>
      <c r="B3458" s="8"/>
      <c r="C3458" s="8"/>
      <c r="D3458" s="13" t="s">
        <v>2117</v>
      </c>
      <c r="E3458" s="9" t="s">
        <v>13121</v>
      </c>
      <c r="F3458" s="8" t="s">
        <v>13132</v>
      </c>
      <c r="G3458" s="61">
        <v>230.34100000000001</v>
      </c>
      <c r="H3458" s="11">
        <v>41996</v>
      </c>
      <c r="I3458" s="10" t="s">
        <v>11592</v>
      </c>
      <c r="J3458" s="10" t="s">
        <v>13133</v>
      </c>
      <c r="K3458" s="61" t="s">
        <v>11591</v>
      </c>
      <c r="L3458" s="10" t="s">
        <v>13134</v>
      </c>
      <c r="M3458" s="16" t="s">
        <v>13178</v>
      </c>
      <c r="N3458" s="16" t="s">
        <v>13137</v>
      </c>
      <c r="O3458" s="13" t="s">
        <v>13444</v>
      </c>
    </row>
    <row r="3459" spans="1:15" s="1" customFormat="1">
      <c r="A3459" s="8" t="s">
        <v>13131</v>
      </c>
      <c r="B3459" s="8"/>
      <c r="C3459" s="8"/>
      <c r="D3459" s="13" t="s">
        <v>2117</v>
      </c>
      <c r="E3459" s="9" t="s">
        <v>13121</v>
      </c>
      <c r="F3459" s="8" t="s">
        <v>13135</v>
      </c>
      <c r="G3459" s="61">
        <v>231.083</v>
      </c>
      <c r="H3459" s="11">
        <v>41996</v>
      </c>
      <c r="I3459" s="10" t="s">
        <v>11592</v>
      </c>
      <c r="J3459" s="10" t="s">
        <v>13136</v>
      </c>
      <c r="K3459" s="61" t="s">
        <v>11591</v>
      </c>
      <c r="L3459" s="10" t="s">
        <v>13134</v>
      </c>
      <c r="M3459" s="16" t="s">
        <v>13179</v>
      </c>
      <c r="N3459" s="16" t="s">
        <v>13138</v>
      </c>
      <c r="O3459" s="13" t="s">
        <v>13445</v>
      </c>
    </row>
    <row r="3460" spans="1:15" s="1" customFormat="1">
      <c r="A3460" s="8" t="s">
        <v>13139</v>
      </c>
      <c r="B3460" s="8"/>
      <c r="C3460" s="8"/>
      <c r="D3460" s="13" t="s">
        <v>725</v>
      </c>
      <c r="E3460" s="9" t="s">
        <v>13111</v>
      </c>
      <c r="F3460" s="8" t="s">
        <v>13140</v>
      </c>
      <c r="G3460" s="61">
        <v>84.914000000000001</v>
      </c>
      <c r="H3460" s="11">
        <v>41996</v>
      </c>
      <c r="I3460" s="10" t="s">
        <v>13142</v>
      </c>
      <c r="J3460" s="10" t="s">
        <v>13141</v>
      </c>
      <c r="K3460" s="10" t="s">
        <v>128</v>
      </c>
      <c r="L3460" s="10" t="s">
        <v>2788</v>
      </c>
      <c r="M3460" s="16" t="s">
        <v>13180</v>
      </c>
      <c r="N3460" s="16" t="s">
        <v>13143</v>
      </c>
      <c r="O3460" s="13" t="s">
        <v>13446</v>
      </c>
    </row>
    <row r="3461" spans="1:15" s="1" customFormat="1">
      <c r="A3461" s="8" t="s">
        <v>13139</v>
      </c>
      <c r="B3461" s="8"/>
      <c r="C3461" s="8"/>
      <c r="D3461" s="13" t="s">
        <v>725</v>
      </c>
      <c r="E3461" s="9" t="s">
        <v>13111</v>
      </c>
      <c r="F3461" s="8" t="s">
        <v>13144</v>
      </c>
      <c r="G3461" s="61">
        <v>16.748000000000001</v>
      </c>
      <c r="H3461" s="11">
        <v>41996</v>
      </c>
      <c r="I3461" s="10" t="s">
        <v>13142</v>
      </c>
      <c r="J3461" s="10" t="s">
        <v>13145</v>
      </c>
      <c r="K3461" s="61" t="s">
        <v>11591</v>
      </c>
      <c r="L3461" s="10" t="s">
        <v>13146</v>
      </c>
      <c r="M3461" s="16" t="s">
        <v>13181</v>
      </c>
      <c r="N3461" s="16" t="s">
        <v>13147</v>
      </c>
      <c r="O3461" s="13" t="s">
        <v>13447</v>
      </c>
    </row>
    <row r="3462" spans="1:15" s="1" customFormat="1">
      <c r="A3462" s="8" t="s">
        <v>12524</v>
      </c>
      <c r="B3462" s="8"/>
      <c r="C3462" s="8"/>
      <c r="D3462" s="13" t="s">
        <v>1312</v>
      </c>
      <c r="E3462" s="9" t="s">
        <v>13121</v>
      </c>
      <c r="F3462" s="8" t="s">
        <v>13148</v>
      </c>
      <c r="G3462" s="61">
        <v>85.07</v>
      </c>
      <c r="H3462" s="11">
        <v>41996</v>
      </c>
      <c r="I3462" s="10" t="s">
        <v>12344</v>
      </c>
      <c r="J3462" s="10" t="s">
        <v>13149</v>
      </c>
      <c r="K3462" s="61" t="s">
        <v>11591</v>
      </c>
      <c r="L3462" s="10" t="s">
        <v>13150</v>
      </c>
      <c r="M3462" s="16" t="s">
        <v>13182</v>
      </c>
      <c r="N3462" s="16" t="s">
        <v>13151</v>
      </c>
      <c r="O3462" s="13" t="s">
        <v>13448</v>
      </c>
    </row>
    <row r="3463" spans="1:15" s="1" customFormat="1">
      <c r="A3463" s="8" t="s">
        <v>12524</v>
      </c>
      <c r="B3463" s="8"/>
      <c r="C3463" s="8"/>
      <c r="D3463" s="13" t="s">
        <v>1312</v>
      </c>
      <c r="E3463" s="9" t="s">
        <v>13121</v>
      </c>
      <c r="F3463" s="8" t="s">
        <v>13152</v>
      </c>
      <c r="G3463" s="61">
        <v>68.778000000000006</v>
      </c>
      <c r="H3463" s="11">
        <v>41996</v>
      </c>
      <c r="I3463" s="10" t="s">
        <v>12344</v>
      </c>
      <c r="J3463" s="10" t="s">
        <v>13153</v>
      </c>
      <c r="K3463" s="61" t="s">
        <v>11591</v>
      </c>
      <c r="L3463" s="10" t="s">
        <v>13154</v>
      </c>
      <c r="M3463" s="16" t="s">
        <v>13183</v>
      </c>
      <c r="N3463" s="16" t="s">
        <v>13155</v>
      </c>
      <c r="O3463" s="13" t="s">
        <v>13449</v>
      </c>
    </row>
    <row r="3464" spans="1:15" s="1" customFormat="1">
      <c r="A3464" s="8" t="s">
        <v>13156</v>
      </c>
      <c r="B3464" s="8"/>
      <c r="C3464" s="8"/>
      <c r="D3464" s="13" t="s">
        <v>3106</v>
      </c>
      <c r="E3464" s="9" t="s">
        <v>13157</v>
      </c>
      <c r="F3464" s="8" t="s">
        <v>13158</v>
      </c>
      <c r="G3464" s="10">
        <f>17.498*L3464</f>
        <v>122.486</v>
      </c>
      <c r="H3464" s="11">
        <v>41996</v>
      </c>
      <c r="I3464" s="10" t="s">
        <v>265</v>
      </c>
      <c r="J3464" s="10" t="s">
        <v>13159</v>
      </c>
      <c r="K3464" s="61" t="s">
        <v>12639</v>
      </c>
      <c r="L3464" s="10">
        <v>7</v>
      </c>
      <c r="M3464" s="16" t="s">
        <v>13184</v>
      </c>
      <c r="N3464" s="16" t="s">
        <v>8843</v>
      </c>
      <c r="O3464" s="13"/>
    </row>
    <row r="3465" spans="1:15" s="1" customFormat="1">
      <c r="A3465" s="8" t="s">
        <v>1082</v>
      </c>
      <c r="B3465" s="14" t="s">
        <v>11536</v>
      </c>
      <c r="C3465" s="8"/>
      <c r="D3465" s="13" t="s">
        <v>13164</v>
      </c>
      <c r="E3465" s="9" t="s">
        <v>13165</v>
      </c>
      <c r="F3465" s="8" t="s">
        <v>13166</v>
      </c>
      <c r="G3465" s="10">
        <f>9.871*L3465</f>
        <v>118.452</v>
      </c>
      <c r="H3465" s="11">
        <v>41998</v>
      </c>
      <c r="I3465" s="10" t="s">
        <v>12441</v>
      </c>
      <c r="J3465" s="10" t="s">
        <v>13170</v>
      </c>
      <c r="K3465" s="61" t="s">
        <v>11416</v>
      </c>
      <c r="L3465" s="10">
        <v>12</v>
      </c>
      <c r="M3465" s="16" t="s">
        <v>13185</v>
      </c>
      <c r="N3465" s="16" t="s">
        <v>78</v>
      </c>
      <c r="O3465" s="13"/>
    </row>
    <row r="3466" spans="1:15" s="1" customFormat="1">
      <c r="A3466" s="8" t="s">
        <v>1082</v>
      </c>
      <c r="B3466" s="14" t="s">
        <v>11536</v>
      </c>
      <c r="C3466" s="8"/>
      <c r="D3466" s="13" t="s">
        <v>13164</v>
      </c>
      <c r="E3466" s="9" t="s">
        <v>13165</v>
      </c>
      <c r="F3466" s="8" t="s">
        <v>13167</v>
      </c>
      <c r="G3466" s="10">
        <f>9.871*L3466</f>
        <v>128.32300000000001</v>
      </c>
      <c r="H3466" s="11">
        <v>41998</v>
      </c>
      <c r="I3466" s="10" t="s">
        <v>12441</v>
      </c>
      <c r="J3466" s="10" t="s">
        <v>13171</v>
      </c>
      <c r="K3466" s="61" t="s">
        <v>11416</v>
      </c>
      <c r="L3466" s="10">
        <v>13</v>
      </c>
      <c r="M3466" s="16" t="s">
        <v>13186</v>
      </c>
      <c r="N3466" s="16" t="s">
        <v>11753</v>
      </c>
      <c r="O3466" s="13"/>
    </row>
    <row r="3467" spans="1:15" s="1" customFormat="1">
      <c r="A3467" s="8" t="s">
        <v>1082</v>
      </c>
      <c r="B3467" s="14" t="s">
        <v>11536</v>
      </c>
      <c r="C3467" s="8"/>
      <c r="D3467" s="13" t="s">
        <v>13164</v>
      </c>
      <c r="E3467" s="9" t="s">
        <v>13165</v>
      </c>
      <c r="F3467" s="8" t="s">
        <v>13168</v>
      </c>
      <c r="G3467" s="10">
        <f>9.871*L3467</f>
        <v>118.452</v>
      </c>
      <c r="H3467" s="11">
        <v>41998</v>
      </c>
      <c r="I3467" s="10" t="s">
        <v>12441</v>
      </c>
      <c r="J3467" s="10" t="s">
        <v>13172</v>
      </c>
      <c r="K3467" s="61" t="s">
        <v>11416</v>
      </c>
      <c r="L3467" s="10">
        <v>12</v>
      </c>
      <c r="M3467" s="16" t="s">
        <v>13187</v>
      </c>
      <c r="N3467" s="16" t="s">
        <v>78</v>
      </c>
      <c r="O3467" s="13"/>
    </row>
    <row r="3468" spans="1:15" s="1" customFormat="1">
      <c r="A3468" s="8" t="s">
        <v>13174</v>
      </c>
      <c r="B3468" s="14" t="s">
        <v>11536</v>
      </c>
      <c r="C3468" s="8"/>
      <c r="D3468" s="13" t="s">
        <v>13164</v>
      </c>
      <c r="E3468" s="9" t="s">
        <v>13165</v>
      </c>
      <c r="F3468" s="8" t="s">
        <v>13169</v>
      </c>
      <c r="G3468" s="10">
        <f>9.871*L3468</f>
        <v>128.32300000000001</v>
      </c>
      <c r="H3468" s="11">
        <v>41998</v>
      </c>
      <c r="I3468" s="10" t="s">
        <v>12441</v>
      </c>
      <c r="J3468" s="10" t="s">
        <v>13173</v>
      </c>
      <c r="K3468" s="61" t="s">
        <v>11416</v>
      </c>
      <c r="L3468" s="10">
        <v>13</v>
      </c>
      <c r="M3468" s="16" t="s">
        <v>13188</v>
      </c>
      <c r="N3468" s="16" t="s">
        <v>11753</v>
      </c>
      <c r="O3468" s="13"/>
    </row>
    <row r="3469" spans="1:15" s="1" customFormat="1">
      <c r="A3469" s="8" t="s">
        <v>1285</v>
      </c>
      <c r="B3469" s="14" t="s">
        <v>11536</v>
      </c>
      <c r="C3469" s="8"/>
      <c r="D3469" s="13" t="s">
        <v>1287</v>
      </c>
      <c r="E3469" s="9" t="s">
        <v>12330</v>
      </c>
      <c r="F3469" s="8" t="s">
        <v>13189</v>
      </c>
      <c r="G3469" s="10">
        <f>8.606*L3469</f>
        <v>103.27199999999999</v>
      </c>
      <c r="H3469" s="11">
        <v>41998</v>
      </c>
      <c r="I3469" s="10" t="s">
        <v>11531</v>
      </c>
      <c r="J3469" s="10" t="s">
        <v>13190</v>
      </c>
      <c r="K3469" s="61" t="s">
        <v>11422</v>
      </c>
      <c r="L3469" s="10">
        <v>12</v>
      </c>
      <c r="M3469" s="16" t="s">
        <v>13193</v>
      </c>
      <c r="N3469" s="16" t="s">
        <v>164</v>
      </c>
      <c r="O3469" s="13"/>
    </row>
    <row r="3470" spans="1:15" s="1" customFormat="1">
      <c r="A3470" s="8" t="s">
        <v>12659</v>
      </c>
      <c r="B3470" s="14" t="s">
        <v>11536</v>
      </c>
      <c r="C3470" s="8"/>
      <c r="D3470" s="13" t="s">
        <v>1287</v>
      </c>
      <c r="E3470" s="9" t="s">
        <v>12330</v>
      </c>
      <c r="F3470" s="8" t="s">
        <v>13191</v>
      </c>
      <c r="G3470" s="10">
        <f>8.606*L3470</f>
        <v>111.878</v>
      </c>
      <c r="H3470" s="11">
        <v>41998</v>
      </c>
      <c r="I3470" s="10" t="s">
        <v>11531</v>
      </c>
      <c r="J3470" s="10" t="s">
        <v>13192</v>
      </c>
      <c r="K3470" s="61" t="s">
        <v>11422</v>
      </c>
      <c r="L3470" s="10">
        <v>13</v>
      </c>
      <c r="M3470" s="16" t="s">
        <v>13193</v>
      </c>
      <c r="N3470" s="16" t="s">
        <v>167</v>
      </c>
      <c r="O3470" s="13"/>
    </row>
    <row r="3471" spans="1:15" s="1" customFormat="1">
      <c r="A3471" s="8" t="s">
        <v>13194</v>
      </c>
      <c r="B3471" s="8"/>
      <c r="C3471" s="8"/>
      <c r="D3471" s="13" t="s">
        <v>10001</v>
      </c>
      <c r="E3471" s="9" t="s">
        <v>12330</v>
      </c>
      <c r="F3471" s="8" t="s">
        <v>13195</v>
      </c>
      <c r="G3471" s="61">
        <v>231.50399999999999</v>
      </c>
      <c r="H3471" s="11">
        <v>41998</v>
      </c>
      <c r="I3471" s="10" t="s">
        <v>12363</v>
      </c>
      <c r="J3471" s="10" t="s">
        <v>13196</v>
      </c>
      <c r="K3471" s="61" t="s">
        <v>11591</v>
      </c>
      <c r="L3471" s="10" t="s">
        <v>9483</v>
      </c>
      <c r="M3471" s="16" t="s">
        <v>13197</v>
      </c>
      <c r="N3471" s="16" t="s">
        <v>13198</v>
      </c>
      <c r="O3471" s="13" t="s">
        <v>13450</v>
      </c>
    </row>
    <row r="3472" spans="1:15" s="1" customFormat="1">
      <c r="A3472" s="8" t="s">
        <v>13194</v>
      </c>
      <c r="B3472" s="8"/>
      <c r="C3472" s="8"/>
      <c r="D3472" s="13" t="s">
        <v>10001</v>
      </c>
      <c r="E3472" s="9" t="s">
        <v>12330</v>
      </c>
      <c r="F3472" s="8" t="s">
        <v>13199</v>
      </c>
      <c r="G3472" s="61">
        <v>231.65899999999999</v>
      </c>
      <c r="H3472" s="11">
        <v>41998</v>
      </c>
      <c r="I3472" s="10" t="s">
        <v>12363</v>
      </c>
      <c r="J3472" s="10" t="s">
        <v>13200</v>
      </c>
      <c r="K3472" s="61" t="s">
        <v>11591</v>
      </c>
      <c r="L3472" s="10" t="s">
        <v>9483</v>
      </c>
      <c r="M3472" s="16" t="s">
        <v>13201</v>
      </c>
      <c r="N3472" s="16" t="s">
        <v>13202</v>
      </c>
      <c r="O3472" s="13" t="s">
        <v>13451</v>
      </c>
    </row>
    <row r="3473" spans="1:15" s="1" customFormat="1">
      <c r="A3473" s="8" t="s">
        <v>13194</v>
      </c>
      <c r="B3473" s="8"/>
      <c r="C3473" s="8"/>
      <c r="D3473" s="13" t="s">
        <v>10001</v>
      </c>
      <c r="E3473" s="9" t="s">
        <v>12330</v>
      </c>
      <c r="F3473" s="8" t="s">
        <v>13417</v>
      </c>
      <c r="G3473" s="61">
        <v>40.262999999999998</v>
      </c>
      <c r="H3473" s="11">
        <v>41998</v>
      </c>
      <c r="I3473" s="10" t="s">
        <v>12363</v>
      </c>
      <c r="J3473" s="10" t="s">
        <v>13387</v>
      </c>
      <c r="K3473" s="61" t="s">
        <v>11591</v>
      </c>
      <c r="L3473" s="10" t="s">
        <v>13203</v>
      </c>
      <c r="M3473" s="16" t="s">
        <v>13204</v>
      </c>
      <c r="N3473" s="16" t="s">
        <v>13205</v>
      </c>
      <c r="O3473" s="13" t="s">
        <v>13452</v>
      </c>
    </row>
    <row r="3474" spans="1:15" s="1" customFormat="1">
      <c r="A3474" s="8" t="s">
        <v>13212</v>
      </c>
      <c r="B3474" s="14" t="s">
        <v>13235</v>
      </c>
      <c r="C3474" s="8"/>
      <c r="D3474" s="13"/>
      <c r="E3474" s="9" t="s">
        <v>13210</v>
      </c>
      <c r="F3474" s="8" t="s">
        <v>13211</v>
      </c>
      <c r="G3474" s="61">
        <v>200</v>
      </c>
      <c r="H3474" s="11">
        <v>41998</v>
      </c>
      <c r="I3474" s="10" t="s">
        <v>12840</v>
      </c>
      <c r="J3474" s="10"/>
      <c r="K3474" s="61"/>
      <c r="L3474" s="10"/>
      <c r="M3474" s="16"/>
      <c r="N3474" s="16"/>
      <c r="O3474" s="13" t="s">
        <v>13468</v>
      </c>
    </row>
    <row r="3475" spans="1:15" s="1" customFormat="1">
      <c r="A3475" s="74" t="s">
        <v>13216</v>
      </c>
      <c r="B3475" s="8"/>
      <c r="C3475" s="8"/>
      <c r="D3475" s="13" t="s">
        <v>13213</v>
      </c>
      <c r="E3475" s="9" t="s">
        <v>13214</v>
      </c>
      <c r="F3475" s="8" t="s">
        <v>13215</v>
      </c>
      <c r="G3475" s="61">
        <f>8.926*L3475</f>
        <v>124.964</v>
      </c>
      <c r="H3475" s="11">
        <v>41999</v>
      </c>
      <c r="I3475" s="10" t="s">
        <v>13220</v>
      </c>
      <c r="J3475" s="10" t="s">
        <v>13217</v>
      </c>
      <c r="K3475" s="61" t="s">
        <v>13218</v>
      </c>
      <c r="L3475" s="10">
        <v>14</v>
      </c>
      <c r="M3475" s="16" t="s">
        <v>13219</v>
      </c>
      <c r="N3475" s="16" t="s">
        <v>5520</v>
      </c>
      <c r="O3475" s="13"/>
    </row>
    <row r="3476" spans="1:15" s="1" customFormat="1">
      <c r="A3476" s="74" t="s">
        <v>13221</v>
      </c>
      <c r="B3476" s="8"/>
      <c r="C3476" s="8"/>
      <c r="D3476" s="13" t="s">
        <v>13232</v>
      </c>
      <c r="E3476" s="9" t="s">
        <v>13223</v>
      </c>
      <c r="F3476" s="8" t="s">
        <v>13224</v>
      </c>
      <c r="G3476" s="61">
        <f>25.399*L3476</f>
        <v>304.78800000000001</v>
      </c>
      <c r="H3476" s="11">
        <v>41999</v>
      </c>
      <c r="I3476" s="10" t="s">
        <v>13225</v>
      </c>
      <c r="J3476" s="10" t="s">
        <v>13227</v>
      </c>
      <c r="K3476" s="61" t="s">
        <v>11422</v>
      </c>
      <c r="L3476" s="10">
        <v>12</v>
      </c>
      <c r="M3476" s="16" t="s">
        <v>13230</v>
      </c>
      <c r="N3476" s="16" t="s">
        <v>78</v>
      </c>
      <c r="O3476" s="13" t="s">
        <v>13453</v>
      </c>
    </row>
    <row r="3477" spans="1:15" s="1" customFormat="1">
      <c r="A3477" s="8" t="s">
        <v>13226</v>
      </c>
      <c r="B3477" s="8"/>
      <c r="C3477" s="8"/>
      <c r="D3477" s="13" t="s">
        <v>13222</v>
      </c>
      <c r="E3477" s="9" t="s">
        <v>12330</v>
      </c>
      <c r="F3477" s="8" t="s">
        <v>13229</v>
      </c>
      <c r="G3477" s="61">
        <f>25.399*L3477</f>
        <v>330.18700000000001</v>
      </c>
      <c r="H3477" s="11">
        <v>41999</v>
      </c>
      <c r="I3477" s="10" t="s">
        <v>13231</v>
      </c>
      <c r="J3477" s="10" t="s">
        <v>13228</v>
      </c>
      <c r="K3477" s="61" t="s">
        <v>11422</v>
      </c>
      <c r="L3477" s="10">
        <v>13</v>
      </c>
      <c r="M3477" s="16" t="s">
        <v>13230</v>
      </c>
      <c r="N3477" s="16" t="s">
        <v>12495</v>
      </c>
      <c r="O3477" s="13" t="s">
        <v>13454</v>
      </c>
    </row>
    <row r="3478" spans="1:15" s="1" customFormat="1">
      <c r="A3478" s="8" t="s">
        <v>13234</v>
      </c>
      <c r="B3478" s="14" t="s">
        <v>1735</v>
      </c>
      <c r="C3478" s="8"/>
      <c r="D3478" s="13"/>
      <c r="E3478" s="9" t="s">
        <v>12330</v>
      </c>
      <c r="F3478" s="8" t="s">
        <v>13233</v>
      </c>
      <c r="G3478" s="61">
        <v>42</v>
      </c>
      <c r="H3478" s="11">
        <v>42002</v>
      </c>
      <c r="I3478" s="10" t="s">
        <v>13376</v>
      </c>
      <c r="J3478" s="10"/>
      <c r="K3478" s="61"/>
      <c r="L3478" s="10"/>
      <c r="M3478" s="16"/>
      <c r="N3478" s="16"/>
      <c r="O3478" s="13" t="s">
        <v>1918</v>
      </c>
    </row>
    <row r="3479" spans="1:15" s="1" customFormat="1">
      <c r="A3479" s="8" t="s">
        <v>654</v>
      </c>
      <c r="B3479" s="8"/>
      <c r="C3479" s="8"/>
      <c r="D3479" s="9" t="s">
        <v>5294</v>
      </c>
      <c r="E3479" s="9" t="s">
        <v>13273</v>
      </c>
      <c r="F3479" s="8" t="s">
        <v>13474</v>
      </c>
      <c r="G3479" s="61">
        <f>17.52*L3479</f>
        <v>192.72</v>
      </c>
      <c r="H3479" s="11">
        <v>42004</v>
      </c>
      <c r="I3479" s="10" t="s">
        <v>209</v>
      </c>
      <c r="J3479" s="10" t="s">
        <v>13274</v>
      </c>
      <c r="K3479" s="10" t="s">
        <v>21</v>
      </c>
      <c r="L3479" s="10">
        <v>11</v>
      </c>
      <c r="M3479" s="16" t="s">
        <v>12758</v>
      </c>
      <c r="N3479" s="16" t="s">
        <v>13303</v>
      </c>
      <c r="O3479" s="13" t="s">
        <v>13475</v>
      </c>
    </row>
    <row r="3480" spans="1:15" s="1" customFormat="1">
      <c r="A3480" s="8" t="s">
        <v>654</v>
      </c>
      <c r="B3480" s="8"/>
      <c r="C3480" s="8"/>
      <c r="D3480" s="9" t="s">
        <v>5294</v>
      </c>
      <c r="E3480" s="9" t="s">
        <v>13273</v>
      </c>
      <c r="F3480" s="8" t="s">
        <v>13275</v>
      </c>
      <c r="G3480" s="61">
        <f>17.52*L3480</f>
        <v>210.24</v>
      </c>
      <c r="H3480" s="11">
        <v>42004</v>
      </c>
      <c r="I3480" s="10" t="s">
        <v>13345</v>
      </c>
      <c r="J3480" s="10" t="s">
        <v>13276</v>
      </c>
      <c r="K3480" s="10" t="s">
        <v>21</v>
      </c>
      <c r="L3480" s="10">
        <v>12</v>
      </c>
      <c r="M3480" s="16" t="s">
        <v>12758</v>
      </c>
      <c r="N3480" s="16" t="s">
        <v>13304</v>
      </c>
      <c r="O3480" s="13" t="s">
        <v>13476</v>
      </c>
    </row>
    <row r="3481" spans="1:15" s="1" customFormat="1">
      <c r="A3481" s="8" t="s">
        <v>1187</v>
      </c>
      <c r="B3481" s="8"/>
      <c r="C3481" s="8"/>
      <c r="D3481" s="9" t="s">
        <v>1188</v>
      </c>
      <c r="E3481" s="9" t="s">
        <v>13273</v>
      </c>
      <c r="F3481" s="8" t="s">
        <v>13277</v>
      </c>
      <c r="G3481" s="61">
        <f>29.101*L3481</f>
        <v>174.60599999999999</v>
      </c>
      <c r="H3481" s="11">
        <v>42004</v>
      </c>
      <c r="I3481" s="10" t="s">
        <v>13377</v>
      </c>
      <c r="J3481" s="10" t="s">
        <v>13279</v>
      </c>
      <c r="K3481" s="10" t="s">
        <v>21</v>
      </c>
      <c r="L3481" s="10">
        <v>6</v>
      </c>
      <c r="M3481" s="16" t="s">
        <v>10592</v>
      </c>
      <c r="N3481" s="16" t="s">
        <v>13305</v>
      </c>
      <c r="O3481" s="13" t="s">
        <v>13477</v>
      </c>
    </row>
    <row r="3482" spans="1:15" s="1" customFormat="1">
      <c r="A3482" s="8" t="s">
        <v>1187</v>
      </c>
      <c r="B3482" s="8"/>
      <c r="C3482" s="8"/>
      <c r="D3482" s="9" t="s">
        <v>1188</v>
      </c>
      <c r="E3482" s="9" t="s">
        <v>13273</v>
      </c>
      <c r="F3482" s="8" t="s">
        <v>13278</v>
      </c>
      <c r="G3482" s="61">
        <f>29.101*L3482</f>
        <v>320.11099999999999</v>
      </c>
      <c r="H3482" s="11">
        <v>42004</v>
      </c>
      <c r="I3482" s="10" t="s">
        <v>178</v>
      </c>
      <c r="J3482" s="10" t="s">
        <v>13280</v>
      </c>
      <c r="K3482" s="10" t="s">
        <v>21</v>
      </c>
      <c r="L3482" s="10">
        <v>11</v>
      </c>
      <c r="M3482" s="16" t="s">
        <v>13306</v>
      </c>
      <c r="N3482" s="16" t="s">
        <v>4504</v>
      </c>
      <c r="O3482" s="13" t="s">
        <v>13306</v>
      </c>
    </row>
    <row r="3483" spans="1:15" s="1" customFormat="1">
      <c r="A3483" s="8" t="s">
        <v>3816</v>
      </c>
      <c r="B3483" s="8"/>
      <c r="C3483" s="8"/>
      <c r="D3483" s="13" t="s">
        <v>377</v>
      </c>
      <c r="E3483" s="9" t="s">
        <v>13273</v>
      </c>
      <c r="F3483" s="8" t="s">
        <v>13281</v>
      </c>
      <c r="G3483" s="61">
        <f>18.708*L3483</f>
        <v>187.07999999999998</v>
      </c>
      <c r="H3483" s="11">
        <v>42004</v>
      </c>
      <c r="I3483" s="10" t="s">
        <v>11472</v>
      </c>
      <c r="J3483" s="10" t="s">
        <v>13282</v>
      </c>
      <c r="K3483" s="10" t="s">
        <v>11475</v>
      </c>
      <c r="L3483" s="10">
        <v>10</v>
      </c>
      <c r="M3483" s="16" t="s">
        <v>13307</v>
      </c>
      <c r="N3483" s="16" t="s">
        <v>4953</v>
      </c>
      <c r="O3483" s="13" t="s">
        <v>13307</v>
      </c>
    </row>
    <row r="3484" spans="1:15" s="1" customFormat="1">
      <c r="A3484" s="8" t="s">
        <v>13285</v>
      </c>
      <c r="B3484" s="8"/>
      <c r="C3484" s="8"/>
      <c r="D3484" s="9" t="s">
        <v>377</v>
      </c>
      <c r="E3484" s="9" t="s">
        <v>13284</v>
      </c>
      <c r="F3484" s="8" t="s">
        <v>13283</v>
      </c>
      <c r="G3484" s="61">
        <f>18.708*L3484</f>
        <v>280.62</v>
      </c>
      <c r="H3484" s="11">
        <v>42004</v>
      </c>
      <c r="I3484" s="10" t="s">
        <v>11975</v>
      </c>
      <c r="J3484" s="10" t="s">
        <v>13286</v>
      </c>
      <c r="K3484" s="10" t="s">
        <v>11475</v>
      </c>
      <c r="L3484" s="10">
        <v>15</v>
      </c>
      <c r="M3484" s="16" t="s">
        <v>13307</v>
      </c>
      <c r="N3484" s="16" t="s">
        <v>13308</v>
      </c>
      <c r="O3484" s="13" t="s">
        <v>13478</v>
      </c>
    </row>
    <row r="3485" spans="1:15" s="1" customFormat="1">
      <c r="A3485" s="8" t="s">
        <v>12407</v>
      </c>
      <c r="B3485" s="14" t="s">
        <v>283</v>
      </c>
      <c r="C3485" s="8"/>
      <c r="D3485" s="9" t="s">
        <v>12665</v>
      </c>
      <c r="E3485" s="9" t="s">
        <v>13273</v>
      </c>
      <c r="F3485" s="8" t="s">
        <v>13287</v>
      </c>
      <c r="G3485" s="61">
        <f t="shared" ref="G3485:G3490" si="132">9.804*L3485</f>
        <v>117.648</v>
      </c>
      <c r="H3485" s="11">
        <v>42004</v>
      </c>
      <c r="I3485" s="10" t="s">
        <v>12418</v>
      </c>
      <c r="J3485" s="10" t="s">
        <v>13289</v>
      </c>
      <c r="K3485" s="10" t="s">
        <v>21</v>
      </c>
      <c r="L3485" s="10">
        <v>12</v>
      </c>
      <c r="M3485" s="16" t="s">
        <v>13291</v>
      </c>
      <c r="N3485" s="16" t="s">
        <v>164</v>
      </c>
      <c r="O3485" s="13"/>
    </row>
    <row r="3486" spans="1:15" s="1" customFormat="1">
      <c r="A3486" s="8" t="s">
        <v>12407</v>
      </c>
      <c r="B3486" s="14" t="s">
        <v>283</v>
      </c>
      <c r="C3486" s="8"/>
      <c r="D3486" s="9" t="s">
        <v>12665</v>
      </c>
      <c r="E3486" s="9" t="s">
        <v>13273</v>
      </c>
      <c r="F3486" s="8" t="s">
        <v>13288</v>
      </c>
      <c r="G3486" s="61">
        <f t="shared" si="132"/>
        <v>127.452</v>
      </c>
      <c r="H3486" s="11">
        <v>42004</v>
      </c>
      <c r="I3486" s="10" t="s">
        <v>12418</v>
      </c>
      <c r="J3486" s="10" t="s">
        <v>13290</v>
      </c>
      <c r="K3486" s="10" t="s">
        <v>21</v>
      </c>
      <c r="L3486" s="10">
        <v>13</v>
      </c>
      <c r="M3486" s="16" t="s">
        <v>13291</v>
      </c>
      <c r="N3486" s="16" t="s">
        <v>167</v>
      </c>
      <c r="O3486" s="13"/>
    </row>
    <row r="3487" spans="1:15" s="1" customFormat="1">
      <c r="A3487" s="8" t="s">
        <v>12407</v>
      </c>
      <c r="B3487" s="14" t="s">
        <v>283</v>
      </c>
      <c r="C3487" s="8"/>
      <c r="D3487" s="9" t="s">
        <v>12665</v>
      </c>
      <c r="E3487" s="9" t="s">
        <v>13273</v>
      </c>
      <c r="F3487" s="8" t="s">
        <v>13292</v>
      </c>
      <c r="G3487" s="61">
        <f t="shared" si="132"/>
        <v>117.648</v>
      </c>
      <c r="H3487" s="11">
        <v>42004</v>
      </c>
      <c r="I3487" s="10" t="s">
        <v>12418</v>
      </c>
      <c r="J3487" s="10" t="s">
        <v>13294</v>
      </c>
      <c r="K3487" s="10" t="s">
        <v>21</v>
      </c>
      <c r="L3487" s="10">
        <v>12</v>
      </c>
      <c r="M3487" s="16" t="s">
        <v>13296</v>
      </c>
      <c r="N3487" s="16" t="s">
        <v>164</v>
      </c>
      <c r="O3487" s="13"/>
    </row>
    <row r="3488" spans="1:15" s="1" customFormat="1">
      <c r="A3488" s="8" t="s">
        <v>12407</v>
      </c>
      <c r="B3488" s="14" t="s">
        <v>283</v>
      </c>
      <c r="C3488" s="8"/>
      <c r="D3488" s="9" t="s">
        <v>12665</v>
      </c>
      <c r="E3488" s="9" t="s">
        <v>13273</v>
      </c>
      <c r="F3488" s="8" t="s">
        <v>13293</v>
      </c>
      <c r="G3488" s="61">
        <f t="shared" si="132"/>
        <v>127.452</v>
      </c>
      <c r="H3488" s="11">
        <v>42004</v>
      </c>
      <c r="I3488" s="10" t="s">
        <v>12418</v>
      </c>
      <c r="J3488" s="10" t="s">
        <v>13295</v>
      </c>
      <c r="K3488" s="10" t="s">
        <v>21</v>
      </c>
      <c r="L3488" s="10">
        <v>13</v>
      </c>
      <c r="M3488" s="16" t="s">
        <v>13297</v>
      </c>
      <c r="N3488" s="16" t="s">
        <v>167</v>
      </c>
      <c r="O3488" s="13"/>
    </row>
    <row r="3489" spans="1:15" s="1" customFormat="1">
      <c r="A3489" s="8" t="s">
        <v>12407</v>
      </c>
      <c r="B3489" s="14" t="s">
        <v>283</v>
      </c>
      <c r="C3489" s="8"/>
      <c r="D3489" s="9" t="s">
        <v>12665</v>
      </c>
      <c r="E3489" s="9" t="s">
        <v>13273</v>
      </c>
      <c r="F3489" s="8" t="s">
        <v>13298</v>
      </c>
      <c r="G3489" s="61">
        <f t="shared" si="132"/>
        <v>117.648</v>
      </c>
      <c r="H3489" s="11">
        <v>42004</v>
      </c>
      <c r="I3489" s="10" t="s">
        <v>12418</v>
      </c>
      <c r="J3489" s="10" t="s">
        <v>13300</v>
      </c>
      <c r="K3489" s="10" t="s">
        <v>21</v>
      </c>
      <c r="L3489" s="10">
        <v>12</v>
      </c>
      <c r="M3489" s="16" t="s">
        <v>13302</v>
      </c>
      <c r="N3489" s="16" t="s">
        <v>164</v>
      </c>
      <c r="O3489" s="13"/>
    </row>
    <row r="3490" spans="1:15" s="1" customFormat="1">
      <c r="A3490" s="8" t="s">
        <v>12407</v>
      </c>
      <c r="B3490" s="14" t="s">
        <v>283</v>
      </c>
      <c r="C3490" s="8"/>
      <c r="D3490" s="9" t="s">
        <v>12665</v>
      </c>
      <c r="E3490" s="9" t="s">
        <v>13273</v>
      </c>
      <c r="F3490" s="8" t="s">
        <v>13299</v>
      </c>
      <c r="G3490" s="61">
        <f t="shared" si="132"/>
        <v>127.452</v>
      </c>
      <c r="H3490" s="11">
        <v>42004</v>
      </c>
      <c r="I3490" s="10" t="s">
        <v>12418</v>
      </c>
      <c r="J3490" s="10" t="s">
        <v>13301</v>
      </c>
      <c r="K3490" s="10" t="s">
        <v>21</v>
      </c>
      <c r="L3490" s="10">
        <v>13</v>
      </c>
      <c r="M3490" s="16" t="s">
        <v>13302</v>
      </c>
      <c r="N3490" s="16" t="s">
        <v>167</v>
      </c>
      <c r="O3490" s="13"/>
    </row>
    <row r="3491" spans="1:15" s="1" customFormat="1">
      <c r="A3491" s="8" t="s">
        <v>13309</v>
      </c>
      <c r="B3491" s="14"/>
      <c r="C3491" s="8"/>
      <c r="D3491" s="13" t="s">
        <v>13222</v>
      </c>
      <c r="E3491" s="9" t="s">
        <v>13311</v>
      </c>
      <c r="F3491" s="8" t="s">
        <v>13310</v>
      </c>
      <c r="G3491" s="61">
        <f>25.399*L3491</f>
        <v>253.99</v>
      </c>
      <c r="H3491" s="11">
        <v>42004</v>
      </c>
      <c r="I3491" s="10" t="s">
        <v>12467</v>
      </c>
      <c r="J3491" s="10" t="s">
        <v>13312</v>
      </c>
      <c r="K3491" s="61" t="s">
        <v>11422</v>
      </c>
      <c r="L3491" s="10">
        <v>10</v>
      </c>
      <c r="M3491" s="16" t="s">
        <v>13315</v>
      </c>
      <c r="N3491" s="16" t="s">
        <v>13316</v>
      </c>
      <c r="O3491" s="13" t="s">
        <v>13315</v>
      </c>
    </row>
    <row r="3492" spans="1:15" s="1" customFormat="1">
      <c r="A3492" s="8" t="s">
        <v>13309</v>
      </c>
      <c r="B3492" s="14"/>
      <c r="C3492" s="8"/>
      <c r="D3492" s="13" t="s">
        <v>13222</v>
      </c>
      <c r="E3492" s="9" t="s">
        <v>13311</v>
      </c>
      <c r="F3492" s="8" t="s">
        <v>13313</v>
      </c>
      <c r="G3492" s="61">
        <f>25.399*L3492</f>
        <v>279.38900000000001</v>
      </c>
      <c r="H3492" s="11">
        <v>42004</v>
      </c>
      <c r="I3492" s="10" t="s">
        <v>12467</v>
      </c>
      <c r="J3492" s="10" t="s">
        <v>13314</v>
      </c>
      <c r="K3492" s="61" t="s">
        <v>11422</v>
      </c>
      <c r="L3492" s="10">
        <v>11</v>
      </c>
      <c r="M3492" s="16" t="s">
        <v>13315</v>
      </c>
      <c r="N3492" s="16" t="s">
        <v>13317</v>
      </c>
      <c r="O3492" s="13" t="s">
        <v>13455</v>
      </c>
    </row>
    <row r="3493" spans="1:15" s="1" customFormat="1">
      <c r="A3493" s="8" t="s">
        <v>1072</v>
      </c>
      <c r="B3493" s="14"/>
      <c r="C3493" s="8"/>
      <c r="D3493" s="13" t="s">
        <v>1963</v>
      </c>
      <c r="E3493" s="9" t="s">
        <v>13311</v>
      </c>
      <c r="F3493" s="8" t="s">
        <v>13318</v>
      </c>
      <c r="G3493" s="61">
        <f>17.712*L3493</f>
        <v>212.54399999999998</v>
      </c>
      <c r="H3493" s="11">
        <v>42004</v>
      </c>
      <c r="I3493" s="10" t="s">
        <v>11472</v>
      </c>
      <c r="J3493" s="10" t="s">
        <v>13319</v>
      </c>
      <c r="K3493" s="61" t="s">
        <v>11416</v>
      </c>
      <c r="L3493" s="10">
        <v>12</v>
      </c>
      <c r="M3493" s="16" t="s">
        <v>13175</v>
      </c>
      <c r="N3493" s="16" t="s">
        <v>13320</v>
      </c>
      <c r="O3493" s="13" t="s">
        <v>13479</v>
      </c>
    </row>
    <row r="3494" spans="1:15" s="1" customFormat="1">
      <c r="A3494" s="8" t="s">
        <v>1150</v>
      </c>
      <c r="B3494" s="14"/>
      <c r="C3494" s="8"/>
      <c r="D3494" s="13" t="s">
        <v>1151</v>
      </c>
      <c r="E3494" s="9" t="s">
        <v>12330</v>
      </c>
      <c r="F3494" s="8" t="s">
        <v>13321</v>
      </c>
      <c r="G3494" s="61">
        <f>17.712*L3494</f>
        <v>212.54399999999998</v>
      </c>
      <c r="H3494" s="11">
        <v>42004</v>
      </c>
      <c r="I3494" s="10" t="s">
        <v>12467</v>
      </c>
      <c r="J3494" s="10" t="s">
        <v>13323</v>
      </c>
      <c r="K3494" s="10" t="s">
        <v>11416</v>
      </c>
      <c r="L3494" s="10">
        <v>12</v>
      </c>
      <c r="M3494" s="16" t="s">
        <v>13325</v>
      </c>
      <c r="N3494" s="16" t="s">
        <v>11424</v>
      </c>
      <c r="O3494" s="13" t="s">
        <v>13325</v>
      </c>
    </row>
    <row r="3495" spans="1:15" s="1" customFormat="1">
      <c r="A3495" s="8" t="s">
        <v>1150</v>
      </c>
      <c r="B3495" s="14"/>
      <c r="C3495" s="8"/>
      <c r="D3495" s="13" t="s">
        <v>1151</v>
      </c>
      <c r="E3495" s="9" t="s">
        <v>12330</v>
      </c>
      <c r="F3495" s="8" t="s">
        <v>13322</v>
      </c>
      <c r="G3495" s="61">
        <f>17.712*L3495</f>
        <v>230.256</v>
      </c>
      <c r="H3495" s="11">
        <v>42004</v>
      </c>
      <c r="I3495" s="10" t="s">
        <v>12467</v>
      </c>
      <c r="J3495" s="10" t="s">
        <v>13324</v>
      </c>
      <c r="K3495" s="10" t="s">
        <v>11416</v>
      </c>
      <c r="L3495" s="10">
        <v>13</v>
      </c>
      <c r="M3495" s="16" t="s">
        <v>13325</v>
      </c>
      <c r="N3495" s="16" t="s">
        <v>12466</v>
      </c>
      <c r="O3495" s="13" t="s">
        <v>13456</v>
      </c>
    </row>
    <row r="3496" spans="1:15" s="1" customFormat="1">
      <c r="A3496" s="8" t="s">
        <v>918</v>
      </c>
      <c r="B3496" s="14"/>
      <c r="C3496" s="8"/>
      <c r="D3496" s="13" t="s">
        <v>919</v>
      </c>
      <c r="E3496" s="9" t="s">
        <v>13273</v>
      </c>
      <c r="F3496" s="8" t="s">
        <v>13326</v>
      </c>
      <c r="G3496" s="61">
        <f>17.712*L3496</f>
        <v>212.54399999999998</v>
      </c>
      <c r="H3496" s="11">
        <v>42004</v>
      </c>
      <c r="I3496" s="10" t="s">
        <v>11472</v>
      </c>
      <c r="J3496" s="10" t="s">
        <v>13329</v>
      </c>
      <c r="K3496" s="10" t="s">
        <v>11416</v>
      </c>
      <c r="L3496" s="10">
        <v>12</v>
      </c>
      <c r="M3496" s="16" t="s">
        <v>13328</v>
      </c>
      <c r="N3496" s="16" t="s">
        <v>78</v>
      </c>
      <c r="O3496" s="13" t="s">
        <v>13328</v>
      </c>
    </row>
    <row r="3497" spans="1:15" s="1" customFormat="1">
      <c r="A3497" s="8" t="s">
        <v>918</v>
      </c>
      <c r="B3497" s="14"/>
      <c r="C3497" s="8"/>
      <c r="D3497" s="13" t="s">
        <v>919</v>
      </c>
      <c r="E3497" s="9" t="s">
        <v>13273</v>
      </c>
      <c r="F3497" s="8" t="s">
        <v>13327</v>
      </c>
      <c r="G3497" s="61">
        <f>17.712*L3497</f>
        <v>230.256</v>
      </c>
      <c r="H3497" s="11">
        <v>42004</v>
      </c>
      <c r="I3497" s="10" t="s">
        <v>11472</v>
      </c>
      <c r="J3497" s="10" t="s">
        <v>13330</v>
      </c>
      <c r="K3497" s="10" t="s">
        <v>11416</v>
      </c>
      <c r="L3497" s="10">
        <v>13</v>
      </c>
      <c r="M3497" s="16" t="s">
        <v>13328</v>
      </c>
      <c r="N3497" s="16" t="s">
        <v>167</v>
      </c>
      <c r="O3497" s="13" t="s">
        <v>13457</v>
      </c>
    </row>
    <row r="3498" spans="1:15" s="1" customFormat="1">
      <c r="A3498" s="8" t="s">
        <v>6006</v>
      </c>
      <c r="B3498" s="14"/>
      <c r="C3498" s="8"/>
      <c r="D3498" s="9" t="s">
        <v>276</v>
      </c>
      <c r="E3498" s="9" t="s">
        <v>12330</v>
      </c>
      <c r="F3498" s="8" t="s">
        <v>13331</v>
      </c>
      <c r="G3498" s="61">
        <f>6.405*L3498</f>
        <v>64.05</v>
      </c>
      <c r="H3498" s="11">
        <v>42004</v>
      </c>
      <c r="I3498" s="10" t="s">
        <v>13334</v>
      </c>
      <c r="J3498" s="10" t="s">
        <v>13332</v>
      </c>
      <c r="K3498" s="10" t="s">
        <v>5478</v>
      </c>
      <c r="L3498" s="10">
        <v>10</v>
      </c>
      <c r="M3498" s="16" t="s">
        <v>13333</v>
      </c>
      <c r="N3498" s="16" t="s">
        <v>4953</v>
      </c>
      <c r="O3498" s="13" t="s">
        <v>13333</v>
      </c>
    </row>
    <row r="3499" spans="1:15" s="1" customFormat="1">
      <c r="A3499" s="12" t="s">
        <v>13347</v>
      </c>
      <c r="B3499" s="8"/>
      <c r="C3499" s="8"/>
      <c r="D3499" s="13" t="s">
        <v>13335</v>
      </c>
      <c r="E3499" s="9" t="s">
        <v>13336</v>
      </c>
      <c r="F3499" s="8" t="s">
        <v>13349</v>
      </c>
      <c r="G3499" s="61">
        <v>83.063999999999993</v>
      </c>
      <c r="H3499" s="11">
        <v>42004</v>
      </c>
      <c r="I3499" s="10" t="s">
        <v>13348</v>
      </c>
      <c r="J3499" s="10" t="s">
        <v>13337</v>
      </c>
      <c r="K3499" s="61" t="s">
        <v>13338</v>
      </c>
      <c r="L3499" s="10" t="s">
        <v>13339</v>
      </c>
      <c r="M3499" s="16" t="s">
        <v>13346</v>
      </c>
      <c r="N3499" s="16" t="s">
        <v>13340</v>
      </c>
      <c r="O3499" s="13"/>
    </row>
    <row r="3500" spans="1:15" s="1" customFormat="1">
      <c r="A3500" s="8" t="s">
        <v>13350</v>
      </c>
      <c r="B3500" s="8"/>
      <c r="C3500" s="8"/>
      <c r="D3500" s="13" t="s">
        <v>383</v>
      </c>
      <c r="E3500" s="9" t="s">
        <v>13336</v>
      </c>
      <c r="F3500" s="8" t="s">
        <v>13352</v>
      </c>
      <c r="G3500" s="61">
        <v>170.21</v>
      </c>
      <c r="H3500" s="11">
        <v>42004</v>
      </c>
      <c r="I3500" s="61" t="s">
        <v>13351</v>
      </c>
      <c r="J3500" s="10" t="s">
        <v>13342</v>
      </c>
      <c r="K3500" s="61" t="s">
        <v>13338</v>
      </c>
      <c r="L3500" s="10" t="s">
        <v>13343</v>
      </c>
      <c r="M3500" s="16" t="s">
        <v>13473</v>
      </c>
      <c r="N3500" s="16" t="s">
        <v>13471</v>
      </c>
      <c r="O3500" s="13" t="s">
        <v>13472</v>
      </c>
    </row>
    <row r="3501" spans="1:15" s="1" customFormat="1">
      <c r="A3501" s="8" t="s">
        <v>13366</v>
      </c>
      <c r="B3501" s="8"/>
      <c r="C3501" s="8"/>
      <c r="D3501" s="13" t="s">
        <v>10001</v>
      </c>
      <c r="E3501" s="9" t="s">
        <v>13344</v>
      </c>
      <c r="F3501" s="8" t="s">
        <v>13353</v>
      </c>
      <c r="G3501" s="61">
        <v>231.506</v>
      </c>
      <c r="H3501" s="11">
        <v>42004</v>
      </c>
      <c r="I3501" s="61" t="s">
        <v>13354</v>
      </c>
      <c r="J3501" s="10" t="s">
        <v>13357</v>
      </c>
      <c r="K3501" s="61" t="s">
        <v>13358</v>
      </c>
      <c r="L3501" s="10" t="s">
        <v>13359</v>
      </c>
      <c r="M3501" s="16" t="s">
        <v>13368</v>
      </c>
      <c r="N3501" s="16" t="s">
        <v>13369</v>
      </c>
      <c r="O3501" s="13" t="s">
        <v>13458</v>
      </c>
    </row>
    <row r="3502" spans="1:15" s="1" customFormat="1">
      <c r="A3502" s="8" t="s">
        <v>13366</v>
      </c>
      <c r="B3502" s="8"/>
      <c r="C3502" s="8"/>
      <c r="D3502" s="13" t="s">
        <v>10001</v>
      </c>
      <c r="E3502" s="9" t="s">
        <v>13344</v>
      </c>
      <c r="F3502" s="8" t="s">
        <v>13360</v>
      </c>
      <c r="G3502" s="61">
        <v>261.67399999999998</v>
      </c>
      <c r="H3502" s="11">
        <v>42004</v>
      </c>
      <c r="I3502" s="61" t="s">
        <v>13367</v>
      </c>
      <c r="J3502" s="10" t="s">
        <v>13361</v>
      </c>
      <c r="K3502" s="61" t="s">
        <v>13358</v>
      </c>
      <c r="L3502" s="10" t="s">
        <v>13362</v>
      </c>
      <c r="M3502" s="16" t="s">
        <v>13370</v>
      </c>
      <c r="N3502" s="16" t="s">
        <v>13371</v>
      </c>
      <c r="O3502" s="13" t="s">
        <v>13459</v>
      </c>
    </row>
    <row r="3503" spans="1:15" s="1" customFormat="1">
      <c r="A3503" s="8" t="s">
        <v>13366</v>
      </c>
      <c r="B3503" s="8"/>
      <c r="C3503" s="8"/>
      <c r="D3503" s="13" t="s">
        <v>10001</v>
      </c>
      <c r="E3503" s="9" t="s">
        <v>13344</v>
      </c>
      <c r="F3503" s="8" t="s">
        <v>13363</v>
      </c>
      <c r="G3503" s="61">
        <v>171.13499999999999</v>
      </c>
      <c r="H3503" s="11">
        <v>42004</v>
      </c>
      <c r="I3503" s="61" t="s">
        <v>13367</v>
      </c>
      <c r="J3503" s="10" t="s">
        <v>13364</v>
      </c>
      <c r="K3503" s="61" t="s">
        <v>13358</v>
      </c>
      <c r="L3503" s="10" t="s">
        <v>13365</v>
      </c>
      <c r="M3503" s="16" t="s">
        <v>13372</v>
      </c>
      <c r="N3503" s="16" t="s">
        <v>13373</v>
      </c>
      <c r="O3503" s="13" t="s">
        <v>13460</v>
      </c>
    </row>
    <row r="3504" spans="1:15" s="1" customFormat="1">
      <c r="A3504" s="8" t="s">
        <v>13366</v>
      </c>
      <c r="B3504" s="8"/>
      <c r="C3504" s="8"/>
      <c r="D3504" s="13" t="s">
        <v>10001</v>
      </c>
      <c r="E3504" s="9" t="s">
        <v>13344</v>
      </c>
      <c r="F3504" s="8" t="s">
        <v>13374</v>
      </c>
      <c r="G3504" s="61">
        <v>140.959</v>
      </c>
      <c r="H3504" s="11">
        <v>42004</v>
      </c>
      <c r="I3504" s="61" t="s">
        <v>13367</v>
      </c>
      <c r="J3504" s="10" t="s">
        <v>13375</v>
      </c>
      <c r="K3504" s="61" t="s">
        <v>13358</v>
      </c>
      <c r="L3504" s="10" t="s">
        <v>13407</v>
      </c>
      <c r="M3504" s="16" t="s">
        <v>13408</v>
      </c>
      <c r="N3504" s="16" t="s">
        <v>13409</v>
      </c>
      <c r="O3504" s="13" t="s">
        <v>13461</v>
      </c>
    </row>
    <row r="3505" spans="1:15" s="1" customFormat="1">
      <c r="A3505" s="8" t="s">
        <v>13378</v>
      </c>
      <c r="B3505" s="8"/>
      <c r="C3505" s="8"/>
      <c r="D3505" s="13" t="s">
        <v>10019</v>
      </c>
      <c r="E3505" s="9" t="s">
        <v>13379</v>
      </c>
      <c r="F3505" s="8" t="s">
        <v>13385</v>
      </c>
      <c r="G3505" s="61">
        <v>213.59100000000001</v>
      </c>
      <c r="H3505" s="11">
        <v>42004</v>
      </c>
      <c r="I3505" s="61" t="s">
        <v>13351</v>
      </c>
      <c r="J3505" s="10" t="s">
        <v>13381</v>
      </c>
      <c r="K3505" s="61" t="s">
        <v>13358</v>
      </c>
      <c r="L3505" s="10" t="s">
        <v>13382</v>
      </c>
      <c r="M3505" s="16" t="s">
        <v>13383</v>
      </c>
      <c r="N3505" s="16" t="s">
        <v>13384</v>
      </c>
      <c r="O3505" s="13" t="s">
        <v>13462</v>
      </c>
    </row>
    <row r="3506" spans="1:15" s="1" customFormat="1">
      <c r="A3506" s="8" t="s">
        <v>13386</v>
      </c>
      <c r="B3506" s="8"/>
      <c r="C3506" s="8"/>
      <c r="D3506" s="13" t="s">
        <v>10001</v>
      </c>
      <c r="E3506" s="9" t="s">
        <v>13379</v>
      </c>
      <c r="F3506" s="8" t="s">
        <v>13396</v>
      </c>
      <c r="G3506" s="61">
        <v>231.78100000000001</v>
      </c>
      <c r="H3506" s="11">
        <v>42004</v>
      </c>
      <c r="I3506" s="61" t="s">
        <v>13392</v>
      </c>
      <c r="J3506" s="10" t="s">
        <v>13388</v>
      </c>
      <c r="K3506" s="61" t="s">
        <v>11591</v>
      </c>
      <c r="L3506" s="10" t="s">
        <v>13390</v>
      </c>
      <c r="M3506" s="16" t="s">
        <v>13393</v>
      </c>
      <c r="N3506" s="16" t="s">
        <v>13394</v>
      </c>
      <c r="O3506" s="13" t="s">
        <v>13463</v>
      </c>
    </row>
    <row r="3507" spans="1:15" s="1" customFormat="1">
      <c r="A3507" s="8" t="s">
        <v>13391</v>
      </c>
      <c r="B3507" s="8"/>
      <c r="C3507" s="8"/>
      <c r="D3507" s="13" t="s">
        <v>13410</v>
      </c>
      <c r="E3507" s="9" t="s">
        <v>13379</v>
      </c>
      <c r="F3507" s="8" t="s">
        <v>13389</v>
      </c>
      <c r="G3507" s="61">
        <v>261.90100000000001</v>
      </c>
      <c r="H3507" s="11">
        <v>42004</v>
      </c>
      <c r="I3507" s="61" t="s">
        <v>13392</v>
      </c>
      <c r="J3507" s="10" t="s">
        <v>13412</v>
      </c>
      <c r="K3507" s="61" t="s">
        <v>11591</v>
      </c>
      <c r="L3507" s="10" t="s">
        <v>13362</v>
      </c>
      <c r="M3507" s="16" t="s">
        <v>13395</v>
      </c>
      <c r="N3507" s="16" t="s">
        <v>13371</v>
      </c>
      <c r="O3507" s="13" t="s">
        <v>13464</v>
      </c>
    </row>
    <row r="3508" spans="1:15" s="1" customFormat="1">
      <c r="A3508" s="8" t="s">
        <v>13397</v>
      </c>
      <c r="B3508" s="8"/>
      <c r="C3508" s="8"/>
      <c r="D3508" s="13" t="s">
        <v>5751</v>
      </c>
      <c r="E3508" s="9" t="s">
        <v>13336</v>
      </c>
      <c r="F3508" s="8" t="s">
        <v>13398</v>
      </c>
      <c r="G3508" s="61">
        <v>231.81800000000001</v>
      </c>
      <c r="H3508" s="11">
        <v>42004</v>
      </c>
      <c r="I3508" s="61" t="s">
        <v>13341</v>
      </c>
      <c r="J3508" s="10" t="s">
        <v>13399</v>
      </c>
      <c r="K3508" s="61" t="s">
        <v>13400</v>
      </c>
      <c r="L3508" s="10" t="s">
        <v>13390</v>
      </c>
      <c r="M3508" s="16" t="s">
        <v>13403</v>
      </c>
      <c r="N3508" s="16" t="s">
        <v>13404</v>
      </c>
      <c r="O3508" s="13" t="s">
        <v>13465</v>
      </c>
    </row>
    <row r="3509" spans="1:15" s="1" customFormat="1">
      <c r="A3509" s="8" t="s">
        <v>13397</v>
      </c>
      <c r="B3509" s="8"/>
      <c r="C3509" s="8"/>
      <c r="D3509" s="13" t="s">
        <v>5751</v>
      </c>
      <c r="E3509" s="9" t="s">
        <v>13336</v>
      </c>
      <c r="F3509" s="8" t="s">
        <v>13401</v>
      </c>
      <c r="G3509" s="61">
        <v>262.56599999999997</v>
      </c>
      <c r="H3509" s="11">
        <v>42004</v>
      </c>
      <c r="I3509" s="61" t="s">
        <v>13351</v>
      </c>
      <c r="J3509" s="10" t="s">
        <v>13402</v>
      </c>
      <c r="K3509" s="61" t="s">
        <v>13400</v>
      </c>
      <c r="L3509" s="10" t="s">
        <v>13362</v>
      </c>
      <c r="M3509" s="16" t="s">
        <v>13405</v>
      </c>
      <c r="N3509" s="16" t="s">
        <v>13406</v>
      </c>
      <c r="O3509" s="13" t="s">
        <v>13466</v>
      </c>
    </row>
    <row r="3510" spans="1:15" s="1" customFormat="1">
      <c r="A3510" s="8" t="s">
        <v>13391</v>
      </c>
      <c r="B3510" s="8"/>
      <c r="C3510" s="8"/>
      <c r="D3510" s="13" t="s">
        <v>10001</v>
      </c>
      <c r="E3510" s="9" t="s">
        <v>124</v>
      </c>
      <c r="F3510" s="8" t="s">
        <v>13411</v>
      </c>
      <c r="G3510" s="61">
        <v>171.16800000000001</v>
      </c>
      <c r="H3510" s="11">
        <v>42004</v>
      </c>
      <c r="I3510" s="61" t="s">
        <v>13392</v>
      </c>
      <c r="J3510" s="10" t="s">
        <v>13413</v>
      </c>
      <c r="K3510" s="61" t="s">
        <v>13400</v>
      </c>
      <c r="L3510" s="10" t="s">
        <v>13414</v>
      </c>
      <c r="M3510" s="16" t="s">
        <v>13415</v>
      </c>
      <c r="N3510" s="16" t="s">
        <v>13416</v>
      </c>
      <c r="O3510" s="13" t="s">
        <v>13467</v>
      </c>
    </row>
    <row r="3511" spans="1:15" s="1" customFormat="1">
      <c r="A3511" s="8" t="s">
        <v>13238</v>
      </c>
      <c r="B3511" s="8"/>
      <c r="C3511" s="8"/>
      <c r="D3511" s="13" t="s">
        <v>13239</v>
      </c>
      <c r="E3511" s="9" t="s">
        <v>11412</v>
      </c>
      <c r="F3511" s="8" t="s">
        <v>13236</v>
      </c>
      <c r="G3511" s="61">
        <f t="shared" ref="G3511:G3524" si="133">29.101*L3511</f>
        <v>349.21199999999999</v>
      </c>
      <c r="H3511" s="11">
        <v>42004</v>
      </c>
      <c r="I3511" s="61" t="s">
        <v>11414</v>
      </c>
      <c r="J3511" s="10" t="s">
        <v>13240</v>
      </c>
      <c r="K3511" s="61" t="s">
        <v>11416</v>
      </c>
      <c r="L3511" s="10">
        <v>12</v>
      </c>
      <c r="M3511" s="16" t="s">
        <v>13242</v>
      </c>
      <c r="N3511" s="16" t="s">
        <v>78</v>
      </c>
      <c r="O3511" s="13"/>
    </row>
    <row r="3512" spans="1:15" s="1" customFormat="1">
      <c r="A3512" s="8" t="s">
        <v>13238</v>
      </c>
      <c r="B3512" s="8"/>
      <c r="C3512" s="8"/>
      <c r="D3512" s="13" t="s">
        <v>13239</v>
      </c>
      <c r="E3512" s="9" t="s">
        <v>11412</v>
      </c>
      <c r="F3512" s="8" t="s">
        <v>13237</v>
      </c>
      <c r="G3512" s="61">
        <f t="shared" si="133"/>
        <v>378.31299999999999</v>
      </c>
      <c r="H3512" s="11">
        <v>42004</v>
      </c>
      <c r="I3512" s="61" t="s">
        <v>11414</v>
      </c>
      <c r="J3512" s="10" t="s">
        <v>13241</v>
      </c>
      <c r="K3512" s="61" t="s">
        <v>11416</v>
      </c>
      <c r="L3512" s="10">
        <v>13</v>
      </c>
      <c r="M3512" s="16" t="s">
        <v>13242</v>
      </c>
      <c r="N3512" s="16" t="s">
        <v>81</v>
      </c>
      <c r="O3512" s="13"/>
    </row>
    <row r="3513" spans="1:15" s="1" customFormat="1">
      <c r="A3513" s="8" t="s">
        <v>13238</v>
      </c>
      <c r="B3513" s="8"/>
      <c r="C3513" s="8"/>
      <c r="D3513" s="13" t="s">
        <v>13239</v>
      </c>
      <c r="E3513" s="9" t="s">
        <v>11412</v>
      </c>
      <c r="F3513" s="8" t="s">
        <v>13243</v>
      </c>
      <c r="G3513" s="61">
        <f t="shared" si="133"/>
        <v>349.21199999999999</v>
      </c>
      <c r="H3513" s="11">
        <v>42004</v>
      </c>
      <c r="I3513" s="61" t="s">
        <v>11414</v>
      </c>
      <c r="J3513" s="10" t="s">
        <v>13245</v>
      </c>
      <c r="K3513" s="61" t="s">
        <v>11416</v>
      </c>
      <c r="L3513" s="10">
        <v>12</v>
      </c>
      <c r="M3513" s="16" t="s">
        <v>13247</v>
      </c>
      <c r="N3513" s="16" t="s">
        <v>78</v>
      </c>
      <c r="O3513" s="13"/>
    </row>
    <row r="3514" spans="1:15" s="1" customFormat="1">
      <c r="A3514" s="8" t="s">
        <v>13238</v>
      </c>
      <c r="B3514" s="8"/>
      <c r="C3514" s="8"/>
      <c r="D3514" s="13" t="s">
        <v>13239</v>
      </c>
      <c r="E3514" s="9" t="s">
        <v>11412</v>
      </c>
      <c r="F3514" s="8" t="s">
        <v>13244</v>
      </c>
      <c r="G3514" s="61">
        <f t="shared" si="133"/>
        <v>378.31299999999999</v>
      </c>
      <c r="H3514" s="11">
        <v>42004</v>
      </c>
      <c r="I3514" s="61" t="s">
        <v>11414</v>
      </c>
      <c r="J3514" s="10" t="s">
        <v>13246</v>
      </c>
      <c r="K3514" s="61" t="s">
        <v>11416</v>
      </c>
      <c r="L3514" s="10">
        <v>13</v>
      </c>
      <c r="M3514" s="16" t="s">
        <v>13247</v>
      </c>
      <c r="N3514" s="16" t="s">
        <v>81</v>
      </c>
      <c r="O3514" s="13"/>
    </row>
    <row r="3515" spans="1:15" s="1" customFormat="1">
      <c r="A3515" s="8" t="s">
        <v>13238</v>
      </c>
      <c r="B3515" s="8"/>
      <c r="C3515" s="8"/>
      <c r="D3515" s="13" t="s">
        <v>13239</v>
      </c>
      <c r="E3515" s="9" t="s">
        <v>11412</v>
      </c>
      <c r="F3515" s="8" t="s">
        <v>13248</v>
      </c>
      <c r="G3515" s="61">
        <f t="shared" si="133"/>
        <v>349.21199999999999</v>
      </c>
      <c r="H3515" s="11">
        <v>42004</v>
      </c>
      <c r="I3515" s="61" t="s">
        <v>11414</v>
      </c>
      <c r="J3515" s="10" t="s">
        <v>13250</v>
      </c>
      <c r="K3515" s="61" t="s">
        <v>11416</v>
      </c>
      <c r="L3515" s="10">
        <v>12</v>
      </c>
      <c r="M3515" s="16" t="s">
        <v>13252</v>
      </c>
      <c r="N3515" s="16" t="s">
        <v>78</v>
      </c>
      <c r="O3515" s="13"/>
    </row>
    <row r="3516" spans="1:15" s="1" customFormat="1">
      <c r="A3516" s="8" t="s">
        <v>13238</v>
      </c>
      <c r="B3516" s="8"/>
      <c r="C3516" s="8"/>
      <c r="D3516" s="13" t="s">
        <v>13239</v>
      </c>
      <c r="E3516" s="9" t="s">
        <v>11412</v>
      </c>
      <c r="F3516" s="8" t="s">
        <v>13249</v>
      </c>
      <c r="G3516" s="61">
        <f t="shared" si="133"/>
        <v>378.31299999999999</v>
      </c>
      <c r="H3516" s="11">
        <v>42004</v>
      </c>
      <c r="I3516" s="61" t="s">
        <v>11414</v>
      </c>
      <c r="J3516" s="10" t="s">
        <v>13251</v>
      </c>
      <c r="K3516" s="61" t="s">
        <v>11416</v>
      </c>
      <c r="L3516" s="10">
        <v>13</v>
      </c>
      <c r="M3516" s="16" t="s">
        <v>13252</v>
      </c>
      <c r="N3516" s="16" t="s">
        <v>81</v>
      </c>
      <c r="O3516" s="13"/>
    </row>
    <row r="3517" spans="1:15" s="1" customFormat="1">
      <c r="A3517" s="8" t="s">
        <v>13238</v>
      </c>
      <c r="B3517" s="8"/>
      <c r="C3517" s="8"/>
      <c r="D3517" s="13" t="s">
        <v>13239</v>
      </c>
      <c r="E3517" s="9" t="s">
        <v>11412</v>
      </c>
      <c r="F3517" s="8" t="s">
        <v>13253</v>
      </c>
      <c r="G3517" s="61">
        <f t="shared" si="133"/>
        <v>349.21199999999999</v>
      </c>
      <c r="H3517" s="11">
        <v>42004</v>
      </c>
      <c r="I3517" s="61" t="s">
        <v>11414</v>
      </c>
      <c r="J3517" s="10" t="s">
        <v>13255</v>
      </c>
      <c r="K3517" s="61" t="s">
        <v>11416</v>
      </c>
      <c r="L3517" s="10">
        <v>12</v>
      </c>
      <c r="M3517" s="16" t="s">
        <v>13257</v>
      </c>
      <c r="N3517" s="16" t="s">
        <v>78</v>
      </c>
      <c r="O3517" s="13"/>
    </row>
    <row r="3518" spans="1:15" s="1" customFormat="1">
      <c r="A3518" s="8" t="s">
        <v>13238</v>
      </c>
      <c r="B3518" s="8"/>
      <c r="C3518" s="8"/>
      <c r="D3518" s="13" t="s">
        <v>13239</v>
      </c>
      <c r="E3518" s="9" t="s">
        <v>11412</v>
      </c>
      <c r="F3518" s="8" t="s">
        <v>13254</v>
      </c>
      <c r="G3518" s="61">
        <f t="shared" si="133"/>
        <v>378.31299999999999</v>
      </c>
      <c r="H3518" s="11">
        <v>42004</v>
      </c>
      <c r="I3518" s="61" t="s">
        <v>11414</v>
      </c>
      <c r="J3518" s="10" t="s">
        <v>13256</v>
      </c>
      <c r="K3518" s="61" t="s">
        <v>11416</v>
      </c>
      <c r="L3518" s="10">
        <v>13</v>
      </c>
      <c r="M3518" s="16" t="s">
        <v>13257</v>
      </c>
      <c r="N3518" s="16" t="s">
        <v>81</v>
      </c>
      <c r="O3518" s="13"/>
    </row>
    <row r="3519" spans="1:15" s="1" customFormat="1">
      <c r="A3519" s="8" t="s">
        <v>13238</v>
      </c>
      <c r="B3519" s="8"/>
      <c r="C3519" s="8"/>
      <c r="D3519" s="13" t="s">
        <v>13239</v>
      </c>
      <c r="E3519" s="9" t="s">
        <v>11412</v>
      </c>
      <c r="F3519" s="8" t="s">
        <v>13258</v>
      </c>
      <c r="G3519" s="61">
        <f t="shared" si="133"/>
        <v>349.21199999999999</v>
      </c>
      <c r="H3519" s="11">
        <v>42004</v>
      </c>
      <c r="I3519" s="61" t="s">
        <v>11414</v>
      </c>
      <c r="J3519" s="10" t="s">
        <v>13260</v>
      </c>
      <c r="K3519" s="61" t="s">
        <v>11416</v>
      </c>
      <c r="L3519" s="10">
        <v>12</v>
      </c>
      <c r="M3519" s="16" t="s">
        <v>13262</v>
      </c>
      <c r="N3519" s="16" t="s">
        <v>78</v>
      </c>
      <c r="O3519" s="13"/>
    </row>
    <row r="3520" spans="1:15" s="1" customFormat="1">
      <c r="A3520" s="8" t="s">
        <v>13238</v>
      </c>
      <c r="B3520" s="8"/>
      <c r="C3520" s="8"/>
      <c r="D3520" s="13" t="s">
        <v>13239</v>
      </c>
      <c r="E3520" s="9" t="s">
        <v>11412</v>
      </c>
      <c r="F3520" s="8" t="s">
        <v>13259</v>
      </c>
      <c r="G3520" s="61">
        <f t="shared" si="133"/>
        <v>378.31299999999999</v>
      </c>
      <c r="H3520" s="11">
        <v>42004</v>
      </c>
      <c r="I3520" s="61" t="s">
        <v>11414</v>
      </c>
      <c r="J3520" s="10" t="s">
        <v>13261</v>
      </c>
      <c r="K3520" s="61" t="s">
        <v>11416</v>
      </c>
      <c r="L3520" s="10">
        <v>13</v>
      </c>
      <c r="M3520" s="16" t="s">
        <v>13262</v>
      </c>
      <c r="N3520" s="16" t="s">
        <v>81</v>
      </c>
      <c r="O3520" s="13"/>
    </row>
    <row r="3521" spans="1:15" s="1" customFormat="1">
      <c r="A3521" s="8" t="s">
        <v>13238</v>
      </c>
      <c r="B3521" s="8"/>
      <c r="C3521" s="8"/>
      <c r="D3521" s="13" t="s">
        <v>13239</v>
      </c>
      <c r="E3521" s="9" t="s">
        <v>11412</v>
      </c>
      <c r="F3521" s="8" t="s">
        <v>13263</v>
      </c>
      <c r="G3521" s="61">
        <f t="shared" si="133"/>
        <v>349.21199999999999</v>
      </c>
      <c r="H3521" s="11">
        <v>42004</v>
      </c>
      <c r="I3521" s="61" t="s">
        <v>11414</v>
      </c>
      <c r="J3521" s="10" t="s">
        <v>13265</v>
      </c>
      <c r="K3521" s="61" t="s">
        <v>11416</v>
      </c>
      <c r="L3521" s="10">
        <v>12</v>
      </c>
      <c r="M3521" s="16" t="s">
        <v>13266</v>
      </c>
      <c r="N3521" s="16" t="s">
        <v>78</v>
      </c>
      <c r="O3521" s="13"/>
    </row>
    <row r="3522" spans="1:15" s="1" customFormat="1">
      <c r="A3522" s="8" t="s">
        <v>13238</v>
      </c>
      <c r="B3522" s="8"/>
      <c r="C3522" s="8"/>
      <c r="D3522" s="13" t="s">
        <v>13239</v>
      </c>
      <c r="E3522" s="9" t="s">
        <v>11412</v>
      </c>
      <c r="F3522" s="8" t="s">
        <v>13264</v>
      </c>
      <c r="G3522" s="61">
        <f t="shared" si="133"/>
        <v>378.31299999999999</v>
      </c>
      <c r="H3522" s="11">
        <v>42004</v>
      </c>
      <c r="I3522" s="61" t="s">
        <v>11414</v>
      </c>
      <c r="J3522" s="10" t="s">
        <v>13270</v>
      </c>
      <c r="K3522" s="61" t="s">
        <v>11416</v>
      </c>
      <c r="L3522" s="10">
        <v>13</v>
      </c>
      <c r="M3522" s="16" t="s">
        <v>13266</v>
      </c>
      <c r="N3522" s="16" t="s">
        <v>81</v>
      </c>
      <c r="O3522" s="13"/>
    </row>
    <row r="3523" spans="1:15" s="1" customFormat="1">
      <c r="A3523" s="8" t="s">
        <v>13238</v>
      </c>
      <c r="B3523" s="8"/>
      <c r="C3523" s="8"/>
      <c r="D3523" s="13" t="s">
        <v>13239</v>
      </c>
      <c r="E3523" s="9" t="s">
        <v>11412</v>
      </c>
      <c r="F3523" s="8" t="s">
        <v>13267</v>
      </c>
      <c r="G3523" s="61">
        <f t="shared" si="133"/>
        <v>349.21199999999999</v>
      </c>
      <c r="H3523" s="11">
        <v>42004</v>
      </c>
      <c r="I3523" s="61" t="s">
        <v>11414</v>
      </c>
      <c r="J3523" s="10" t="s">
        <v>13271</v>
      </c>
      <c r="K3523" s="61" t="s">
        <v>11416</v>
      </c>
      <c r="L3523" s="10">
        <v>12</v>
      </c>
      <c r="M3523" s="16" t="s">
        <v>13269</v>
      </c>
      <c r="N3523" s="16" t="s">
        <v>78</v>
      </c>
      <c r="O3523" s="13"/>
    </row>
    <row r="3524" spans="1:15" s="1" customFormat="1">
      <c r="A3524" s="8" t="s">
        <v>13238</v>
      </c>
      <c r="B3524" s="8"/>
      <c r="C3524" s="8"/>
      <c r="D3524" s="13" t="s">
        <v>13239</v>
      </c>
      <c r="E3524" s="9" t="s">
        <v>11412</v>
      </c>
      <c r="F3524" s="8" t="s">
        <v>13268</v>
      </c>
      <c r="G3524" s="61">
        <f t="shared" si="133"/>
        <v>378.31299999999999</v>
      </c>
      <c r="H3524" s="11">
        <v>42004</v>
      </c>
      <c r="I3524" s="61" t="s">
        <v>11414</v>
      </c>
      <c r="J3524" s="10" t="s">
        <v>13272</v>
      </c>
      <c r="K3524" s="61" t="s">
        <v>11416</v>
      </c>
      <c r="L3524" s="10">
        <v>13</v>
      </c>
      <c r="M3524" s="16" t="s">
        <v>13269</v>
      </c>
      <c r="N3524" s="16" t="s">
        <v>81</v>
      </c>
      <c r="O3524" s="13"/>
    </row>
    <row r="3525" spans="1:15" s="1" customFormat="1" hidden="1">
      <c r="A3525" s="8"/>
      <c r="B3525" s="8"/>
      <c r="C3525" s="8"/>
      <c r="D3525" s="13"/>
      <c r="E3525" s="9"/>
      <c r="F3525" s="8"/>
      <c r="G3525" s="61"/>
      <c r="H3525" s="11"/>
      <c r="I3525" s="61"/>
      <c r="J3525" s="10"/>
      <c r="K3525" s="61"/>
      <c r="L3525" s="10"/>
      <c r="M3525" s="16"/>
      <c r="N3525" s="16"/>
      <c r="O3525" s="13"/>
    </row>
    <row r="3526" spans="1:15" s="1" customFormat="1">
      <c r="A3526" s="8"/>
      <c r="B3526" s="8"/>
      <c r="C3526" s="8"/>
      <c r="D3526" s="13"/>
      <c r="E3526" s="9"/>
      <c r="F3526" s="8"/>
      <c r="G3526" s="61"/>
      <c r="H3526" s="11"/>
      <c r="I3526" s="61"/>
      <c r="J3526" s="10"/>
      <c r="K3526" s="61"/>
      <c r="L3526" s="10"/>
      <c r="M3526" s="16"/>
      <c r="N3526" s="16"/>
      <c r="O3526" s="13"/>
    </row>
    <row r="3527" spans="1:15" s="1" customFormat="1">
      <c r="A3527" s="8"/>
      <c r="B3527" s="8"/>
      <c r="C3527" s="8"/>
      <c r="D3527" s="13"/>
      <c r="E3527" s="9"/>
      <c r="F3527" s="8"/>
      <c r="G3527" s="61"/>
      <c r="H3527" s="11"/>
      <c r="I3527" s="61"/>
      <c r="J3527" s="10"/>
      <c r="K3527" s="61"/>
      <c r="L3527" s="10"/>
      <c r="M3527" s="16"/>
      <c r="N3527" s="16"/>
      <c r="O3527" s="13"/>
    </row>
  </sheetData>
  <autoFilter ref="A1:O3524"/>
  <sortState ref="A2:AD3365">
    <sortCondition sortBy="cellColor" ref="E2:E3365"/>
    <sortCondition sortBy="cellColor" ref="E2:E3365" dxfId="893"/>
    <sortCondition sortBy="cellColor" ref="E2:E3365" dxfId="892"/>
    <sortCondition ref="F2:F3365"/>
  </sortState>
  <phoneticPr fontId="19" type="noConversion"/>
  <conditionalFormatting sqref="J3071:J3077">
    <cfRule type="duplicateValues" dxfId="891" priority="1439"/>
    <cfRule type="duplicateValues" dxfId="890" priority="1440"/>
    <cfRule type="duplicateValues" dxfId="889" priority="1441"/>
    <cfRule type="duplicateValues" dxfId="888" priority="1442"/>
    <cfRule type="duplicateValues" dxfId="887" priority="1443"/>
  </conditionalFormatting>
  <conditionalFormatting sqref="F3071:F3077">
    <cfRule type="duplicateValues" dxfId="886" priority="1437"/>
    <cfRule type="duplicateValues" dxfId="885" priority="1438"/>
  </conditionalFormatting>
  <conditionalFormatting sqref="F3071:F3077">
    <cfRule type="duplicateValues" dxfId="884" priority="1436"/>
  </conditionalFormatting>
  <conditionalFormatting sqref="J3071:J3077">
    <cfRule type="duplicateValues" dxfId="883" priority="1435" stopIfTrue="1"/>
  </conditionalFormatting>
  <conditionalFormatting sqref="J3071:J3077">
    <cfRule type="duplicateValues" dxfId="882" priority="1433"/>
    <cfRule type="duplicateValues" dxfId="881" priority="1434"/>
  </conditionalFormatting>
  <conditionalFormatting sqref="J3071:J3077">
    <cfRule type="duplicateValues" dxfId="880" priority="1430"/>
    <cfRule type="duplicateValues" dxfId="879" priority="1431"/>
    <cfRule type="duplicateValues" dxfId="878" priority="1432"/>
  </conditionalFormatting>
  <conditionalFormatting sqref="J3078">
    <cfRule type="duplicateValues" dxfId="877" priority="1425"/>
    <cfRule type="duplicateValues" dxfId="876" priority="1426"/>
    <cfRule type="duplicateValues" dxfId="875" priority="1427"/>
    <cfRule type="duplicateValues" dxfId="874" priority="1428"/>
    <cfRule type="duplicateValues" dxfId="873" priority="1429"/>
  </conditionalFormatting>
  <conditionalFormatting sqref="F3078">
    <cfRule type="duplicateValues" dxfId="872" priority="1423"/>
    <cfRule type="duplicateValues" dxfId="871" priority="1424"/>
  </conditionalFormatting>
  <conditionalFormatting sqref="F3078">
    <cfRule type="duplicateValues" dxfId="870" priority="1422"/>
  </conditionalFormatting>
  <conditionalFormatting sqref="J3078">
    <cfRule type="duplicateValues" dxfId="869" priority="1421" stopIfTrue="1"/>
  </conditionalFormatting>
  <conditionalFormatting sqref="J3078">
    <cfRule type="duplicateValues" dxfId="868" priority="1419"/>
    <cfRule type="duplicateValues" dxfId="867" priority="1420"/>
  </conditionalFormatting>
  <conditionalFormatting sqref="J3078">
    <cfRule type="duplicateValues" dxfId="866" priority="1416"/>
    <cfRule type="duplicateValues" dxfId="865" priority="1417"/>
    <cfRule type="duplicateValues" dxfId="864" priority="1418"/>
  </conditionalFormatting>
  <conditionalFormatting sqref="J1:J2464 J2468:J2560 J2562:J2589 J2591:J2679 J2681:J2693 J2695:J2751 J2753:J1048576">
    <cfRule type="duplicateValues" dxfId="863" priority="1415"/>
  </conditionalFormatting>
  <conditionalFormatting sqref="J3074:J3077">
    <cfRule type="duplicateValues" dxfId="862" priority="1410"/>
    <cfRule type="duplicateValues" dxfId="861" priority="1411"/>
    <cfRule type="duplicateValues" dxfId="860" priority="1412"/>
    <cfRule type="duplicateValues" dxfId="859" priority="1413"/>
    <cfRule type="duplicateValues" dxfId="858" priority="1414"/>
  </conditionalFormatting>
  <conditionalFormatting sqref="F3074:F3077">
    <cfRule type="duplicateValues" dxfId="857" priority="1408"/>
    <cfRule type="duplicateValues" dxfId="856" priority="1409"/>
  </conditionalFormatting>
  <conditionalFormatting sqref="F3074:F3077">
    <cfRule type="duplicateValues" dxfId="855" priority="1407"/>
  </conditionalFormatting>
  <conditionalFormatting sqref="J3074:J3077">
    <cfRule type="duplicateValues" dxfId="854" priority="1406" stopIfTrue="1"/>
  </conditionalFormatting>
  <conditionalFormatting sqref="J3074:J3077">
    <cfRule type="duplicateValues" dxfId="853" priority="1404"/>
    <cfRule type="duplicateValues" dxfId="852" priority="1405"/>
  </conditionalFormatting>
  <conditionalFormatting sqref="J3074:J3077">
    <cfRule type="duplicateValues" dxfId="851" priority="1401"/>
    <cfRule type="duplicateValues" dxfId="850" priority="1402"/>
    <cfRule type="duplicateValues" dxfId="849" priority="1403"/>
  </conditionalFormatting>
  <conditionalFormatting sqref="J3077">
    <cfRule type="duplicateValues" dxfId="848" priority="1396"/>
    <cfRule type="duplicateValues" dxfId="847" priority="1397"/>
    <cfRule type="duplicateValues" dxfId="846" priority="1398"/>
    <cfRule type="duplicateValues" dxfId="845" priority="1399"/>
    <cfRule type="duplicateValues" dxfId="844" priority="1400"/>
  </conditionalFormatting>
  <conditionalFormatting sqref="F3077">
    <cfRule type="duplicateValues" dxfId="843" priority="1394"/>
    <cfRule type="duplicateValues" dxfId="842" priority="1395"/>
  </conditionalFormatting>
  <conditionalFormatting sqref="F3077">
    <cfRule type="duplicateValues" dxfId="841" priority="1393"/>
  </conditionalFormatting>
  <conditionalFormatting sqref="J3077">
    <cfRule type="duplicateValues" dxfId="840" priority="1392" stopIfTrue="1"/>
  </conditionalFormatting>
  <conditionalFormatting sqref="J3077">
    <cfRule type="duplicateValues" dxfId="839" priority="1390"/>
    <cfRule type="duplicateValues" dxfId="838" priority="1391"/>
  </conditionalFormatting>
  <conditionalFormatting sqref="J3077">
    <cfRule type="duplicateValues" dxfId="837" priority="1387"/>
    <cfRule type="duplicateValues" dxfId="836" priority="1388"/>
    <cfRule type="duplicateValues" dxfId="835" priority="1389"/>
  </conditionalFormatting>
  <conditionalFormatting sqref="J3079:J3082">
    <cfRule type="duplicateValues" dxfId="834" priority="1382"/>
    <cfRule type="duplicateValues" dxfId="833" priority="1383"/>
    <cfRule type="duplicateValues" dxfId="832" priority="1384"/>
    <cfRule type="duplicateValues" dxfId="831" priority="1385"/>
    <cfRule type="duplicateValues" dxfId="830" priority="1386"/>
  </conditionalFormatting>
  <conditionalFormatting sqref="F3079:F3082">
    <cfRule type="duplicateValues" dxfId="829" priority="1380"/>
    <cfRule type="duplicateValues" dxfId="828" priority="1381"/>
  </conditionalFormatting>
  <conditionalFormatting sqref="F3079:F3082">
    <cfRule type="duplicateValues" dxfId="827" priority="1379"/>
  </conditionalFormatting>
  <conditionalFormatting sqref="J3079:J3082">
    <cfRule type="duplicateValues" dxfId="826" priority="1378" stopIfTrue="1"/>
  </conditionalFormatting>
  <conditionalFormatting sqref="J3079:J3082">
    <cfRule type="duplicateValues" dxfId="825" priority="1376"/>
    <cfRule type="duplicateValues" dxfId="824" priority="1377"/>
  </conditionalFormatting>
  <conditionalFormatting sqref="J3079:J3082">
    <cfRule type="duplicateValues" dxfId="823" priority="1373"/>
    <cfRule type="duplicateValues" dxfId="822" priority="1374"/>
    <cfRule type="duplicateValues" dxfId="821" priority="1375"/>
  </conditionalFormatting>
  <conditionalFormatting sqref="J3083:J3088">
    <cfRule type="duplicateValues" dxfId="820" priority="1340"/>
    <cfRule type="duplicateValues" dxfId="819" priority="1341"/>
    <cfRule type="duplicateValues" dxfId="818" priority="1342"/>
    <cfRule type="duplicateValues" dxfId="817" priority="1343"/>
    <cfRule type="duplicateValues" dxfId="816" priority="1344"/>
  </conditionalFormatting>
  <conditionalFormatting sqref="F3083:F3088">
    <cfRule type="duplicateValues" dxfId="815" priority="1338"/>
    <cfRule type="duplicateValues" dxfId="814" priority="1339"/>
  </conditionalFormatting>
  <conditionalFormatting sqref="F3083:F3088">
    <cfRule type="duplicateValues" dxfId="813" priority="1337"/>
  </conditionalFormatting>
  <conditionalFormatting sqref="J3083:J3088">
    <cfRule type="duplicateValues" dxfId="812" priority="1336" stopIfTrue="1"/>
  </conditionalFormatting>
  <conditionalFormatting sqref="J3083:J3088">
    <cfRule type="duplicateValues" dxfId="811" priority="1334"/>
    <cfRule type="duplicateValues" dxfId="810" priority="1335"/>
  </conditionalFormatting>
  <conditionalFormatting sqref="J3083:J3088">
    <cfRule type="duplicateValues" dxfId="809" priority="1331"/>
    <cfRule type="duplicateValues" dxfId="808" priority="1332"/>
    <cfRule type="duplicateValues" dxfId="807" priority="1333"/>
  </conditionalFormatting>
  <conditionalFormatting sqref="J3087:J3096">
    <cfRule type="duplicateValues" dxfId="806" priority="1298"/>
    <cfRule type="duplicateValues" dxfId="805" priority="1299"/>
    <cfRule type="duplicateValues" dxfId="804" priority="1300"/>
    <cfRule type="duplicateValues" dxfId="803" priority="1301"/>
    <cfRule type="duplicateValues" dxfId="802" priority="1302"/>
  </conditionalFormatting>
  <conditionalFormatting sqref="F3087:F3096">
    <cfRule type="duplicateValues" dxfId="801" priority="1296"/>
    <cfRule type="duplicateValues" dxfId="800" priority="1297"/>
  </conditionalFormatting>
  <conditionalFormatting sqref="F3087:F3096">
    <cfRule type="duplicateValues" dxfId="799" priority="1295"/>
  </conditionalFormatting>
  <conditionalFormatting sqref="J3087:J3096">
    <cfRule type="duplicateValues" dxfId="798" priority="1294" stopIfTrue="1"/>
  </conditionalFormatting>
  <conditionalFormatting sqref="J3087:J3096">
    <cfRule type="duplicateValues" dxfId="797" priority="1292"/>
    <cfRule type="duplicateValues" dxfId="796" priority="1293"/>
  </conditionalFormatting>
  <conditionalFormatting sqref="J3087:J3096">
    <cfRule type="duplicateValues" dxfId="795" priority="1289"/>
    <cfRule type="duplicateValues" dxfId="794" priority="1290"/>
    <cfRule type="duplicateValues" dxfId="793" priority="1291"/>
  </conditionalFormatting>
  <conditionalFormatting sqref="J3095:J3097">
    <cfRule type="duplicateValues" dxfId="792" priority="1630"/>
    <cfRule type="duplicateValues" dxfId="791" priority="1631"/>
    <cfRule type="duplicateValues" dxfId="790" priority="1632"/>
    <cfRule type="duplicateValues" dxfId="789" priority="1633"/>
    <cfRule type="duplicateValues" dxfId="788" priority="1634"/>
  </conditionalFormatting>
  <conditionalFormatting sqref="F3095:F3097">
    <cfRule type="duplicateValues" dxfId="787" priority="1635"/>
    <cfRule type="duplicateValues" dxfId="786" priority="1636"/>
  </conditionalFormatting>
  <conditionalFormatting sqref="F3095:F3097">
    <cfRule type="duplicateValues" dxfId="785" priority="1637"/>
  </conditionalFormatting>
  <conditionalFormatting sqref="J3095:J3097">
    <cfRule type="duplicateValues" dxfId="784" priority="1638" stopIfTrue="1"/>
  </conditionalFormatting>
  <conditionalFormatting sqref="J3095:J3097">
    <cfRule type="duplicateValues" dxfId="783" priority="1639"/>
    <cfRule type="duplicateValues" dxfId="782" priority="1640"/>
  </conditionalFormatting>
  <conditionalFormatting sqref="J3095:J3097">
    <cfRule type="duplicateValues" dxfId="781" priority="1641"/>
    <cfRule type="duplicateValues" dxfId="780" priority="1642"/>
    <cfRule type="duplicateValues" dxfId="779" priority="1643"/>
  </conditionalFormatting>
  <conditionalFormatting sqref="J3098:J3156">
    <cfRule type="duplicateValues" dxfId="778" priority="2028"/>
    <cfRule type="duplicateValues" dxfId="777" priority="2029"/>
    <cfRule type="duplicateValues" dxfId="776" priority="2030"/>
    <cfRule type="duplicateValues" dxfId="775" priority="2031"/>
    <cfRule type="duplicateValues" dxfId="774" priority="2032"/>
  </conditionalFormatting>
  <conditionalFormatting sqref="F3098:F3156">
    <cfRule type="duplicateValues" dxfId="773" priority="2038"/>
    <cfRule type="duplicateValues" dxfId="772" priority="2039"/>
  </conditionalFormatting>
  <conditionalFormatting sqref="F3098:F3156">
    <cfRule type="duplicateValues" dxfId="771" priority="2042"/>
  </conditionalFormatting>
  <conditionalFormatting sqref="J3098:J3156">
    <cfRule type="duplicateValues" dxfId="770" priority="2044" stopIfTrue="1"/>
  </conditionalFormatting>
  <conditionalFormatting sqref="J3098:J3156">
    <cfRule type="duplicateValues" dxfId="769" priority="2046"/>
    <cfRule type="duplicateValues" dxfId="768" priority="2047"/>
  </conditionalFormatting>
  <conditionalFormatting sqref="J3098:J3156">
    <cfRule type="duplicateValues" dxfId="767" priority="2050"/>
    <cfRule type="duplicateValues" dxfId="766" priority="2051"/>
    <cfRule type="duplicateValues" dxfId="765" priority="2052"/>
  </conditionalFormatting>
  <conditionalFormatting sqref="J3153:J3160">
    <cfRule type="duplicateValues" dxfId="764" priority="1172"/>
    <cfRule type="duplicateValues" dxfId="763" priority="1173"/>
    <cfRule type="duplicateValues" dxfId="762" priority="1174"/>
    <cfRule type="duplicateValues" dxfId="761" priority="1175"/>
    <cfRule type="duplicateValues" dxfId="760" priority="1176"/>
  </conditionalFormatting>
  <conditionalFormatting sqref="F3153:F3160">
    <cfRule type="duplicateValues" dxfId="759" priority="1170"/>
    <cfRule type="duplicateValues" dxfId="758" priority="1171"/>
  </conditionalFormatting>
  <conditionalFormatting sqref="F3153:F3160">
    <cfRule type="duplicateValues" dxfId="757" priority="1169"/>
  </conditionalFormatting>
  <conditionalFormatting sqref="J3153:J3160">
    <cfRule type="duplicateValues" dxfId="756" priority="1168" stopIfTrue="1"/>
  </conditionalFormatting>
  <conditionalFormatting sqref="J3153:J3160">
    <cfRule type="duplicateValues" dxfId="755" priority="1166"/>
    <cfRule type="duplicateValues" dxfId="754" priority="1167"/>
  </conditionalFormatting>
  <conditionalFormatting sqref="J3153:J3160">
    <cfRule type="duplicateValues" dxfId="753" priority="1163"/>
    <cfRule type="duplicateValues" dxfId="752" priority="1164"/>
    <cfRule type="duplicateValues" dxfId="751" priority="1165"/>
  </conditionalFormatting>
  <conditionalFormatting sqref="J3160:J3244">
    <cfRule type="duplicateValues" dxfId="750" priority="2197"/>
    <cfRule type="duplicateValues" dxfId="749" priority="2198"/>
    <cfRule type="duplicateValues" dxfId="748" priority="2199"/>
    <cfRule type="duplicateValues" dxfId="747" priority="2200"/>
    <cfRule type="duplicateValues" dxfId="746" priority="2201"/>
  </conditionalFormatting>
  <conditionalFormatting sqref="F3160:F3244">
    <cfRule type="duplicateValues" dxfId="745" priority="2207"/>
    <cfRule type="duplicateValues" dxfId="744" priority="2208"/>
  </conditionalFormatting>
  <conditionalFormatting sqref="F3160:F3244">
    <cfRule type="duplicateValues" dxfId="743" priority="2211"/>
  </conditionalFormatting>
  <conditionalFormatting sqref="J3160:J3244">
    <cfRule type="duplicateValues" dxfId="742" priority="2213" stopIfTrue="1"/>
  </conditionalFormatting>
  <conditionalFormatting sqref="J3160:J3244">
    <cfRule type="duplicateValues" dxfId="741" priority="2215"/>
    <cfRule type="duplicateValues" dxfId="740" priority="2216"/>
  </conditionalFormatting>
  <conditionalFormatting sqref="J3160:J3244">
    <cfRule type="duplicateValues" dxfId="739" priority="2219"/>
    <cfRule type="duplicateValues" dxfId="738" priority="2220"/>
    <cfRule type="duplicateValues" dxfId="737" priority="2221"/>
  </conditionalFormatting>
  <conditionalFormatting sqref="J3242:J3244">
    <cfRule type="duplicateValues" dxfId="736" priority="1148"/>
  </conditionalFormatting>
  <conditionalFormatting sqref="J3242:J3244">
    <cfRule type="duplicateValues" dxfId="735" priority="1142"/>
    <cfRule type="duplicateValues" dxfId="734" priority="1143"/>
    <cfRule type="duplicateValues" dxfId="733" priority="1144"/>
    <cfRule type="duplicateValues" dxfId="732" priority="1145"/>
    <cfRule type="duplicateValues" dxfId="731" priority="1146"/>
  </conditionalFormatting>
  <conditionalFormatting sqref="F3242:F3244">
    <cfRule type="duplicateValues" dxfId="730" priority="1140"/>
    <cfRule type="duplicateValues" dxfId="729" priority="1141"/>
  </conditionalFormatting>
  <conditionalFormatting sqref="F3242:F3244">
    <cfRule type="duplicateValues" dxfId="728" priority="1139"/>
  </conditionalFormatting>
  <conditionalFormatting sqref="J3242:J3244">
    <cfRule type="duplicateValues" dxfId="727" priority="1136"/>
    <cfRule type="duplicateValues" dxfId="726" priority="1137"/>
  </conditionalFormatting>
  <conditionalFormatting sqref="J3242:J3244">
    <cfRule type="duplicateValues" dxfId="725" priority="1133"/>
    <cfRule type="duplicateValues" dxfId="724" priority="1134"/>
    <cfRule type="duplicateValues" dxfId="723" priority="1135"/>
  </conditionalFormatting>
  <conditionalFormatting sqref="J2518">
    <cfRule type="duplicateValues" dxfId="722" priority="1128"/>
    <cfRule type="duplicateValues" dxfId="721" priority="1129"/>
    <cfRule type="duplicateValues" dxfId="720" priority="1130"/>
    <cfRule type="duplicateValues" dxfId="719" priority="1131"/>
    <cfRule type="duplicateValues" dxfId="718" priority="1132"/>
  </conditionalFormatting>
  <conditionalFormatting sqref="F2518">
    <cfRule type="duplicateValues" dxfId="717" priority="1126"/>
    <cfRule type="duplicateValues" dxfId="716" priority="1127"/>
  </conditionalFormatting>
  <conditionalFormatting sqref="F2518">
    <cfRule type="duplicateValues" dxfId="715" priority="1125"/>
  </conditionalFormatting>
  <conditionalFormatting sqref="J2518">
    <cfRule type="duplicateValues" dxfId="714" priority="1124" stopIfTrue="1"/>
  </conditionalFormatting>
  <conditionalFormatting sqref="J2518">
    <cfRule type="duplicateValues" dxfId="713" priority="1122"/>
    <cfRule type="duplicateValues" dxfId="712" priority="1123"/>
  </conditionalFormatting>
  <conditionalFormatting sqref="J2518">
    <cfRule type="duplicateValues" dxfId="711" priority="1119"/>
    <cfRule type="duplicateValues" dxfId="710" priority="1120"/>
    <cfRule type="duplicateValues" dxfId="709" priority="1121"/>
  </conditionalFormatting>
  <conditionalFormatting sqref="J3258">
    <cfRule type="duplicateValues" dxfId="708" priority="1084"/>
    <cfRule type="duplicateValues" dxfId="707" priority="1085"/>
    <cfRule type="duplicateValues" dxfId="706" priority="1086"/>
    <cfRule type="duplicateValues" dxfId="705" priority="1087"/>
    <cfRule type="duplicateValues" dxfId="704" priority="1088"/>
  </conditionalFormatting>
  <conditionalFormatting sqref="F3258">
    <cfRule type="duplicateValues" dxfId="703" priority="1082"/>
    <cfRule type="duplicateValues" dxfId="702" priority="1083"/>
  </conditionalFormatting>
  <conditionalFormatting sqref="F3258">
    <cfRule type="duplicateValues" dxfId="701" priority="1081"/>
  </conditionalFormatting>
  <conditionalFormatting sqref="J3258">
    <cfRule type="duplicateValues" dxfId="700" priority="1080" stopIfTrue="1"/>
  </conditionalFormatting>
  <conditionalFormatting sqref="J3258">
    <cfRule type="duplicateValues" dxfId="699" priority="1078"/>
    <cfRule type="duplicateValues" dxfId="698" priority="1079"/>
  </conditionalFormatting>
  <conditionalFormatting sqref="J3258">
    <cfRule type="duplicateValues" dxfId="697" priority="1075"/>
    <cfRule type="duplicateValues" dxfId="696" priority="1076"/>
    <cfRule type="duplicateValues" dxfId="695" priority="1077"/>
  </conditionalFormatting>
  <conditionalFormatting sqref="J3259">
    <cfRule type="duplicateValues" dxfId="694" priority="1070"/>
    <cfRule type="duplicateValues" dxfId="693" priority="1071"/>
    <cfRule type="duplicateValues" dxfId="692" priority="1072"/>
    <cfRule type="duplicateValues" dxfId="691" priority="1073"/>
    <cfRule type="duplicateValues" dxfId="690" priority="1074"/>
  </conditionalFormatting>
  <conditionalFormatting sqref="F3259:F3261">
    <cfRule type="duplicateValues" dxfId="689" priority="1068"/>
    <cfRule type="duplicateValues" dxfId="688" priority="1069"/>
  </conditionalFormatting>
  <conditionalFormatting sqref="F3259:F3261">
    <cfRule type="duplicateValues" dxfId="687" priority="1067"/>
  </conditionalFormatting>
  <conditionalFormatting sqref="J3259">
    <cfRule type="duplicateValues" dxfId="686" priority="1066" stopIfTrue="1"/>
  </conditionalFormatting>
  <conditionalFormatting sqref="J3259">
    <cfRule type="duplicateValues" dxfId="685" priority="1064"/>
    <cfRule type="duplicateValues" dxfId="684" priority="1065"/>
  </conditionalFormatting>
  <conditionalFormatting sqref="J3259">
    <cfRule type="duplicateValues" dxfId="683" priority="1061"/>
    <cfRule type="duplicateValues" dxfId="682" priority="1062"/>
    <cfRule type="duplicateValues" dxfId="681" priority="1063"/>
  </conditionalFormatting>
  <conditionalFormatting sqref="J3260:J3261">
    <cfRule type="duplicateValues" dxfId="680" priority="1056"/>
    <cfRule type="duplicateValues" dxfId="679" priority="1057"/>
    <cfRule type="duplicateValues" dxfId="678" priority="1058"/>
    <cfRule type="duplicateValues" dxfId="677" priority="1059"/>
    <cfRule type="duplicateValues" dxfId="676" priority="1060"/>
  </conditionalFormatting>
  <conditionalFormatting sqref="J3260:J3261">
    <cfRule type="duplicateValues" dxfId="675" priority="1055" stopIfTrue="1"/>
  </conditionalFormatting>
  <conditionalFormatting sqref="J3260:J3261">
    <cfRule type="duplicateValues" dxfId="674" priority="1053"/>
    <cfRule type="duplicateValues" dxfId="673" priority="1054"/>
  </conditionalFormatting>
  <conditionalFormatting sqref="J3260:J3261">
    <cfRule type="duplicateValues" dxfId="672" priority="1050"/>
    <cfRule type="duplicateValues" dxfId="671" priority="1051"/>
    <cfRule type="duplicateValues" dxfId="670" priority="1052"/>
  </conditionalFormatting>
  <conditionalFormatting sqref="F3262:F3266">
    <cfRule type="duplicateValues" dxfId="669" priority="1048"/>
    <cfRule type="duplicateValues" dxfId="668" priority="1049"/>
  </conditionalFormatting>
  <conditionalFormatting sqref="F3262:F3266">
    <cfRule type="duplicateValues" dxfId="667" priority="1047"/>
  </conditionalFormatting>
  <conditionalFormatting sqref="J3262:J3266">
    <cfRule type="duplicateValues" dxfId="666" priority="1042"/>
    <cfRule type="duplicateValues" dxfId="665" priority="1043"/>
    <cfRule type="duplicateValues" dxfId="664" priority="1044"/>
    <cfRule type="duplicateValues" dxfId="663" priority="1045"/>
    <cfRule type="duplicateValues" dxfId="662" priority="1046"/>
  </conditionalFormatting>
  <conditionalFormatting sqref="J3262:J3266">
    <cfRule type="duplicateValues" dxfId="661" priority="1041" stopIfTrue="1"/>
  </conditionalFormatting>
  <conditionalFormatting sqref="J3262:J3266">
    <cfRule type="duplicateValues" dxfId="660" priority="1039"/>
    <cfRule type="duplicateValues" dxfId="659" priority="1040"/>
  </conditionalFormatting>
  <conditionalFormatting sqref="J3262:J3266">
    <cfRule type="duplicateValues" dxfId="658" priority="1036"/>
    <cfRule type="duplicateValues" dxfId="657" priority="1037"/>
    <cfRule type="duplicateValues" dxfId="656" priority="1038"/>
  </conditionalFormatting>
  <conditionalFormatting sqref="F3267:F3270">
    <cfRule type="duplicateValues" dxfId="655" priority="1034"/>
    <cfRule type="duplicateValues" dxfId="654" priority="1035"/>
  </conditionalFormatting>
  <conditionalFormatting sqref="F3267:F3270">
    <cfRule type="duplicateValues" dxfId="653" priority="1033"/>
  </conditionalFormatting>
  <conditionalFormatting sqref="J3267:J3270">
    <cfRule type="duplicateValues" dxfId="652" priority="1028"/>
    <cfRule type="duplicateValues" dxfId="651" priority="1029"/>
    <cfRule type="duplicateValues" dxfId="650" priority="1030"/>
    <cfRule type="duplicateValues" dxfId="649" priority="1031"/>
    <cfRule type="duplicateValues" dxfId="648" priority="1032"/>
  </conditionalFormatting>
  <conditionalFormatting sqref="J3267:J3270">
    <cfRule type="duplicateValues" dxfId="647" priority="1027" stopIfTrue="1"/>
  </conditionalFormatting>
  <conditionalFormatting sqref="J3267:J3270">
    <cfRule type="duplicateValues" dxfId="646" priority="1025"/>
    <cfRule type="duplicateValues" dxfId="645" priority="1026"/>
  </conditionalFormatting>
  <conditionalFormatting sqref="J3267:J3270">
    <cfRule type="duplicateValues" dxfId="644" priority="1022"/>
    <cfRule type="duplicateValues" dxfId="643" priority="1023"/>
    <cfRule type="duplicateValues" dxfId="642" priority="1024"/>
  </conditionalFormatting>
  <conditionalFormatting sqref="F3271:F3273">
    <cfRule type="duplicateValues" dxfId="641" priority="1020"/>
    <cfRule type="duplicateValues" dxfId="640" priority="1021"/>
  </conditionalFormatting>
  <conditionalFormatting sqref="F3271:F3273">
    <cfRule type="duplicateValues" dxfId="639" priority="1019"/>
  </conditionalFormatting>
  <conditionalFormatting sqref="J3271:J3273">
    <cfRule type="duplicateValues" dxfId="638" priority="1014"/>
    <cfRule type="duplicateValues" dxfId="637" priority="1015"/>
    <cfRule type="duplicateValues" dxfId="636" priority="1016"/>
    <cfRule type="duplicateValues" dxfId="635" priority="1017"/>
    <cfRule type="duplicateValues" dxfId="634" priority="1018"/>
  </conditionalFormatting>
  <conditionalFormatting sqref="J3271:J3273">
    <cfRule type="duplicateValues" dxfId="633" priority="1013" stopIfTrue="1"/>
  </conditionalFormatting>
  <conditionalFormatting sqref="J3271:J3273">
    <cfRule type="duplicateValues" dxfId="632" priority="1011"/>
    <cfRule type="duplicateValues" dxfId="631" priority="1012"/>
  </conditionalFormatting>
  <conditionalFormatting sqref="J3271:J3273">
    <cfRule type="duplicateValues" dxfId="630" priority="1008"/>
    <cfRule type="duplicateValues" dxfId="629" priority="1009"/>
    <cfRule type="duplicateValues" dxfId="628" priority="1010"/>
  </conditionalFormatting>
  <conditionalFormatting sqref="F3274:F3279">
    <cfRule type="duplicateValues" dxfId="627" priority="1006"/>
    <cfRule type="duplicateValues" dxfId="626" priority="1007"/>
  </conditionalFormatting>
  <conditionalFormatting sqref="F3274:F3279">
    <cfRule type="duplicateValues" dxfId="625" priority="1005"/>
  </conditionalFormatting>
  <conditionalFormatting sqref="J3274:J3279">
    <cfRule type="duplicateValues" dxfId="624" priority="1000"/>
    <cfRule type="duplicateValues" dxfId="623" priority="1001"/>
    <cfRule type="duplicateValues" dxfId="622" priority="1002"/>
    <cfRule type="duplicateValues" dxfId="621" priority="1003"/>
    <cfRule type="duplicateValues" dxfId="620" priority="1004"/>
  </conditionalFormatting>
  <conditionalFormatting sqref="J3274:J3279">
    <cfRule type="duplicateValues" dxfId="619" priority="999" stopIfTrue="1"/>
  </conditionalFormatting>
  <conditionalFormatting sqref="J3274:J3279">
    <cfRule type="duplicateValues" dxfId="618" priority="997"/>
    <cfRule type="duplicateValues" dxfId="617" priority="998"/>
  </conditionalFormatting>
  <conditionalFormatting sqref="J3274:J3279">
    <cfRule type="duplicateValues" dxfId="616" priority="994"/>
    <cfRule type="duplicateValues" dxfId="615" priority="995"/>
    <cfRule type="duplicateValues" dxfId="614" priority="996"/>
  </conditionalFormatting>
  <conditionalFormatting sqref="J3274:J3275">
    <cfRule type="duplicateValues" dxfId="613" priority="989"/>
    <cfRule type="duplicateValues" dxfId="612" priority="990"/>
    <cfRule type="duplicateValues" dxfId="611" priority="991"/>
    <cfRule type="duplicateValues" dxfId="610" priority="992"/>
    <cfRule type="duplicateValues" dxfId="609" priority="993"/>
  </conditionalFormatting>
  <conditionalFormatting sqref="J3274:J3275">
    <cfRule type="duplicateValues" dxfId="608" priority="988" stopIfTrue="1"/>
  </conditionalFormatting>
  <conditionalFormatting sqref="J3274:J3275">
    <cfRule type="duplicateValues" dxfId="607" priority="986"/>
    <cfRule type="duplicateValues" dxfId="606" priority="987"/>
  </conditionalFormatting>
  <conditionalFormatting sqref="J3274:J3275">
    <cfRule type="duplicateValues" dxfId="605" priority="983"/>
    <cfRule type="duplicateValues" dxfId="604" priority="984"/>
    <cfRule type="duplicateValues" dxfId="603" priority="985"/>
  </conditionalFormatting>
  <conditionalFormatting sqref="J3276:J3277">
    <cfRule type="duplicateValues" dxfId="602" priority="978"/>
    <cfRule type="duplicateValues" dxfId="601" priority="979"/>
    <cfRule type="duplicateValues" dxfId="600" priority="980"/>
    <cfRule type="duplicateValues" dxfId="599" priority="981"/>
    <cfRule type="duplicateValues" dxfId="598" priority="982"/>
  </conditionalFormatting>
  <conditionalFormatting sqref="J3276:J3277">
    <cfRule type="duplicateValues" dxfId="597" priority="977" stopIfTrue="1"/>
  </conditionalFormatting>
  <conditionalFormatting sqref="J3276:J3277">
    <cfRule type="duplicateValues" dxfId="596" priority="975"/>
    <cfRule type="duplicateValues" dxfId="595" priority="976"/>
  </conditionalFormatting>
  <conditionalFormatting sqref="J3276:J3277">
    <cfRule type="duplicateValues" dxfId="594" priority="972"/>
    <cfRule type="duplicateValues" dxfId="593" priority="973"/>
    <cfRule type="duplicateValues" dxfId="592" priority="974"/>
  </conditionalFormatting>
  <conditionalFormatting sqref="F3280">
    <cfRule type="duplicateValues" dxfId="591" priority="970"/>
    <cfRule type="duplicateValues" dxfId="590" priority="971"/>
  </conditionalFormatting>
  <conditionalFormatting sqref="F3280">
    <cfRule type="duplicateValues" dxfId="589" priority="969"/>
  </conditionalFormatting>
  <conditionalFormatting sqref="J3280">
    <cfRule type="duplicateValues" dxfId="588" priority="964"/>
    <cfRule type="duplicateValues" dxfId="587" priority="965"/>
    <cfRule type="duplicateValues" dxfId="586" priority="966"/>
    <cfRule type="duplicateValues" dxfId="585" priority="967"/>
    <cfRule type="duplicateValues" dxfId="584" priority="968"/>
  </conditionalFormatting>
  <conditionalFormatting sqref="J3280">
    <cfRule type="duplicateValues" dxfId="583" priority="963" stopIfTrue="1"/>
  </conditionalFormatting>
  <conditionalFormatting sqref="J3280">
    <cfRule type="duplicateValues" dxfId="582" priority="961"/>
    <cfRule type="duplicateValues" dxfId="581" priority="962"/>
  </conditionalFormatting>
  <conditionalFormatting sqref="J3280">
    <cfRule type="duplicateValues" dxfId="580" priority="958"/>
    <cfRule type="duplicateValues" dxfId="579" priority="959"/>
    <cfRule type="duplicateValues" dxfId="578" priority="960"/>
  </conditionalFormatting>
  <conditionalFormatting sqref="F3281:F3289">
    <cfRule type="duplicateValues" dxfId="577" priority="956"/>
    <cfRule type="duplicateValues" dxfId="576" priority="957"/>
  </conditionalFormatting>
  <conditionalFormatting sqref="F3281:F3289">
    <cfRule type="duplicateValues" dxfId="575" priority="955"/>
  </conditionalFormatting>
  <conditionalFormatting sqref="J3281:J3289">
    <cfRule type="duplicateValues" dxfId="574" priority="950"/>
    <cfRule type="duplicateValues" dxfId="573" priority="951"/>
    <cfRule type="duplicateValues" dxfId="572" priority="952"/>
    <cfRule type="duplicateValues" dxfId="571" priority="953"/>
    <cfRule type="duplicateValues" dxfId="570" priority="954"/>
  </conditionalFormatting>
  <conditionalFormatting sqref="J3281:J3289">
    <cfRule type="duplicateValues" dxfId="569" priority="949" stopIfTrue="1"/>
  </conditionalFormatting>
  <conditionalFormatting sqref="J3281:J3289">
    <cfRule type="duplicateValues" dxfId="568" priority="947"/>
    <cfRule type="duplicateValues" dxfId="567" priority="948"/>
  </conditionalFormatting>
  <conditionalFormatting sqref="J3281:J3289">
    <cfRule type="duplicateValues" dxfId="566" priority="944"/>
    <cfRule type="duplicateValues" dxfId="565" priority="945"/>
    <cfRule type="duplicateValues" dxfId="564" priority="946"/>
  </conditionalFormatting>
  <conditionalFormatting sqref="J3245:J3257">
    <cfRule type="duplicateValues" dxfId="563" priority="2411"/>
    <cfRule type="duplicateValues" dxfId="562" priority="2412"/>
    <cfRule type="duplicateValues" dxfId="561" priority="2413"/>
    <cfRule type="duplicateValues" dxfId="560" priority="2414"/>
    <cfRule type="duplicateValues" dxfId="559" priority="2415"/>
  </conditionalFormatting>
  <conditionalFormatting sqref="F3245:F3257">
    <cfRule type="duplicateValues" dxfId="558" priority="2416"/>
    <cfRule type="duplicateValues" dxfId="557" priority="2417"/>
  </conditionalFormatting>
  <conditionalFormatting sqref="F3245:F3257">
    <cfRule type="duplicateValues" dxfId="556" priority="2418"/>
  </conditionalFormatting>
  <conditionalFormatting sqref="J3245:J3257">
    <cfRule type="duplicateValues" dxfId="555" priority="2419" stopIfTrue="1"/>
  </conditionalFormatting>
  <conditionalFormatting sqref="J3245:J3257">
    <cfRule type="duplicateValues" dxfId="554" priority="2420"/>
    <cfRule type="duplicateValues" dxfId="553" priority="2421"/>
  </conditionalFormatting>
  <conditionalFormatting sqref="J3245:J3257">
    <cfRule type="duplicateValues" dxfId="552" priority="2422"/>
    <cfRule type="duplicateValues" dxfId="551" priority="2423"/>
    <cfRule type="duplicateValues" dxfId="550" priority="2424"/>
  </conditionalFormatting>
  <conditionalFormatting sqref="F3290:F3365">
    <cfRule type="duplicateValues" dxfId="549" priority="2759"/>
    <cfRule type="duplicateValues" dxfId="548" priority="2760"/>
  </conditionalFormatting>
  <conditionalFormatting sqref="F3290:F3365">
    <cfRule type="duplicateValues" dxfId="547" priority="2761"/>
  </conditionalFormatting>
  <conditionalFormatting sqref="J3290:J3365">
    <cfRule type="duplicateValues" dxfId="546" priority="2762"/>
    <cfRule type="duplicateValues" dxfId="545" priority="2763"/>
    <cfRule type="duplicateValues" dxfId="544" priority="2764"/>
    <cfRule type="duplicateValues" dxfId="543" priority="2765"/>
    <cfRule type="duplicateValues" dxfId="542" priority="2766"/>
  </conditionalFormatting>
  <conditionalFormatting sqref="J3290:J3365">
    <cfRule type="duplicateValues" dxfId="541" priority="2767" stopIfTrue="1"/>
  </conditionalFormatting>
  <conditionalFormatting sqref="J3290:J3365">
    <cfRule type="duplicateValues" dxfId="540" priority="2768"/>
    <cfRule type="duplicateValues" dxfId="539" priority="2769"/>
  </conditionalFormatting>
  <conditionalFormatting sqref="J3290:J3365">
    <cfRule type="duplicateValues" dxfId="538" priority="2770"/>
    <cfRule type="duplicateValues" dxfId="537" priority="2771"/>
    <cfRule type="duplicateValues" dxfId="536" priority="2772"/>
  </conditionalFormatting>
  <conditionalFormatting sqref="J3380:J3386">
    <cfRule type="duplicateValues" dxfId="535" priority="915"/>
  </conditionalFormatting>
  <conditionalFormatting sqref="F3380:F3386">
    <cfRule type="duplicateValues" dxfId="534" priority="913"/>
    <cfRule type="duplicateValues" dxfId="533" priority="914"/>
  </conditionalFormatting>
  <conditionalFormatting sqref="F3380:F3386">
    <cfRule type="duplicateValues" dxfId="532" priority="912"/>
  </conditionalFormatting>
  <conditionalFormatting sqref="J3380:J3386">
    <cfRule type="duplicateValues" dxfId="531" priority="907"/>
    <cfRule type="duplicateValues" dxfId="530" priority="908"/>
    <cfRule type="duplicateValues" dxfId="529" priority="909"/>
    <cfRule type="duplicateValues" dxfId="528" priority="910"/>
    <cfRule type="duplicateValues" dxfId="527" priority="911"/>
  </conditionalFormatting>
  <conditionalFormatting sqref="J3380:J3386">
    <cfRule type="duplicateValues" dxfId="526" priority="904"/>
    <cfRule type="duplicateValues" dxfId="525" priority="905"/>
  </conditionalFormatting>
  <conditionalFormatting sqref="J3380:J3386">
    <cfRule type="duplicateValues" dxfId="524" priority="901"/>
    <cfRule type="duplicateValues" dxfId="523" priority="902"/>
    <cfRule type="duplicateValues" dxfId="522" priority="903"/>
  </conditionalFormatting>
  <conditionalFormatting sqref="F3366:F3416">
    <cfRule type="duplicateValues" dxfId="521" priority="3122"/>
    <cfRule type="duplicateValues" dxfId="520" priority="3123"/>
  </conditionalFormatting>
  <conditionalFormatting sqref="F3366:F3416">
    <cfRule type="duplicateValues" dxfId="519" priority="3126"/>
  </conditionalFormatting>
  <conditionalFormatting sqref="J3366:J3416">
    <cfRule type="duplicateValues" dxfId="518" priority="3128"/>
    <cfRule type="duplicateValues" dxfId="517" priority="3129"/>
    <cfRule type="duplicateValues" dxfId="516" priority="3130"/>
    <cfRule type="duplicateValues" dxfId="515" priority="3131"/>
    <cfRule type="duplicateValues" dxfId="514" priority="3132"/>
  </conditionalFormatting>
  <conditionalFormatting sqref="J3366:J3416">
    <cfRule type="duplicateValues" dxfId="513" priority="3138" stopIfTrue="1"/>
  </conditionalFormatting>
  <conditionalFormatting sqref="J3366:J3416">
    <cfRule type="duplicateValues" dxfId="512" priority="3140"/>
    <cfRule type="duplicateValues" dxfId="511" priority="3141"/>
  </conditionalFormatting>
  <conditionalFormatting sqref="J3366:J3416">
    <cfRule type="duplicateValues" dxfId="510" priority="3144"/>
    <cfRule type="duplicateValues" dxfId="509" priority="3145"/>
    <cfRule type="duplicateValues" dxfId="508" priority="3146"/>
  </conditionalFormatting>
  <conditionalFormatting sqref="F3482:F3488">
    <cfRule type="duplicateValues" dxfId="507" priority="885"/>
    <cfRule type="duplicateValues" dxfId="506" priority="886"/>
  </conditionalFormatting>
  <conditionalFormatting sqref="F3482:F3488">
    <cfRule type="duplicateValues" dxfId="505" priority="884"/>
  </conditionalFormatting>
  <conditionalFormatting sqref="J3482:J3488">
    <cfRule type="duplicateValues" dxfId="504" priority="879"/>
    <cfRule type="duplicateValues" dxfId="503" priority="880"/>
    <cfRule type="duplicateValues" dxfId="502" priority="881"/>
    <cfRule type="duplicateValues" dxfId="501" priority="882"/>
    <cfRule type="duplicateValues" dxfId="500" priority="883"/>
  </conditionalFormatting>
  <conditionalFormatting sqref="J3482:J3488">
    <cfRule type="duplicateValues" dxfId="499" priority="878" stopIfTrue="1"/>
  </conditionalFormatting>
  <conditionalFormatting sqref="J3482:J3488">
    <cfRule type="duplicateValues" dxfId="498" priority="876"/>
    <cfRule type="duplicateValues" dxfId="497" priority="877"/>
  </conditionalFormatting>
  <conditionalFormatting sqref="J3482:J3488">
    <cfRule type="duplicateValues" dxfId="496" priority="873"/>
    <cfRule type="duplicateValues" dxfId="495" priority="874"/>
    <cfRule type="duplicateValues" dxfId="494" priority="875"/>
  </conditionalFormatting>
  <conditionalFormatting sqref="F3482">
    <cfRule type="duplicateValues" dxfId="493" priority="871"/>
    <cfRule type="duplicateValues" dxfId="492" priority="872"/>
  </conditionalFormatting>
  <conditionalFormatting sqref="F3482">
    <cfRule type="duplicateValues" dxfId="491" priority="870"/>
  </conditionalFormatting>
  <conditionalFormatting sqref="J3482">
    <cfRule type="duplicateValues" dxfId="490" priority="865"/>
    <cfRule type="duplicateValues" dxfId="489" priority="866"/>
    <cfRule type="duplicateValues" dxfId="488" priority="867"/>
    <cfRule type="duplicateValues" dxfId="487" priority="868"/>
    <cfRule type="duplicateValues" dxfId="486" priority="869"/>
  </conditionalFormatting>
  <conditionalFormatting sqref="J3482">
    <cfRule type="duplicateValues" dxfId="485" priority="864" stopIfTrue="1"/>
  </conditionalFormatting>
  <conditionalFormatting sqref="J3482">
    <cfRule type="duplicateValues" dxfId="484" priority="862"/>
    <cfRule type="duplicateValues" dxfId="483" priority="863"/>
  </conditionalFormatting>
  <conditionalFormatting sqref="J3482">
    <cfRule type="duplicateValues" dxfId="482" priority="859"/>
    <cfRule type="duplicateValues" dxfId="481" priority="860"/>
    <cfRule type="duplicateValues" dxfId="480" priority="861"/>
  </conditionalFormatting>
  <conditionalFormatting sqref="F3483">
    <cfRule type="duplicateValues" dxfId="479" priority="857"/>
    <cfRule type="duplicateValues" dxfId="478" priority="858"/>
  </conditionalFormatting>
  <conditionalFormatting sqref="F3483">
    <cfRule type="duplicateValues" dxfId="477" priority="856"/>
  </conditionalFormatting>
  <conditionalFormatting sqref="F3484">
    <cfRule type="duplicateValues" dxfId="476" priority="854"/>
    <cfRule type="duplicateValues" dxfId="475" priority="855"/>
  </conditionalFormatting>
  <conditionalFormatting sqref="F3484">
    <cfRule type="duplicateValues" dxfId="474" priority="853"/>
  </conditionalFormatting>
  <conditionalFormatting sqref="J3483">
    <cfRule type="duplicateValues" dxfId="473" priority="848"/>
    <cfRule type="duplicateValues" dxfId="472" priority="849"/>
    <cfRule type="duplicateValues" dxfId="471" priority="850"/>
    <cfRule type="duplicateValues" dxfId="470" priority="851"/>
    <cfRule type="duplicateValues" dxfId="469" priority="852"/>
  </conditionalFormatting>
  <conditionalFormatting sqref="J3483">
    <cfRule type="duplicateValues" dxfId="468" priority="847" stopIfTrue="1"/>
  </conditionalFormatting>
  <conditionalFormatting sqref="J3483">
    <cfRule type="duplicateValues" dxfId="467" priority="845"/>
    <cfRule type="duplicateValues" dxfId="466" priority="846"/>
  </conditionalFormatting>
  <conditionalFormatting sqref="J3483">
    <cfRule type="duplicateValues" dxfId="465" priority="842"/>
    <cfRule type="duplicateValues" dxfId="464" priority="843"/>
    <cfRule type="duplicateValues" dxfId="463" priority="844"/>
  </conditionalFormatting>
  <conditionalFormatting sqref="J3484">
    <cfRule type="duplicateValues" dxfId="462" priority="837"/>
    <cfRule type="duplicateValues" dxfId="461" priority="838"/>
    <cfRule type="duplicateValues" dxfId="460" priority="839"/>
    <cfRule type="duplicateValues" dxfId="459" priority="840"/>
    <cfRule type="duplicateValues" dxfId="458" priority="841"/>
  </conditionalFormatting>
  <conditionalFormatting sqref="J3484">
    <cfRule type="duplicateValues" dxfId="457" priority="836" stopIfTrue="1"/>
  </conditionalFormatting>
  <conditionalFormatting sqref="J3484">
    <cfRule type="duplicateValues" dxfId="456" priority="834"/>
    <cfRule type="duplicateValues" dxfId="455" priority="835"/>
  </conditionalFormatting>
  <conditionalFormatting sqref="J3484">
    <cfRule type="duplicateValues" dxfId="454" priority="831"/>
    <cfRule type="duplicateValues" dxfId="453" priority="832"/>
    <cfRule type="duplicateValues" dxfId="452" priority="833"/>
  </conditionalFormatting>
  <conditionalFormatting sqref="F3485">
    <cfRule type="duplicateValues" dxfId="451" priority="829"/>
    <cfRule type="duplicateValues" dxfId="450" priority="830"/>
  </conditionalFormatting>
  <conditionalFormatting sqref="F3485">
    <cfRule type="duplicateValues" dxfId="449" priority="828"/>
  </conditionalFormatting>
  <conditionalFormatting sqref="F3486">
    <cfRule type="duplicateValues" dxfId="448" priority="826"/>
    <cfRule type="duplicateValues" dxfId="447" priority="827"/>
  </conditionalFormatting>
  <conditionalFormatting sqref="F3486">
    <cfRule type="duplicateValues" dxfId="446" priority="825"/>
  </conditionalFormatting>
  <conditionalFormatting sqref="J3485">
    <cfRule type="duplicateValues" dxfId="445" priority="820"/>
    <cfRule type="duplicateValues" dxfId="444" priority="821"/>
    <cfRule type="duplicateValues" dxfId="443" priority="822"/>
    <cfRule type="duplicateValues" dxfId="442" priority="823"/>
    <cfRule type="duplicateValues" dxfId="441" priority="824"/>
  </conditionalFormatting>
  <conditionalFormatting sqref="J3485">
    <cfRule type="duplicateValues" dxfId="440" priority="819" stopIfTrue="1"/>
  </conditionalFormatting>
  <conditionalFormatting sqref="J3485">
    <cfRule type="duplicateValues" dxfId="439" priority="817"/>
    <cfRule type="duplicateValues" dxfId="438" priority="818"/>
  </conditionalFormatting>
  <conditionalFormatting sqref="J3485">
    <cfRule type="duplicateValues" dxfId="437" priority="814"/>
    <cfRule type="duplicateValues" dxfId="436" priority="815"/>
    <cfRule type="duplicateValues" dxfId="435" priority="816"/>
  </conditionalFormatting>
  <conditionalFormatting sqref="J3486">
    <cfRule type="duplicateValues" dxfId="434" priority="809"/>
    <cfRule type="duplicateValues" dxfId="433" priority="810"/>
    <cfRule type="duplicateValues" dxfId="432" priority="811"/>
    <cfRule type="duplicateValues" dxfId="431" priority="812"/>
    <cfRule type="duplicateValues" dxfId="430" priority="813"/>
  </conditionalFormatting>
  <conditionalFormatting sqref="J3486">
    <cfRule type="duplicateValues" dxfId="429" priority="808" stopIfTrue="1"/>
  </conditionalFormatting>
  <conditionalFormatting sqref="J3486">
    <cfRule type="duplicateValues" dxfId="428" priority="806"/>
    <cfRule type="duplicateValues" dxfId="427" priority="807"/>
  </conditionalFormatting>
  <conditionalFormatting sqref="J3486">
    <cfRule type="duplicateValues" dxfId="426" priority="803"/>
    <cfRule type="duplicateValues" dxfId="425" priority="804"/>
    <cfRule type="duplicateValues" dxfId="424" priority="805"/>
  </conditionalFormatting>
  <conditionalFormatting sqref="F3487">
    <cfRule type="duplicateValues" dxfId="423" priority="801"/>
    <cfRule type="duplicateValues" dxfId="422" priority="802"/>
  </conditionalFormatting>
  <conditionalFormatting sqref="F3487">
    <cfRule type="duplicateValues" dxfId="421" priority="800"/>
  </conditionalFormatting>
  <conditionalFormatting sqref="F3488">
    <cfRule type="duplicateValues" dxfId="420" priority="798"/>
    <cfRule type="duplicateValues" dxfId="419" priority="799"/>
  </conditionalFormatting>
  <conditionalFormatting sqref="F3488">
    <cfRule type="duplicateValues" dxfId="418" priority="797"/>
  </conditionalFormatting>
  <conditionalFormatting sqref="J3487">
    <cfRule type="duplicateValues" dxfId="417" priority="792"/>
    <cfRule type="duplicateValues" dxfId="416" priority="793"/>
    <cfRule type="duplicateValues" dxfId="415" priority="794"/>
    <cfRule type="duplicateValues" dxfId="414" priority="795"/>
    <cfRule type="duplicateValues" dxfId="413" priority="796"/>
  </conditionalFormatting>
  <conditionalFormatting sqref="J3487">
    <cfRule type="duplicateValues" dxfId="412" priority="791" stopIfTrue="1"/>
  </conditionalFormatting>
  <conditionalFormatting sqref="J3487">
    <cfRule type="duplicateValues" dxfId="411" priority="789"/>
    <cfRule type="duplicateValues" dxfId="410" priority="790"/>
  </conditionalFormatting>
  <conditionalFormatting sqref="J3487">
    <cfRule type="duplicateValues" dxfId="409" priority="786"/>
    <cfRule type="duplicateValues" dxfId="408" priority="787"/>
    <cfRule type="duplicateValues" dxfId="407" priority="788"/>
  </conditionalFormatting>
  <conditionalFormatting sqref="J3488">
    <cfRule type="duplicateValues" dxfId="406" priority="781"/>
    <cfRule type="duplicateValues" dxfId="405" priority="782"/>
    <cfRule type="duplicateValues" dxfId="404" priority="783"/>
    <cfRule type="duplicateValues" dxfId="403" priority="784"/>
    <cfRule type="duplicateValues" dxfId="402" priority="785"/>
  </conditionalFormatting>
  <conditionalFormatting sqref="J3488">
    <cfRule type="duplicateValues" dxfId="401" priority="780" stopIfTrue="1"/>
  </conditionalFormatting>
  <conditionalFormatting sqref="J3488">
    <cfRule type="duplicateValues" dxfId="400" priority="778"/>
    <cfRule type="duplicateValues" dxfId="399" priority="779"/>
  </conditionalFormatting>
  <conditionalFormatting sqref="J3488">
    <cfRule type="duplicateValues" dxfId="398" priority="775"/>
    <cfRule type="duplicateValues" dxfId="397" priority="776"/>
    <cfRule type="duplicateValues" dxfId="396" priority="777"/>
  </conditionalFormatting>
  <conditionalFormatting sqref="F3489:F3495">
    <cfRule type="duplicateValues" dxfId="395" priority="773"/>
    <cfRule type="duplicateValues" dxfId="394" priority="774"/>
  </conditionalFormatting>
  <conditionalFormatting sqref="F3489:F3495">
    <cfRule type="duplicateValues" dxfId="393" priority="772"/>
  </conditionalFormatting>
  <conditionalFormatting sqref="J3489:J3495">
    <cfRule type="duplicateValues" dxfId="392" priority="767"/>
    <cfRule type="duplicateValues" dxfId="391" priority="768"/>
    <cfRule type="duplicateValues" dxfId="390" priority="769"/>
    <cfRule type="duplicateValues" dxfId="389" priority="770"/>
    <cfRule type="duplicateValues" dxfId="388" priority="771"/>
  </conditionalFormatting>
  <conditionalFormatting sqref="J3489:J3495">
    <cfRule type="duplicateValues" dxfId="387" priority="766" stopIfTrue="1"/>
  </conditionalFormatting>
  <conditionalFormatting sqref="J3489:J3495">
    <cfRule type="duplicateValues" dxfId="386" priority="764"/>
    <cfRule type="duplicateValues" dxfId="385" priority="765"/>
  </conditionalFormatting>
  <conditionalFormatting sqref="J3489:J3495">
    <cfRule type="duplicateValues" dxfId="384" priority="761"/>
    <cfRule type="duplicateValues" dxfId="383" priority="762"/>
    <cfRule type="duplicateValues" dxfId="382" priority="763"/>
  </conditionalFormatting>
  <conditionalFormatting sqref="F3489:F3490">
    <cfRule type="duplicateValues" dxfId="381" priority="745"/>
    <cfRule type="duplicateValues" dxfId="380" priority="746"/>
  </conditionalFormatting>
  <conditionalFormatting sqref="F3489:F3490">
    <cfRule type="duplicateValues" dxfId="379" priority="744"/>
  </conditionalFormatting>
  <conditionalFormatting sqref="F3490">
    <cfRule type="duplicateValues" dxfId="378" priority="739"/>
    <cfRule type="duplicateValues" dxfId="377" priority="740"/>
  </conditionalFormatting>
  <conditionalFormatting sqref="F3490">
    <cfRule type="duplicateValues" dxfId="376" priority="738"/>
  </conditionalFormatting>
  <conditionalFormatting sqref="J3489">
    <cfRule type="duplicateValues" dxfId="375" priority="730"/>
    <cfRule type="duplicateValues" dxfId="374" priority="731"/>
    <cfRule type="duplicateValues" dxfId="373" priority="732"/>
    <cfRule type="duplicateValues" dxfId="372" priority="733"/>
    <cfRule type="duplicateValues" dxfId="371" priority="734"/>
  </conditionalFormatting>
  <conditionalFormatting sqref="J3489">
    <cfRule type="duplicateValues" dxfId="370" priority="729" stopIfTrue="1"/>
  </conditionalFormatting>
  <conditionalFormatting sqref="J3489">
    <cfRule type="duplicateValues" dxfId="369" priority="727"/>
    <cfRule type="duplicateValues" dxfId="368" priority="728"/>
  </conditionalFormatting>
  <conditionalFormatting sqref="J3489">
    <cfRule type="duplicateValues" dxfId="367" priority="724"/>
    <cfRule type="duplicateValues" dxfId="366" priority="725"/>
    <cfRule type="duplicateValues" dxfId="365" priority="726"/>
  </conditionalFormatting>
  <conditionalFormatting sqref="J3490">
    <cfRule type="duplicateValues" dxfId="364" priority="708"/>
    <cfRule type="duplicateValues" dxfId="363" priority="709"/>
    <cfRule type="duplicateValues" dxfId="362" priority="710"/>
    <cfRule type="duplicateValues" dxfId="361" priority="711"/>
    <cfRule type="duplicateValues" dxfId="360" priority="712"/>
  </conditionalFormatting>
  <conditionalFormatting sqref="J3490">
    <cfRule type="duplicateValues" dxfId="359" priority="707" stopIfTrue="1"/>
  </conditionalFormatting>
  <conditionalFormatting sqref="J3490">
    <cfRule type="duplicateValues" dxfId="358" priority="705"/>
    <cfRule type="duplicateValues" dxfId="357" priority="706"/>
  </conditionalFormatting>
  <conditionalFormatting sqref="J3490">
    <cfRule type="duplicateValues" dxfId="356" priority="702"/>
    <cfRule type="duplicateValues" dxfId="355" priority="703"/>
    <cfRule type="duplicateValues" dxfId="354" priority="704"/>
  </conditionalFormatting>
  <conditionalFormatting sqref="F3491">
    <cfRule type="duplicateValues" dxfId="353" priority="689"/>
    <cfRule type="duplicateValues" dxfId="352" priority="690"/>
  </conditionalFormatting>
  <conditionalFormatting sqref="F3491">
    <cfRule type="duplicateValues" dxfId="351" priority="688"/>
  </conditionalFormatting>
  <conditionalFormatting sqref="F3492">
    <cfRule type="duplicateValues" dxfId="350" priority="677"/>
    <cfRule type="duplicateValues" dxfId="349" priority="678"/>
  </conditionalFormatting>
  <conditionalFormatting sqref="F3492">
    <cfRule type="duplicateValues" dxfId="348" priority="676"/>
  </conditionalFormatting>
  <conditionalFormatting sqref="J3491">
    <cfRule type="duplicateValues" dxfId="347" priority="662"/>
    <cfRule type="duplicateValues" dxfId="346" priority="663"/>
    <cfRule type="duplicateValues" dxfId="345" priority="664"/>
    <cfRule type="duplicateValues" dxfId="344" priority="665"/>
    <cfRule type="duplicateValues" dxfId="343" priority="666"/>
  </conditionalFormatting>
  <conditionalFormatting sqref="J3491">
    <cfRule type="duplicateValues" dxfId="342" priority="661" stopIfTrue="1"/>
  </conditionalFormatting>
  <conditionalFormatting sqref="J3491">
    <cfRule type="duplicateValues" dxfId="341" priority="659"/>
    <cfRule type="duplicateValues" dxfId="340" priority="660"/>
  </conditionalFormatting>
  <conditionalFormatting sqref="J3491">
    <cfRule type="duplicateValues" dxfId="339" priority="656"/>
    <cfRule type="duplicateValues" dxfId="338" priority="657"/>
    <cfRule type="duplicateValues" dxfId="337" priority="658"/>
  </conditionalFormatting>
  <conditionalFormatting sqref="J3492">
    <cfRule type="duplicateValues" dxfId="336" priority="640"/>
    <cfRule type="duplicateValues" dxfId="335" priority="641"/>
    <cfRule type="duplicateValues" dxfId="334" priority="642"/>
    <cfRule type="duplicateValues" dxfId="333" priority="643"/>
    <cfRule type="duplicateValues" dxfId="332" priority="644"/>
  </conditionalFormatting>
  <conditionalFormatting sqref="J3492">
    <cfRule type="duplicateValues" dxfId="331" priority="639" stopIfTrue="1"/>
  </conditionalFormatting>
  <conditionalFormatting sqref="J3492">
    <cfRule type="duplicateValues" dxfId="330" priority="637"/>
    <cfRule type="duplicateValues" dxfId="329" priority="638"/>
  </conditionalFormatting>
  <conditionalFormatting sqref="J3492">
    <cfRule type="duplicateValues" dxfId="328" priority="634"/>
    <cfRule type="duplicateValues" dxfId="327" priority="635"/>
    <cfRule type="duplicateValues" dxfId="326" priority="636"/>
  </conditionalFormatting>
  <conditionalFormatting sqref="F3496:F3499">
    <cfRule type="duplicateValues" dxfId="325" priority="621"/>
    <cfRule type="duplicateValues" dxfId="324" priority="622"/>
  </conditionalFormatting>
  <conditionalFormatting sqref="F3496:F3499">
    <cfRule type="duplicateValues" dxfId="323" priority="620"/>
  </conditionalFormatting>
  <conditionalFormatting sqref="J3496:J3499">
    <cfRule type="duplicateValues" dxfId="322" priority="615"/>
    <cfRule type="duplicateValues" dxfId="321" priority="616"/>
    <cfRule type="duplicateValues" dxfId="320" priority="617"/>
    <cfRule type="duplicateValues" dxfId="319" priority="618"/>
    <cfRule type="duplicateValues" dxfId="318" priority="619"/>
  </conditionalFormatting>
  <conditionalFormatting sqref="J3496:J3499">
    <cfRule type="duplicateValues" dxfId="317" priority="614" stopIfTrue="1"/>
  </conditionalFormatting>
  <conditionalFormatting sqref="J3496:J3499">
    <cfRule type="duplicateValues" dxfId="316" priority="612"/>
    <cfRule type="duplicateValues" dxfId="315" priority="613"/>
  </conditionalFormatting>
  <conditionalFormatting sqref="J3496:J3499">
    <cfRule type="duplicateValues" dxfId="314" priority="609"/>
    <cfRule type="duplicateValues" dxfId="313" priority="610"/>
    <cfRule type="duplicateValues" dxfId="312" priority="611"/>
  </conditionalFormatting>
  <conditionalFormatting sqref="F3500:F3505">
    <cfRule type="duplicateValues" dxfId="311" priority="593"/>
    <cfRule type="duplicateValues" dxfId="310" priority="594"/>
  </conditionalFormatting>
  <conditionalFormatting sqref="F3500:F3505">
    <cfRule type="duplicateValues" dxfId="309" priority="592"/>
  </conditionalFormatting>
  <conditionalFormatting sqref="J3500:J3505">
    <cfRule type="duplicateValues" dxfId="308" priority="587"/>
    <cfRule type="duplicateValues" dxfId="307" priority="588"/>
    <cfRule type="duplicateValues" dxfId="306" priority="589"/>
    <cfRule type="duplicateValues" dxfId="305" priority="590"/>
    <cfRule type="duplicateValues" dxfId="304" priority="591"/>
  </conditionalFormatting>
  <conditionalFormatting sqref="J3500:J3505">
    <cfRule type="duplicateValues" dxfId="303" priority="586" stopIfTrue="1"/>
  </conditionalFormatting>
  <conditionalFormatting sqref="J3500:J3505">
    <cfRule type="duplicateValues" dxfId="302" priority="584"/>
    <cfRule type="duplicateValues" dxfId="301" priority="585"/>
  </conditionalFormatting>
  <conditionalFormatting sqref="J3500:J3505">
    <cfRule type="duplicateValues" dxfId="300" priority="581"/>
    <cfRule type="duplicateValues" dxfId="299" priority="582"/>
    <cfRule type="duplicateValues" dxfId="298" priority="583"/>
  </conditionalFormatting>
  <conditionalFormatting sqref="F3500">
    <cfRule type="duplicateValues" dxfId="297" priority="565"/>
    <cfRule type="duplicateValues" dxfId="296" priority="566"/>
  </conditionalFormatting>
  <conditionalFormatting sqref="F3500">
    <cfRule type="duplicateValues" dxfId="295" priority="564"/>
  </conditionalFormatting>
  <conditionalFormatting sqref="J3500">
    <cfRule type="duplicateValues" dxfId="294" priority="559"/>
    <cfRule type="duplicateValues" dxfId="293" priority="560"/>
    <cfRule type="duplicateValues" dxfId="292" priority="561"/>
    <cfRule type="duplicateValues" dxfId="291" priority="562"/>
    <cfRule type="duplicateValues" dxfId="290" priority="563"/>
  </conditionalFormatting>
  <conditionalFormatting sqref="J3500">
    <cfRule type="duplicateValues" dxfId="289" priority="558" stopIfTrue="1"/>
  </conditionalFormatting>
  <conditionalFormatting sqref="J3500">
    <cfRule type="duplicateValues" dxfId="288" priority="556"/>
    <cfRule type="duplicateValues" dxfId="287" priority="557"/>
  </conditionalFormatting>
  <conditionalFormatting sqref="J3500">
    <cfRule type="duplicateValues" dxfId="286" priority="553"/>
    <cfRule type="duplicateValues" dxfId="285" priority="554"/>
    <cfRule type="duplicateValues" dxfId="284" priority="555"/>
  </conditionalFormatting>
  <conditionalFormatting sqref="F3501">
    <cfRule type="duplicateValues" dxfId="283" priority="537"/>
    <cfRule type="duplicateValues" dxfId="282" priority="538"/>
  </conditionalFormatting>
  <conditionalFormatting sqref="F3501">
    <cfRule type="duplicateValues" dxfId="281" priority="536"/>
  </conditionalFormatting>
  <conditionalFormatting sqref="J3501">
    <cfRule type="duplicateValues" dxfId="280" priority="531"/>
    <cfRule type="duplicateValues" dxfId="279" priority="532"/>
    <cfRule type="duplicateValues" dxfId="278" priority="533"/>
    <cfRule type="duplicateValues" dxfId="277" priority="534"/>
    <cfRule type="duplicateValues" dxfId="276" priority="535"/>
  </conditionalFormatting>
  <conditionalFormatting sqref="J3501">
    <cfRule type="duplicateValues" dxfId="275" priority="530" stopIfTrue="1"/>
  </conditionalFormatting>
  <conditionalFormatting sqref="J3501">
    <cfRule type="duplicateValues" dxfId="274" priority="528"/>
    <cfRule type="duplicateValues" dxfId="273" priority="529"/>
  </conditionalFormatting>
  <conditionalFormatting sqref="J3501">
    <cfRule type="duplicateValues" dxfId="272" priority="525"/>
    <cfRule type="duplicateValues" dxfId="271" priority="526"/>
    <cfRule type="duplicateValues" dxfId="270" priority="527"/>
  </conditionalFormatting>
  <conditionalFormatting sqref="F3502">
    <cfRule type="duplicateValues" dxfId="269" priority="509"/>
    <cfRule type="duplicateValues" dxfId="268" priority="510"/>
  </conditionalFormatting>
  <conditionalFormatting sqref="F3502">
    <cfRule type="duplicateValues" dxfId="267" priority="508"/>
  </conditionalFormatting>
  <conditionalFormatting sqref="J3502">
    <cfRule type="duplicateValues" dxfId="266" priority="503"/>
    <cfRule type="duplicateValues" dxfId="265" priority="504"/>
    <cfRule type="duplicateValues" dxfId="264" priority="505"/>
    <cfRule type="duplicateValues" dxfId="263" priority="506"/>
    <cfRule type="duplicateValues" dxfId="262" priority="507"/>
  </conditionalFormatting>
  <conditionalFormatting sqref="J3502">
    <cfRule type="duplicateValues" dxfId="261" priority="502" stopIfTrue="1"/>
  </conditionalFormatting>
  <conditionalFormatting sqref="J3502">
    <cfRule type="duplicateValues" dxfId="260" priority="500"/>
    <cfRule type="duplicateValues" dxfId="259" priority="501"/>
  </conditionalFormatting>
  <conditionalFormatting sqref="J3502">
    <cfRule type="duplicateValues" dxfId="258" priority="497"/>
    <cfRule type="duplicateValues" dxfId="257" priority="498"/>
    <cfRule type="duplicateValues" dxfId="256" priority="499"/>
  </conditionalFormatting>
  <conditionalFormatting sqref="F3503">
    <cfRule type="duplicateValues" dxfId="255" priority="481"/>
    <cfRule type="duplicateValues" dxfId="254" priority="482"/>
  </conditionalFormatting>
  <conditionalFormatting sqref="F3503">
    <cfRule type="duplicateValues" dxfId="253" priority="480"/>
  </conditionalFormatting>
  <conditionalFormatting sqref="F3504">
    <cfRule type="duplicateValues" dxfId="252" priority="475"/>
    <cfRule type="duplicateValues" dxfId="251" priority="476"/>
  </conditionalFormatting>
  <conditionalFormatting sqref="F3504">
    <cfRule type="duplicateValues" dxfId="250" priority="474"/>
  </conditionalFormatting>
  <conditionalFormatting sqref="J3503">
    <cfRule type="duplicateValues" dxfId="249" priority="466"/>
    <cfRule type="duplicateValues" dxfId="248" priority="467"/>
    <cfRule type="duplicateValues" dxfId="247" priority="468"/>
    <cfRule type="duplicateValues" dxfId="246" priority="469"/>
    <cfRule type="duplicateValues" dxfId="245" priority="470"/>
  </conditionalFormatting>
  <conditionalFormatting sqref="J3503">
    <cfRule type="duplicateValues" dxfId="244" priority="465" stopIfTrue="1"/>
  </conditionalFormatting>
  <conditionalFormatting sqref="J3503">
    <cfRule type="duplicateValues" dxfId="243" priority="463"/>
    <cfRule type="duplicateValues" dxfId="242" priority="464"/>
  </conditionalFormatting>
  <conditionalFormatting sqref="J3503">
    <cfRule type="duplicateValues" dxfId="241" priority="460"/>
    <cfRule type="duplicateValues" dxfId="240" priority="461"/>
    <cfRule type="duplicateValues" dxfId="239" priority="462"/>
  </conditionalFormatting>
  <conditionalFormatting sqref="J3504">
    <cfRule type="duplicateValues" dxfId="238" priority="444"/>
    <cfRule type="duplicateValues" dxfId="237" priority="445"/>
    <cfRule type="duplicateValues" dxfId="236" priority="446"/>
    <cfRule type="duplicateValues" dxfId="235" priority="447"/>
    <cfRule type="duplicateValues" dxfId="234" priority="448"/>
  </conditionalFormatting>
  <conditionalFormatting sqref="J3504">
    <cfRule type="duplicateValues" dxfId="233" priority="443" stopIfTrue="1"/>
  </conditionalFormatting>
  <conditionalFormatting sqref="J3504">
    <cfRule type="duplicateValues" dxfId="232" priority="441"/>
    <cfRule type="duplicateValues" dxfId="231" priority="442"/>
  </conditionalFormatting>
  <conditionalFormatting sqref="J3504">
    <cfRule type="duplicateValues" dxfId="230" priority="438"/>
    <cfRule type="duplicateValues" dxfId="229" priority="439"/>
    <cfRule type="duplicateValues" dxfId="228" priority="440"/>
  </conditionalFormatting>
  <conditionalFormatting sqref="F3506:F3511">
    <cfRule type="duplicateValues" dxfId="227" priority="425"/>
    <cfRule type="duplicateValues" dxfId="226" priority="426"/>
  </conditionalFormatting>
  <conditionalFormatting sqref="F3506:F3511">
    <cfRule type="duplicateValues" dxfId="225" priority="424"/>
  </conditionalFormatting>
  <conditionalFormatting sqref="J3506:J3511">
    <cfRule type="duplicateValues" dxfId="224" priority="419"/>
    <cfRule type="duplicateValues" dxfId="223" priority="420"/>
    <cfRule type="duplicateValues" dxfId="222" priority="421"/>
    <cfRule type="duplicateValues" dxfId="221" priority="422"/>
    <cfRule type="duplicateValues" dxfId="220" priority="423"/>
  </conditionalFormatting>
  <conditionalFormatting sqref="J3506:J3511">
    <cfRule type="duplicateValues" dxfId="219" priority="418" stopIfTrue="1"/>
  </conditionalFormatting>
  <conditionalFormatting sqref="J3506:J3511">
    <cfRule type="duplicateValues" dxfId="218" priority="416"/>
    <cfRule type="duplicateValues" dxfId="217" priority="417"/>
  </conditionalFormatting>
  <conditionalFormatting sqref="J3506:J3511">
    <cfRule type="duplicateValues" dxfId="216" priority="413"/>
    <cfRule type="duplicateValues" dxfId="215" priority="414"/>
    <cfRule type="duplicateValues" dxfId="214" priority="415"/>
  </conditionalFormatting>
  <conditionalFormatting sqref="F3506">
    <cfRule type="duplicateValues" dxfId="213" priority="397"/>
    <cfRule type="duplicateValues" dxfId="212" priority="398"/>
  </conditionalFormatting>
  <conditionalFormatting sqref="F3506">
    <cfRule type="duplicateValues" dxfId="211" priority="396"/>
  </conditionalFormatting>
  <conditionalFormatting sqref="J3506">
    <cfRule type="duplicateValues" dxfId="210" priority="388"/>
    <cfRule type="duplicateValues" dxfId="209" priority="389"/>
    <cfRule type="duplicateValues" dxfId="208" priority="390"/>
    <cfRule type="duplicateValues" dxfId="207" priority="391"/>
    <cfRule type="duplicateValues" dxfId="206" priority="392"/>
  </conditionalFormatting>
  <conditionalFormatting sqref="J3506">
    <cfRule type="duplicateValues" dxfId="205" priority="387" stopIfTrue="1"/>
  </conditionalFormatting>
  <conditionalFormatting sqref="J3506">
    <cfRule type="duplicateValues" dxfId="204" priority="385"/>
    <cfRule type="duplicateValues" dxfId="203" priority="386"/>
  </conditionalFormatting>
  <conditionalFormatting sqref="J3506">
    <cfRule type="duplicateValues" dxfId="202" priority="382"/>
    <cfRule type="duplicateValues" dxfId="201" priority="383"/>
    <cfRule type="duplicateValues" dxfId="200" priority="384"/>
  </conditionalFormatting>
  <conditionalFormatting sqref="F3507">
    <cfRule type="duplicateValues" dxfId="199" priority="369"/>
    <cfRule type="duplicateValues" dxfId="198" priority="370"/>
  </conditionalFormatting>
  <conditionalFormatting sqref="F3507">
    <cfRule type="duplicateValues" dxfId="197" priority="368"/>
  </conditionalFormatting>
  <conditionalFormatting sqref="J3507">
    <cfRule type="duplicateValues" dxfId="196" priority="360"/>
    <cfRule type="duplicateValues" dxfId="195" priority="361"/>
    <cfRule type="duplicateValues" dxfId="194" priority="362"/>
    <cfRule type="duplicateValues" dxfId="193" priority="363"/>
    <cfRule type="duplicateValues" dxfId="192" priority="364"/>
  </conditionalFormatting>
  <conditionalFormatting sqref="J3507">
    <cfRule type="duplicateValues" dxfId="191" priority="359" stopIfTrue="1"/>
  </conditionalFormatting>
  <conditionalFormatting sqref="J3507">
    <cfRule type="duplicateValues" dxfId="190" priority="357"/>
    <cfRule type="duplicateValues" dxfId="189" priority="358"/>
  </conditionalFormatting>
  <conditionalFormatting sqref="J3507">
    <cfRule type="duplicateValues" dxfId="188" priority="354"/>
    <cfRule type="duplicateValues" dxfId="187" priority="355"/>
    <cfRule type="duplicateValues" dxfId="186" priority="356"/>
  </conditionalFormatting>
  <conditionalFormatting sqref="J3508">
    <cfRule type="duplicateValues" dxfId="185" priority="349"/>
    <cfRule type="duplicateValues" dxfId="184" priority="350"/>
    <cfRule type="duplicateValues" dxfId="183" priority="351"/>
    <cfRule type="duplicateValues" dxfId="182" priority="352"/>
    <cfRule type="duplicateValues" dxfId="181" priority="353"/>
  </conditionalFormatting>
  <conditionalFormatting sqref="J3508">
    <cfRule type="duplicateValues" dxfId="180" priority="348" stopIfTrue="1"/>
  </conditionalFormatting>
  <conditionalFormatting sqref="J3508">
    <cfRule type="duplicateValues" dxfId="179" priority="346"/>
    <cfRule type="duplicateValues" dxfId="178" priority="347"/>
  </conditionalFormatting>
  <conditionalFormatting sqref="J3508">
    <cfRule type="duplicateValues" dxfId="177" priority="343"/>
    <cfRule type="duplicateValues" dxfId="176" priority="344"/>
    <cfRule type="duplicateValues" dxfId="175" priority="345"/>
  </conditionalFormatting>
  <conditionalFormatting sqref="J3509">
    <cfRule type="duplicateValues" dxfId="174" priority="338"/>
    <cfRule type="duplicateValues" dxfId="173" priority="339"/>
    <cfRule type="duplicateValues" dxfId="172" priority="340"/>
    <cfRule type="duplicateValues" dxfId="171" priority="341"/>
    <cfRule type="duplicateValues" dxfId="170" priority="342"/>
  </conditionalFormatting>
  <conditionalFormatting sqref="J3509">
    <cfRule type="duplicateValues" dxfId="169" priority="337" stopIfTrue="1"/>
  </conditionalFormatting>
  <conditionalFormatting sqref="J3509">
    <cfRule type="duplicateValues" dxfId="168" priority="335"/>
    <cfRule type="duplicateValues" dxfId="167" priority="336"/>
  </conditionalFormatting>
  <conditionalFormatting sqref="J3509">
    <cfRule type="duplicateValues" dxfId="166" priority="332"/>
    <cfRule type="duplicateValues" dxfId="165" priority="333"/>
    <cfRule type="duplicateValues" dxfId="164" priority="334"/>
  </conditionalFormatting>
  <conditionalFormatting sqref="F3512:F3515">
    <cfRule type="duplicateValues" dxfId="163" priority="330"/>
    <cfRule type="duplicateValues" dxfId="162" priority="331"/>
  </conditionalFormatting>
  <conditionalFormatting sqref="F3512:F3515">
    <cfRule type="duplicateValues" dxfId="161" priority="329"/>
  </conditionalFormatting>
  <conditionalFormatting sqref="J3512:J3515">
    <cfRule type="duplicateValues" dxfId="160" priority="324"/>
    <cfRule type="duplicateValues" dxfId="159" priority="325"/>
    <cfRule type="duplicateValues" dxfId="158" priority="326"/>
    <cfRule type="duplicateValues" dxfId="157" priority="327"/>
    <cfRule type="duplicateValues" dxfId="156" priority="328"/>
  </conditionalFormatting>
  <conditionalFormatting sqref="J3512:J3515">
    <cfRule type="duplicateValues" dxfId="155" priority="323" stopIfTrue="1"/>
  </conditionalFormatting>
  <conditionalFormatting sqref="J3512:J3515">
    <cfRule type="duplicateValues" dxfId="154" priority="321"/>
    <cfRule type="duplicateValues" dxfId="153" priority="322"/>
  </conditionalFormatting>
  <conditionalFormatting sqref="J3512:J3515">
    <cfRule type="duplicateValues" dxfId="152" priority="318"/>
    <cfRule type="duplicateValues" dxfId="151" priority="319"/>
    <cfRule type="duplicateValues" dxfId="150" priority="320"/>
  </conditionalFormatting>
  <conditionalFormatting sqref="J3510">
    <cfRule type="duplicateValues" dxfId="149" priority="299"/>
    <cfRule type="duplicateValues" dxfId="148" priority="300"/>
    <cfRule type="duplicateValues" dxfId="147" priority="301"/>
    <cfRule type="duplicateValues" dxfId="146" priority="302"/>
    <cfRule type="duplicateValues" dxfId="145" priority="303"/>
  </conditionalFormatting>
  <conditionalFormatting sqref="J3510">
    <cfRule type="duplicateValues" dxfId="144" priority="298" stopIfTrue="1"/>
  </conditionalFormatting>
  <conditionalFormatting sqref="J3510">
    <cfRule type="duplicateValues" dxfId="143" priority="296"/>
    <cfRule type="duplicateValues" dxfId="142" priority="297"/>
  </conditionalFormatting>
  <conditionalFormatting sqref="J3510">
    <cfRule type="duplicateValues" dxfId="141" priority="293"/>
    <cfRule type="duplicateValues" dxfId="140" priority="294"/>
    <cfRule type="duplicateValues" dxfId="139" priority="295"/>
  </conditionalFormatting>
  <conditionalFormatting sqref="J3511">
    <cfRule type="duplicateValues" dxfId="138" priority="288"/>
    <cfRule type="duplicateValues" dxfId="137" priority="289"/>
    <cfRule type="duplicateValues" dxfId="136" priority="290"/>
    <cfRule type="duplicateValues" dxfId="135" priority="291"/>
    <cfRule type="duplicateValues" dxfId="134" priority="292"/>
  </conditionalFormatting>
  <conditionalFormatting sqref="J3511">
    <cfRule type="duplicateValues" dxfId="133" priority="287" stopIfTrue="1"/>
  </conditionalFormatting>
  <conditionalFormatting sqref="J3511">
    <cfRule type="duplicateValues" dxfId="132" priority="285"/>
    <cfRule type="duplicateValues" dxfId="131" priority="286"/>
  </conditionalFormatting>
  <conditionalFormatting sqref="J3511">
    <cfRule type="duplicateValues" dxfId="130" priority="282"/>
    <cfRule type="duplicateValues" dxfId="129" priority="283"/>
    <cfRule type="duplicateValues" dxfId="128" priority="284"/>
  </conditionalFormatting>
  <conditionalFormatting sqref="F3417:F3481">
    <cfRule type="duplicateValues" dxfId="127" priority="4373"/>
    <cfRule type="duplicateValues" dxfId="126" priority="4374"/>
  </conditionalFormatting>
  <conditionalFormatting sqref="F3417:F3481">
    <cfRule type="duplicateValues" dxfId="125" priority="4377"/>
  </conditionalFormatting>
  <conditionalFormatting sqref="J3417:J3481">
    <cfRule type="duplicateValues" dxfId="124" priority="4379"/>
    <cfRule type="duplicateValues" dxfId="123" priority="4380"/>
    <cfRule type="duplicateValues" dxfId="122" priority="4381"/>
    <cfRule type="duplicateValues" dxfId="121" priority="4382"/>
    <cfRule type="duplicateValues" dxfId="120" priority="4383"/>
  </conditionalFormatting>
  <conditionalFormatting sqref="J3417:J3481">
    <cfRule type="duplicateValues" dxfId="119" priority="4389" stopIfTrue="1"/>
  </conditionalFormatting>
  <conditionalFormatting sqref="J3417:J3481">
    <cfRule type="duplicateValues" dxfId="118" priority="4391"/>
    <cfRule type="duplicateValues" dxfId="117" priority="4392"/>
  </conditionalFormatting>
  <conditionalFormatting sqref="J3417:J3481">
    <cfRule type="duplicateValues" dxfId="116" priority="4395"/>
    <cfRule type="duplicateValues" dxfId="115" priority="4396"/>
    <cfRule type="duplicateValues" dxfId="114" priority="4397"/>
  </conditionalFormatting>
  <conditionalFormatting sqref="F1:F1048576">
    <cfRule type="duplicateValues" dxfId="113" priority="259"/>
  </conditionalFormatting>
  <conditionalFormatting sqref="J3513:J3515">
    <cfRule type="duplicateValues" dxfId="112" priority="258"/>
  </conditionalFormatting>
  <conditionalFormatting sqref="F3513">
    <cfRule type="duplicateValues" dxfId="111" priority="256"/>
    <cfRule type="duplicateValues" dxfId="110" priority="257"/>
  </conditionalFormatting>
  <conditionalFormatting sqref="F3513">
    <cfRule type="duplicateValues" dxfId="109" priority="255"/>
  </conditionalFormatting>
  <conditionalFormatting sqref="J3513">
    <cfRule type="duplicateValues" dxfId="108" priority="250"/>
    <cfRule type="duplicateValues" dxfId="107" priority="251"/>
    <cfRule type="duplicateValues" dxfId="106" priority="252"/>
    <cfRule type="duplicateValues" dxfId="105" priority="253"/>
    <cfRule type="duplicateValues" dxfId="104" priority="254"/>
  </conditionalFormatting>
  <conditionalFormatting sqref="J3513">
    <cfRule type="duplicateValues" dxfId="103" priority="249" stopIfTrue="1"/>
  </conditionalFormatting>
  <conditionalFormatting sqref="J3513">
    <cfRule type="duplicateValues" dxfId="102" priority="247"/>
    <cfRule type="duplicateValues" dxfId="101" priority="248"/>
  </conditionalFormatting>
  <conditionalFormatting sqref="J3513">
    <cfRule type="duplicateValues" dxfId="100" priority="244"/>
    <cfRule type="duplicateValues" dxfId="99" priority="245"/>
    <cfRule type="duplicateValues" dxfId="98" priority="246"/>
  </conditionalFormatting>
  <conditionalFormatting sqref="F3514:F3515">
    <cfRule type="duplicateValues" dxfId="97" priority="242"/>
    <cfRule type="duplicateValues" dxfId="96" priority="243"/>
  </conditionalFormatting>
  <conditionalFormatting sqref="F3514:F3515">
    <cfRule type="duplicateValues" dxfId="95" priority="241"/>
  </conditionalFormatting>
  <conditionalFormatting sqref="J3514:J3515">
    <cfRule type="duplicateValues" dxfId="94" priority="236"/>
    <cfRule type="duplicateValues" dxfId="93" priority="237"/>
    <cfRule type="duplicateValues" dxfId="92" priority="238"/>
    <cfRule type="duplicateValues" dxfId="91" priority="239"/>
    <cfRule type="duplicateValues" dxfId="90" priority="240"/>
  </conditionalFormatting>
  <conditionalFormatting sqref="J3514:J3515">
    <cfRule type="duplicateValues" dxfId="89" priority="235" stopIfTrue="1"/>
  </conditionalFormatting>
  <conditionalFormatting sqref="J3514:J3515">
    <cfRule type="duplicateValues" dxfId="88" priority="233"/>
    <cfRule type="duplicateValues" dxfId="87" priority="234"/>
  </conditionalFormatting>
  <conditionalFormatting sqref="J3514:J3515">
    <cfRule type="duplicateValues" dxfId="86" priority="230"/>
    <cfRule type="duplicateValues" dxfId="85" priority="231"/>
    <cfRule type="duplicateValues" dxfId="84" priority="232"/>
  </conditionalFormatting>
  <conditionalFormatting sqref="F3516:F3524">
    <cfRule type="duplicateValues" dxfId="83" priority="228"/>
    <cfRule type="duplicateValues" dxfId="82" priority="229"/>
  </conditionalFormatting>
  <conditionalFormatting sqref="F3516:F3524">
    <cfRule type="duplicateValues" dxfId="81" priority="227"/>
  </conditionalFormatting>
  <conditionalFormatting sqref="J3516:J3524">
    <cfRule type="duplicateValues" dxfId="80" priority="222"/>
    <cfRule type="duplicateValues" dxfId="79" priority="223"/>
    <cfRule type="duplicateValues" dxfId="78" priority="224"/>
    <cfRule type="duplicateValues" dxfId="77" priority="225"/>
    <cfRule type="duplicateValues" dxfId="76" priority="226"/>
  </conditionalFormatting>
  <conditionalFormatting sqref="J3516:J3524">
    <cfRule type="duplicateValues" dxfId="75" priority="221" stopIfTrue="1"/>
  </conditionalFormatting>
  <conditionalFormatting sqref="J3516:J3524">
    <cfRule type="duplicateValues" dxfId="74" priority="219"/>
    <cfRule type="duplicateValues" dxfId="73" priority="220"/>
  </conditionalFormatting>
  <conditionalFormatting sqref="J3516:J3524">
    <cfRule type="duplicateValues" dxfId="72" priority="216"/>
    <cfRule type="duplicateValues" dxfId="71" priority="217"/>
    <cfRule type="duplicateValues" dxfId="70" priority="218"/>
  </conditionalFormatting>
  <conditionalFormatting sqref="F3516">
    <cfRule type="duplicateValues" dxfId="69" priority="185"/>
    <cfRule type="duplicateValues" dxfId="68" priority="186"/>
  </conditionalFormatting>
  <conditionalFormatting sqref="F3516">
    <cfRule type="duplicateValues" dxfId="67" priority="184"/>
  </conditionalFormatting>
  <conditionalFormatting sqref="J3516">
    <cfRule type="duplicateValues" dxfId="66" priority="179"/>
    <cfRule type="duplicateValues" dxfId="65" priority="180"/>
    <cfRule type="duplicateValues" dxfId="64" priority="181"/>
    <cfRule type="duplicateValues" dxfId="63" priority="182"/>
    <cfRule type="duplicateValues" dxfId="62" priority="183"/>
  </conditionalFormatting>
  <conditionalFormatting sqref="J3516">
    <cfRule type="duplicateValues" dxfId="61" priority="178" stopIfTrue="1"/>
  </conditionalFormatting>
  <conditionalFormatting sqref="J3516">
    <cfRule type="duplicateValues" dxfId="60" priority="176"/>
    <cfRule type="duplicateValues" dxfId="59" priority="177"/>
  </conditionalFormatting>
  <conditionalFormatting sqref="J3516">
    <cfRule type="duplicateValues" dxfId="58" priority="173"/>
    <cfRule type="duplicateValues" dxfId="57" priority="174"/>
    <cfRule type="duplicateValues" dxfId="56" priority="175"/>
  </conditionalFormatting>
  <conditionalFormatting sqref="F3517">
    <cfRule type="duplicateValues" dxfId="55" priority="142"/>
    <cfRule type="duplicateValues" dxfId="54" priority="143"/>
  </conditionalFormatting>
  <conditionalFormatting sqref="F3517">
    <cfRule type="duplicateValues" dxfId="53" priority="141"/>
  </conditionalFormatting>
  <conditionalFormatting sqref="J3517">
    <cfRule type="duplicateValues" dxfId="52" priority="136"/>
    <cfRule type="duplicateValues" dxfId="51" priority="137"/>
    <cfRule type="duplicateValues" dxfId="50" priority="138"/>
    <cfRule type="duplicateValues" dxfId="49" priority="139"/>
    <cfRule type="duplicateValues" dxfId="48" priority="140"/>
  </conditionalFormatting>
  <conditionalFormatting sqref="J3517">
    <cfRule type="duplicateValues" dxfId="47" priority="135" stopIfTrue="1"/>
  </conditionalFormatting>
  <conditionalFormatting sqref="J3517">
    <cfRule type="duplicateValues" dxfId="46" priority="133"/>
    <cfRule type="duplicateValues" dxfId="45" priority="134"/>
  </conditionalFormatting>
  <conditionalFormatting sqref="J3517">
    <cfRule type="duplicateValues" dxfId="44" priority="130"/>
    <cfRule type="duplicateValues" dxfId="43" priority="131"/>
    <cfRule type="duplicateValues" dxfId="42" priority="132"/>
  </conditionalFormatting>
  <conditionalFormatting sqref="F3518">
    <cfRule type="duplicateValues" dxfId="41" priority="99"/>
    <cfRule type="duplicateValues" dxfId="40" priority="100"/>
  </conditionalFormatting>
  <conditionalFormatting sqref="F3518">
    <cfRule type="duplicateValues" dxfId="39" priority="98"/>
  </conditionalFormatting>
  <conditionalFormatting sqref="J3518">
    <cfRule type="duplicateValues" dxfId="38" priority="93"/>
    <cfRule type="duplicateValues" dxfId="37" priority="94"/>
    <cfRule type="duplicateValues" dxfId="36" priority="95"/>
    <cfRule type="duplicateValues" dxfId="35" priority="96"/>
    <cfRule type="duplicateValues" dxfId="34" priority="97"/>
  </conditionalFormatting>
  <conditionalFormatting sqref="J3518">
    <cfRule type="duplicateValues" dxfId="33" priority="92" stopIfTrue="1"/>
  </conditionalFormatting>
  <conditionalFormatting sqref="J3518">
    <cfRule type="duplicateValues" dxfId="32" priority="90"/>
    <cfRule type="duplicateValues" dxfId="31" priority="91"/>
  </conditionalFormatting>
  <conditionalFormatting sqref="J3518">
    <cfRule type="duplicateValues" dxfId="30" priority="87"/>
    <cfRule type="duplicateValues" dxfId="29" priority="88"/>
    <cfRule type="duplicateValues" dxfId="28" priority="89"/>
  </conditionalFormatting>
  <conditionalFormatting sqref="F3525:F3527">
    <cfRule type="duplicateValues" dxfId="27" priority="56"/>
    <cfRule type="duplicateValues" dxfId="26" priority="57"/>
  </conditionalFormatting>
  <conditionalFormatting sqref="F3525:F3527">
    <cfRule type="duplicateValues" dxfId="25" priority="55"/>
  </conditionalFormatting>
  <conditionalFormatting sqref="J3525:J3527">
    <cfRule type="duplicateValues" dxfId="24" priority="50"/>
    <cfRule type="duplicateValues" dxfId="23" priority="51"/>
    <cfRule type="duplicateValues" dxfId="22" priority="52"/>
    <cfRule type="duplicateValues" dxfId="21" priority="53"/>
    <cfRule type="duplicateValues" dxfId="20" priority="54"/>
  </conditionalFormatting>
  <conditionalFormatting sqref="J3525:J3527">
    <cfRule type="duplicateValues" dxfId="19" priority="49" stopIfTrue="1"/>
  </conditionalFormatting>
  <conditionalFormatting sqref="J3525:J3527">
    <cfRule type="duplicateValues" dxfId="18" priority="47"/>
    <cfRule type="duplicateValues" dxfId="17" priority="48"/>
  </conditionalFormatting>
  <conditionalFormatting sqref="J3525:J3527">
    <cfRule type="duplicateValues" dxfId="16" priority="44"/>
    <cfRule type="duplicateValues" dxfId="15" priority="45"/>
    <cfRule type="duplicateValues" dxfId="14" priority="46"/>
  </conditionalFormatting>
  <conditionalFormatting sqref="F2964">
    <cfRule type="duplicateValues" dxfId="13" priority="13"/>
    <cfRule type="duplicateValues" dxfId="12" priority="14"/>
  </conditionalFormatting>
  <conditionalFormatting sqref="F2964">
    <cfRule type="duplicateValues" dxfId="11" priority="12"/>
  </conditionalFormatting>
  <conditionalFormatting sqref="J2964"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</conditionalFormatting>
  <conditionalFormatting sqref="J2964">
    <cfRule type="duplicateValues" dxfId="5" priority="6" stopIfTrue="1"/>
  </conditionalFormatting>
  <conditionalFormatting sqref="J2964">
    <cfRule type="duplicateValues" dxfId="4" priority="4"/>
    <cfRule type="duplicateValues" dxfId="3" priority="5"/>
  </conditionalFormatting>
  <conditionalFormatting sqref="J2964">
    <cfRule type="duplicateValues" dxfId="2" priority="1"/>
    <cfRule type="duplicateValues" dxfId="1" priority="2"/>
    <cfRule type="duplicateValues" dxfId="0" priority="3"/>
  </conditionalFormatting>
  <pageMargins left="0.70833333333333304" right="0.70833333333333304" top="0.74791666666666701" bottom="0.74791666666666701" header="0.31458333333333299" footer="0.31458333333333299"/>
  <pageSetup paperSize="9" scale="6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国内work order</vt:lpstr>
      <vt:lpstr>'国内work order'!Print_Area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wenwen_bao</dc:creator>
  <cp:lastModifiedBy>Shuaijie_Li</cp:lastModifiedBy>
  <cp:lastPrinted>2014-02-25T09:42:00Z</cp:lastPrinted>
  <dcterms:created xsi:type="dcterms:W3CDTF">2013-05-06T09:58:00Z</dcterms:created>
  <dcterms:modified xsi:type="dcterms:W3CDTF">2016-10-24T11:04:48Z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2052-9.1.0.4843</vt:lpwstr>
  </property>
</Properties>
</file>